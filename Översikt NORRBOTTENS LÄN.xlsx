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46046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46046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46046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46046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46046</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46046</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46046</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46046</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46046</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25045-2024</t>
        </is>
      </c>
      <c r="B21" s="1" t="n">
        <v>45462</v>
      </c>
      <c r="C21" s="1" t="n">
        <v>46046</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46046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46046</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46046</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27667-2024</t>
        </is>
      </c>
      <c r="B25" s="1" t="n">
        <v>45474</v>
      </c>
      <c r="C25" s="1" t="n">
        <v>46046</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46046</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51840-2024</t>
        </is>
      </c>
      <c r="B27" s="1" t="n">
        <v>45607.52168981481</v>
      </c>
      <c r="C27" s="1" t="n">
        <v>46046</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36345-2022</t>
        </is>
      </c>
      <c r="B28" s="1" t="n">
        <v>44803</v>
      </c>
      <c r="C28" s="1" t="n">
        <v>46046</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2025-2025</t>
        </is>
      </c>
      <c r="B29" s="1" t="n">
        <v>45672.48186342593</v>
      </c>
      <c r="C29" s="1" t="n">
        <v>46046</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15638-2024</t>
        </is>
      </c>
      <c r="B30" s="1" t="n">
        <v>45403</v>
      </c>
      <c r="C30" s="1" t="n">
        <v>46046</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28063-2024</t>
        </is>
      </c>
      <c r="B31" s="1" t="n">
        <v>45476.57167824074</v>
      </c>
      <c r="C31" s="1" t="n">
        <v>46046</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46046</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7325-2024</t>
        </is>
      </c>
      <c r="B33" s="1" t="n">
        <v>45345</v>
      </c>
      <c r="C33" s="1" t="n">
        <v>46046</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46046</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26089-2024</t>
        </is>
      </c>
      <c r="B35" s="1" t="n">
        <v>45467</v>
      </c>
      <c r="C35" s="1" t="n">
        <v>46046</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12524-2024</t>
        </is>
      </c>
      <c r="B36" s="1" t="n">
        <v>45379</v>
      </c>
      <c r="C36" s="1" t="n">
        <v>46046</v>
      </c>
      <c r="D36" t="inlineStr">
        <is>
          <t>NORRBOTTENS LÄN</t>
        </is>
      </c>
      <c r="E36" t="inlineStr">
        <is>
          <t>ÖVERTORNEÅ</t>
        </is>
      </c>
      <c r="G36" t="n">
        <v>40.4</v>
      </c>
      <c r="H36" t="n">
        <v>7</v>
      </c>
      <c r="I36" t="n">
        <v>9</v>
      </c>
      <c r="J36" t="n">
        <v>7</v>
      </c>
      <c r="K36" t="n">
        <v>1</v>
      </c>
      <c r="L36" t="n">
        <v>0</v>
      </c>
      <c r="M36" t="n">
        <v>0</v>
      </c>
      <c r="N36" t="n">
        <v>0</v>
      </c>
      <c r="O36" t="n">
        <v>8</v>
      </c>
      <c r="P36" t="n">
        <v>1</v>
      </c>
      <c r="Q36" t="n">
        <v>19</v>
      </c>
      <c r="R36" s="2" t="inlineStr">
        <is>
          <t>Knärot
Blanksvart spiklav
Garnlav
Järpe
Kolflarnlav
Mörk kolflarnlav
Spillkråka
Tretåig hackspett
Bårdlav
Grönpyrola
Luddlav
Norrlandslav
Plattlummer
Skinnlav
Stor aspticka
Stuplav
Zontaggsvamp
Lavskrika
Fläcknycklar</t>
        </is>
      </c>
      <c r="S36">
        <f>HYPERLINK("https://klasma.github.io/Logging_2518/artfynd/A 12524-2024 artfynd.xlsx", "A 12524-2024")</f>
        <v/>
      </c>
      <c r="T36">
        <f>HYPERLINK("https://klasma.github.io/Logging_2518/kartor/A 12524-2024 karta.png", "A 12524-2024")</f>
        <v/>
      </c>
      <c r="U36">
        <f>HYPERLINK("https://klasma.github.io/Logging_2518/knärot/A 12524-2024 karta knärot.png", "A 12524-2024")</f>
        <v/>
      </c>
      <c r="V36">
        <f>HYPERLINK("https://klasma.github.io/Logging_2518/klagomål/A 12524-2024 FSC-klagomål.docx", "A 12524-2024")</f>
        <v/>
      </c>
      <c r="W36">
        <f>HYPERLINK("https://klasma.github.io/Logging_2518/klagomålsmail/A 12524-2024 FSC-klagomål mail.docx", "A 12524-2024")</f>
        <v/>
      </c>
      <c r="X36">
        <f>HYPERLINK("https://klasma.github.io/Logging_2518/tillsyn/A 12524-2024 tillsynsbegäran.docx", "A 12524-2024")</f>
        <v/>
      </c>
      <c r="Y36">
        <f>HYPERLINK("https://klasma.github.io/Logging_2518/tillsynsmail/A 12524-2024 tillsynsbegäran mail.docx", "A 12524-2024")</f>
        <v/>
      </c>
      <c r="Z36">
        <f>HYPERLINK("https://klasma.github.io/Logging_2518/fåglar/A 12524-2024 prioriterade fågelarter.docx", "A 12524-2024")</f>
        <v/>
      </c>
    </row>
    <row r="37" ht="15" customHeight="1">
      <c r="A37" t="inlineStr">
        <is>
          <t>A 16006-2025</t>
        </is>
      </c>
      <c r="B37" s="1" t="n">
        <v>45749</v>
      </c>
      <c r="C37" s="1" t="n">
        <v>46046</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46046</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46046</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46046</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55330-2023</t>
        </is>
      </c>
      <c r="B41" s="1" t="n">
        <v>45237</v>
      </c>
      <c r="C41" s="1" t="n">
        <v>46046</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27566-2025</t>
        </is>
      </c>
      <c r="B42" s="1" t="n">
        <v>45813</v>
      </c>
      <c r="C42" s="1" t="n">
        <v>46046</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52981-2023</t>
        </is>
      </c>
      <c r="B43" s="1" t="n">
        <v>45226</v>
      </c>
      <c r="C43" s="1" t="n">
        <v>46046</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46046</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46046</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46046</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46046</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46046</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7524-2025</t>
        </is>
      </c>
      <c r="B49" s="1" t="n">
        <v>45705</v>
      </c>
      <c r="C49" s="1" t="n">
        <v>46046</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58410-2025</t>
        </is>
      </c>
      <c r="B50" s="1" t="n">
        <v>45985.5733912037</v>
      </c>
      <c r="C50" s="1" t="n">
        <v>46046</v>
      </c>
      <c r="D50" t="inlineStr">
        <is>
          <t>NORRBOTTENS LÄN</t>
        </is>
      </c>
      <c r="E50" t="inlineStr">
        <is>
          <t>JOKKMOKK</t>
        </is>
      </c>
      <c r="F50" t="inlineStr">
        <is>
          <t>SCA</t>
        </is>
      </c>
      <c r="G50" t="n">
        <v>31.4</v>
      </c>
      <c r="H50" t="n">
        <v>0</v>
      </c>
      <c r="I50" t="n">
        <v>3</v>
      </c>
      <c r="J50" t="n">
        <v>7</v>
      </c>
      <c r="K50" t="n">
        <v>6</v>
      </c>
      <c r="L50" t="n">
        <v>0</v>
      </c>
      <c r="M50" t="n">
        <v>0</v>
      </c>
      <c r="N50" t="n">
        <v>0</v>
      </c>
      <c r="O50" t="n">
        <v>13</v>
      </c>
      <c r="P50" t="n">
        <v>6</v>
      </c>
      <c r="Q50" t="n">
        <v>16</v>
      </c>
      <c r="R50" s="2" t="inlineStr">
        <is>
          <t>Goliatmusseron
Lammticka
Smalfotad taggsvamp
Spadskinn
Tajgataggsvamp
Tallgråticka
Blå taggsvamp
Motaggsvamp
Orange taggsvamp
Skrovlig taggsvamp
Svart taggsvamp
Talltaggsvamp
Vaddporing
Dropptaggsvamp
Mindre märgborre
Skarp dropptaggsvamp</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18646-2024</t>
        </is>
      </c>
      <c r="B51" s="1" t="n">
        <v>45425</v>
      </c>
      <c r="C51" s="1" t="n">
        <v>46046</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20810-2024</t>
        </is>
      </c>
      <c r="B52" s="1" t="n">
        <v>45439</v>
      </c>
      <c r="C52" s="1" t="n">
        <v>46046</v>
      </c>
      <c r="D52" t="inlineStr">
        <is>
          <t>NORRBOTTENS LÄN</t>
        </is>
      </c>
      <c r="E52" t="inlineStr">
        <is>
          <t>ARVIDSJAUR</t>
        </is>
      </c>
      <c r="G52" t="n">
        <v>27.6</v>
      </c>
      <c r="H52" t="n">
        <v>3</v>
      </c>
      <c r="I52" t="n">
        <v>3</v>
      </c>
      <c r="J52" t="n">
        <v>9</v>
      </c>
      <c r="K52" t="n">
        <v>1</v>
      </c>
      <c r="L52" t="n">
        <v>0</v>
      </c>
      <c r="M52" t="n">
        <v>0</v>
      </c>
      <c r="N52" t="n">
        <v>0</v>
      </c>
      <c r="O52" t="n">
        <v>10</v>
      </c>
      <c r="P52" t="n">
        <v>1</v>
      </c>
      <c r="Q52" t="n">
        <v>15</v>
      </c>
      <c r="R52" s="2" t="inlineStr">
        <is>
          <t>Ulltickeporing
Gammelgransskål
Garnlav
Granticka
Gränsticka
Harticka
Liten svartspik
Rosenticka
Tretåig hackspett
Ullticka
Stuplav
Trådticka
Vedticka
Lavskrika
Tjäder</t>
        </is>
      </c>
      <c r="S52">
        <f>HYPERLINK("https://klasma.github.io/Logging_2505/artfynd/A 20810-2024 artfynd.xlsx", "A 20810-2024")</f>
        <v/>
      </c>
      <c r="T52">
        <f>HYPERLINK("https://klasma.github.io/Logging_2505/kartor/A 20810-2024 karta.png", "A 20810-2024")</f>
        <v/>
      </c>
      <c r="V52">
        <f>HYPERLINK("https://klasma.github.io/Logging_2505/klagomål/A 20810-2024 FSC-klagomål.docx", "A 20810-2024")</f>
        <v/>
      </c>
      <c r="W52">
        <f>HYPERLINK("https://klasma.github.io/Logging_2505/klagomålsmail/A 20810-2024 FSC-klagomål mail.docx", "A 20810-2024")</f>
        <v/>
      </c>
      <c r="X52">
        <f>HYPERLINK("https://klasma.github.io/Logging_2505/tillsyn/A 20810-2024 tillsynsbegäran.docx", "A 20810-2024")</f>
        <v/>
      </c>
      <c r="Y52">
        <f>HYPERLINK("https://klasma.github.io/Logging_2505/tillsynsmail/A 20810-2024 tillsynsbegäran mail.docx", "A 20810-2024")</f>
        <v/>
      </c>
      <c r="Z52">
        <f>HYPERLINK("https://klasma.github.io/Logging_2505/fåglar/A 20810-2024 prioriterade fågelarter.docx", "A 20810-2024")</f>
        <v/>
      </c>
    </row>
    <row r="53" ht="15" customHeight="1">
      <c r="A53" t="inlineStr">
        <is>
          <t>A 53217-2023</t>
        </is>
      </c>
      <c r="B53" s="1" t="n">
        <v>45222</v>
      </c>
      <c r="C53" s="1" t="n">
        <v>46046</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Leptoporus mollis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64805-2023</t>
        </is>
      </c>
      <c r="B54" s="1" t="n">
        <v>45281</v>
      </c>
      <c r="C54" s="1" t="n">
        <v>46046</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12519-2024</t>
        </is>
      </c>
      <c r="B55" s="1" t="n">
        <v>45379</v>
      </c>
      <c r="C55" s="1" t="n">
        <v>46046</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40118-2025</t>
        </is>
      </c>
      <c r="B56" s="1" t="n">
        <v>45894</v>
      </c>
      <c r="C56" s="1" t="n">
        <v>46046</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39720-2025</t>
        </is>
      </c>
      <c r="B57" s="1" t="n">
        <v>45891.32903935185</v>
      </c>
      <c r="C57" s="1" t="n">
        <v>46046</v>
      </c>
      <c r="D57" t="inlineStr">
        <is>
          <t>NORRBOTTENS LÄN</t>
        </is>
      </c>
      <c r="E57" t="inlineStr">
        <is>
          <t>GÄLLIVARE</t>
        </is>
      </c>
      <c r="F57" t="inlineStr">
        <is>
          <t>Sveaskog</t>
        </is>
      </c>
      <c r="G57" t="n">
        <v>35.5</v>
      </c>
      <c r="H57" t="n">
        <v>6</v>
      </c>
      <c r="I57" t="n">
        <v>5</v>
      </c>
      <c r="J57" t="n">
        <v>8</v>
      </c>
      <c r="K57" t="n">
        <v>0</v>
      </c>
      <c r="L57" t="n">
        <v>0</v>
      </c>
      <c r="M57" t="n">
        <v>0</v>
      </c>
      <c r="N57" t="n">
        <v>0</v>
      </c>
      <c r="O57" t="n">
        <v>8</v>
      </c>
      <c r="P57" t="n">
        <v>0</v>
      </c>
      <c r="Q57" t="n">
        <v>15</v>
      </c>
      <c r="R57" s="2" t="inlineStr">
        <is>
          <t>Björktrast
Blå taggsvamp
Dvärgbägarlav
Rödvingetrast
Spillkråka
Vaddporing
Vedflamlav
Vedskivlav
Bårdlav
Norrlandslav
Plattlummer
Stuplav
Vedticka
Grönsiska
Kungsfågel</t>
        </is>
      </c>
      <c r="S57">
        <f>HYPERLINK("https://klasma.github.io/Logging_2523/artfynd/A 39720-2025 artfynd.xlsx", "A 39720-2025")</f>
        <v/>
      </c>
      <c r="T57">
        <f>HYPERLINK("https://klasma.github.io/Logging_2523/kartor/A 39720-2025 karta.png", "A 39720-2025")</f>
        <v/>
      </c>
      <c r="V57">
        <f>HYPERLINK("https://klasma.github.io/Logging_2523/klagomål/A 39720-2025 FSC-klagomål.docx", "A 39720-2025")</f>
        <v/>
      </c>
      <c r="W57">
        <f>HYPERLINK("https://klasma.github.io/Logging_2523/klagomålsmail/A 39720-2025 FSC-klagomål mail.docx", "A 39720-2025")</f>
        <v/>
      </c>
      <c r="X57">
        <f>HYPERLINK("https://klasma.github.io/Logging_2523/tillsyn/A 39720-2025 tillsynsbegäran.docx", "A 39720-2025")</f>
        <v/>
      </c>
      <c r="Y57">
        <f>HYPERLINK("https://klasma.github.io/Logging_2523/tillsynsmail/A 39720-2025 tillsynsbegäran mail.docx", "A 39720-2025")</f>
        <v/>
      </c>
      <c r="Z57">
        <f>HYPERLINK("https://klasma.github.io/Logging_2523/fåglar/A 39720-2025 prioriterade fågelarter.docx", "A 39720-2025")</f>
        <v/>
      </c>
    </row>
    <row r="58" ht="15" customHeight="1">
      <c r="A58" t="inlineStr">
        <is>
          <t>A 45432-2025</t>
        </is>
      </c>
      <c r="B58" s="1" t="n">
        <v>45922.46042824074</v>
      </c>
      <c r="C58" s="1" t="n">
        <v>46046</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53082-2025</t>
        </is>
      </c>
      <c r="B59" s="1" t="n">
        <v>45958</v>
      </c>
      <c r="C59" s="1" t="n">
        <v>46046</v>
      </c>
      <c r="D59" t="inlineStr">
        <is>
          <t>NORRBOTTENS LÄN</t>
        </is>
      </c>
      <c r="E59" t="inlineStr">
        <is>
          <t>ÖVERKALIX</t>
        </is>
      </c>
      <c r="F59" t="inlineStr">
        <is>
          <t>Sveaskog</t>
        </is>
      </c>
      <c r="G59" t="n">
        <v>69.3</v>
      </c>
      <c r="H59" t="n">
        <v>6</v>
      </c>
      <c r="I59" t="n">
        <v>4</v>
      </c>
      <c r="J59" t="n">
        <v>9</v>
      </c>
      <c r="K59" t="n">
        <v>0</v>
      </c>
      <c r="L59" t="n">
        <v>0</v>
      </c>
      <c r="M59" t="n">
        <v>0</v>
      </c>
      <c r="N59" t="n">
        <v>0</v>
      </c>
      <c r="O59" t="n">
        <v>9</v>
      </c>
      <c r="P59" t="n">
        <v>0</v>
      </c>
      <c r="Q59" t="n">
        <v>15</v>
      </c>
      <c r="R59" s="2" t="inlineStr">
        <is>
          <t>Björktrast
Gammelgransskål
Garnlav
Gränsticka
Harticka
Lunglav
Spillkråka
Talltita
Ullticka
Bårdlav
Spindelblomster
Stuplav
Vedticka
Tjäder
Fläcknycklar</t>
        </is>
      </c>
      <c r="S59">
        <f>HYPERLINK("https://klasma.github.io/Logging_2513/artfynd/A 53082-2025 artfynd.xlsx", "A 53082-2025")</f>
        <v/>
      </c>
      <c r="T59">
        <f>HYPERLINK("https://klasma.github.io/Logging_2513/kartor/A 53082-2025 karta.png", "A 53082-2025")</f>
        <v/>
      </c>
      <c r="V59">
        <f>HYPERLINK("https://klasma.github.io/Logging_2513/klagomål/A 53082-2025 FSC-klagomål.docx", "A 53082-2025")</f>
        <v/>
      </c>
      <c r="W59">
        <f>HYPERLINK("https://klasma.github.io/Logging_2513/klagomålsmail/A 53082-2025 FSC-klagomål mail.docx", "A 53082-2025")</f>
        <v/>
      </c>
      <c r="X59">
        <f>HYPERLINK("https://klasma.github.io/Logging_2513/tillsyn/A 53082-2025 tillsynsbegäran.docx", "A 53082-2025")</f>
        <v/>
      </c>
      <c r="Y59">
        <f>HYPERLINK("https://klasma.github.io/Logging_2513/tillsynsmail/A 53082-2025 tillsynsbegäran mail.docx", "A 53082-2025")</f>
        <v/>
      </c>
      <c r="Z59">
        <f>HYPERLINK("https://klasma.github.io/Logging_2513/fåglar/A 53082-2025 prioriterade fågelarter.docx", "A 53082-2025")</f>
        <v/>
      </c>
    </row>
    <row r="60" ht="15" customHeight="1">
      <c r="A60" t="inlineStr">
        <is>
          <t>A 29675-2024</t>
        </is>
      </c>
      <c r="B60" s="1" t="n">
        <v>45484</v>
      </c>
      <c r="C60" s="1" t="n">
        <v>46046</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62607-2021</t>
        </is>
      </c>
      <c r="B61" s="1" t="n">
        <v>44503</v>
      </c>
      <c r="C61" s="1" t="n">
        <v>46046</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46046</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46046</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16240-2024</t>
        </is>
      </c>
      <c r="B64" s="1" t="n">
        <v>45407</v>
      </c>
      <c r="C64" s="1" t="n">
        <v>46046</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7068-2023</t>
        </is>
      </c>
      <c r="B65" s="1" t="n">
        <v>44969</v>
      </c>
      <c r="C65" s="1" t="n">
        <v>46046</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44203-2025</t>
        </is>
      </c>
      <c r="B66" s="1" t="n">
        <v>45915.62523148148</v>
      </c>
      <c r="C66" s="1" t="n">
        <v>46046</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56243-2024</t>
        </is>
      </c>
      <c r="B67" s="1" t="n">
        <v>45624</v>
      </c>
      <c r="C67" s="1" t="n">
        <v>46046</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34441-2025</t>
        </is>
      </c>
      <c r="B68" s="1" t="n">
        <v>45845</v>
      </c>
      <c r="C68" s="1" t="n">
        <v>46046</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24072-2022</t>
        </is>
      </c>
      <c r="B69" s="1" t="n">
        <v>44722</v>
      </c>
      <c r="C69" s="1" t="n">
        <v>46046</v>
      </c>
      <c r="D69" t="inlineStr">
        <is>
          <t>NORRBOTTENS LÄN</t>
        </is>
      </c>
      <c r="E69" t="inlineStr">
        <is>
          <t>JOKKMOKK</t>
        </is>
      </c>
      <c r="F69" t="inlineStr">
        <is>
          <t>Övriga statliga verk och myndigheter</t>
        </is>
      </c>
      <c r="G69" t="n">
        <v>19.9</v>
      </c>
      <c r="H69" t="n">
        <v>0</v>
      </c>
      <c r="I69" t="n">
        <v>4</v>
      </c>
      <c r="J69" t="n">
        <v>7</v>
      </c>
      <c r="K69" t="n">
        <v>2</v>
      </c>
      <c r="L69" t="n">
        <v>0</v>
      </c>
      <c r="M69" t="n">
        <v>0</v>
      </c>
      <c r="N69" t="n">
        <v>0</v>
      </c>
      <c r="O69" t="n">
        <v>9</v>
      </c>
      <c r="P69" t="n">
        <v>2</v>
      </c>
      <c r="Q69" t="n">
        <v>13</v>
      </c>
      <c r="R69" s="2" t="inlineStr">
        <is>
          <t>Fläckporing
Gräddporing
Blanksvart spiklav
Dvärgbägarlav
Gränsticka
Skrovellav
Tallticka
Vedskivlav
Vitplätt
Bårdlav
Luddlav
Skarp dropptaggsvamp
Stuplav</t>
        </is>
      </c>
      <c r="S69">
        <f>HYPERLINK("https://klasma.github.io/Logging_2510/artfynd/A 24072-2022 artfynd.xlsx", "A 24072-2022")</f>
        <v/>
      </c>
      <c r="T69">
        <f>HYPERLINK("https://klasma.github.io/Logging_2510/kartor/A 24072-2022 karta.png", "A 24072-2022")</f>
        <v/>
      </c>
      <c r="V69">
        <f>HYPERLINK("https://klasma.github.io/Logging_2510/klagomål/A 24072-2022 FSC-klagomål.docx", "A 24072-2022")</f>
        <v/>
      </c>
      <c r="W69">
        <f>HYPERLINK("https://klasma.github.io/Logging_2510/klagomålsmail/A 24072-2022 FSC-klagomål mail.docx", "A 24072-2022")</f>
        <v/>
      </c>
      <c r="X69">
        <f>HYPERLINK("https://klasma.github.io/Logging_2510/tillsyn/A 24072-2022 tillsynsbegäran.docx", "A 24072-2022")</f>
        <v/>
      </c>
      <c r="Y69">
        <f>HYPERLINK("https://klasma.github.io/Logging_2510/tillsynsmail/A 24072-2022 tillsynsbegäran mail.docx", "A 24072-2022")</f>
        <v/>
      </c>
    </row>
    <row r="70" ht="15" customHeight="1">
      <c r="A70" t="inlineStr">
        <is>
          <t>A 26733-2024</t>
        </is>
      </c>
      <c r="B70" s="1" t="n">
        <v>45470</v>
      </c>
      <c r="C70" s="1" t="n">
        <v>46046</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36383-2024</t>
        </is>
      </c>
      <c r="B71" s="1" t="n">
        <v>45534</v>
      </c>
      <c r="C71" s="1" t="n">
        <v>46046</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41396-2023</t>
        </is>
      </c>
      <c r="B72" s="1" t="n">
        <v>45174.92293981482</v>
      </c>
      <c r="C72" s="1" t="n">
        <v>46046</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2028-2025</t>
        </is>
      </c>
      <c r="B73" s="1" t="n">
        <v>45672.48600694445</v>
      </c>
      <c r="C73" s="1" t="n">
        <v>46046</v>
      </c>
      <c r="D73" t="inlineStr">
        <is>
          <t>NORRBOTTENS LÄN</t>
        </is>
      </c>
      <c r="E73" t="inlineStr">
        <is>
          <t>JOKKMOKK</t>
        </is>
      </c>
      <c r="F73" t="inlineStr">
        <is>
          <t>Övriga statliga verk och myndigheter</t>
        </is>
      </c>
      <c r="G73" t="n">
        <v>27.8</v>
      </c>
      <c r="H73" t="n">
        <v>4</v>
      </c>
      <c r="I73" t="n">
        <v>3</v>
      </c>
      <c r="J73" t="n">
        <v>8</v>
      </c>
      <c r="K73" t="n">
        <v>1</v>
      </c>
      <c r="L73" t="n">
        <v>0</v>
      </c>
      <c r="M73" t="n">
        <v>0</v>
      </c>
      <c r="N73" t="n">
        <v>0</v>
      </c>
      <c r="O73" t="n">
        <v>9</v>
      </c>
      <c r="P73" t="n">
        <v>1</v>
      </c>
      <c r="Q73" t="n">
        <v>13</v>
      </c>
      <c r="R73" s="2" t="inlineStr">
        <is>
          <t>Gräddporing
Dvärgbägarlav
Gammelgransskål
Knottrig blåslav
Kolflarnlav
Nordtagging
Skrovellav
Spillkråka
Tretåig hackspett
Bronshjon
Bårdlav
Plattlummer
Tjäder</t>
        </is>
      </c>
      <c r="S73">
        <f>HYPERLINK("https://klasma.github.io/Logging_2510/artfynd/A 2028-2025 artfynd.xlsx", "A 2028-2025")</f>
        <v/>
      </c>
      <c r="T73">
        <f>HYPERLINK("https://klasma.github.io/Logging_2510/kartor/A 2028-2025 karta.png", "A 2028-2025")</f>
        <v/>
      </c>
      <c r="V73">
        <f>HYPERLINK("https://klasma.github.io/Logging_2510/klagomål/A 2028-2025 FSC-klagomål.docx", "A 2028-2025")</f>
        <v/>
      </c>
      <c r="W73">
        <f>HYPERLINK("https://klasma.github.io/Logging_2510/klagomålsmail/A 2028-2025 FSC-klagomål mail.docx", "A 2028-2025")</f>
        <v/>
      </c>
      <c r="X73">
        <f>HYPERLINK("https://klasma.github.io/Logging_2510/tillsyn/A 2028-2025 tillsynsbegäran.docx", "A 2028-2025")</f>
        <v/>
      </c>
      <c r="Y73">
        <f>HYPERLINK("https://klasma.github.io/Logging_2510/tillsynsmail/A 2028-2025 tillsynsbegäran mail.docx", "A 2028-2025")</f>
        <v/>
      </c>
      <c r="Z73">
        <f>HYPERLINK("https://klasma.github.io/Logging_2510/fåglar/A 2028-2025 prioriterade fågelarter.docx", "A 2028-2025")</f>
        <v/>
      </c>
    </row>
    <row r="74" ht="15" customHeight="1">
      <c r="A74" t="inlineStr">
        <is>
          <t>A 7434-2025</t>
        </is>
      </c>
      <c r="B74" s="1" t="n">
        <v>45705</v>
      </c>
      <c r="C74" s="1" t="n">
        <v>46046</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23357-2024</t>
        </is>
      </c>
      <c r="B75" s="1" t="n">
        <v>45453</v>
      </c>
      <c r="C75" s="1" t="n">
        <v>46046</v>
      </c>
      <c r="D75" t="inlineStr">
        <is>
          <t>NORRBOTTENS LÄN</t>
        </is>
      </c>
      <c r="E75" t="inlineStr">
        <is>
          <t>GÄLLIVARE</t>
        </is>
      </c>
      <c r="F75" t="inlineStr">
        <is>
          <t>Allmännings- och besparingsskogar</t>
        </is>
      </c>
      <c r="G75" t="n">
        <v>16.5</v>
      </c>
      <c r="H75" t="n">
        <v>3</v>
      </c>
      <c r="I75" t="n">
        <v>4</v>
      </c>
      <c r="J75" t="n">
        <v>6</v>
      </c>
      <c r="K75" t="n">
        <v>2</v>
      </c>
      <c r="L75" t="n">
        <v>0</v>
      </c>
      <c r="M75" t="n">
        <v>0</v>
      </c>
      <c r="N75" t="n">
        <v>0</v>
      </c>
      <c r="O75" t="n">
        <v>8</v>
      </c>
      <c r="P75" t="n">
        <v>2</v>
      </c>
      <c r="Q75" t="n">
        <v>13</v>
      </c>
      <c r="R75" s="2" t="inlineStr">
        <is>
          <t>Knärot
Tallgråticka
Dvärgbägarlav
Garnlav
Lunglav
Mörk kolflarnlav
Vedskivlav
Vedtrappmossa
Dropptaggsvamp
Källpraktmossa
Plattlummer
Skinnlav
Fläcknycklar</t>
        </is>
      </c>
      <c r="S75">
        <f>HYPERLINK("https://klasma.github.io/Logging_2523/artfynd/A 23357-2024 artfynd.xlsx", "A 23357-2024")</f>
        <v/>
      </c>
      <c r="T75">
        <f>HYPERLINK("https://klasma.github.io/Logging_2523/kartor/A 23357-2024 karta.png", "A 23357-2024")</f>
        <v/>
      </c>
      <c r="U75">
        <f>HYPERLINK("https://klasma.github.io/Logging_2523/knärot/A 23357-2024 karta knärot.png", "A 23357-2024")</f>
        <v/>
      </c>
      <c r="V75">
        <f>HYPERLINK("https://klasma.github.io/Logging_2523/klagomål/A 23357-2024 FSC-klagomål.docx", "A 23357-2024")</f>
        <v/>
      </c>
      <c r="W75">
        <f>HYPERLINK("https://klasma.github.io/Logging_2523/klagomålsmail/A 23357-2024 FSC-klagomål mail.docx", "A 23357-2024")</f>
        <v/>
      </c>
      <c r="X75">
        <f>HYPERLINK("https://klasma.github.io/Logging_2523/tillsyn/A 23357-2024 tillsynsbegäran.docx", "A 23357-2024")</f>
        <v/>
      </c>
      <c r="Y75">
        <f>HYPERLINK("https://klasma.github.io/Logging_2523/tillsynsmail/A 23357-2024 tillsynsbegäran mail.docx", "A 23357-2024")</f>
        <v/>
      </c>
    </row>
    <row r="76" ht="15" customHeight="1">
      <c r="A76" t="inlineStr">
        <is>
          <t>A 60025-2025</t>
        </is>
      </c>
      <c r="B76" s="1" t="n">
        <v>45993</v>
      </c>
      <c r="C76" s="1" t="n">
        <v>46046</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4107-2022</t>
        </is>
      </c>
      <c r="B77" s="1" t="n">
        <v>44588</v>
      </c>
      <c r="C77" s="1" t="n">
        <v>46046</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7957-2022</t>
        </is>
      </c>
      <c r="B78" s="1" t="n">
        <v>44608.93834490741</v>
      </c>
      <c r="C78" s="1" t="n">
        <v>46046</v>
      </c>
      <c r="D78" t="inlineStr">
        <is>
          <t>NORRBOTTENS LÄN</t>
        </is>
      </c>
      <c r="E78" t="inlineStr">
        <is>
          <t>PAJALA</t>
        </is>
      </c>
      <c r="F78" t="inlineStr">
        <is>
          <t>SCA</t>
        </is>
      </c>
      <c r="G78" t="n">
        <v>12.2</v>
      </c>
      <c r="H78" t="n">
        <v>1</v>
      </c>
      <c r="I78" t="n">
        <v>1</v>
      </c>
      <c r="J78" t="n">
        <v>10</v>
      </c>
      <c r="K78" t="n">
        <v>1</v>
      </c>
      <c r="L78" t="n">
        <v>0</v>
      </c>
      <c r="M78" t="n">
        <v>0</v>
      </c>
      <c r="N78" t="n">
        <v>0</v>
      </c>
      <c r="O78" t="n">
        <v>11</v>
      </c>
      <c r="P78" t="n">
        <v>1</v>
      </c>
      <c r="Q78" t="n">
        <v>12</v>
      </c>
      <c r="R78" s="2" t="inlineStr">
        <is>
          <t>Goliatmusseron
Blå taggsvamp
Gammelgransskål
Knottrig blåslav
Orange taggsvamp
Skrovlig taggsvamp
Svartvit taggsvamp
Tallriska
Talltaggsvamp
Tretåig hackspett
Ullticka
Dropptaggsvamp</t>
        </is>
      </c>
      <c r="S78">
        <f>HYPERLINK("https://klasma.github.io/Logging_2521/artfynd/A 7957-2022 artfynd.xlsx", "A 7957-2022")</f>
        <v/>
      </c>
      <c r="T78">
        <f>HYPERLINK("https://klasma.github.io/Logging_2521/kartor/A 7957-2022 karta.png", "A 7957-2022")</f>
        <v/>
      </c>
      <c r="V78">
        <f>HYPERLINK("https://klasma.github.io/Logging_2521/klagomål/A 7957-2022 FSC-klagomål.docx", "A 7957-2022")</f>
        <v/>
      </c>
      <c r="W78">
        <f>HYPERLINK("https://klasma.github.io/Logging_2521/klagomålsmail/A 7957-2022 FSC-klagomål mail.docx", "A 7957-2022")</f>
        <v/>
      </c>
      <c r="X78">
        <f>HYPERLINK("https://klasma.github.io/Logging_2521/tillsyn/A 7957-2022 tillsynsbegäran.docx", "A 7957-2022")</f>
        <v/>
      </c>
      <c r="Y78">
        <f>HYPERLINK("https://klasma.github.io/Logging_2521/tillsynsmail/A 7957-2022 tillsynsbegäran mail.docx", "A 7957-2022")</f>
        <v/>
      </c>
      <c r="Z78">
        <f>HYPERLINK("https://klasma.github.io/Logging_2521/fåglar/A 7957-2022 prioriterade fågelarter.docx", "A 7957-2022")</f>
        <v/>
      </c>
    </row>
    <row r="79" ht="15" customHeight="1">
      <c r="A79" t="inlineStr">
        <is>
          <t>A 44336-2023</t>
        </is>
      </c>
      <c r="B79" s="1" t="n">
        <v>45188</v>
      </c>
      <c r="C79" s="1" t="n">
        <v>46046</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50304-2022</t>
        </is>
      </c>
      <c r="B80" s="1" t="n">
        <v>44865</v>
      </c>
      <c r="C80" s="1" t="n">
        <v>46046</v>
      </c>
      <c r="D80" t="inlineStr">
        <is>
          <t>NORRBOTTENS LÄN</t>
        </is>
      </c>
      <c r="E80" t="inlineStr">
        <is>
          <t>ARVIDSJAUR</t>
        </is>
      </c>
      <c r="G80" t="n">
        <v>14.5</v>
      </c>
      <c r="H80" t="n">
        <v>2</v>
      </c>
      <c r="I80" t="n">
        <v>2</v>
      </c>
      <c r="J80" t="n">
        <v>8</v>
      </c>
      <c r="K80" t="n">
        <v>2</v>
      </c>
      <c r="L80" t="n">
        <v>0</v>
      </c>
      <c r="M80" t="n">
        <v>0</v>
      </c>
      <c r="N80" t="n">
        <v>0</v>
      </c>
      <c r="O80" t="n">
        <v>10</v>
      </c>
      <c r="P80" t="n">
        <v>2</v>
      </c>
      <c r="Q80" t="n">
        <v>12</v>
      </c>
      <c r="R80" s="2" t="inlineStr">
        <is>
          <t>Ostticka
Rynkskinn
Gammelgransskål
Garnlav
Granticka
Gränsticka
Rosenticka
Spillkråka
Tretåig hackspett
Ullticka
Dropptaggsvamp
Vedticka</t>
        </is>
      </c>
      <c r="S80">
        <f>HYPERLINK("https://klasma.github.io/Logging_2505/artfynd/A 50304-2022 artfynd.xlsx", "A 50304-2022")</f>
        <v/>
      </c>
      <c r="T80">
        <f>HYPERLINK("https://klasma.github.io/Logging_2505/kartor/A 50304-2022 karta.png", "A 50304-2022")</f>
        <v/>
      </c>
      <c r="V80">
        <f>HYPERLINK("https://klasma.github.io/Logging_2505/klagomål/A 50304-2022 FSC-klagomål.docx", "A 50304-2022")</f>
        <v/>
      </c>
      <c r="W80">
        <f>HYPERLINK("https://klasma.github.io/Logging_2505/klagomålsmail/A 50304-2022 FSC-klagomål mail.docx", "A 50304-2022")</f>
        <v/>
      </c>
      <c r="X80">
        <f>HYPERLINK("https://klasma.github.io/Logging_2505/tillsyn/A 50304-2022 tillsynsbegäran.docx", "A 50304-2022")</f>
        <v/>
      </c>
      <c r="Y80">
        <f>HYPERLINK("https://klasma.github.io/Logging_2505/tillsynsmail/A 50304-2022 tillsynsbegäran mail.docx", "A 50304-2022")</f>
        <v/>
      </c>
      <c r="Z80">
        <f>HYPERLINK("https://klasma.github.io/Logging_2505/fåglar/A 50304-2022 prioriterade fågelarter.docx", "A 50304-2022")</f>
        <v/>
      </c>
    </row>
    <row r="81" ht="15" customHeight="1">
      <c r="A81" t="inlineStr">
        <is>
          <t>A 47547-2022</t>
        </is>
      </c>
      <c r="B81" s="1" t="n">
        <v>44853</v>
      </c>
      <c r="C81" s="1" t="n">
        <v>46046</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6198-2025</t>
        </is>
      </c>
      <c r="B82" s="1" t="n">
        <v>45696</v>
      </c>
      <c r="C82" s="1" t="n">
        <v>46046</v>
      </c>
      <c r="D82" t="inlineStr">
        <is>
          <t>NORRBOTTENS LÄN</t>
        </is>
      </c>
      <c r="E82" t="inlineStr">
        <is>
          <t>LULEÅ</t>
        </is>
      </c>
      <c r="G82" t="n">
        <v>7.7</v>
      </c>
      <c r="H82" t="n">
        <v>1</v>
      </c>
      <c r="I82" t="n">
        <v>3</v>
      </c>
      <c r="J82" t="n">
        <v>6</v>
      </c>
      <c r="K82" t="n">
        <v>3</v>
      </c>
      <c r="L82" t="n">
        <v>0</v>
      </c>
      <c r="M82" t="n">
        <v>0</v>
      </c>
      <c r="N82" t="n">
        <v>0</v>
      </c>
      <c r="O82" t="n">
        <v>9</v>
      </c>
      <c r="P82" t="n">
        <v>3</v>
      </c>
      <c r="Q82" t="n">
        <v>12</v>
      </c>
      <c r="R82" s="2" t="inlineStr">
        <is>
          <t>Granrotsspindling
Knärot
Sprickporing
Gammelgransskål
Granticka
Lunglav
Stjärntagging
Tallriska
Äggvaxskivling
Gulnål
Stuplav
Vedticka</t>
        </is>
      </c>
      <c r="S82">
        <f>HYPERLINK("https://klasma.github.io/Logging_2580/artfynd/A 6198-2025 artfynd.xlsx", "A 6198-2025")</f>
        <v/>
      </c>
      <c r="T82">
        <f>HYPERLINK("https://klasma.github.io/Logging_2580/kartor/A 6198-2025 karta.png", "A 6198-2025")</f>
        <v/>
      </c>
      <c r="U82">
        <f>HYPERLINK("https://klasma.github.io/Logging_2580/knärot/A 6198-2025 karta knärot.png", "A 6198-2025")</f>
        <v/>
      </c>
      <c r="V82">
        <f>HYPERLINK("https://klasma.github.io/Logging_2580/klagomål/A 6198-2025 FSC-klagomål.docx", "A 6198-2025")</f>
        <v/>
      </c>
      <c r="W82">
        <f>HYPERLINK("https://klasma.github.io/Logging_2580/klagomålsmail/A 6198-2025 FSC-klagomål mail.docx", "A 6198-2025")</f>
        <v/>
      </c>
      <c r="X82">
        <f>HYPERLINK("https://klasma.github.io/Logging_2580/tillsyn/A 6198-2025 tillsynsbegäran.docx", "A 6198-2025")</f>
        <v/>
      </c>
      <c r="Y82">
        <f>HYPERLINK("https://klasma.github.io/Logging_2580/tillsynsmail/A 6198-2025 tillsynsbegäran mail.docx", "A 6198-2025")</f>
        <v/>
      </c>
    </row>
    <row r="83" ht="15" customHeight="1">
      <c r="A83" t="inlineStr">
        <is>
          <t>A 51108-2025</t>
        </is>
      </c>
      <c r="B83" s="1" t="n">
        <v>45947</v>
      </c>
      <c r="C83" s="1" t="n">
        <v>46046</v>
      </c>
      <c r="D83" t="inlineStr">
        <is>
          <t>NORRBOTTENS LÄN</t>
        </is>
      </c>
      <c r="E83" t="inlineStr">
        <is>
          <t>GÄLLIVARE</t>
        </is>
      </c>
      <c r="F83" t="inlineStr">
        <is>
          <t>Övriga statliga verk och myndigheter</t>
        </is>
      </c>
      <c r="G83" t="n">
        <v>293.2</v>
      </c>
      <c r="H83" t="n">
        <v>1</v>
      </c>
      <c r="I83" t="n">
        <v>1</v>
      </c>
      <c r="J83" t="n">
        <v>9</v>
      </c>
      <c r="K83" t="n">
        <v>2</v>
      </c>
      <c r="L83" t="n">
        <v>0</v>
      </c>
      <c r="M83" t="n">
        <v>0</v>
      </c>
      <c r="N83" t="n">
        <v>0</v>
      </c>
      <c r="O83" t="n">
        <v>11</v>
      </c>
      <c r="P83" t="n">
        <v>2</v>
      </c>
      <c r="Q83" t="n">
        <v>12</v>
      </c>
      <c r="R83" s="2" t="inlineStr">
        <is>
          <t>Rynkskinn
Tajgaskinn
Dvärgbägarlav
Gammelgransskål
Granticka
Gränsticka
Harticka
Knottrig blåslav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50584-2025</t>
        </is>
      </c>
      <c r="B84" s="1" t="n">
        <v>45945</v>
      </c>
      <c r="C84" s="1" t="n">
        <v>46046</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46046</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26954-2022</t>
        </is>
      </c>
      <c r="B86" s="1" t="n">
        <v>44740</v>
      </c>
      <c r="C86" s="1" t="n">
        <v>46046</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22563-2025</t>
        </is>
      </c>
      <c r="B87" s="1" t="n">
        <v>45789</v>
      </c>
      <c r="C87" s="1" t="n">
        <v>46046</v>
      </c>
      <c r="D87" t="inlineStr">
        <is>
          <t>NORRBOTTENS LÄN</t>
        </is>
      </c>
      <c r="E87" t="inlineStr">
        <is>
          <t>ÄLVSBYN</t>
        </is>
      </c>
      <c r="F87" t="inlineStr">
        <is>
          <t>Sveaskog</t>
        </is>
      </c>
      <c r="G87" t="n">
        <v>21</v>
      </c>
      <c r="H87" t="n">
        <v>0</v>
      </c>
      <c r="I87" t="n">
        <v>2</v>
      </c>
      <c r="J87" t="n">
        <v>6</v>
      </c>
      <c r="K87" t="n">
        <v>3</v>
      </c>
      <c r="L87" t="n">
        <v>0</v>
      </c>
      <c r="M87" t="n">
        <v>0</v>
      </c>
      <c r="N87" t="n">
        <v>0</v>
      </c>
      <c r="O87" t="n">
        <v>9</v>
      </c>
      <c r="P87" t="n">
        <v>3</v>
      </c>
      <c r="Q87" t="n">
        <v>11</v>
      </c>
      <c r="R87" s="2" t="inlineStr">
        <is>
          <t>Goliatmusseron
Smalfotad taggsvamp
Tajgataggsvamp
Blå taggsvamp
Kolflarnlav
Orange taggsvamp
Skrovlig taggsvamp
Svart taggsvamp
Talltaggsvamp
Dropptaggsvamp
Skarp dropptaggsvamp</t>
        </is>
      </c>
      <c r="S87">
        <f>HYPERLINK("https://klasma.github.io/Logging_2560/artfynd/A 22563-2025 artfynd.xlsx", "A 22563-2025")</f>
        <v/>
      </c>
      <c r="T87">
        <f>HYPERLINK("https://klasma.github.io/Logging_2560/kartor/A 22563-2025 karta.png", "A 22563-2025")</f>
        <v/>
      </c>
      <c r="V87">
        <f>HYPERLINK("https://klasma.github.io/Logging_2560/klagomål/A 22563-2025 FSC-klagomål.docx", "A 22563-2025")</f>
        <v/>
      </c>
      <c r="W87">
        <f>HYPERLINK("https://klasma.github.io/Logging_2560/klagomålsmail/A 22563-2025 FSC-klagomål mail.docx", "A 22563-2025")</f>
        <v/>
      </c>
      <c r="X87">
        <f>HYPERLINK("https://klasma.github.io/Logging_2560/tillsyn/A 22563-2025 tillsynsbegäran.docx", "A 22563-2025")</f>
        <v/>
      </c>
      <c r="Y87">
        <f>HYPERLINK("https://klasma.github.io/Logging_2560/tillsynsmail/A 22563-2025 tillsynsbegäran mail.docx", "A 22563-2025")</f>
        <v/>
      </c>
    </row>
    <row r="88" ht="15" customHeight="1">
      <c r="A88" t="inlineStr">
        <is>
          <t>A 26670-2022</t>
        </is>
      </c>
      <c r="B88" s="1" t="n">
        <v>44739</v>
      </c>
      <c r="C88" s="1" t="n">
        <v>46046</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45417-2024</t>
        </is>
      </c>
      <c r="B89" s="1" t="n">
        <v>45576</v>
      </c>
      <c r="C89" s="1" t="n">
        <v>46046</v>
      </c>
      <c r="D89" t="inlineStr">
        <is>
          <t>NORRBOTTENS LÄN</t>
        </is>
      </c>
      <c r="E89" t="inlineStr">
        <is>
          <t>ARJEPLOG</t>
        </is>
      </c>
      <c r="G89" t="n">
        <v>11.5</v>
      </c>
      <c r="H89" t="n">
        <v>2</v>
      </c>
      <c r="I89" t="n">
        <v>0</v>
      </c>
      <c r="J89" t="n">
        <v>11</v>
      </c>
      <c r="K89" t="n">
        <v>0</v>
      </c>
      <c r="L89" t="n">
        <v>0</v>
      </c>
      <c r="M89" t="n">
        <v>0</v>
      </c>
      <c r="N89" t="n">
        <v>0</v>
      </c>
      <c r="O89" t="n">
        <v>11</v>
      </c>
      <c r="P89" t="n">
        <v>0</v>
      </c>
      <c r="Q89" t="n">
        <v>11</v>
      </c>
      <c r="R89" s="2" t="inlineStr">
        <is>
          <t>Blanksvart spiklav
Dvärgbägarlav
Granticka
Knottrig blåslav
Kortskaftad ärgspik
Rosenticka
Talltita
Tretåig hackspett
Ullticka
Vedskivlav
Vedtrappmossa</t>
        </is>
      </c>
      <c r="S89">
        <f>HYPERLINK("https://klasma.github.io/Logging_2506/artfynd/A 45417-2024 artfynd.xlsx", "A 45417-2024")</f>
        <v/>
      </c>
      <c r="T89">
        <f>HYPERLINK("https://klasma.github.io/Logging_2506/kartor/A 45417-2024 karta.png", "A 45417-2024")</f>
        <v/>
      </c>
      <c r="V89">
        <f>HYPERLINK("https://klasma.github.io/Logging_2506/klagomål/A 45417-2024 FSC-klagomål.docx", "A 45417-2024")</f>
        <v/>
      </c>
      <c r="W89">
        <f>HYPERLINK("https://klasma.github.io/Logging_2506/klagomålsmail/A 45417-2024 FSC-klagomål mail.docx", "A 45417-2024")</f>
        <v/>
      </c>
      <c r="X89">
        <f>HYPERLINK("https://klasma.github.io/Logging_2506/tillsyn/A 45417-2024 tillsynsbegäran.docx", "A 45417-2024")</f>
        <v/>
      </c>
      <c r="Y89">
        <f>HYPERLINK("https://klasma.github.io/Logging_2506/tillsynsmail/A 45417-2024 tillsynsbegäran mail.docx", "A 45417-2024")</f>
        <v/>
      </c>
      <c r="Z89">
        <f>HYPERLINK("https://klasma.github.io/Logging_2506/fåglar/A 45417-2024 prioriterade fågelarter.docx", "A 45417-2024")</f>
        <v/>
      </c>
    </row>
    <row r="90" ht="15" customHeight="1">
      <c r="A90" t="inlineStr">
        <is>
          <t>A 41916-2024</t>
        </is>
      </c>
      <c r="B90" s="1" t="n">
        <v>45561</v>
      </c>
      <c r="C90" s="1" t="n">
        <v>46046</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49461-2024</t>
        </is>
      </c>
      <c r="B91" s="1" t="n">
        <v>45596.30496527778</v>
      </c>
      <c r="C91" s="1" t="n">
        <v>46046</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12004-2022</t>
        </is>
      </c>
      <c r="B92" s="1" t="n">
        <v>44635.92489583333</v>
      </c>
      <c r="C92" s="1" t="n">
        <v>46046</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47048-2024</t>
        </is>
      </c>
      <c r="B93" s="1" t="n">
        <v>45586</v>
      </c>
      <c r="C93" s="1" t="n">
        <v>46046</v>
      </c>
      <c r="D93" t="inlineStr">
        <is>
          <t>NORRBOTTENS LÄN</t>
        </is>
      </c>
      <c r="E93" t="inlineStr">
        <is>
          <t>ÖVERTORNEÅ</t>
        </is>
      </c>
      <c r="G93" t="n">
        <v>7.8</v>
      </c>
      <c r="H93" t="n">
        <v>3</v>
      </c>
      <c r="I93" t="n">
        <v>4</v>
      </c>
      <c r="J93" t="n">
        <v>6</v>
      </c>
      <c r="K93" t="n">
        <v>1</v>
      </c>
      <c r="L93" t="n">
        <v>0</v>
      </c>
      <c r="M93" t="n">
        <v>0</v>
      </c>
      <c r="N93" t="n">
        <v>0</v>
      </c>
      <c r="O93" t="n">
        <v>7</v>
      </c>
      <c r="P93" t="n">
        <v>1</v>
      </c>
      <c r="Q93" t="n">
        <v>11</v>
      </c>
      <c r="R93" s="2" t="inlineStr">
        <is>
          <t>Knärot
Garnlav
Rosenticka
Spillkråka
Tretåig hackspett
Ullticka
Violmussling
Stor aspticka
Stuplav
Trådticka
Vedticka</t>
        </is>
      </c>
      <c r="S93">
        <f>HYPERLINK("https://klasma.github.io/Logging_2518/artfynd/A 47048-2024 artfynd.xlsx", "A 47048-2024")</f>
        <v/>
      </c>
      <c r="T93">
        <f>HYPERLINK("https://klasma.github.io/Logging_2518/kartor/A 47048-2024 karta.png", "A 47048-2024")</f>
        <v/>
      </c>
      <c r="U93">
        <f>HYPERLINK("https://klasma.github.io/Logging_2518/knärot/A 47048-2024 karta knärot.png", "A 47048-2024")</f>
        <v/>
      </c>
      <c r="V93">
        <f>HYPERLINK("https://klasma.github.io/Logging_2518/klagomål/A 47048-2024 FSC-klagomål.docx", "A 47048-2024")</f>
        <v/>
      </c>
      <c r="W93">
        <f>HYPERLINK("https://klasma.github.io/Logging_2518/klagomålsmail/A 47048-2024 FSC-klagomål mail.docx", "A 47048-2024")</f>
        <v/>
      </c>
      <c r="X93">
        <f>HYPERLINK("https://klasma.github.io/Logging_2518/tillsyn/A 47048-2024 tillsynsbegäran.docx", "A 47048-2024")</f>
        <v/>
      </c>
      <c r="Y93">
        <f>HYPERLINK("https://klasma.github.io/Logging_2518/tillsynsmail/A 47048-2024 tillsynsbegäran mail.docx", "A 47048-2024")</f>
        <v/>
      </c>
      <c r="Z93">
        <f>HYPERLINK("https://klasma.github.io/Logging_2518/fåglar/A 47048-2024 prioriterade fågelarter.docx", "A 47048-2024")</f>
        <v/>
      </c>
    </row>
    <row r="94" ht="15" customHeight="1">
      <c r="A94" t="inlineStr">
        <is>
          <t>A 69012-2021</t>
        </is>
      </c>
      <c r="B94" s="1" t="n">
        <v>44530</v>
      </c>
      <c r="C94" s="1" t="n">
        <v>46046</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21993-2025</t>
        </is>
      </c>
      <c r="B95" s="1" t="n">
        <v>45784</v>
      </c>
      <c r="C95" s="1" t="n">
        <v>46046</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41085-2025</t>
        </is>
      </c>
      <c r="B96" s="1" t="n">
        <v>45898</v>
      </c>
      <c r="C96" s="1" t="n">
        <v>46046</v>
      </c>
      <c r="D96" t="inlineStr">
        <is>
          <t>NORRBOTTENS LÄN</t>
        </is>
      </c>
      <c r="E96" t="inlineStr">
        <is>
          <t>GÄLLIVARE</t>
        </is>
      </c>
      <c r="F96" t="inlineStr">
        <is>
          <t>Sveaskog</t>
        </is>
      </c>
      <c r="G96" t="n">
        <v>13.8</v>
      </c>
      <c r="H96" t="n">
        <v>6</v>
      </c>
      <c r="I96" t="n">
        <v>3</v>
      </c>
      <c r="J96" t="n">
        <v>5</v>
      </c>
      <c r="K96" t="n">
        <v>0</v>
      </c>
      <c r="L96" t="n">
        <v>1</v>
      </c>
      <c r="M96" t="n">
        <v>0</v>
      </c>
      <c r="N96" t="n">
        <v>0</v>
      </c>
      <c r="O96" t="n">
        <v>6</v>
      </c>
      <c r="P96" t="n">
        <v>1</v>
      </c>
      <c r="Q96" t="n">
        <v>11</v>
      </c>
      <c r="R96" s="2" t="inlineStr">
        <is>
          <t>Grönfink
Blå taggsvamp
Järpe
Kolflarnlav
Rödvingetrast
Vedskivlav
Dropptaggsvamp
Plattlummer
Skör kvastmossa
Grönsiska
Revlummer</t>
        </is>
      </c>
      <c r="S96">
        <f>HYPERLINK("https://klasma.github.io/Logging_2523/artfynd/A 41085-2025 artfynd.xlsx", "A 41085-2025")</f>
        <v/>
      </c>
      <c r="T96">
        <f>HYPERLINK("https://klasma.github.io/Logging_2523/kartor/A 41085-2025 karta.png", "A 41085-2025")</f>
        <v/>
      </c>
      <c r="V96">
        <f>HYPERLINK("https://klasma.github.io/Logging_2523/klagomål/A 41085-2025 FSC-klagomål.docx", "A 41085-2025")</f>
        <v/>
      </c>
      <c r="W96">
        <f>HYPERLINK("https://klasma.github.io/Logging_2523/klagomålsmail/A 41085-2025 FSC-klagomål mail.docx", "A 41085-2025")</f>
        <v/>
      </c>
      <c r="X96">
        <f>HYPERLINK("https://klasma.github.io/Logging_2523/tillsyn/A 41085-2025 tillsynsbegäran.docx", "A 41085-2025")</f>
        <v/>
      </c>
      <c r="Y96">
        <f>HYPERLINK("https://klasma.github.io/Logging_2523/tillsynsmail/A 41085-2025 tillsynsbegäran mail.docx", "A 41085-2025")</f>
        <v/>
      </c>
      <c r="Z96">
        <f>HYPERLINK("https://klasma.github.io/Logging_2523/fåglar/A 41085-2025 prioriterade fågelarter.docx", "A 41085-2025")</f>
        <v/>
      </c>
    </row>
    <row r="97" ht="15" customHeight="1">
      <c r="A97" t="inlineStr">
        <is>
          <t>A 45427-2025</t>
        </is>
      </c>
      <c r="B97" s="1" t="n">
        <v>45922</v>
      </c>
      <c r="C97" s="1" t="n">
        <v>46046</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46046</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18577-2021</t>
        </is>
      </c>
      <c r="B99" s="1" t="n">
        <v>44305</v>
      </c>
      <c r="C99" s="1" t="n">
        <v>46046</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7961-2022</t>
        </is>
      </c>
      <c r="B100" s="1" t="n">
        <v>44608.93869212963</v>
      </c>
      <c r="C100" s="1" t="n">
        <v>46046</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59832-2023</t>
        </is>
      </c>
      <c r="B101" s="1" t="n">
        <v>45257</v>
      </c>
      <c r="C101" s="1" t="n">
        <v>46046</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40107-2024</t>
        </is>
      </c>
      <c r="B102" s="1" t="n">
        <v>45554</v>
      </c>
      <c r="C102" s="1" t="n">
        <v>46046</v>
      </c>
      <c r="D102" t="inlineStr">
        <is>
          <t>NORRBOTTENS LÄN</t>
        </is>
      </c>
      <c r="E102" t="inlineStr">
        <is>
          <t>ÄLVSBYN</t>
        </is>
      </c>
      <c r="G102" t="n">
        <v>6.4</v>
      </c>
      <c r="H102" t="n">
        <v>4</v>
      </c>
      <c r="I102" t="n">
        <v>1</v>
      </c>
      <c r="J102" t="n">
        <v>7</v>
      </c>
      <c r="K102" t="n">
        <v>1</v>
      </c>
      <c r="L102" t="n">
        <v>0</v>
      </c>
      <c r="M102" t="n">
        <v>0</v>
      </c>
      <c r="N102" t="n">
        <v>0</v>
      </c>
      <c r="O102" t="n">
        <v>8</v>
      </c>
      <c r="P102" t="n">
        <v>1</v>
      </c>
      <c r="Q102" t="n">
        <v>10</v>
      </c>
      <c r="R102" s="2" t="inlineStr">
        <is>
          <t>Knärot
Fjällvråk
Gammelgransskål
Garnlav
Harticka
Knottrig blåslav
Spillkråka
Vitgrynig nållav
Källpraktmossa
Kungsfågel</t>
        </is>
      </c>
      <c r="S102">
        <f>HYPERLINK("https://klasma.github.io/Logging_2560/artfynd/A 40107-2024 artfynd.xlsx", "A 40107-2024")</f>
        <v/>
      </c>
      <c r="T102">
        <f>HYPERLINK("https://klasma.github.io/Logging_2560/kartor/A 40107-2024 karta.png", "A 40107-2024")</f>
        <v/>
      </c>
      <c r="U102">
        <f>HYPERLINK("https://klasma.github.io/Logging_2560/knärot/A 40107-2024 karta knärot.png", "A 40107-2024")</f>
        <v/>
      </c>
      <c r="V102">
        <f>HYPERLINK("https://klasma.github.io/Logging_2560/klagomål/A 40107-2024 FSC-klagomål.docx", "A 40107-2024")</f>
        <v/>
      </c>
      <c r="W102">
        <f>HYPERLINK("https://klasma.github.io/Logging_2560/klagomålsmail/A 40107-2024 FSC-klagomål mail.docx", "A 40107-2024")</f>
        <v/>
      </c>
      <c r="X102">
        <f>HYPERLINK("https://klasma.github.io/Logging_2560/tillsyn/A 40107-2024 tillsynsbegäran.docx", "A 40107-2024")</f>
        <v/>
      </c>
      <c r="Y102">
        <f>HYPERLINK("https://klasma.github.io/Logging_2560/tillsynsmail/A 40107-2024 tillsynsbegäran mail.docx", "A 40107-2024")</f>
        <v/>
      </c>
      <c r="Z102">
        <f>HYPERLINK("https://klasma.github.io/Logging_2560/fåglar/A 40107-2024 prioriterade fågelarter.docx", "A 40107-2024")</f>
        <v/>
      </c>
    </row>
    <row r="103" ht="15" customHeight="1">
      <c r="A103" t="inlineStr">
        <is>
          <t>A 31133-2025</t>
        </is>
      </c>
      <c r="B103" s="1" t="n">
        <v>45832.63534722223</v>
      </c>
      <c r="C103" s="1" t="n">
        <v>46046</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14999-2024</t>
        </is>
      </c>
      <c r="B104" s="1" t="n">
        <v>45399</v>
      </c>
      <c r="C104" s="1" t="n">
        <v>46046</v>
      </c>
      <c r="D104" t="inlineStr">
        <is>
          <t>NORRBOTTENS LÄN</t>
        </is>
      </c>
      <c r="E104" t="inlineStr">
        <is>
          <t>GÄLLIVARE</t>
        </is>
      </c>
      <c r="G104" t="n">
        <v>12.5</v>
      </c>
      <c r="H104" t="n">
        <v>3</v>
      </c>
      <c r="I104" t="n">
        <v>5</v>
      </c>
      <c r="J104" t="n">
        <v>4</v>
      </c>
      <c r="K104" t="n">
        <v>0</v>
      </c>
      <c r="L104" t="n">
        <v>0</v>
      </c>
      <c r="M104" t="n">
        <v>0</v>
      </c>
      <c r="N104" t="n">
        <v>0</v>
      </c>
      <c r="O104" t="n">
        <v>4</v>
      </c>
      <c r="P104" t="n">
        <v>0</v>
      </c>
      <c r="Q104" t="n">
        <v>10</v>
      </c>
      <c r="R104" s="2" t="inlineStr">
        <is>
          <t>Garnlav
Granticka
Järpe
Talltaggsvamp
Mörk husmossa
Norrlandslav
Plattlummer
Skogshakmossa
Ögonpyrola
Revlummer</t>
        </is>
      </c>
      <c r="S104">
        <f>HYPERLINK("https://klasma.github.io/Logging_2523/artfynd/A 14999-2024 artfynd.xlsx", "A 14999-2024")</f>
        <v/>
      </c>
      <c r="T104">
        <f>HYPERLINK("https://klasma.github.io/Logging_2523/kartor/A 14999-2024 karta.png", "A 14999-2024")</f>
        <v/>
      </c>
      <c r="V104">
        <f>HYPERLINK("https://klasma.github.io/Logging_2523/klagomål/A 14999-2024 FSC-klagomål.docx", "A 14999-2024")</f>
        <v/>
      </c>
      <c r="W104">
        <f>HYPERLINK("https://klasma.github.io/Logging_2523/klagomålsmail/A 14999-2024 FSC-klagomål mail.docx", "A 14999-2024")</f>
        <v/>
      </c>
      <c r="X104">
        <f>HYPERLINK("https://klasma.github.io/Logging_2523/tillsyn/A 14999-2024 tillsynsbegäran.docx", "A 14999-2024")</f>
        <v/>
      </c>
      <c r="Y104">
        <f>HYPERLINK("https://klasma.github.io/Logging_2523/tillsynsmail/A 14999-2024 tillsynsbegäran mail.docx", "A 14999-2024")</f>
        <v/>
      </c>
      <c r="Z104">
        <f>HYPERLINK("https://klasma.github.io/Logging_2523/fåglar/A 14999-2024 prioriterade fågelarter.docx", "A 14999-2024")</f>
        <v/>
      </c>
    </row>
    <row r="105" ht="15" customHeight="1">
      <c r="A105" t="inlineStr">
        <is>
          <t>A 31143-2025</t>
        </is>
      </c>
      <c r="B105" s="1" t="n">
        <v>45831</v>
      </c>
      <c r="C105" s="1" t="n">
        <v>46046</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45121-2023</t>
        </is>
      </c>
      <c r="B106" s="1" t="n">
        <v>45191</v>
      </c>
      <c r="C106" s="1" t="n">
        <v>46046</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58862-2024</t>
        </is>
      </c>
      <c r="B107" s="1" t="n">
        <v>45635</v>
      </c>
      <c r="C107" s="1" t="n">
        <v>46046</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55913-2023</t>
        </is>
      </c>
      <c r="B108" s="1" t="n">
        <v>45239</v>
      </c>
      <c r="C108" s="1" t="n">
        <v>46046</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46046</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16008-2024</t>
        </is>
      </c>
      <c r="B110" s="1" t="n">
        <v>45405</v>
      </c>
      <c r="C110" s="1" t="n">
        <v>46046</v>
      </c>
      <c r="D110" t="inlineStr">
        <is>
          <t>NORRBOTTENS LÄN</t>
        </is>
      </c>
      <c r="E110" t="inlineStr">
        <is>
          <t>PAJALA</t>
        </is>
      </c>
      <c r="G110" t="n">
        <v>32.4</v>
      </c>
      <c r="H110" t="n">
        <v>2</v>
      </c>
      <c r="I110" t="n">
        <v>4</v>
      </c>
      <c r="J110" t="n">
        <v>6</v>
      </c>
      <c r="K110" t="n">
        <v>0</v>
      </c>
      <c r="L110" t="n">
        <v>0</v>
      </c>
      <c r="M110" t="n">
        <v>0</v>
      </c>
      <c r="N110" t="n">
        <v>0</v>
      </c>
      <c r="O110" t="n">
        <v>6</v>
      </c>
      <c r="P110" t="n">
        <v>0</v>
      </c>
      <c r="Q110" t="n">
        <v>10</v>
      </c>
      <c r="R110" s="2" t="inlineStr">
        <is>
          <t>Dvärgbägarlav
Garnlav
Kolflarnlav
Nordtagging
Talltita
Vedskivlav
Bronshjon
Grönpyrola
Plattlummer
Skinnlav</t>
        </is>
      </c>
      <c r="S110">
        <f>HYPERLINK("https://klasma.github.io/Logging_2521/artfynd/A 16008-2024 artfynd.xlsx", "A 16008-2024")</f>
        <v/>
      </c>
      <c r="T110">
        <f>HYPERLINK("https://klasma.github.io/Logging_2521/kartor/A 16008-2024 karta.png", "A 16008-2024")</f>
        <v/>
      </c>
      <c r="U110">
        <f>HYPERLINK("https://klasma.github.io/Logging_2521/knärot/A 16008-2024 karta knärot.png", "A 16008-2024")</f>
        <v/>
      </c>
      <c r="V110">
        <f>HYPERLINK("https://klasma.github.io/Logging_2521/klagomål/A 16008-2024 FSC-klagomål.docx", "A 16008-2024")</f>
        <v/>
      </c>
      <c r="W110">
        <f>HYPERLINK("https://klasma.github.io/Logging_2521/klagomålsmail/A 16008-2024 FSC-klagomål mail.docx", "A 16008-2024")</f>
        <v/>
      </c>
      <c r="X110">
        <f>HYPERLINK("https://klasma.github.io/Logging_2521/tillsyn/A 16008-2024 tillsynsbegäran.docx", "A 16008-2024")</f>
        <v/>
      </c>
      <c r="Y110">
        <f>HYPERLINK("https://klasma.github.io/Logging_2521/tillsynsmail/A 16008-2024 tillsynsbegäran mail.docx", "A 16008-2024")</f>
        <v/>
      </c>
      <c r="Z110">
        <f>HYPERLINK("https://klasma.github.io/Logging_2521/fåglar/A 16008-2024 prioriterade fågelarter.docx", "A 16008-2024")</f>
        <v/>
      </c>
    </row>
    <row r="111" ht="15" customHeight="1">
      <c r="A111" t="inlineStr">
        <is>
          <t>A 49479-2024</t>
        </is>
      </c>
      <c r="B111" s="1" t="n">
        <v>45596</v>
      </c>
      <c r="C111" s="1" t="n">
        <v>46046</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58129-2021</t>
        </is>
      </c>
      <c r="B112" s="1" t="n">
        <v>44487</v>
      </c>
      <c r="C112" s="1" t="n">
        <v>46046</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4896-2021</t>
        </is>
      </c>
      <c r="B113" s="1" t="n">
        <v>44225</v>
      </c>
      <c r="C113" s="1" t="n">
        <v>46046</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20961-2025</t>
        </is>
      </c>
      <c r="B114" s="1" t="n">
        <v>45777</v>
      </c>
      <c r="C114" s="1" t="n">
        <v>46046</v>
      </c>
      <c r="D114" t="inlineStr">
        <is>
          <t>NORRBOTTENS LÄN</t>
        </is>
      </c>
      <c r="E114" t="inlineStr">
        <is>
          <t>PITEÅ</t>
        </is>
      </c>
      <c r="G114" t="n">
        <v>24.7</v>
      </c>
      <c r="H114" t="n">
        <v>6</v>
      </c>
      <c r="I114" t="n">
        <v>0</v>
      </c>
      <c r="J114" t="n">
        <v>6</v>
      </c>
      <c r="K114" t="n">
        <v>2</v>
      </c>
      <c r="L114" t="n">
        <v>0</v>
      </c>
      <c r="M114" t="n">
        <v>0</v>
      </c>
      <c r="N114" t="n">
        <v>0</v>
      </c>
      <c r="O114" t="n">
        <v>8</v>
      </c>
      <c r="P114" t="n">
        <v>2</v>
      </c>
      <c r="Q114" t="n">
        <v>9</v>
      </c>
      <c r="R114" s="2" t="inlineStr">
        <is>
          <t>Knärot
Lappticka
Granticka
Harticka
Järpe
Spillkråka
Tretåig hackspett
Videsparv
Kungsfågel</t>
        </is>
      </c>
      <c r="S114">
        <f>HYPERLINK("https://klasma.github.io/Logging_2581/artfynd/A 20961-2025 artfynd.xlsx", "A 20961-2025")</f>
        <v/>
      </c>
      <c r="T114">
        <f>HYPERLINK("https://klasma.github.io/Logging_2581/kartor/A 20961-2025 karta.png", "A 20961-2025")</f>
        <v/>
      </c>
      <c r="U114">
        <f>HYPERLINK("https://klasma.github.io/Logging_2581/knärot/A 20961-2025 karta knärot.png", "A 20961-2025")</f>
        <v/>
      </c>
      <c r="V114">
        <f>HYPERLINK("https://klasma.github.io/Logging_2581/klagomål/A 20961-2025 FSC-klagomål.docx", "A 20961-2025")</f>
        <v/>
      </c>
      <c r="W114">
        <f>HYPERLINK("https://klasma.github.io/Logging_2581/klagomålsmail/A 20961-2025 FSC-klagomål mail.docx", "A 20961-2025")</f>
        <v/>
      </c>
      <c r="X114">
        <f>HYPERLINK("https://klasma.github.io/Logging_2581/tillsyn/A 20961-2025 tillsynsbegäran.docx", "A 20961-2025")</f>
        <v/>
      </c>
      <c r="Y114">
        <f>HYPERLINK("https://klasma.github.io/Logging_2581/tillsynsmail/A 20961-2025 tillsynsbegäran mail.docx", "A 20961-2025")</f>
        <v/>
      </c>
      <c r="Z114">
        <f>HYPERLINK("https://klasma.github.io/Logging_2581/fåglar/A 20961-2025 prioriterade fågelarter.docx", "A 20961-2025")</f>
        <v/>
      </c>
    </row>
    <row r="115" ht="15" customHeight="1">
      <c r="A115" t="inlineStr">
        <is>
          <t>A 23044-2025</t>
        </is>
      </c>
      <c r="B115" s="1" t="n">
        <v>45790.67758101852</v>
      </c>
      <c r="C115" s="1" t="n">
        <v>46046</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25145-2021</t>
        </is>
      </c>
      <c r="B116" s="1" t="n">
        <v>44341</v>
      </c>
      <c r="C116" s="1" t="n">
        <v>46046</v>
      </c>
      <c r="D116" t="inlineStr">
        <is>
          <t>NORRBOTTENS LÄN</t>
        </is>
      </c>
      <c r="E116" t="inlineStr">
        <is>
          <t>LULEÅ</t>
        </is>
      </c>
      <c r="G116" t="n">
        <v>5.4</v>
      </c>
      <c r="H116" t="n">
        <v>3</v>
      </c>
      <c r="I116" t="n">
        <v>1</v>
      </c>
      <c r="J116" t="n">
        <v>6</v>
      </c>
      <c r="K116" t="n">
        <v>2</v>
      </c>
      <c r="L116" t="n">
        <v>0</v>
      </c>
      <c r="M116" t="n">
        <v>0</v>
      </c>
      <c r="N116" t="n">
        <v>0</v>
      </c>
      <c r="O116" t="n">
        <v>8</v>
      </c>
      <c r="P116" t="n">
        <v>2</v>
      </c>
      <c r="Q116" t="n">
        <v>9</v>
      </c>
      <c r="R116" s="2" t="inlineStr">
        <is>
          <t>Knärot
Liten aspgelélav
Garnlav
Lunglav
Spillkråka
Stiftgelélav
Tretåig hackspett
Ullticka
Skinnlav</t>
        </is>
      </c>
      <c r="S116">
        <f>HYPERLINK("https://klasma.github.io/Logging_2580/artfynd/A 25145-2021 artfynd.xlsx", "A 25145-2021")</f>
        <v/>
      </c>
      <c r="T116">
        <f>HYPERLINK("https://klasma.github.io/Logging_2580/kartor/A 25145-2021 karta.png", "A 25145-2021")</f>
        <v/>
      </c>
      <c r="U116">
        <f>HYPERLINK("https://klasma.github.io/Logging_2580/knärot/A 25145-2021 karta knärot.png", "A 25145-2021")</f>
        <v/>
      </c>
      <c r="V116">
        <f>HYPERLINK("https://klasma.github.io/Logging_2580/klagomål/A 25145-2021 FSC-klagomål.docx", "A 25145-2021")</f>
        <v/>
      </c>
      <c r="W116">
        <f>HYPERLINK("https://klasma.github.io/Logging_2580/klagomålsmail/A 25145-2021 FSC-klagomål mail.docx", "A 25145-2021")</f>
        <v/>
      </c>
      <c r="X116">
        <f>HYPERLINK("https://klasma.github.io/Logging_2580/tillsyn/A 25145-2021 tillsynsbegäran.docx", "A 25145-2021")</f>
        <v/>
      </c>
      <c r="Y116">
        <f>HYPERLINK("https://klasma.github.io/Logging_2580/tillsynsmail/A 25145-2021 tillsynsbegäran mail.docx", "A 25145-2021")</f>
        <v/>
      </c>
      <c r="Z116">
        <f>HYPERLINK("https://klasma.github.io/Logging_2580/fåglar/A 25145-2021 prioriterade fågelarter.docx", "A 25145-2021")</f>
        <v/>
      </c>
    </row>
    <row r="117" ht="15" customHeight="1">
      <c r="A117" t="inlineStr">
        <is>
          <t>A 55316-2023</t>
        </is>
      </c>
      <c r="B117" s="1" t="n">
        <v>45237</v>
      </c>
      <c r="C117" s="1" t="n">
        <v>46046</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28351-2025</t>
        </is>
      </c>
      <c r="B118" s="1" t="n">
        <v>45818</v>
      </c>
      <c r="C118" s="1" t="n">
        <v>46046</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36982-2023</t>
        </is>
      </c>
      <c r="B119" s="1" t="n">
        <v>45154</v>
      </c>
      <c r="C119" s="1" t="n">
        <v>46046</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35247-2022</t>
        </is>
      </c>
      <c r="B120" s="1" t="n">
        <v>44797</v>
      </c>
      <c r="C120" s="1" t="n">
        <v>46046</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2256-2025</t>
        </is>
      </c>
      <c r="B121" s="1" t="n">
        <v>45671</v>
      </c>
      <c r="C121" s="1" t="n">
        <v>46046</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73873-2021</t>
        </is>
      </c>
      <c r="B122" s="1" t="n">
        <v>44552</v>
      </c>
      <c r="C122" s="1" t="n">
        <v>46046</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28052-2024</t>
        </is>
      </c>
      <c r="B123" s="1" t="n">
        <v>45476.54096064815</v>
      </c>
      <c r="C123" s="1" t="n">
        <v>46046</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26837-2025</t>
        </is>
      </c>
      <c r="B124" s="1" t="n">
        <v>45810</v>
      </c>
      <c r="C124" s="1" t="n">
        <v>46046</v>
      </c>
      <c r="D124" t="inlineStr">
        <is>
          <t>NORRBOTTENS LÄN</t>
        </is>
      </c>
      <c r="E124" t="inlineStr">
        <is>
          <t>JOKKMOKK</t>
        </is>
      </c>
      <c r="G124" t="n">
        <v>23.1</v>
      </c>
      <c r="H124" t="n">
        <v>2</v>
      </c>
      <c r="I124" t="n">
        <v>1</v>
      </c>
      <c r="J124" t="n">
        <v>5</v>
      </c>
      <c r="K124" t="n">
        <v>2</v>
      </c>
      <c r="L124" t="n">
        <v>0</v>
      </c>
      <c r="M124" t="n">
        <v>0</v>
      </c>
      <c r="N124" t="n">
        <v>0</v>
      </c>
      <c r="O124" t="n">
        <v>7</v>
      </c>
      <c r="P124" t="n">
        <v>2</v>
      </c>
      <c r="Q124" t="n">
        <v>9</v>
      </c>
      <c r="R124" s="2" t="inlineStr">
        <is>
          <t>Fläckporing
Gräddporing
Blanksvart spiklav
Dvärgbägarlav
Nordtagging
Vaddporing
Vitplätt
Plattlummer
Lavskrika</t>
        </is>
      </c>
      <c r="S124">
        <f>HYPERLINK("https://klasma.github.io/Logging_2510/artfynd/A 26837-2025 artfynd.xlsx", "A 26837-2025")</f>
        <v/>
      </c>
      <c r="T124">
        <f>HYPERLINK("https://klasma.github.io/Logging_2510/kartor/A 26837-2025 karta.png", "A 26837-2025")</f>
        <v/>
      </c>
      <c r="V124">
        <f>HYPERLINK("https://klasma.github.io/Logging_2510/klagomål/A 26837-2025 FSC-klagomål.docx", "A 26837-2025")</f>
        <v/>
      </c>
      <c r="W124">
        <f>HYPERLINK("https://klasma.github.io/Logging_2510/klagomålsmail/A 26837-2025 FSC-klagomål mail.docx", "A 26837-2025")</f>
        <v/>
      </c>
      <c r="X124">
        <f>HYPERLINK("https://klasma.github.io/Logging_2510/tillsyn/A 26837-2025 tillsynsbegäran.docx", "A 26837-2025")</f>
        <v/>
      </c>
      <c r="Y124">
        <f>HYPERLINK("https://klasma.github.io/Logging_2510/tillsynsmail/A 26837-2025 tillsynsbegäran mail.docx", "A 26837-2025")</f>
        <v/>
      </c>
      <c r="Z124">
        <f>HYPERLINK("https://klasma.github.io/Logging_2510/fåglar/A 26837-2025 prioriterade fågelarter.docx", "A 26837-2025")</f>
        <v/>
      </c>
    </row>
    <row r="125" ht="15" customHeight="1">
      <c r="A125" t="inlineStr">
        <is>
          <t>A 49930-2025</t>
        </is>
      </c>
      <c r="B125" s="1" t="n">
        <v>45940.65670138889</v>
      </c>
      <c r="C125" s="1" t="n">
        <v>46046</v>
      </c>
      <c r="D125" t="inlineStr">
        <is>
          <t>NORRBOTTENS LÄN</t>
        </is>
      </c>
      <c r="E125" t="inlineStr">
        <is>
          <t>ÄLVSBYN</t>
        </is>
      </c>
      <c r="F125" t="inlineStr">
        <is>
          <t>SCA</t>
        </is>
      </c>
      <c r="G125" t="n">
        <v>4.6</v>
      </c>
      <c r="H125" t="n">
        <v>3</v>
      </c>
      <c r="I125" t="n">
        <v>1</v>
      </c>
      <c r="J125" t="n">
        <v>5</v>
      </c>
      <c r="K125" t="n">
        <v>2</v>
      </c>
      <c r="L125" t="n">
        <v>0</v>
      </c>
      <c r="M125" t="n">
        <v>0</v>
      </c>
      <c r="N125" t="n">
        <v>0</v>
      </c>
      <c r="O125" t="n">
        <v>7</v>
      </c>
      <c r="P125" t="n">
        <v>2</v>
      </c>
      <c r="Q125" t="n">
        <v>9</v>
      </c>
      <c r="R125" s="2" t="inlineStr">
        <is>
          <t>Knärot
Lammticka
Gammelgransskål
Garnlav
Granticka
Järpe
Vaddporing
Vedticka
Revlummer</t>
        </is>
      </c>
      <c r="S125">
        <f>HYPERLINK("https://klasma.github.io/Logging_2560/artfynd/A 49930-2025 artfynd.xlsx", "A 49930-2025")</f>
        <v/>
      </c>
      <c r="T125">
        <f>HYPERLINK("https://klasma.github.io/Logging_2560/kartor/A 49930-2025 karta.png", "A 49930-2025")</f>
        <v/>
      </c>
      <c r="U125">
        <f>HYPERLINK("https://klasma.github.io/Logging_2560/knärot/A 49930-2025 karta knärot.png", "A 49930-2025")</f>
        <v/>
      </c>
      <c r="V125">
        <f>HYPERLINK("https://klasma.github.io/Logging_2560/klagomål/A 49930-2025 FSC-klagomål.docx", "A 49930-2025")</f>
        <v/>
      </c>
      <c r="W125">
        <f>HYPERLINK("https://klasma.github.io/Logging_2560/klagomålsmail/A 49930-2025 FSC-klagomål mail.docx", "A 49930-2025")</f>
        <v/>
      </c>
      <c r="X125">
        <f>HYPERLINK("https://klasma.github.io/Logging_2560/tillsyn/A 49930-2025 tillsynsbegäran.docx", "A 49930-2025")</f>
        <v/>
      </c>
      <c r="Y125">
        <f>HYPERLINK("https://klasma.github.io/Logging_2560/tillsynsmail/A 49930-2025 tillsynsbegäran mail.docx", "A 49930-2025")</f>
        <v/>
      </c>
      <c r="Z125">
        <f>HYPERLINK("https://klasma.github.io/Logging_2560/fåglar/A 49930-2025 prioriterade fågelarter.docx", "A 49930-2025")</f>
        <v/>
      </c>
    </row>
    <row r="126" ht="15" customHeight="1">
      <c r="A126" t="inlineStr">
        <is>
          <t>A 50582-2025</t>
        </is>
      </c>
      <c r="B126" s="1" t="n">
        <v>45945</v>
      </c>
      <c r="C126" s="1" t="n">
        <v>46046</v>
      </c>
      <c r="D126" t="inlineStr">
        <is>
          <t>NORRBOTTENS LÄN</t>
        </is>
      </c>
      <c r="E126" t="inlineStr">
        <is>
          <t>GÄLLIVARE</t>
        </is>
      </c>
      <c r="F126" t="inlineStr">
        <is>
          <t>Sveaskog</t>
        </is>
      </c>
      <c r="G126" t="n">
        <v>3.4</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50582-2025 artfynd.xlsx", "A 50582-2025")</f>
        <v/>
      </c>
      <c r="T126">
        <f>HYPERLINK("https://klasma.github.io/Logging_2523/kartor/A 50582-2025 karta.png", "A 50582-2025")</f>
        <v/>
      </c>
      <c r="U126">
        <f>HYPERLINK("https://klasma.github.io/Logging_2523/knärot/A 50582-2025 karta knärot.png", "A 50582-2025")</f>
        <v/>
      </c>
      <c r="V126">
        <f>HYPERLINK("https://klasma.github.io/Logging_2523/klagomål/A 50582-2025 FSC-klagomål.docx", "A 50582-2025")</f>
        <v/>
      </c>
      <c r="W126">
        <f>HYPERLINK("https://klasma.github.io/Logging_2523/klagomålsmail/A 50582-2025 FSC-klagomål mail.docx", "A 50582-2025")</f>
        <v/>
      </c>
      <c r="X126">
        <f>HYPERLINK("https://klasma.github.io/Logging_2523/tillsyn/A 50582-2025 tillsynsbegäran.docx", "A 50582-2025")</f>
        <v/>
      </c>
      <c r="Y126">
        <f>HYPERLINK("https://klasma.github.io/Logging_2523/tillsynsmail/A 50582-2025 tillsynsbegäran mail.docx", "A 50582-2025")</f>
        <v/>
      </c>
      <c r="Z126">
        <f>HYPERLINK("https://klasma.github.io/Logging_2523/fåglar/A 50582-2025 prioriterade fågelarter.docx", "A 50582-2025")</f>
        <v/>
      </c>
    </row>
    <row r="127" ht="15" customHeight="1">
      <c r="A127" t="inlineStr">
        <is>
          <t>A 54085-2025</t>
        </is>
      </c>
      <c r="B127" s="1" t="n">
        <v>45964.38974537037</v>
      </c>
      <c r="C127" s="1" t="n">
        <v>46046</v>
      </c>
      <c r="D127" t="inlineStr">
        <is>
          <t>NORRBOTTENS LÄN</t>
        </is>
      </c>
      <c r="E127" t="inlineStr">
        <is>
          <t>PITEÅ</t>
        </is>
      </c>
      <c r="F127" t="inlineStr">
        <is>
          <t>Sveaskog</t>
        </is>
      </c>
      <c r="G127" t="n">
        <v>7.3</v>
      </c>
      <c r="H127" t="n">
        <v>1</v>
      </c>
      <c r="I127" t="n">
        <v>3</v>
      </c>
      <c r="J127" t="n">
        <v>6</v>
      </c>
      <c r="K127" t="n">
        <v>0</v>
      </c>
      <c r="L127" t="n">
        <v>0</v>
      </c>
      <c r="M127" t="n">
        <v>0</v>
      </c>
      <c r="N127" t="n">
        <v>0</v>
      </c>
      <c r="O127" t="n">
        <v>6</v>
      </c>
      <c r="P127" t="n">
        <v>0</v>
      </c>
      <c r="Q127" t="n">
        <v>9</v>
      </c>
      <c r="R127" s="2" t="inlineStr">
        <is>
          <t>Blanksvart spiklav
Garnlav
Kolflarnlav
Kungsörn
Lunglav
Nordtagging
Brun nållav
Luddlav
Stuplav</t>
        </is>
      </c>
      <c r="S127">
        <f>HYPERLINK("https://klasma.github.io/Logging_2581/artfynd/A 54085-2025 artfynd.xlsx", "A 54085-2025")</f>
        <v/>
      </c>
      <c r="T127">
        <f>HYPERLINK("https://klasma.github.io/Logging_2581/kartor/A 54085-2025 karta.png", "A 54085-2025")</f>
        <v/>
      </c>
      <c r="V127">
        <f>HYPERLINK("https://klasma.github.io/Logging_2581/klagomål/A 54085-2025 FSC-klagomål.docx", "A 54085-2025")</f>
        <v/>
      </c>
      <c r="W127">
        <f>HYPERLINK("https://klasma.github.io/Logging_2581/klagomålsmail/A 54085-2025 FSC-klagomål mail.docx", "A 54085-2025")</f>
        <v/>
      </c>
      <c r="X127">
        <f>HYPERLINK("https://klasma.github.io/Logging_2581/tillsyn/A 54085-2025 tillsynsbegäran.docx", "A 54085-2025")</f>
        <v/>
      </c>
      <c r="Y127">
        <f>HYPERLINK("https://klasma.github.io/Logging_2581/tillsynsmail/A 54085-2025 tillsynsbegäran mail.docx", "A 54085-2025")</f>
        <v/>
      </c>
      <c r="Z127">
        <f>HYPERLINK("https://klasma.github.io/Logging_2581/fåglar/A 54085-2025 prioriterade fågelarter.docx", "A 54085-2025")</f>
        <v/>
      </c>
    </row>
    <row r="128" ht="15" customHeight="1">
      <c r="A128" t="inlineStr">
        <is>
          <t>A 58743-2025</t>
        </is>
      </c>
      <c r="B128" s="1" t="n">
        <v>45986.63600694444</v>
      </c>
      <c r="C128" s="1" t="n">
        <v>46046</v>
      </c>
      <c r="D128" t="inlineStr">
        <is>
          <t>NORRBOTTENS LÄN</t>
        </is>
      </c>
      <c r="E128" t="inlineStr">
        <is>
          <t>JOKKMOKK</t>
        </is>
      </c>
      <c r="F128" t="inlineStr">
        <is>
          <t>SCA</t>
        </is>
      </c>
      <c r="G128" t="n">
        <v>3.2</v>
      </c>
      <c r="H128" t="n">
        <v>0</v>
      </c>
      <c r="I128" t="n">
        <v>1</v>
      </c>
      <c r="J128" t="n">
        <v>4</v>
      </c>
      <c r="K128" t="n">
        <v>4</v>
      </c>
      <c r="L128" t="n">
        <v>0</v>
      </c>
      <c r="M128" t="n">
        <v>0</v>
      </c>
      <c r="N128" t="n">
        <v>0</v>
      </c>
      <c r="O128" t="n">
        <v>8</v>
      </c>
      <c r="P128" t="n">
        <v>4</v>
      </c>
      <c r="Q128" t="n">
        <v>9</v>
      </c>
      <c r="R128" s="2" t="inlineStr">
        <is>
          <t>Goliatmusseron
Smalfotad taggsvamp
Spadskinn
Tajgataggsvamp
Blå taggsvamp
Orange taggsvamp
Svartvit taggsvamp
Talltaggsvamp
Mindre märgborre</t>
        </is>
      </c>
      <c r="S128">
        <f>HYPERLINK("https://klasma.github.io/Logging_2510/artfynd/A 58743-2025 artfynd.xlsx", "A 58743-2025")</f>
        <v/>
      </c>
      <c r="T128">
        <f>HYPERLINK("https://klasma.github.io/Logging_2510/kartor/A 58743-2025 karta.png", "A 58743-2025")</f>
        <v/>
      </c>
      <c r="V128">
        <f>HYPERLINK("https://klasma.github.io/Logging_2510/klagomål/A 58743-2025 FSC-klagomål.docx", "A 58743-2025")</f>
        <v/>
      </c>
      <c r="W128">
        <f>HYPERLINK("https://klasma.github.io/Logging_2510/klagomålsmail/A 58743-2025 FSC-klagomål mail.docx", "A 58743-2025")</f>
        <v/>
      </c>
      <c r="X128">
        <f>HYPERLINK("https://klasma.github.io/Logging_2510/tillsyn/A 58743-2025 tillsynsbegäran.docx", "A 58743-2025")</f>
        <v/>
      </c>
      <c r="Y128">
        <f>HYPERLINK("https://klasma.github.io/Logging_2510/tillsynsmail/A 58743-2025 tillsynsbegäran mail.docx", "A 58743-2025")</f>
        <v/>
      </c>
    </row>
    <row r="129" ht="15" customHeight="1">
      <c r="A129" t="inlineStr">
        <is>
          <t>A 58565-2025</t>
        </is>
      </c>
      <c r="B129" s="1" t="n">
        <v>45986.36518518518</v>
      </c>
      <c r="C129" s="1" t="n">
        <v>46046</v>
      </c>
      <c r="D129" t="inlineStr">
        <is>
          <t>NORRBOTTENS LÄN</t>
        </is>
      </c>
      <c r="E129" t="inlineStr">
        <is>
          <t>JOKKMOKK</t>
        </is>
      </c>
      <c r="F129" t="inlineStr">
        <is>
          <t>SCA</t>
        </is>
      </c>
      <c r="G129" t="n">
        <v>2.6</v>
      </c>
      <c r="H129" t="n">
        <v>0</v>
      </c>
      <c r="I129" t="n">
        <v>1</v>
      </c>
      <c r="J129" t="n">
        <v>4</v>
      </c>
      <c r="K129" t="n">
        <v>4</v>
      </c>
      <c r="L129" t="n">
        <v>0</v>
      </c>
      <c r="M129" t="n">
        <v>0</v>
      </c>
      <c r="N129" t="n">
        <v>0</v>
      </c>
      <c r="O129" t="n">
        <v>8</v>
      </c>
      <c r="P129" t="n">
        <v>4</v>
      </c>
      <c r="Q129" t="n">
        <v>9</v>
      </c>
      <c r="R129" s="2" t="inlineStr">
        <is>
          <t>Goliatmusseron
Lammticka
Smalfotad taggsvamp
Tallgråticka
Blå taggsvamp
Orange taggsvamp
Skrovlig taggsvamp
Svartvit taggsvamp
Skarp dropptaggsvamp</t>
        </is>
      </c>
      <c r="S129">
        <f>HYPERLINK("https://klasma.github.io/Logging_2510/artfynd/A 58565-2025 artfynd.xlsx", "A 58565-2025")</f>
        <v/>
      </c>
      <c r="T129">
        <f>HYPERLINK("https://klasma.github.io/Logging_2510/kartor/A 58565-2025 karta.png", "A 58565-2025")</f>
        <v/>
      </c>
      <c r="V129">
        <f>HYPERLINK("https://klasma.github.io/Logging_2510/klagomål/A 58565-2025 FSC-klagomål.docx", "A 58565-2025")</f>
        <v/>
      </c>
      <c r="W129">
        <f>HYPERLINK("https://klasma.github.io/Logging_2510/klagomålsmail/A 58565-2025 FSC-klagomål mail.docx", "A 58565-2025")</f>
        <v/>
      </c>
      <c r="X129">
        <f>HYPERLINK("https://klasma.github.io/Logging_2510/tillsyn/A 58565-2025 tillsynsbegäran.docx", "A 58565-2025")</f>
        <v/>
      </c>
      <c r="Y129">
        <f>HYPERLINK("https://klasma.github.io/Logging_2510/tillsynsmail/A 58565-2025 tillsynsbegäran mail.docx", "A 58565-2025")</f>
        <v/>
      </c>
    </row>
    <row r="130" ht="15" customHeight="1">
      <c r="A130" t="inlineStr">
        <is>
          <t>A 61178-2025</t>
        </is>
      </c>
      <c r="B130" s="1" t="n">
        <v>46000</v>
      </c>
      <c r="C130" s="1" t="n">
        <v>46046</v>
      </c>
      <c r="D130" t="inlineStr">
        <is>
          <t>NORRBOTTENS LÄN</t>
        </is>
      </c>
      <c r="E130" t="inlineStr">
        <is>
          <t>KIRUNA</t>
        </is>
      </c>
      <c r="G130" t="n">
        <v>31.3</v>
      </c>
      <c r="H130" t="n">
        <v>1</v>
      </c>
      <c r="I130" t="n">
        <v>1</v>
      </c>
      <c r="J130" t="n">
        <v>8</v>
      </c>
      <c r="K130" t="n">
        <v>0</v>
      </c>
      <c r="L130" t="n">
        <v>0</v>
      </c>
      <c r="M130" t="n">
        <v>0</v>
      </c>
      <c r="N130" t="n">
        <v>0</v>
      </c>
      <c r="O130" t="n">
        <v>8</v>
      </c>
      <c r="P130" t="n">
        <v>0</v>
      </c>
      <c r="Q130" t="n">
        <v>9</v>
      </c>
      <c r="R130" s="2" t="inlineStr">
        <is>
          <t>Blanksvart spiklav
Blå taggsvamp
Dvärgbägarlav
Gammelgransskål
Orange taggsvamp
Skrovlig taggsvamp
Vedskivlav
Vitplätt
Plattlummer</t>
        </is>
      </c>
      <c r="S130">
        <f>HYPERLINK("https://klasma.github.io/Logging_2584/artfynd/A 61178-2025 artfynd.xlsx", "A 61178-2025")</f>
        <v/>
      </c>
      <c r="T130">
        <f>HYPERLINK("https://klasma.github.io/Logging_2584/kartor/A 61178-2025 karta.png", "A 61178-2025")</f>
        <v/>
      </c>
      <c r="V130">
        <f>HYPERLINK("https://klasma.github.io/Logging_2584/klagomål/A 61178-2025 FSC-klagomål.docx", "A 61178-2025")</f>
        <v/>
      </c>
      <c r="W130">
        <f>HYPERLINK("https://klasma.github.io/Logging_2584/klagomålsmail/A 61178-2025 FSC-klagomål mail.docx", "A 61178-2025")</f>
        <v/>
      </c>
      <c r="X130">
        <f>HYPERLINK("https://klasma.github.io/Logging_2584/tillsyn/A 61178-2025 tillsynsbegäran.docx", "A 61178-2025")</f>
        <v/>
      </c>
      <c r="Y130">
        <f>HYPERLINK("https://klasma.github.io/Logging_2584/tillsynsmail/A 61178-2025 tillsynsbegäran mail.docx", "A 61178-2025")</f>
        <v/>
      </c>
    </row>
    <row r="131" ht="15" customHeight="1">
      <c r="A131" t="inlineStr">
        <is>
          <t>A 58262-2025</t>
        </is>
      </c>
      <c r="B131" s="1" t="n">
        <v>45985</v>
      </c>
      <c r="C131" s="1" t="n">
        <v>46046</v>
      </c>
      <c r="D131" t="inlineStr">
        <is>
          <t>NORRBOTTENS LÄN</t>
        </is>
      </c>
      <c r="E131" t="inlineStr">
        <is>
          <t>GÄLLIVARE</t>
        </is>
      </c>
      <c r="G131" t="n">
        <v>43.3</v>
      </c>
      <c r="H131" t="n">
        <v>1</v>
      </c>
      <c r="I131" t="n">
        <v>0</v>
      </c>
      <c r="J131" t="n">
        <v>8</v>
      </c>
      <c r="K131" t="n">
        <v>1</v>
      </c>
      <c r="L131" t="n">
        <v>0</v>
      </c>
      <c r="M131" t="n">
        <v>0</v>
      </c>
      <c r="N131" t="n">
        <v>0</v>
      </c>
      <c r="O131" t="n">
        <v>9</v>
      </c>
      <c r="P131" t="n">
        <v>1</v>
      </c>
      <c r="Q131" t="n">
        <v>9</v>
      </c>
      <c r="R131" s="2" t="inlineStr">
        <is>
          <t>Lappticka
Garnlav
Granticka
Gränsticka
Harticka
Knottrig blåslav
Rosenticka
Tretåig hackspett
Violmussling</t>
        </is>
      </c>
      <c r="S131">
        <f>HYPERLINK("https://klasma.github.io/Logging_2523/artfynd/A 58262-2025 artfynd.xlsx", "A 58262-2025")</f>
        <v/>
      </c>
      <c r="T131">
        <f>HYPERLINK("https://klasma.github.io/Logging_2523/kartor/A 58262-2025 karta.png", "A 58262-2025")</f>
        <v/>
      </c>
      <c r="V131">
        <f>HYPERLINK("https://klasma.github.io/Logging_2523/klagomål/A 58262-2025 FSC-klagomål.docx", "A 58262-2025")</f>
        <v/>
      </c>
      <c r="W131">
        <f>HYPERLINK("https://klasma.github.io/Logging_2523/klagomålsmail/A 58262-2025 FSC-klagomål mail.docx", "A 58262-2025")</f>
        <v/>
      </c>
      <c r="X131">
        <f>HYPERLINK("https://klasma.github.io/Logging_2523/tillsyn/A 58262-2025 tillsynsbegäran.docx", "A 58262-2025")</f>
        <v/>
      </c>
      <c r="Y131">
        <f>HYPERLINK("https://klasma.github.io/Logging_2523/tillsynsmail/A 58262-2025 tillsynsbegäran mail.docx", "A 58262-2025")</f>
        <v/>
      </c>
      <c r="Z131">
        <f>HYPERLINK("https://klasma.github.io/Logging_2523/fåglar/A 58262-2025 prioriterade fågelarter.docx", "A 58262-2025")</f>
        <v/>
      </c>
    </row>
    <row r="132" ht="15" customHeight="1">
      <c r="A132" t="inlineStr">
        <is>
          <t>A 49753-2022</t>
        </is>
      </c>
      <c r="B132" s="1" t="n">
        <v>44859</v>
      </c>
      <c r="C132" s="1" t="n">
        <v>46046</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46046</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40056-2024</t>
        </is>
      </c>
      <c r="B134" s="1" t="n">
        <v>45553</v>
      </c>
      <c r="C134" s="1" t="n">
        <v>46046</v>
      </c>
      <c r="D134" t="inlineStr">
        <is>
          <t>NORRBOTTENS LÄN</t>
        </is>
      </c>
      <c r="E134" t="inlineStr">
        <is>
          <t>PITEÅ</t>
        </is>
      </c>
      <c r="F134" t="inlineStr">
        <is>
          <t>Sveaskog</t>
        </is>
      </c>
      <c r="G134" t="n">
        <v>6.5</v>
      </c>
      <c r="H134" t="n">
        <v>2</v>
      </c>
      <c r="I134" t="n">
        <v>2</v>
      </c>
      <c r="J134" t="n">
        <v>5</v>
      </c>
      <c r="K134" t="n">
        <v>0</v>
      </c>
      <c r="L134" t="n">
        <v>0</v>
      </c>
      <c r="M134" t="n">
        <v>0</v>
      </c>
      <c r="N134" t="n">
        <v>0</v>
      </c>
      <c r="O134" t="n">
        <v>5</v>
      </c>
      <c r="P134" t="n">
        <v>0</v>
      </c>
      <c r="Q134" t="n">
        <v>8</v>
      </c>
      <c r="R134" s="2" t="inlineStr">
        <is>
          <t>Blanksvart spiklav
Dvärgbägarlav
Garnlav
Talltita
Vedflamlav
Stuplav
Vedticka
Lavskrika</t>
        </is>
      </c>
      <c r="S134">
        <f>HYPERLINK("https://klasma.github.io/Logging_2581/artfynd/A 40056-2024 artfynd.xlsx", "A 40056-2024")</f>
        <v/>
      </c>
      <c r="T134">
        <f>HYPERLINK("https://klasma.github.io/Logging_2581/kartor/A 40056-2024 karta.png", "A 40056-2024")</f>
        <v/>
      </c>
      <c r="V134">
        <f>HYPERLINK("https://klasma.github.io/Logging_2581/klagomål/A 40056-2024 FSC-klagomål.docx", "A 40056-2024")</f>
        <v/>
      </c>
      <c r="W134">
        <f>HYPERLINK("https://klasma.github.io/Logging_2581/klagomålsmail/A 40056-2024 FSC-klagomål mail.docx", "A 40056-2024")</f>
        <v/>
      </c>
      <c r="X134">
        <f>HYPERLINK("https://klasma.github.io/Logging_2581/tillsyn/A 40056-2024 tillsynsbegäran.docx", "A 40056-2024")</f>
        <v/>
      </c>
      <c r="Y134">
        <f>HYPERLINK("https://klasma.github.io/Logging_2581/tillsynsmail/A 40056-2024 tillsynsbegäran mail.docx", "A 40056-2024")</f>
        <v/>
      </c>
      <c r="Z134">
        <f>HYPERLINK("https://klasma.github.io/Logging_2581/fåglar/A 40056-2024 prioriterade fågelarter.docx", "A 40056-2024")</f>
        <v/>
      </c>
    </row>
    <row r="135" ht="15" customHeight="1">
      <c r="A135" t="inlineStr">
        <is>
          <t>A 48673-2023</t>
        </is>
      </c>
      <c r="B135" s="1" t="n">
        <v>45203</v>
      </c>
      <c r="C135" s="1" t="n">
        <v>46046</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60484-2024</t>
        </is>
      </c>
      <c r="B136" s="1" t="n">
        <v>45643.63832175926</v>
      </c>
      <c r="C136" s="1" t="n">
        <v>46046</v>
      </c>
      <c r="D136" t="inlineStr">
        <is>
          <t>NORRBOTTENS LÄN</t>
        </is>
      </c>
      <c r="E136" t="inlineStr">
        <is>
          <t>ÖVERTORNEÅ</t>
        </is>
      </c>
      <c r="G136" t="n">
        <v>12.7</v>
      </c>
      <c r="H136" t="n">
        <v>0</v>
      </c>
      <c r="I136" t="n">
        <v>2</v>
      </c>
      <c r="J136" t="n">
        <v>5</v>
      </c>
      <c r="K136" t="n">
        <v>1</v>
      </c>
      <c r="L136" t="n">
        <v>0</v>
      </c>
      <c r="M136" t="n">
        <v>0</v>
      </c>
      <c r="N136" t="n">
        <v>0</v>
      </c>
      <c r="O136" t="n">
        <v>6</v>
      </c>
      <c r="P136" t="n">
        <v>1</v>
      </c>
      <c r="Q136" t="n">
        <v>8</v>
      </c>
      <c r="R136" s="2" t="inlineStr">
        <is>
          <t>Gräddporing
Garnlav
Kolflarnlav
Mörk kolflarnlav
Nordtagging
Vitplätt
Dropptaggsvamp
Skinnlav</t>
        </is>
      </c>
      <c r="S136">
        <f>HYPERLINK("https://klasma.github.io/Logging_2518/artfynd/A 60484-2024 artfynd.xlsx", "A 60484-2024")</f>
        <v/>
      </c>
      <c r="T136">
        <f>HYPERLINK("https://klasma.github.io/Logging_2518/kartor/A 60484-2024 karta.png", "A 60484-2024")</f>
        <v/>
      </c>
      <c r="U136">
        <f>HYPERLINK("https://klasma.github.io/Logging_2518/knärot/A 60484-2024 karta knärot.png", "A 60484-2024")</f>
        <v/>
      </c>
      <c r="V136">
        <f>HYPERLINK("https://klasma.github.io/Logging_2518/klagomål/A 60484-2024 FSC-klagomål.docx", "A 60484-2024")</f>
        <v/>
      </c>
      <c r="W136">
        <f>HYPERLINK("https://klasma.github.io/Logging_2518/klagomålsmail/A 60484-2024 FSC-klagomål mail.docx", "A 60484-2024")</f>
        <v/>
      </c>
      <c r="X136">
        <f>HYPERLINK("https://klasma.github.io/Logging_2518/tillsyn/A 60484-2024 tillsynsbegäran.docx", "A 60484-2024")</f>
        <v/>
      </c>
      <c r="Y136">
        <f>HYPERLINK("https://klasma.github.io/Logging_2518/tillsynsmail/A 60484-2024 tillsynsbegäran mail.docx", "A 60484-2024")</f>
        <v/>
      </c>
    </row>
    <row r="137" ht="15" customHeight="1">
      <c r="A137" t="inlineStr">
        <is>
          <t>A 34146-2023</t>
        </is>
      </c>
      <c r="B137" s="1" t="n">
        <v>45136</v>
      </c>
      <c r="C137" s="1" t="n">
        <v>46046</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47921-2024</t>
        </is>
      </c>
      <c r="B138" s="1" t="n">
        <v>45589.34458333333</v>
      </c>
      <c r="C138" s="1" t="n">
        <v>46046</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27548-2025</t>
        </is>
      </c>
      <c r="B139" s="1" t="n">
        <v>45813</v>
      </c>
      <c r="C139" s="1" t="n">
        <v>46046</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46046</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9923-2025</t>
        </is>
      </c>
      <c r="B141" s="1" t="n">
        <v>45717</v>
      </c>
      <c r="C141" s="1" t="n">
        <v>46046</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36134-2025</t>
        </is>
      </c>
      <c r="B142" s="1" t="n">
        <v>45866.63324074074</v>
      </c>
      <c r="C142" s="1" t="n">
        <v>46046</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49809-2023</t>
        </is>
      </c>
      <c r="B143" s="1" t="n">
        <v>45212</v>
      </c>
      <c r="C143" s="1" t="n">
        <v>46046</v>
      </c>
      <c r="D143" t="inlineStr">
        <is>
          <t>NORRBOTTENS LÄN</t>
        </is>
      </c>
      <c r="E143" t="inlineStr">
        <is>
          <t>BODEN</t>
        </is>
      </c>
      <c r="F143" t="inlineStr">
        <is>
          <t>Sveaskog</t>
        </is>
      </c>
      <c r="G143" t="n">
        <v>5.7</v>
      </c>
      <c r="H143" t="n">
        <v>1</v>
      </c>
      <c r="I143" t="n">
        <v>2</v>
      </c>
      <c r="J143" t="n">
        <v>5</v>
      </c>
      <c r="K143" t="n">
        <v>1</v>
      </c>
      <c r="L143" t="n">
        <v>0</v>
      </c>
      <c r="M143" t="n">
        <v>0</v>
      </c>
      <c r="N143" t="n">
        <v>0</v>
      </c>
      <c r="O143" t="n">
        <v>6</v>
      </c>
      <c r="P143" t="n">
        <v>1</v>
      </c>
      <c r="Q143" t="n">
        <v>8</v>
      </c>
      <c r="R143" s="2" t="inlineStr">
        <is>
          <t>Goliatmusseron
Blå taggsvamp
Gammelgransskål
Orange taggsvamp
Svartvit taggsvamp
Talltaggsvamp
Skarp dropptaggsvamp
Spindelblomster</t>
        </is>
      </c>
      <c r="S143">
        <f>HYPERLINK("https://klasma.github.io/Logging_2582/artfynd/A 49809-2023 artfynd.xlsx", "A 49809-2023")</f>
        <v/>
      </c>
      <c r="T143">
        <f>HYPERLINK("https://klasma.github.io/Logging_2582/kartor/A 49809-2023 karta.png", "A 49809-2023")</f>
        <v/>
      </c>
      <c r="U143">
        <f>HYPERLINK("https://klasma.github.io/Logging_2582/knärot/A 49809-2023 karta knärot.png", "A 49809-2023")</f>
        <v/>
      </c>
      <c r="V143">
        <f>HYPERLINK("https://klasma.github.io/Logging_2582/klagomål/A 49809-2023 FSC-klagomål.docx", "A 49809-2023")</f>
        <v/>
      </c>
      <c r="W143">
        <f>HYPERLINK("https://klasma.github.io/Logging_2582/klagomålsmail/A 49809-2023 FSC-klagomål mail.docx", "A 49809-2023")</f>
        <v/>
      </c>
      <c r="X143">
        <f>HYPERLINK("https://klasma.github.io/Logging_2582/tillsyn/A 49809-2023 tillsynsbegäran.docx", "A 49809-2023")</f>
        <v/>
      </c>
      <c r="Y143">
        <f>HYPERLINK("https://klasma.github.io/Logging_2582/tillsynsmail/A 49809-2023 tillsynsbegäran mail.docx", "A 49809-2023")</f>
        <v/>
      </c>
    </row>
    <row r="144" ht="15" customHeight="1">
      <c r="A144" t="inlineStr">
        <is>
          <t>A 39304-2025</t>
        </is>
      </c>
      <c r="B144" s="1" t="n">
        <v>45889.4522337963</v>
      </c>
      <c r="C144" s="1" t="n">
        <v>46046</v>
      </c>
      <c r="D144" t="inlineStr">
        <is>
          <t>NORRBOTTENS LÄN</t>
        </is>
      </c>
      <c r="E144" t="inlineStr">
        <is>
          <t>ÖVERTORNEÅ</t>
        </is>
      </c>
      <c r="G144" t="n">
        <v>6.5</v>
      </c>
      <c r="H144" t="n">
        <v>2</v>
      </c>
      <c r="I144" t="n">
        <v>3</v>
      </c>
      <c r="J144" t="n">
        <v>4</v>
      </c>
      <c r="K144" t="n">
        <v>0</v>
      </c>
      <c r="L144" t="n">
        <v>0</v>
      </c>
      <c r="M144" t="n">
        <v>0</v>
      </c>
      <c r="N144" t="n">
        <v>0</v>
      </c>
      <c r="O144" t="n">
        <v>4</v>
      </c>
      <c r="P144" t="n">
        <v>0</v>
      </c>
      <c r="Q144" t="n">
        <v>8</v>
      </c>
      <c r="R144" s="2" t="inlineStr">
        <is>
          <t>Garnlav
Granticka
Spillkråka
Ullticka
Luddlav
Stuplav
Vedticka
Revlummer</t>
        </is>
      </c>
      <c r="S144">
        <f>HYPERLINK("https://klasma.github.io/Logging_2518/artfynd/A 39304-2025 artfynd.xlsx", "A 39304-2025")</f>
        <v/>
      </c>
      <c r="T144">
        <f>HYPERLINK("https://klasma.github.io/Logging_2518/kartor/A 39304-2025 karta.png", "A 39304-2025")</f>
        <v/>
      </c>
      <c r="V144">
        <f>HYPERLINK("https://klasma.github.io/Logging_2518/klagomål/A 39304-2025 FSC-klagomål.docx", "A 39304-2025")</f>
        <v/>
      </c>
      <c r="W144">
        <f>HYPERLINK("https://klasma.github.io/Logging_2518/klagomålsmail/A 39304-2025 FSC-klagomål mail.docx", "A 39304-2025")</f>
        <v/>
      </c>
      <c r="X144">
        <f>HYPERLINK("https://klasma.github.io/Logging_2518/tillsyn/A 39304-2025 tillsynsbegäran.docx", "A 39304-2025")</f>
        <v/>
      </c>
      <c r="Y144">
        <f>HYPERLINK("https://klasma.github.io/Logging_2518/tillsynsmail/A 39304-2025 tillsynsbegäran mail.docx", "A 39304-2025")</f>
        <v/>
      </c>
      <c r="Z144">
        <f>HYPERLINK("https://klasma.github.io/Logging_2518/fåglar/A 39304-2025 prioriterade fågelarter.docx", "A 39304-2025")</f>
        <v/>
      </c>
    </row>
    <row r="145" ht="15" customHeight="1">
      <c r="A145" t="inlineStr">
        <is>
          <t>A 56172-2022</t>
        </is>
      </c>
      <c r="B145" s="1" t="n">
        <v>44889</v>
      </c>
      <c r="C145" s="1" t="n">
        <v>46046</v>
      </c>
      <c r="D145" t="inlineStr">
        <is>
          <t>NORRBOTTENS LÄN</t>
        </is>
      </c>
      <c r="E145" t="inlineStr">
        <is>
          <t>BODEN</t>
        </is>
      </c>
      <c r="F145" t="inlineStr">
        <is>
          <t>SCA</t>
        </is>
      </c>
      <c r="G145" t="n">
        <v>4</v>
      </c>
      <c r="H145" t="n">
        <v>0</v>
      </c>
      <c r="I145" t="n">
        <v>3</v>
      </c>
      <c r="J145" t="n">
        <v>5</v>
      </c>
      <c r="K145" t="n">
        <v>0</v>
      </c>
      <c r="L145" t="n">
        <v>0</v>
      </c>
      <c r="M145" t="n">
        <v>0</v>
      </c>
      <c r="N145" t="n">
        <v>0</v>
      </c>
      <c r="O145" t="n">
        <v>5</v>
      </c>
      <c r="P145" t="n">
        <v>0</v>
      </c>
      <c r="Q145" t="n">
        <v>8</v>
      </c>
      <c r="R145" s="2" t="inlineStr">
        <is>
          <t>Garnlav
Granticka
Lunglav
Stiftgelélav
Violettgrå tagellav
Luddlav
Skinnlav
Stuplav</t>
        </is>
      </c>
      <c r="S145">
        <f>HYPERLINK("https://klasma.github.io/Logging_2582/artfynd/A 56172-2022 artfynd.xlsx", "A 56172-2022")</f>
        <v/>
      </c>
      <c r="T145">
        <f>HYPERLINK("https://klasma.github.io/Logging_2582/kartor/A 56172-2022 karta.png", "A 56172-2022")</f>
        <v/>
      </c>
      <c r="V145">
        <f>HYPERLINK("https://klasma.github.io/Logging_2582/klagomål/A 56172-2022 FSC-klagomål.docx", "A 56172-2022")</f>
        <v/>
      </c>
      <c r="W145">
        <f>HYPERLINK("https://klasma.github.io/Logging_2582/klagomålsmail/A 56172-2022 FSC-klagomål mail.docx", "A 56172-2022")</f>
        <v/>
      </c>
      <c r="X145">
        <f>HYPERLINK("https://klasma.github.io/Logging_2582/tillsyn/A 56172-2022 tillsynsbegäran.docx", "A 56172-2022")</f>
        <v/>
      </c>
      <c r="Y145">
        <f>HYPERLINK("https://klasma.github.io/Logging_2582/tillsynsmail/A 56172-2022 tillsynsbegäran mail.docx", "A 56172-2022")</f>
        <v/>
      </c>
    </row>
    <row r="146" ht="15" customHeight="1">
      <c r="A146" t="inlineStr">
        <is>
          <t>A 42734-2025</t>
        </is>
      </c>
      <c r="B146" s="1" t="n">
        <v>45908</v>
      </c>
      <c r="C146" s="1" t="n">
        <v>46046</v>
      </c>
      <c r="D146" t="inlineStr">
        <is>
          <t>NORRBOTTENS LÄN</t>
        </is>
      </c>
      <c r="E146" t="inlineStr">
        <is>
          <t>GÄLLIVARE</t>
        </is>
      </c>
      <c r="F146" t="inlineStr">
        <is>
          <t>Sveaskog</t>
        </is>
      </c>
      <c r="G146" t="n">
        <v>30</v>
      </c>
      <c r="H146" t="n">
        <v>3</v>
      </c>
      <c r="I146" t="n">
        <v>2</v>
      </c>
      <c r="J146" t="n">
        <v>4</v>
      </c>
      <c r="K146" t="n">
        <v>1</v>
      </c>
      <c r="L146" t="n">
        <v>0</v>
      </c>
      <c r="M146" t="n">
        <v>0</v>
      </c>
      <c r="N146" t="n">
        <v>0</v>
      </c>
      <c r="O146" t="n">
        <v>5</v>
      </c>
      <c r="P146" t="n">
        <v>1</v>
      </c>
      <c r="Q146" t="n">
        <v>8</v>
      </c>
      <c r="R146" s="2" t="inlineStr">
        <is>
          <t>Knärot
Garnlav
Kolflarnlav
Lunglav
Violmussling
Plattlummer
Stuplav
Fläcknycklar</t>
        </is>
      </c>
      <c r="S146">
        <f>HYPERLINK("https://klasma.github.io/Logging_2523/artfynd/A 42734-2025 artfynd.xlsx", "A 42734-2025")</f>
        <v/>
      </c>
      <c r="T146">
        <f>HYPERLINK("https://klasma.github.io/Logging_2523/kartor/A 42734-2025 karta.png", "A 42734-2025")</f>
        <v/>
      </c>
      <c r="U146">
        <f>HYPERLINK("https://klasma.github.io/Logging_2523/knärot/A 42734-2025 karta knärot.png", "A 42734-2025")</f>
        <v/>
      </c>
      <c r="V146">
        <f>HYPERLINK("https://klasma.github.io/Logging_2523/klagomål/A 42734-2025 FSC-klagomål.docx", "A 42734-2025")</f>
        <v/>
      </c>
      <c r="W146">
        <f>HYPERLINK("https://klasma.github.io/Logging_2523/klagomålsmail/A 42734-2025 FSC-klagomål mail.docx", "A 42734-2025")</f>
        <v/>
      </c>
      <c r="X146">
        <f>HYPERLINK("https://klasma.github.io/Logging_2523/tillsyn/A 42734-2025 tillsynsbegäran.docx", "A 42734-2025")</f>
        <v/>
      </c>
      <c r="Y146">
        <f>HYPERLINK("https://klasma.github.io/Logging_2523/tillsynsmail/A 42734-2025 tillsynsbegäran mail.docx", "A 42734-2025")</f>
        <v/>
      </c>
    </row>
    <row r="147" ht="15" customHeight="1">
      <c r="A147" t="inlineStr">
        <is>
          <t>A 50837-2025</t>
        </is>
      </c>
      <c r="B147" s="1" t="n">
        <v>45946</v>
      </c>
      <c r="C147" s="1" t="n">
        <v>46046</v>
      </c>
      <c r="D147" t="inlineStr">
        <is>
          <t>NORRBOTTENS LÄN</t>
        </is>
      </c>
      <c r="E147" t="inlineStr">
        <is>
          <t>ÖVERKALIX</t>
        </is>
      </c>
      <c r="F147" t="inlineStr">
        <is>
          <t>Sveaskog</t>
        </is>
      </c>
      <c r="G147" t="n">
        <v>41.7</v>
      </c>
      <c r="H147" t="n">
        <v>5</v>
      </c>
      <c r="I147" t="n">
        <v>2</v>
      </c>
      <c r="J147" t="n">
        <v>4</v>
      </c>
      <c r="K147" t="n">
        <v>0</v>
      </c>
      <c r="L147" t="n">
        <v>0</v>
      </c>
      <c r="M147" t="n">
        <v>0</v>
      </c>
      <c r="N147" t="n">
        <v>0</v>
      </c>
      <c r="O147" t="n">
        <v>4</v>
      </c>
      <c r="P147" t="n">
        <v>0</v>
      </c>
      <c r="Q147" t="n">
        <v>8</v>
      </c>
      <c r="R147" s="2" t="inlineStr">
        <is>
          <t>Garnlav
Gränsticka
Spillkråka
Vaddporing
Korallrot
Plattlummer
Fläcknycklar
Mattlummer</t>
        </is>
      </c>
      <c r="S147">
        <f>HYPERLINK("https://klasma.github.io/Logging_2513/artfynd/A 50837-2025 artfynd.xlsx", "A 50837-2025")</f>
        <v/>
      </c>
      <c r="T147">
        <f>HYPERLINK("https://klasma.github.io/Logging_2513/kartor/A 50837-2025 karta.png", "A 50837-2025")</f>
        <v/>
      </c>
      <c r="V147">
        <f>HYPERLINK("https://klasma.github.io/Logging_2513/klagomål/A 50837-2025 FSC-klagomål.docx", "A 50837-2025")</f>
        <v/>
      </c>
      <c r="W147">
        <f>HYPERLINK("https://klasma.github.io/Logging_2513/klagomålsmail/A 50837-2025 FSC-klagomål mail.docx", "A 50837-2025")</f>
        <v/>
      </c>
      <c r="X147">
        <f>HYPERLINK("https://klasma.github.io/Logging_2513/tillsyn/A 50837-2025 tillsynsbegäran.docx", "A 50837-2025")</f>
        <v/>
      </c>
      <c r="Y147">
        <f>HYPERLINK("https://klasma.github.io/Logging_2513/tillsynsmail/A 50837-2025 tillsynsbegäran mail.docx", "A 50837-2025")</f>
        <v/>
      </c>
      <c r="Z147">
        <f>HYPERLINK("https://klasma.github.io/Logging_2513/fåglar/A 50837-2025 prioriterade fågelarter.docx", "A 50837-2025")</f>
        <v/>
      </c>
    </row>
    <row r="148" ht="15" customHeight="1">
      <c r="A148" t="inlineStr">
        <is>
          <t>A 65184-2023</t>
        </is>
      </c>
      <c r="B148" s="1" t="n">
        <v>45288.93304398148</v>
      </c>
      <c r="C148" s="1" t="n">
        <v>46046</v>
      </c>
      <c r="D148" t="inlineStr">
        <is>
          <t>NORRBOTTENS LÄN</t>
        </is>
      </c>
      <c r="E148" t="inlineStr">
        <is>
          <t>ÖVERTORNEÅ</t>
        </is>
      </c>
      <c r="G148" t="n">
        <v>4.2</v>
      </c>
      <c r="H148" t="n">
        <v>3</v>
      </c>
      <c r="I148" t="n">
        <v>1</v>
      </c>
      <c r="J148" t="n">
        <v>5</v>
      </c>
      <c r="K148" t="n">
        <v>1</v>
      </c>
      <c r="L148" t="n">
        <v>0</v>
      </c>
      <c r="M148" t="n">
        <v>0</v>
      </c>
      <c r="N148" t="n">
        <v>0</v>
      </c>
      <c r="O148" t="n">
        <v>6</v>
      </c>
      <c r="P148" t="n">
        <v>1</v>
      </c>
      <c r="Q148" t="n">
        <v>8</v>
      </c>
      <c r="R148" s="2" t="inlineStr">
        <is>
          <t>Knärot
Garnlav
Kolflarnlav
Mörk kolflarnlav
Orange taggsvamp
Spillkråka
Dropptaggsvamp
Orre</t>
        </is>
      </c>
      <c r="S148">
        <f>HYPERLINK("https://klasma.github.io/Logging_2518/artfynd/A 65184-2023 artfynd.xlsx", "A 65184-2023")</f>
        <v/>
      </c>
      <c r="T148">
        <f>HYPERLINK("https://klasma.github.io/Logging_2518/kartor/A 65184-2023 karta.png", "A 65184-2023")</f>
        <v/>
      </c>
      <c r="U148">
        <f>HYPERLINK("https://klasma.github.io/Logging_2518/knärot/A 65184-2023 karta knärot.png", "A 65184-2023")</f>
        <v/>
      </c>
      <c r="V148">
        <f>HYPERLINK("https://klasma.github.io/Logging_2518/klagomål/A 65184-2023 FSC-klagomål.docx", "A 65184-2023")</f>
        <v/>
      </c>
      <c r="W148">
        <f>HYPERLINK("https://klasma.github.io/Logging_2518/klagomålsmail/A 65184-2023 FSC-klagomål mail.docx", "A 65184-2023")</f>
        <v/>
      </c>
      <c r="X148">
        <f>HYPERLINK("https://klasma.github.io/Logging_2518/tillsyn/A 65184-2023 tillsynsbegäran.docx", "A 65184-2023")</f>
        <v/>
      </c>
      <c r="Y148">
        <f>HYPERLINK("https://klasma.github.io/Logging_2518/tillsynsmail/A 65184-2023 tillsynsbegäran mail.docx", "A 65184-2023")</f>
        <v/>
      </c>
      <c r="Z148">
        <f>HYPERLINK("https://klasma.github.io/Logging_2518/fåglar/A 65184-2023 prioriterade fågelarter.docx", "A 65184-2023")</f>
        <v/>
      </c>
    </row>
    <row r="149" ht="15" customHeight="1">
      <c r="A149" t="inlineStr">
        <is>
          <t>A 30542-2021</t>
        </is>
      </c>
      <c r="B149" s="1" t="n">
        <v>44364</v>
      </c>
      <c r="C149" s="1" t="n">
        <v>46046</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46046</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41915-2024</t>
        </is>
      </c>
      <c r="B151" s="1" t="n">
        <v>45561</v>
      </c>
      <c r="C151" s="1" t="n">
        <v>46046</v>
      </c>
      <c r="D151" t="inlineStr">
        <is>
          <t>NORRBOTTENS LÄN</t>
        </is>
      </c>
      <c r="E151" t="inlineStr">
        <is>
          <t>ÖVERTORNEÅ</t>
        </is>
      </c>
      <c r="G151" t="n">
        <v>5.5</v>
      </c>
      <c r="H151" t="n">
        <v>4</v>
      </c>
      <c r="I151" t="n">
        <v>1</v>
      </c>
      <c r="J151" t="n">
        <v>5</v>
      </c>
      <c r="K151" t="n">
        <v>1</v>
      </c>
      <c r="L151" t="n">
        <v>0</v>
      </c>
      <c r="M151" t="n">
        <v>0</v>
      </c>
      <c r="N151" t="n">
        <v>0</v>
      </c>
      <c r="O151" t="n">
        <v>6</v>
      </c>
      <c r="P151" t="n">
        <v>1</v>
      </c>
      <c r="Q151" t="n">
        <v>7</v>
      </c>
      <c r="R151" s="2" t="inlineStr">
        <is>
          <t>Knärot
Garnlav
Gränsticka
Spillkråka
Talltita
Ullticka
Plattlummer</t>
        </is>
      </c>
      <c r="S151">
        <f>HYPERLINK("https://klasma.github.io/Logging_2518/artfynd/A 41915-2024 artfynd.xlsx", "A 41915-2024")</f>
        <v/>
      </c>
      <c r="T151">
        <f>HYPERLINK("https://klasma.github.io/Logging_2518/kartor/A 41915-2024 karta.png", "A 41915-2024")</f>
        <v/>
      </c>
      <c r="U151">
        <f>HYPERLINK("https://klasma.github.io/Logging_2518/knärot/A 41915-2024 karta knärot.png", "A 41915-2024")</f>
        <v/>
      </c>
      <c r="V151">
        <f>HYPERLINK("https://klasma.github.io/Logging_2518/klagomål/A 41915-2024 FSC-klagomål.docx", "A 41915-2024")</f>
        <v/>
      </c>
      <c r="W151">
        <f>HYPERLINK("https://klasma.github.io/Logging_2518/klagomålsmail/A 41915-2024 FSC-klagomål mail.docx", "A 41915-2024")</f>
        <v/>
      </c>
      <c r="X151">
        <f>HYPERLINK("https://klasma.github.io/Logging_2518/tillsyn/A 41915-2024 tillsynsbegäran.docx", "A 41915-2024")</f>
        <v/>
      </c>
      <c r="Y151">
        <f>HYPERLINK("https://klasma.github.io/Logging_2518/tillsynsmail/A 41915-2024 tillsynsbegäran mail.docx", "A 41915-2024")</f>
        <v/>
      </c>
      <c r="Z151">
        <f>HYPERLINK("https://klasma.github.io/Logging_2518/fåglar/A 41915-2024 prioriterade fågelarter.docx", "A 41915-2024")</f>
        <v/>
      </c>
    </row>
    <row r="152" ht="15" customHeight="1">
      <c r="A152" t="inlineStr">
        <is>
          <t>A 14706-2021</t>
        </is>
      </c>
      <c r="B152" s="1" t="n">
        <v>44280</v>
      </c>
      <c r="C152" s="1" t="n">
        <v>46046</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319-2024</t>
        </is>
      </c>
      <c r="B153" s="1" t="n">
        <v>45295</v>
      </c>
      <c r="C153" s="1" t="n">
        <v>46046</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22335-2025</t>
        </is>
      </c>
      <c r="B154" s="1" t="n">
        <v>45786.44121527778</v>
      </c>
      <c r="C154" s="1" t="n">
        <v>46046</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26731-2024</t>
        </is>
      </c>
      <c r="B155" s="1" t="n">
        <v>45470</v>
      </c>
      <c r="C155" s="1" t="n">
        <v>46046</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25028-2025</t>
        </is>
      </c>
      <c r="B156" s="1" t="n">
        <v>45799</v>
      </c>
      <c r="C156" s="1" t="n">
        <v>46046</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53440-2022</t>
        </is>
      </c>
      <c r="B157" s="1" t="n">
        <v>44874</v>
      </c>
      <c r="C157" s="1" t="n">
        <v>46046</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4544-2024</t>
        </is>
      </c>
      <c r="B158" s="1" t="n">
        <v>45327</v>
      </c>
      <c r="C158" s="1" t="n">
        <v>46046</v>
      </c>
      <c r="D158" t="inlineStr">
        <is>
          <t>NORRBOTTENS LÄN</t>
        </is>
      </c>
      <c r="E158" t="inlineStr">
        <is>
          <t>ARJEPLOG</t>
        </is>
      </c>
      <c r="G158" t="n">
        <v>6</v>
      </c>
      <c r="H158" t="n">
        <v>0</v>
      </c>
      <c r="I158" t="n">
        <v>1</v>
      </c>
      <c r="J158" t="n">
        <v>5</v>
      </c>
      <c r="K158" t="n">
        <v>1</v>
      </c>
      <c r="L158" t="n">
        <v>0</v>
      </c>
      <c r="M158" t="n">
        <v>0</v>
      </c>
      <c r="N158" t="n">
        <v>0</v>
      </c>
      <c r="O158" t="n">
        <v>6</v>
      </c>
      <c r="P158" t="n">
        <v>1</v>
      </c>
      <c r="Q158" t="n">
        <v>7</v>
      </c>
      <c r="R158" s="2" t="inlineStr">
        <is>
          <t>Rynkskinn
Garnlav
Granticka
Knottrig blåslav
Rosenticka
Ullticka
Blodticka</t>
        </is>
      </c>
      <c r="S158">
        <f>HYPERLINK("https://klasma.github.io/Logging_2506/artfynd/A 4544-2024 artfynd.xlsx", "A 4544-2024")</f>
        <v/>
      </c>
      <c r="T158">
        <f>HYPERLINK("https://klasma.github.io/Logging_2506/kartor/A 4544-2024 karta.png", "A 4544-2024")</f>
        <v/>
      </c>
      <c r="V158">
        <f>HYPERLINK("https://klasma.github.io/Logging_2506/klagomål/A 4544-2024 FSC-klagomål.docx", "A 4544-2024")</f>
        <v/>
      </c>
      <c r="W158">
        <f>HYPERLINK("https://klasma.github.io/Logging_2506/klagomålsmail/A 4544-2024 FSC-klagomål mail.docx", "A 4544-2024")</f>
        <v/>
      </c>
      <c r="X158">
        <f>HYPERLINK("https://klasma.github.io/Logging_2506/tillsyn/A 4544-2024 tillsynsbegäran.docx", "A 4544-2024")</f>
        <v/>
      </c>
      <c r="Y158">
        <f>HYPERLINK("https://klasma.github.io/Logging_2506/tillsynsmail/A 4544-2024 tillsynsbegäran mail.docx", "A 4544-2024")</f>
        <v/>
      </c>
    </row>
    <row r="159" ht="15" customHeight="1">
      <c r="A159" t="inlineStr">
        <is>
          <t>A 33324-2023</t>
        </is>
      </c>
      <c r="B159" s="1" t="n">
        <v>45127.92238425926</v>
      </c>
      <c r="C159" s="1" t="n">
        <v>46046</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27058-2023</t>
        </is>
      </c>
      <c r="B160" s="1" t="n">
        <v>45096</v>
      </c>
      <c r="C160" s="1" t="n">
        <v>46046</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45421-2025</t>
        </is>
      </c>
      <c r="B161" s="1" t="n">
        <v>45922.45040509259</v>
      </c>
      <c r="C161" s="1" t="n">
        <v>46046</v>
      </c>
      <c r="D161" t="inlineStr">
        <is>
          <t>NORRBOTTENS LÄN</t>
        </is>
      </c>
      <c r="E161" t="inlineStr">
        <is>
          <t>ÄLVSBYN</t>
        </is>
      </c>
      <c r="F161" t="inlineStr">
        <is>
          <t>Sveaskog</t>
        </is>
      </c>
      <c r="G161" t="n">
        <v>5</v>
      </c>
      <c r="H161" t="n">
        <v>0</v>
      </c>
      <c r="I161" t="n">
        <v>1</v>
      </c>
      <c r="J161" t="n">
        <v>6</v>
      </c>
      <c r="K161" t="n">
        <v>0</v>
      </c>
      <c r="L161" t="n">
        <v>0</v>
      </c>
      <c r="M161" t="n">
        <v>0</v>
      </c>
      <c r="N161" t="n">
        <v>0</v>
      </c>
      <c r="O161" t="n">
        <v>6</v>
      </c>
      <c r="P161" t="n">
        <v>0</v>
      </c>
      <c r="Q161" t="n">
        <v>7</v>
      </c>
      <c r="R161" s="2" t="inlineStr">
        <is>
          <t>Kolflarnlav
Mörk kolflarnlav
Nordtagging
Tallticka
Vaddporing
Vitplätt
Dropptaggsvamp</t>
        </is>
      </c>
      <c r="S161">
        <f>HYPERLINK("https://klasma.github.io/Logging_2560/artfynd/A 45421-2025 artfynd.xlsx", "A 45421-2025")</f>
        <v/>
      </c>
      <c r="T161">
        <f>HYPERLINK("https://klasma.github.io/Logging_2560/kartor/A 45421-2025 karta.png", "A 45421-2025")</f>
        <v/>
      </c>
      <c r="V161">
        <f>HYPERLINK("https://klasma.github.io/Logging_2560/klagomål/A 45421-2025 FSC-klagomål.docx", "A 45421-2025")</f>
        <v/>
      </c>
      <c r="W161">
        <f>HYPERLINK("https://klasma.github.io/Logging_2560/klagomålsmail/A 45421-2025 FSC-klagomål mail.docx", "A 45421-2025")</f>
        <v/>
      </c>
      <c r="X161">
        <f>HYPERLINK("https://klasma.github.io/Logging_2560/tillsyn/A 45421-2025 tillsynsbegäran.docx", "A 45421-2025")</f>
        <v/>
      </c>
      <c r="Y161">
        <f>HYPERLINK("https://klasma.github.io/Logging_2560/tillsynsmail/A 45421-2025 tillsynsbegäran mail.docx", "A 45421-2025")</f>
        <v/>
      </c>
    </row>
    <row r="162" ht="15" customHeight="1">
      <c r="A162" t="inlineStr">
        <is>
          <t>A 49764-2025</t>
        </is>
      </c>
      <c r="B162" s="1" t="n">
        <v>45940</v>
      </c>
      <c r="C162" s="1" t="n">
        <v>46046</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46046</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54098-2025</t>
        </is>
      </c>
      <c r="B164" s="1" t="n">
        <v>45964</v>
      </c>
      <c r="C164" s="1" t="n">
        <v>46046</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56413-2025</t>
        </is>
      </c>
      <c r="B165" s="1" t="n">
        <v>45975.3278125</v>
      </c>
      <c r="C165" s="1" t="n">
        <v>46046</v>
      </c>
      <c r="D165" t="inlineStr">
        <is>
          <t>NORRBOTTENS LÄN</t>
        </is>
      </c>
      <c r="E165" t="inlineStr">
        <is>
          <t>ARVIDSJAUR</t>
        </is>
      </c>
      <c r="F165" t="inlineStr">
        <is>
          <t>Sveaskog</t>
        </is>
      </c>
      <c r="G165" t="n">
        <v>9.699999999999999</v>
      </c>
      <c r="H165" t="n">
        <v>0</v>
      </c>
      <c r="I165" t="n">
        <v>1</v>
      </c>
      <c r="J165" t="n">
        <v>6</v>
      </c>
      <c r="K165" t="n">
        <v>0</v>
      </c>
      <c r="L165" t="n">
        <v>0</v>
      </c>
      <c r="M165" t="n">
        <v>0</v>
      </c>
      <c r="N165" t="n">
        <v>0</v>
      </c>
      <c r="O165" t="n">
        <v>6</v>
      </c>
      <c r="P165" t="n">
        <v>0</v>
      </c>
      <c r="Q165" t="n">
        <v>7</v>
      </c>
      <c r="R165" s="2" t="inlineStr">
        <is>
          <t>Blå taggsvamp
Orange taggsvamp
Skrovlig taggsvamp
Svart taggsvamp
Talltaggsvamp
Tallticka
Dropptaggsvamp</t>
        </is>
      </c>
      <c r="S165">
        <f>HYPERLINK("https://klasma.github.io/Logging_2505/artfynd/A 56413-2025 artfynd.xlsx", "A 56413-2025")</f>
        <v/>
      </c>
      <c r="T165">
        <f>HYPERLINK("https://klasma.github.io/Logging_2505/kartor/A 56413-2025 karta.png", "A 56413-2025")</f>
        <v/>
      </c>
      <c r="V165">
        <f>HYPERLINK("https://klasma.github.io/Logging_2505/klagomål/A 56413-2025 FSC-klagomål.docx", "A 56413-2025")</f>
        <v/>
      </c>
      <c r="W165">
        <f>HYPERLINK("https://klasma.github.io/Logging_2505/klagomålsmail/A 56413-2025 FSC-klagomål mail.docx", "A 56413-2025")</f>
        <v/>
      </c>
      <c r="X165">
        <f>HYPERLINK("https://klasma.github.io/Logging_2505/tillsyn/A 56413-2025 tillsynsbegäran.docx", "A 56413-2025")</f>
        <v/>
      </c>
      <c r="Y165">
        <f>HYPERLINK("https://klasma.github.io/Logging_2505/tillsynsmail/A 56413-2025 tillsynsbegäran mail.docx", "A 56413-2025")</f>
        <v/>
      </c>
    </row>
    <row r="166" ht="15" customHeight="1">
      <c r="A166" t="inlineStr">
        <is>
          <t>A 26579-2022</t>
        </is>
      </c>
      <c r="B166" s="1" t="n">
        <v>44739</v>
      </c>
      <c r="C166" s="1" t="n">
        <v>46046</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46046</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59199-2021</t>
        </is>
      </c>
      <c r="B168" s="1" t="n">
        <v>44490</v>
      </c>
      <c r="C168" s="1" t="n">
        <v>46046</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46046</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11534-2025</t>
        </is>
      </c>
      <c r="B170" s="1" t="n">
        <v>45726</v>
      </c>
      <c r="C170" s="1" t="n">
        <v>46046</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7958-2022</t>
        </is>
      </c>
      <c r="B171" s="1" t="n">
        <v>44608.93842592592</v>
      </c>
      <c r="C171" s="1" t="n">
        <v>46046</v>
      </c>
      <c r="D171" t="inlineStr">
        <is>
          <t>NORRBOTTENS LÄN</t>
        </is>
      </c>
      <c r="E171" t="inlineStr">
        <is>
          <t>PAJALA</t>
        </is>
      </c>
      <c r="F171" t="inlineStr">
        <is>
          <t>SCA</t>
        </is>
      </c>
      <c r="G171" t="n">
        <v>30.7</v>
      </c>
      <c r="H171" t="n">
        <v>1</v>
      </c>
      <c r="I171" t="n">
        <v>2</v>
      </c>
      <c r="J171" t="n">
        <v>4</v>
      </c>
      <c r="K171" t="n">
        <v>0</v>
      </c>
      <c r="L171" t="n">
        <v>0</v>
      </c>
      <c r="M171" t="n">
        <v>0</v>
      </c>
      <c r="N171" t="n">
        <v>0</v>
      </c>
      <c r="O171" t="n">
        <v>4</v>
      </c>
      <c r="P171" t="n">
        <v>0</v>
      </c>
      <c r="Q171" t="n">
        <v>6</v>
      </c>
      <c r="R171" s="2" t="inlineStr">
        <is>
          <t>Garnlav
Granticka
Rosenticka
Ullticka
Plattlummer
Trådticka</t>
        </is>
      </c>
      <c r="S171">
        <f>HYPERLINK("https://klasma.github.io/Logging_2521/artfynd/A 7958-2022 artfynd.xlsx", "A 7958-2022")</f>
        <v/>
      </c>
      <c r="T171">
        <f>HYPERLINK("https://klasma.github.io/Logging_2521/kartor/A 7958-2022 karta.png", "A 7958-2022")</f>
        <v/>
      </c>
      <c r="V171">
        <f>HYPERLINK("https://klasma.github.io/Logging_2521/klagomål/A 7958-2022 FSC-klagomål.docx", "A 7958-2022")</f>
        <v/>
      </c>
      <c r="W171">
        <f>HYPERLINK("https://klasma.github.io/Logging_2521/klagomålsmail/A 7958-2022 FSC-klagomål mail.docx", "A 7958-2022")</f>
        <v/>
      </c>
      <c r="X171">
        <f>HYPERLINK("https://klasma.github.io/Logging_2521/tillsyn/A 7958-2022 tillsynsbegäran.docx", "A 7958-2022")</f>
        <v/>
      </c>
      <c r="Y171">
        <f>HYPERLINK("https://klasma.github.io/Logging_2521/tillsynsmail/A 7958-2022 tillsynsbegäran mail.docx", "A 7958-2022")</f>
        <v/>
      </c>
    </row>
    <row r="172" ht="15" customHeight="1">
      <c r="A172" t="inlineStr">
        <is>
          <t>A 37997-2024</t>
        </is>
      </c>
      <c r="B172" s="1" t="n">
        <v>45544</v>
      </c>
      <c r="C172" s="1" t="n">
        <v>46046</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19812-2025</t>
        </is>
      </c>
      <c r="B173" s="1" t="n">
        <v>45771</v>
      </c>
      <c r="C173" s="1" t="n">
        <v>46046</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61211-2024</t>
        </is>
      </c>
      <c r="B174" s="1" t="n">
        <v>45645</v>
      </c>
      <c r="C174" s="1" t="n">
        <v>46046</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41136-2023</t>
        </is>
      </c>
      <c r="B175" s="1" t="n">
        <v>45173</v>
      </c>
      <c r="C175" s="1" t="n">
        <v>46046</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47047-2024</t>
        </is>
      </c>
      <c r="B176" s="1" t="n">
        <v>45586</v>
      </c>
      <c r="C176" s="1" t="n">
        <v>46046</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40202-2025</t>
        </is>
      </c>
      <c r="B177" s="1" t="n">
        <v>45894.67243055555</v>
      </c>
      <c r="C177" s="1" t="n">
        <v>46046</v>
      </c>
      <c r="D177" t="inlineStr">
        <is>
          <t>NORRBOTTENS LÄN</t>
        </is>
      </c>
      <c r="E177" t="inlineStr">
        <is>
          <t>PITEÅ</t>
        </is>
      </c>
      <c r="F177" t="inlineStr">
        <is>
          <t>Sveaskog</t>
        </is>
      </c>
      <c r="G177" t="n">
        <v>8.1</v>
      </c>
      <c r="H177" t="n">
        <v>2</v>
      </c>
      <c r="I177" t="n">
        <v>0</v>
      </c>
      <c r="J177" t="n">
        <v>5</v>
      </c>
      <c r="K177" t="n">
        <v>0</v>
      </c>
      <c r="L177" t="n">
        <v>0</v>
      </c>
      <c r="M177" t="n">
        <v>0</v>
      </c>
      <c r="N177" t="n">
        <v>0</v>
      </c>
      <c r="O177" t="n">
        <v>5</v>
      </c>
      <c r="P177" t="n">
        <v>0</v>
      </c>
      <c r="Q177" t="n">
        <v>6</v>
      </c>
      <c r="R177" s="2" t="inlineStr">
        <is>
          <t>Gammelgransskål
Knottrig blåslav
Kolflarnlav
Spillkråka
Violettgrå tagellav
Revlummer</t>
        </is>
      </c>
      <c r="S177">
        <f>HYPERLINK("https://klasma.github.io/Logging_2581/artfynd/A 40202-2025 artfynd.xlsx", "A 40202-2025")</f>
        <v/>
      </c>
      <c r="T177">
        <f>HYPERLINK("https://klasma.github.io/Logging_2581/kartor/A 40202-2025 karta.png", "A 40202-2025")</f>
        <v/>
      </c>
      <c r="V177">
        <f>HYPERLINK("https://klasma.github.io/Logging_2581/klagomål/A 40202-2025 FSC-klagomål.docx", "A 40202-2025")</f>
        <v/>
      </c>
      <c r="W177">
        <f>HYPERLINK("https://klasma.github.io/Logging_2581/klagomålsmail/A 40202-2025 FSC-klagomål mail.docx", "A 40202-2025")</f>
        <v/>
      </c>
      <c r="X177">
        <f>HYPERLINK("https://klasma.github.io/Logging_2581/tillsyn/A 40202-2025 tillsynsbegäran.docx", "A 40202-2025")</f>
        <v/>
      </c>
      <c r="Y177">
        <f>HYPERLINK("https://klasma.github.io/Logging_2581/tillsynsmail/A 40202-2025 tillsynsbegäran mail.docx", "A 40202-2025")</f>
        <v/>
      </c>
      <c r="Z177">
        <f>HYPERLINK("https://klasma.github.io/Logging_2581/fåglar/A 40202-2025 prioriterade fågelarter.docx", "A 40202-2025")</f>
        <v/>
      </c>
    </row>
    <row r="178" ht="15" customHeight="1">
      <c r="A178" t="inlineStr">
        <is>
          <t>A 24068-2022</t>
        </is>
      </c>
      <c r="B178" s="1" t="n">
        <v>44722</v>
      </c>
      <c r="C178" s="1" t="n">
        <v>46046</v>
      </c>
      <c r="D178" t="inlineStr">
        <is>
          <t>NORRBOTTENS LÄN</t>
        </is>
      </c>
      <c r="E178" t="inlineStr">
        <is>
          <t>JOKKMOKK</t>
        </is>
      </c>
      <c r="F178" t="inlineStr">
        <is>
          <t>Övriga statliga verk och myndigheter</t>
        </is>
      </c>
      <c r="G178" t="n">
        <v>5</v>
      </c>
      <c r="H178" t="n">
        <v>0</v>
      </c>
      <c r="I178" t="n">
        <v>3</v>
      </c>
      <c r="J178" t="n">
        <v>3</v>
      </c>
      <c r="K178" t="n">
        <v>0</v>
      </c>
      <c r="L178" t="n">
        <v>0</v>
      </c>
      <c r="M178" t="n">
        <v>0</v>
      </c>
      <c r="N178" t="n">
        <v>0</v>
      </c>
      <c r="O178" t="n">
        <v>3</v>
      </c>
      <c r="P178" t="n">
        <v>0</v>
      </c>
      <c r="Q178" t="n">
        <v>6</v>
      </c>
      <c r="R178" s="2" t="inlineStr">
        <is>
          <t>Blanksvart spiklav
Blå taggsvamp
Talltaggsvamp
Dropptaggsvamp
Skarp dropptaggsvamp
Stuplav</t>
        </is>
      </c>
      <c r="S178">
        <f>HYPERLINK("https://klasma.github.io/Logging_2510/artfynd/A 24068-2022 artfynd.xlsx", "A 24068-2022")</f>
        <v/>
      </c>
      <c r="T178">
        <f>HYPERLINK("https://klasma.github.io/Logging_2510/kartor/A 24068-2022 karta.png", "A 24068-2022")</f>
        <v/>
      </c>
      <c r="V178">
        <f>HYPERLINK("https://klasma.github.io/Logging_2510/klagomål/A 24068-2022 FSC-klagomål.docx", "A 24068-2022")</f>
        <v/>
      </c>
      <c r="W178">
        <f>HYPERLINK("https://klasma.github.io/Logging_2510/klagomålsmail/A 24068-2022 FSC-klagomål mail.docx", "A 24068-2022")</f>
        <v/>
      </c>
      <c r="X178">
        <f>HYPERLINK("https://klasma.github.io/Logging_2510/tillsyn/A 24068-2022 tillsynsbegäran.docx", "A 24068-2022")</f>
        <v/>
      </c>
      <c r="Y178">
        <f>HYPERLINK("https://klasma.github.io/Logging_2510/tillsynsmail/A 24068-2022 tillsynsbegäran mail.docx", "A 24068-2022")</f>
        <v/>
      </c>
    </row>
    <row r="179" ht="15" customHeight="1">
      <c r="A179" t="inlineStr">
        <is>
          <t>A 45412-2025</t>
        </is>
      </c>
      <c r="B179" s="1" t="n">
        <v>45922.44047453703</v>
      </c>
      <c r="C179" s="1" t="n">
        <v>46046</v>
      </c>
      <c r="D179" t="inlineStr">
        <is>
          <t>NORRBOTTENS LÄN</t>
        </is>
      </c>
      <c r="E179" t="inlineStr">
        <is>
          <t>ÄLVSBYN</t>
        </is>
      </c>
      <c r="F179" t="inlineStr">
        <is>
          <t>Sveaskog</t>
        </is>
      </c>
      <c r="G179" t="n">
        <v>3.6</v>
      </c>
      <c r="H179" t="n">
        <v>0</v>
      </c>
      <c r="I179" t="n">
        <v>2</v>
      </c>
      <c r="J179" t="n">
        <v>4</v>
      </c>
      <c r="K179" t="n">
        <v>0</v>
      </c>
      <c r="L179" t="n">
        <v>0</v>
      </c>
      <c r="M179" t="n">
        <v>0</v>
      </c>
      <c r="N179" t="n">
        <v>0</v>
      </c>
      <c r="O179" t="n">
        <v>4</v>
      </c>
      <c r="P179" t="n">
        <v>0</v>
      </c>
      <c r="Q179" t="n">
        <v>6</v>
      </c>
      <c r="R179" s="2" t="inlineStr">
        <is>
          <t>Garnlav
Kolflarnlav
Vaddporing
Vedskivlav
Dropptaggsvamp
Nästlav</t>
        </is>
      </c>
      <c r="S179">
        <f>HYPERLINK("https://klasma.github.io/Logging_2560/artfynd/A 45412-2025 artfynd.xlsx", "A 45412-2025")</f>
        <v/>
      </c>
      <c r="T179">
        <f>HYPERLINK("https://klasma.github.io/Logging_2560/kartor/A 45412-2025 karta.png", "A 45412-2025")</f>
        <v/>
      </c>
      <c r="U179">
        <f>HYPERLINK("https://klasma.github.io/Logging_2560/knärot/A 45412-2025 karta knärot.png", "A 45412-2025")</f>
        <v/>
      </c>
      <c r="V179">
        <f>HYPERLINK("https://klasma.github.io/Logging_2560/klagomål/A 45412-2025 FSC-klagomål.docx", "A 45412-2025")</f>
        <v/>
      </c>
      <c r="W179">
        <f>HYPERLINK("https://klasma.github.io/Logging_2560/klagomålsmail/A 45412-2025 FSC-klagomål mail.docx", "A 45412-2025")</f>
        <v/>
      </c>
      <c r="X179">
        <f>HYPERLINK("https://klasma.github.io/Logging_2560/tillsyn/A 45412-2025 tillsynsbegäran.docx", "A 45412-2025")</f>
        <v/>
      </c>
      <c r="Y179">
        <f>HYPERLINK("https://klasma.github.io/Logging_2560/tillsynsmail/A 45412-2025 tillsynsbegäran mail.docx", "A 45412-2025")</f>
        <v/>
      </c>
    </row>
    <row r="180" ht="15" customHeight="1">
      <c r="A180" t="inlineStr">
        <is>
          <t>A 28951-2024</t>
        </is>
      </c>
      <c r="B180" s="1" t="n">
        <v>45481</v>
      </c>
      <c r="C180" s="1" t="n">
        <v>46046</v>
      </c>
      <c r="D180" t="inlineStr">
        <is>
          <t>NORRBOTTENS LÄN</t>
        </is>
      </c>
      <c r="E180" t="inlineStr">
        <is>
          <t>ÖVERTORNEÅ</t>
        </is>
      </c>
      <c r="G180" t="n">
        <v>11.8</v>
      </c>
      <c r="H180" t="n">
        <v>2</v>
      </c>
      <c r="I180" t="n">
        <v>1</v>
      </c>
      <c r="J180" t="n">
        <v>5</v>
      </c>
      <c r="K180" t="n">
        <v>0</v>
      </c>
      <c r="L180" t="n">
        <v>0</v>
      </c>
      <c r="M180" t="n">
        <v>0</v>
      </c>
      <c r="N180" t="n">
        <v>0</v>
      </c>
      <c r="O180" t="n">
        <v>5</v>
      </c>
      <c r="P180" t="n">
        <v>0</v>
      </c>
      <c r="Q180" t="n">
        <v>6</v>
      </c>
      <c r="R180" s="2" t="inlineStr">
        <is>
          <t>Garnlav
Granticka
Luddfingersvamp
Spillkråka
Tretåig hackspett
Skinnlav</t>
        </is>
      </c>
      <c r="S180">
        <f>HYPERLINK("https://klasma.github.io/Logging_2518/artfynd/A 28951-2024 artfynd.xlsx", "A 28951-2024")</f>
        <v/>
      </c>
      <c r="T180">
        <f>HYPERLINK("https://klasma.github.io/Logging_2518/kartor/A 28951-2024 karta.png", "A 28951-2024")</f>
        <v/>
      </c>
      <c r="V180">
        <f>HYPERLINK("https://klasma.github.io/Logging_2518/klagomål/A 28951-2024 FSC-klagomål.docx", "A 28951-2024")</f>
        <v/>
      </c>
      <c r="W180">
        <f>HYPERLINK("https://klasma.github.io/Logging_2518/klagomålsmail/A 28951-2024 FSC-klagomål mail.docx", "A 28951-2024")</f>
        <v/>
      </c>
      <c r="X180">
        <f>HYPERLINK("https://klasma.github.io/Logging_2518/tillsyn/A 28951-2024 tillsynsbegäran.docx", "A 28951-2024")</f>
        <v/>
      </c>
      <c r="Y180">
        <f>HYPERLINK("https://klasma.github.io/Logging_2518/tillsynsmail/A 28951-2024 tillsynsbegäran mail.docx", "A 28951-2024")</f>
        <v/>
      </c>
      <c r="Z180">
        <f>HYPERLINK("https://klasma.github.io/Logging_2518/fåglar/A 28951-2024 prioriterade fågelarter.docx", "A 28951-2024")</f>
        <v/>
      </c>
    </row>
    <row r="181" ht="15" customHeight="1">
      <c r="A181" t="inlineStr">
        <is>
          <t>A 49857-2025</t>
        </is>
      </c>
      <c r="B181" s="1" t="n">
        <v>45940.51069444444</v>
      </c>
      <c r="C181" s="1" t="n">
        <v>46046</v>
      </c>
      <c r="D181" t="inlineStr">
        <is>
          <t>NORRBOTTENS LÄN</t>
        </is>
      </c>
      <c r="E181" t="inlineStr">
        <is>
          <t>JOKKMOKK</t>
        </is>
      </c>
      <c r="F181" t="inlineStr">
        <is>
          <t>Sveaskog</t>
        </is>
      </c>
      <c r="G181" t="n">
        <v>20.4</v>
      </c>
      <c r="H181" t="n">
        <v>1</v>
      </c>
      <c r="I181" t="n">
        <v>3</v>
      </c>
      <c r="J181" t="n">
        <v>2</v>
      </c>
      <c r="K181" t="n">
        <v>1</v>
      </c>
      <c r="L181" t="n">
        <v>0</v>
      </c>
      <c r="M181" t="n">
        <v>0</v>
      </c>
      <c r="N181" t="n">
        <v>0</v>
      </c>
      <c r="O181" t="n">
        <v>3</v>
      </c>
      <c r="P181" t="n">
        <v>1</v>
      </c>
      <c r="Q181" t="n">
        <v>6</v>
      </c>
      <c r="R181" s="2" t="inlineStr">
        <is>
          <t>Smalfotad taggsvamp
Kolflarnlav
Motaggsvamp
Dropptaggsvamp
Plattlummer
Skarp dropptaggsvamp</t>
        </is>
      </c>
      <c r="S181">
        <f>HYPERLINK("https://klasma.github.io/Logging_2510/artfynd/A 49857-2025 artfynd.xlsx", "A 49857-2025")</f>
        <v/>
      </c>
      <c r="T181">
        <f>HYPERLINK("https://klasma.github.io/Logging_2510/kartor/A 49857-2025 karta.png", "A 49857-2025")</f>
        <v/>
      </c>
      <c r="V181">
        <f>HYPERLINK("https://klasma.github.io/Logging_2510/klagomål/A 49857-2025 FSC-klagomål.docx", "A 49857-2025")</f>
        <v/>
      </c>
      <c r="W181">
        <f>HYPERLINK("https://klasma.github.io/Logging_2510/klagomålsmail/A 49857-2025 FSC-klagomål mail.docx", "A 49857-2025")</f>
        <v/>
      </c>
      <c r="X181">
        <f>HYPERLINK("https://klasma.github.io/Logging_2510/tillsyn/A 49857-2025 tillsynsbegäran.docx", "A 49857-2025")</f>
        <v/>
      </c>
      <c r="Y181">
        <f>HYPERLINK("https://klasma.github.io/Logging_2510/tillsynsmail/A 49857-2025 tillsynsbegäran mail.docx", "A 49857-2025")</f>
        <v/>
      </c>
    </row>
    <row r="182" ht="15" customHeight="1">
      <c r="A182" t="inlineStr">
        <is>
          <t>A 50352-2025</t>
        </is>
      </c>
      <c r="B182" s="1" t="n">
        <v>45944</v>
      </c>
      <c r="C182" s="1" t="n">
        <v>46046</v>
      </c>
      <c r="D182" t="inlineStr">
        <is>
          <t>NORRBOTTENS LÄN</t>
        </is>
      </c>
      <c r="E182" t="inlineStr">
        <is>
          <t>ÄLVSBYN</t>
        </is>
      </c>
      <c r="F182" t="inlineStr">
        <is>
          <t>Sveaskog</t>
        </is>
      </c>
      <c r="G182" t="n">
        <v>17.5</v>
      </c>
      <c r="H182" t="n">
        <v>0</v>
      </c>
      <c r="I182" t="n">
        <v>2</v>
      </c>
      <c r="J182" t="n">
        <v>4</v>
      </c>
      <c r="K182" t="n">
        <v>0</v>
      </c>
      <c r="L182" t="n">
        <v>0</v>
      </c>
      <c r="M182" t="n">
        <v>0</v>
      </c>
      <c r="N182" t="n">
        <v>0</v>
      </c>
      <c r="O182" t="n">
        <v>4</v>
      </c>
      <c r="P182" t="n">
        <v>0</v>
      </c>
      <c r="Q182" t="n">
        <v>6</v>
      </c>
      <c r="R182" s="2" t="inlineStr">
        <is>
          <t>Garnlav
Kolflarnlav
Lunglav
Vedflamlav
Skarp dropptaggsvamp
Stuplav</t>
        </is>
      </c>
      <c r="S182">
        <f>HYPERLINK("https://klasma.github.io/Logging_2560/artfynd/A 50352-2025 artfynd.xlsx", "A 50352-2025")</f>
        <v/>
      </c>
      <c r="T182">
        <f>HYPERLINK("https://klasma.github.io/Logging_2560/kartor/A 50352-2025 karta.png", "A 50352-2025")</f>
        <v/>
      </c>
      <c r="V182">
        <f>HYPERLINK("https://klasma.github.io/Logging_2560/klagomål/A 50352-2025 FSC-klagomål.docx", "A 50352-2025")</f>
        <v/>
      </c>
      <c r="W182">
        <f>HYPERLINK("https://klasma.github.io/Logging_2560/klagomålsmail/A 50352-2025 FSC-klagomål mail.docx", "A 50352-2025")</f>
        <v/>
      </c>
      <c r="X182">
        <f>HYPERLINK("https://klasma.github.io/Logging_2560/tillsyn/A 50352-2025 tillsynsbegäran.docx", "A 50352-2025")</f>
        <v/>
      </c>
      <c r="Y182">
        <f>HYPERLINK("https://klasma.github.io/Logging_2560/tillsynsmail/A 50352-2025 tillsynsbegäran mail.docx", "A 50352-2025")</f>
        <v/>
      </c>
    </row>
    <row r="183" ht="15" customHeight="1">
      <c r="A183" t="inlineStr">
        <is>
          <t>A 25229-2023</t>
        </is>
      </c>
      <c r="B183" s="1" t="n">
        <v>45079</v>
      </c>
      <c r="C183" s="1" t="n">
        <v>46046</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53100-2025</t>
        </is>
      </c>
      <c r="B184" s="1" t="n">
        <v>45958.42958333333</v>
      </c>
      <c r="C184" s="1" t="n">
        <v>46046</v>
      </c>
      <c r="D184" t="inlineStr">
        <is>
          <t>NORRBOTTENS LÄN</t>
        </is>
      </c>
      <c r="E184" t="inlineStr">
        <is>
          <t>PITEÅ</t>
        </is>
      </c>
      <c r="G184" t="n">
        <v>54.8</v>
      </c>
      <c r="H184" t="n">
        <v>1</v>
      </c>
      <c r="I184" t="n">
        <v>2</v>
      </c>
      <c r="J184" t="n">
        <v>4</v>
      </c>
      <c r="K184" t="n">
        <v>0</v>
      </c>
      <c r="L184" t="n">
        <v>0</v>
      </c>
      <c r="M184" t="n">
        <v>0</v>
      </c>
      <c r="N184" t="n">
        <v>0</v>
      </c>
      <c r="O184" t="n">
        <v>4</v>
      </c>
      <c r="P184" t="n">
        <v>0</v>
      </c>
      <c r="Q184" t="n">
        <v>6</v>
      </c>
      <c r="R184" s="2" t="inlineStr">
        <is>
          <t>Blanksvart spiklav
Spillkråka
Vedflamlav
Vedskivlav
Björksplintborre
Dropptaggsvamp</t>
        </is>
      </c>
      <c r="S184">
        <f>HYPERLINK("https://klasma.github.io/Logging_2581/artfynd/A 53100-2025 artfynd.xlsx", "A 53100-2025")</f>
        <v/>
      </c>
      <c r="T184">
        <f>HYPERLINK("https://klasma.github.io/Logging_2581/kartor/A 53100-2025 karta.png", "A 53100-2025")</f>
        <v/>
      </c>
      <c r="V184">
        <f>HYPERLINK("https://klasma.github.io/Logging_2581/klagomål/A 53100-2025 FSC-klagomål.docx", "A 53100-2025")</f>
        <v/>
      </c>
      <c r="W184">
        <f>HYPERLINK("https://klasma.github.io/Logging_2581/klagomålsmail/A 53100-2025 FSC-klagomål mail.docx", "A 53100-2025")</f>
        <v/>
      </c>
      <c r="X184">
        <f>HYPERLINK("https://klasma.github.io/Logging_2581/tillsyn/A 53100-2025 tillsynsbegäran.docx", "A 53100-2025")</f>
        <v/>
      </c>
      <c r="Y184">
        <f>HYPERLINK("https://klasma.github.io/Logging_2581/tillsynsmail/A 53100-2025 tillsynsbegäran mail.docx", "A 53100-2025")</f>
        <v/>
      </c>
      <c r="Z184">
        <f>HYPERLINK("https://klasma.github.io/Logging_2581/fåglar/A 53100-2025 prioriterade fågelarter.docx", "A 53100-2025")</f>
        <v/>
      </c>
    </row>
    <row r="185" ht="15" customHeight="1">
      <c r="A185" t="inlineStr">
        <is>
          <t>A 53440-2025</t>
        </is>
      </c>
      <c r="B185" s="1" t="n">
        <v>45959</v>
      </c>
      <c r="C185" s="1" t="n">
        <v>46046</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40208-2025</t>
        </is>
      </c>
      <c r="B186" s="1" t="n">
        <v>45894</v>
      </c>
      <c r="C186" s="1" t="n">
        <v>46046</v>
      </c>
      <c r="D186" t="inlineStr">
        <is>
          <t>NORRBOTTENS LÄN</t>
        </is>
      </c>
      <c r="E186" t="inlineStr">
        <is>
          <t>ÖVERKALIX</t>
        </is>
      </c>
      <c r="F186" t="inlineStr">
        <is>
          <t>Sveaskog</t>
        </is>
      </c>
      <c r="G186" t="n">
        <v>23.5</v>
      </c>
      <c r="H186" t="n">
        <v>3</v>
      </c>
      <c r="I186" t="n">
        <v>2</v>
      </c>
      <c r="J186" t="n">
        <v>2</v>
      </c>
      <c r="K186" t="n">
        <v>1</v>
      </c>
      <c r="L186" t="n">
        <v>0</v>
      </c>
      <c r="M186" t="n">
        <v>0</v>
      </c>
      <c r="N186" t="n">
        <v>0</v>
      </c>
      <c r="O186" t="n">
        <v>3</v>
      </c>
      <c r="P186" t="n">
        <v>1</v>
      </c>
      <c r="Q186" t="n">
        <v>6</v>
      </c>
      <c r="R186" s="2" t="inlineStr">
        <is>
          <t>Knärot
Garnlav
Lunglav
Plattlummer
Stuplav
Fläcknycklar</t>
        </is>
      </c>
      <c r="S186">
        <f>HYPERLINK("https://klasma.github.io/Logging_2513/artfynd/A 40208-2025 artfynd.xlsx", "A 40208-2025")</f>
        <v/>
      </c>
      <c r="T186">
        <f>HYPERLINK("https://klasma.github.io/Logging_2513/kartor/A 40208-2025 karta.png", "A 40208-2025")</f>
        <v/>
      </c>
      <c r="U186">
        <f>HYPERLINK("https://klasma.github.io/Logging_2513/knärot/A 40208-2025 karta knärot.png", "A 40208-2025")</f>
        <v/>
      </c>
      <c r="V186">
        <f>HYPERLINK("https://klasma.github.io/Logging_2513/klagomål/A 40208-2025 FSC-klagomål.docx", "A 40208-2025")</f>
        <v/>
      </c>
      <c r="W186">
        <f>HYPERLINK("https://klasma.github.io/Logging_2513/klagomålsmail/A 40208-2025 FSC-klagomål mail.docx", "A 40208-2025")</f>
        <v/>
      </c>
      <c r="X186">
        <f>HYPERLINK("https://klasma.github.io/Logging_2513/tillsyn/A 40208-2025 tillsynsbegäran.docx", "A 40208-2025")</f>
        <v/>
      </c>
      <c r="Y186">
        <f>HYPERLINK("https://klasma.github.io/Logging_2513/tillsynsmail/A 40208-2025 tillsynsbegäran mail.docx", "A 40208-2025")</f>
        <v/>
      </c>
    </row>
    <row r="187" ht="15" customHeight="1">
      <c r="A187" t="inlineStr">
        <is>
          <t>A 58557-2025</t>
        </is>
      </c>
      <c r="B187" s="1" t="n">
        <v>45986.3443287037</v>
      </c>
      <c r="C187" s="1" t="n">
        <v>46046</v>
      </c>
      <c r="D187" t="inlineStr">
        <is>
          <t>NORRBOTTENS LÄN</t>
        </is>
      </c>
      <c r="E187" t="inlineStr">
        <is>
          <t>JOKKMOKK</t>
        </is>
      </c>
      <c r="F187" t="inlineStr">
        <is>
          <t>SCA</t>
        </is>
      </c>
      <c r="G187" t="n">
        <v>6.7</v>
      </c>
      <c r="H187" t="n">
        <v>0</v>
      </c>
      <c r="I187" t="n">
        <v>1</v>
      </c>
      <c r="J187" t="n">
        <v>2</v>
      </c>
      <c r="K187" t="n">
        <v>3</v>
      </c>
      <c r="L187" t="n">
        <v>0</v>
      </c>
      <c r="M187" t="n">
        <v>0</v>
      </c>
      <c r="N187" t="n">
        <v>0</v>
      </c>
      <c r="O187" t="n">
        <v>5</v>
      </c>
      <c r="P187" t="n">
        <v>3</v>
      </c>
      <c r="Q187" t="n">
        <v>6</v>
      </c>
      <c r="R187" s="2" t="inlineStr">
        <is>
          <t>Goliatmusseron
Jättemusseron
Tallgråticka
Blå taggsvamp
Orange taggsvamp
Skarp dropptaggsvamp</t>
        </is>
      </c>
      <c r="S187">
        <f>HYPERLINK("https://klasma.github.io/Logging_2510/artfynd/A 58557-2025 artfynd.xlsx", "A 58557-2025")</f>
        <v/>
      </c>
      <c r="T187">
        <f>HYPERLINK("https://klasma.github.io/Logging_2510/kartor/A 58557-2025 karta.png", "A 58557-2025")</f>
        <v/>
      </c>
      <c r="V187">
        <f>HYPERLINK("https://klasma.github.io/Logging_2510/klagomål/A 58557-2025 FSC-klagomål.docx", "A 58557-2025")</f>
        <v/>
      </c>
      <c r="W187">
        <f>HYPERLINK("https://klasma.github.io/Logging_2510/klagomålsmail/A 58557-2025 FSC-klagomål mail.docx", "A 58557-2025")</f>
        <v/>
      </c>
      <c r="X187">
        <f>HYPERLINK("https://klasma.github.io/Logging_2510/tillsyn/A 58557-2025 tillsynsbegäran.docx", "A 58557-2025")</f>
        <v/>
      </c>
      <c r="Y187">
        <f>HYPERLINK("https://klasma.github.io/Logging_2510/tillsynsmail/A 58557-2025 tillsynsbegäran mail.docx", "A 58557-2025")</f>
        <v/>
      </c>
    </row>
    <row r="188" ht="15" customHeight="1">
      <c r="A188" t="inlineStr">
        <is>
          <t>A 61913-2025</t>
        </is>
      </c>
      <c r="B188" s="1" t="n">
        <v>46003.49008101852</v>
      </c>
      <c r="C188" s="1" t="n">
        <v>46046</v>
      </c>
      <c r="D188" t="inlineStr">
        <is>
          <t>NORRBOTTENS LÄN</t>
        </is>
      </c>
      <c r="E188" t="inlineStr">
        <is>
          <t>GÄLLIVARE</t>
        </is>
      </c>
      <c r="F188" t="inlineStr">
        <is>
          <t>SCA</t>
        </is>
      </c>
      <c r="G188" t="n">
        <v>11.8</v>
      </c>
      <c r="H188" t="n">
        <v>1</v>
      </c>
      <c r="I188" t="n">
        <v>3</v>
      </c>
      <c r="J188" t="n">
        <v>2</v>
      </c>
      <c r="K188" t="n">
        <v>1</v>
      </c>
      <c r="L188" t="n">
        <v>0</v>
      </c>
      <c r="M188" t="n">
        <v>0</v>
      </c>
      <c r="N188" t="n">
        <v>0</v>
      </c>
      <c r="O188" t="n">
        <v>3</v>
      </c>
      <c r="P188" t="n">
        <v>1</v>
      </c>
      <c r="Q188" t="n">
        <v>6</v>
      </c>
      <c r="R188" s="2" t="inlineStr">
        <is>
          <t>Fläckporing
Granticka
Stjärntagging
Spindelblomster
Stuplav
Ögonpyrola</t>
        </is>
      </c>
      <c r="S188">
        <f>HYPERLINK("https://klasma.github.io/Logging_2523/artfynd/A 61913-2025 artfynd.xlsx", "A 61913-2025")</f>
        <v/>
      </c>
      <c r="T188">
        <f>HYPERLINK("https://klasma.github.io/Logging_2523/kartor/A 61913-2025 karta.png", "A 61913-2025")</f>
        <v/>
      </c>
      <c r="V188">
        <f>HYPERLINK("https://klasma.github.io/Logging_2523/klagomål/A 61913-2025 FSC-klagomål.docx", "A 61913-2025")</f>
        <v/>
      </c>
      <c r="W188">
        <f>HYPERLINK("https://klasma.github.io/Logging_2523/klagomålsmail/A 61913-2025 FSC-klagomål mail.docx", "A 61913-2025")</f>
        <v/>
      </c>
      <c r="X188">
        <f>HYPERLINK("https://klasma.github.io/Logging_2523/tillsyn/A 61913-2025 tillsynsbegäran.docx", "A 61913-2025")</f>
        <v/>
      </c>
      <c r="Y188">
        <f>HYPERLINK("https://klasma.github.io/Logging_2523/tillsynsmail/A 61913-2025 tillsynsbegäran mail.docx", "A 61913-2025")</f>
        <v/>
      </c>
    </row>
    <row r="189" ht="15" customHeight="1">
      <c r="A189" t="inlineStr">
        <is>
          <t>A 1025-2026</t>
        </is>
      </c>
      <c r="B189" s="1" t="n">
        <v>46029</v>
      </c>
      <c r="C189" s="1" t="n">
        <v>46046</v>
      </c>
      <c r="D189" t="inlineStr">
        <is>
          <t>NORRBOTTENS LÄN</t>
        </is>
      </c>
      <c r="E189" t="inlineStr">
        <is>
          <t>PAJALA</t>
        </is>
      </c>
      <c r="F189" t="inlineStr">
        <is>
          <t>Allmännings- och besparingsskogar</t>
        </is>
      </c>
      <c r="G189" t="n">
        <v>37.5</v>
      </c>
      <c r="H189" t="n">
        <v>0</v>
      </c>
      <c r="I189" t="n">
        <v>0</v>
      </c>
      <c r="J189" t="n">
        <v>3</v>
      </c>
      <c r="K189" t="n">
        <v>3</v>
      </c>
      <c r="L189" t="n">
        <v>0</v>
      </c>
      <c r="M189" t="n">
        <v>0</v>
      </c>
      <c r="N189" t="n">
        <v>0</v>
      </c>
      <c r="O189" t="n">
        <v>6</v>
      </c>
      <c r="P189" t="n">
        <v>3</v>
      </c>
      <c r="Q189" t="n">
        <v>6</v>
      </c>
      <c r="R189" s="2" t="inlineStr">
        <is>
          <t>Fläckporing
Tallgråticka
Tallmusseron
Skrovlig taggsvamp
Talltaggsvamp
Vaddporing</t>
        </is>
      </c>
      <c r="S189">
        <f>HYPERLINK("https://klasma.github.io/Logging_2521/artfynd/A 1025-2026 artfynd.xlsx", "A 1025-2026")</f>
        <v/>
      </c>
      <c r="T189">
        <f>HYPERLINK("https://klasma.github.io/Logging_2521/kartor/A 1025-2026 karta.png", "A 1025-2026")</f>
        <v/>
      </c>
      <c r="V189">
        <f>HYPERLINK("https://klasma.github.io/Logging_2521/klagomål/A 1025-2026 FSC-klagomål.docx", "A 1025-2026")</f>
        <v/>
      </c>
      <c r="W189">
        <f>HYPERLINK("https://klasma.github.io/Logging_2521/klagomålsmail/A 1025-2026 FSC-klagomål mail.docx", "A 1025-2026")</f>
        <v/>
      </c>
      <c r="X189">
        <f>HYPERLINK("https://klasma.github.io/Logging_2521/tillsyn/A 1025-2026 tillsynsbegäran.docx", "A 1025-2026")</f>
        <v/>
      </c>
      <c r="Y189">
        <f>HYPERLINK("https://klasma.github.io/Logging_2521/tillsynsmail/A 1025-2026 tillsynsbegäran mail.docx", "A 1025-2026")</f>
        <v/>
      </c>
    </row>
    <row r="190" ht="15" customHeight="1">
      <c r="A190" t="inlineStr">
        <is>
          <t>A 48650-2021</t>
        </is>
      </c>
      <c r="B190" s="1" t="n">
        <v>44452</v>
      </c>
      <c r="C190" s="1" t="n">
        <v>46046</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73616-2021</t>
        </is>
      </c>
      <c r="B191" s="1" t="n">
        <v>44552.41238425926</v>
      </c>
      <c r="C191" s="1" t="n">
        <v>46046</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46046</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34792-2022</t>
        </is>
      </c>
      <c r="B193" s="1" t="n">
        <v>44795</v>
      </c>
      <c r="C193" s="1" t="n">
        <v>46046</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38989-2023</t>
        </is>
      </c>
      <c r="B194" s="1" t="n">
        <v>45163.65806712963</v>
      </c>
      <c r="C194" s="1" t="n">
        <v>46046</v>
      </c>
      <c r="D194" t="inlineStr">
        <is>
          <t>NORRBOTTENS LÄN</t>
        </is>
      </c>
      <c r="E194" t="inlineStr">
        <is>
          <t>ÖVERKALIX</t>
        </is>
      </c>
      <c r="F194" t="inlineStr">
        <is>
          <t>Sveaskog</t>
        </is>
      </c>
      <c r="G194" t="n">
        <v>2</v>
      </c>
      <c r="H194" t="n">
        <v>0</v>
      </c>
      <c r="I194" t="n">
        <v>1</v>
      </c>
      <c r="J194" t="n">
        <v>3</v>
      </c>
      <c r="K194" t="n">
        <v>1</v>
      </c>
      <c r="L194" t="n">
        <v>0</v>
      </c>
      <c r="M194" t="n">
        <v>0</v>
      </c>
      <c r="N194" t="n">
        <v>0</v>
      </c>
      <c r="O194" t="n">
        <v>4</v>
      </c>
      <c r="P194" t="n">
        <v>1</v>
      </c>
      <c r="Q194" t="n">
        <v>5</v>
      </c>
      <c r="R194" s="2" t="inlineStr">
        <is>
          <t>Goliatmusseron
Blå taggsvamp
Motaggsvamp
Orange taggsvamp
Dropptaggsvamp</t>
        </is>
      </c>
      <c r="S194">
        <f>HYPERLINK("https://klasma.github.io/Logging_2513/artfynd/A 38989-2023 artfynd.xlsx", "A 38989-2023")</f>
        <v/>
      </c>
      <c r="T194">
        <f>HYPERLINK("https://klasma.github.io/Logging_2513/kartor/A 38989-2023 karta.png", "A 38989-2023")</f>
        <v/>
      </c>
      <c r="V194">
        <f>HYPERLINK("https://klasma.github.io/Logging_2513/klagomål/A 38989-2023 FSC-klagomål.docx", "A 38989-2023")</f>
        <v/>
      </c>
      <c r="W194">
        <f>HYPERLINK("https://klasma.github.io/Logging_2513/klagomålsmail/A 38989-2023 FSC-klagomål mail.docx", "A 38989-2023")</f>
        <v/>
      </c>
      <c r="X194">
        <f>HYPERLINK("https://klasma.github.io/Logging_2513/tillsyn/A 38989-2023 tillsynsbegäran.docx", "A 38989-2023")</f>
        <v/>
      </c>
      <c r="Y194">
        <f>HYPERLINK("https://klasma.github.io/Logging_2513/tillsynsmail/A 38989-2023 tillsynsbegäran mail.docx", "A 38989-2023")</f>
        <v/>
      </c>
    </row>
    <row r="195" ht="15" customHeight="1">
      <c r="A195" t="inlineStr">
        <is>
          <t>A 54960-2021</t>
        </is>
      </c>
      <c r="B195" s="1" t="n">
        <v>44474</v>
      </c>
      <c r="C195" s="1" t="n">
        <v>46046</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20570-2025</t>
        </is>
      </c>
      <c r="B196" s="1" t="n">
        <v>45775</v>
      </c>
      <c r="C196" s="1" t="n">
        <v>46046</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18760-2023</t>
        </is>
      </c>
      <c r="B197" s="1" t="n">
        <v>45043</v>
      </c>
      <c r="C197" s="1" t="n">
        <v>46046</v>
      </c>
      <c r="D197" t="inlineStr">
        <is>
          <t>NORRBOTTENS LÄN</t>
        </is>
      </c>
      <c r="E197" t="inlineStr">
        <is>
          <t>LULEÅ</t>
        </is>
      </c>
      <c r="G197" t="n">
        <v>10.3</v>
      </c>
      <c r="H197" t="n">
        <v>1</v>
      </c>
      <c r="I197" t="n">
        <v>2</v>
      </c>
      <c r="J197" t="n">
        <v>3</v>
      </c>
      <c r="K197" t="n">
        <v>0</v>
      </c>
      <c r="L197" t="n">
        <v>0</v>
      </c>
      <c r="M197" t="n">
        <v>0</v>
      </c>
      <c r="N197" t="n">
        <v>0</v>
      </c>
      <c r="O197" t="n">
        <v>3</v>
      </c>
      <c r="P197" t="n">
        <v>0</v>
      </c>
      <c r="Q197" t="n">
        <v>5</v>
      </c>
      <c r="R197" s="2" t="inlineStr">
        <is>
          <t>Granticka
Harticka
Tretåig hackspett
Skinnlav
Vedticka</t>
        </is>
      </c>
      <c r="S197">
        <f>HYPERLINK("https://klasma.github.io/Logging_2580/artfynd/A 18760-2023 artfynd.xlsx", "A 18760-2023")</f>
        <v/>
      </c>
      <c r="T197">
        <f>HYPERLINK("https://klasma.github.io/Logging_2580/kartor/A 18760-2023 karta.png", "A 18760-2023")</f>
        <v/>
      </c>
      <c r="V197">
        <f>HYPERLINK("https://klasma.github.io/Logging_2580/klagomål/A 18760-2023 FSC-klagomål.docx", "A 18760-2023")</f>
        <v/>
      </c>
      <c r="W197">
        <f>HYPERLINK("https://klasma.github.io/Logging_2580/klagomålsmail/A 18760-2023 FSC-klagomål mail.docx", "A 18760-2023")</f>
        <v/>
      </c>
      <c r="X197">
        <f>HYPERLINK("https://klasma.github.io/Logging_2580/tillsyn/A 18760-2023 tillsynsbegäran.docx", "A 18760-2023")</f>
        <v/>
      </c>
      <c r="Y197">
        <f>HYPERLINK("https://klasma.github.io/Logging_2580/tillsynsmail/A 18760-2023 tillsynsbegäran mail.docx", "A 18760-2023")</f>
        <v/>
      </c>
      <c r="Z197">
        <f>HYPERLINK("https://klasma.github.io/Logging_2580/fåglar/A 18760-2023 prioriterade fågelarter.docx", "A 18760-2023")</f>
        <v/>
      </c>
    </row>
    <row r="198" ht="15" customHeight="1">
      <c r="A198" t="inlineStr">
        <is>
          <t>A 15202-2023</t>
        </is>
      </c>
      <c r="B198" s="1" t="n">
        <v>45017</v>
      </c>
      <c r="C198" s="1" t="n">
        <v>46046</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49422-2023</t>
        </is>
      </c>
      <c r="B199" s="1" t="n">
        <v>45211.46008101852</v>
      </c>
      <c r="C199" s="1" t="n">
        <v>46046</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71719-2021</t>
        </is>
      </c>
      <c r="B200" s="1" t="n">
        <v>44539</v>
      </c>
      <c r="C200" s="1" t="n">
        <v>46046</v>
      </c>
      <c r="D200" t="inlineStr">
        <is>
          <t>NORRBOTTENS LÄN</t>
        </is>
      </c>
      <c r="E200" t="inlineStr">
        <is>
          <t>PITEÅ</t>
        </is>
      </c>
      <c r="F200" t="inlineStr">
        <is>
          <t>Kommuner</t>
        </is>
      </c>
      <c r="G200" t="n">
        <v>3.1</v>
      </c>
      <c r="H200" t="n">
        <v>1</v>
      </c>
      <c r="I200" t="n">
        <v>1</v>
      </c>
      <c r="J200" t="n">
        <v>4</v>
      </c>
      <c r="K200" t="n">
        <v>0</v>
      </c>
      <c r="L200" t="n">
        <v>0</v>
      </c>
      <c r="M200" t="n">
        <v>0</v>
      </c>
      <c r="N200" t="n">
        <v>0</v>
      </c>
      <c r="O200" t="n">
        <v>4</v>
      </c>
      <c r="P200" t="n">
        <v>0</v>
      </c>
      <c r="Q200" t="n">
        <v>5</v>
      </c>
      <c r="R200" s="2" t="inlineStr">
        <is>
          <t>Motaggsvamp
Orange taggsvamp
Skrovlig taggsvamp
Svartvit taggsvamp
Plattlummer</t>
        </is>
      </c>
      <c r="S200">
        <f>HYPERLINK("https://klasma.github.io/Logging_2581/artfynd/A 71719-2021 artfynd.xlsx", "A 71719-2021")</f>
        <v/>
      </c>
      <c r="T200">
        <f>HYPERLINK("https://klasma.github.io/Logging_2581/kartor/A 71719-2021 karta.png", "A 71719-2021")</f>
        <v/>
      </c>
      <c r="V200">
        <f>HYPERLINK("https://klasma.github.io/Logging_2581/klagomål/A 71719-2021 FSC-klagomål.docx", "A 71719-2021")</f>
        <v/>
      </c>
      <c r="W200">
        <f>HYPERLINK("https://klasma.github.io/Logging_2581/klagomålsmail/A 71719-2021 FSC-klagomål mail.docx", "A 71719-2021")</f>
        <v/>
      </c>
      <c r="X200">
        <f>HYPERLINK("https://klasma.github.io/Logging_2581/tillsyn/A 71719-2021 tillsynsbegäran.docx", "A 71719-2021")</f>
        <v/>
      </c>
      <c r="Y200">
        <f>HYPERLINK("https://klasma.github.io/Logging_2581/tillsynsmail/A 71719-2021 tillsynsbegäran mail.docx", "A 71719-2021")</f>
        <v/>
      </c>
    </row>
    <row r="201" ht="15" customHeight="1">
      <c r="A201" t="inlineStr">
        <is>
          <t>A 31305-2021</t>
        </is>
      </c>
      <c r="B201" s="1" t="n">
        <v>44368</v>
      </c>
      <c r="C201" s="1" t="n">
        <v>46046</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51389-2022</t>
        </is>
      </c>
      <c r="B202" s="1" t="n">
        <v>44869</v>
      </c>
      <c r="C202" s="1" t="n">
        <v>46046</v>
      </c>
      <c r="D202" t="inlineStr">
        <is>
          <t>NORRBOTTENS LÄN</t>
        </is>
      </c>
      <c r="E202" t="inlineStr">
        <is>
          <t>BODEN</t>
        </is>
      </c>
      <c r="F202" t="inlineStr">
        <is>
          <t>Övriga statliga verk och myndigheter</t>
        </is>
      </c>
      <c r="G202" t="n">
        <v>15.6</v>
      </c>
      <c r="H202" t="n">
        <v>5</v>
      </c>
      <c r="I202" t="n">
        <v>0</v>
      </c>
      <c r="J202" t="n">
        <v>3</v>
      </c>
      <c r="K202" t="n">
        <v>1</v>
      </c>
      <c r="L202" t="n">
        <v>0</v>
      </c>
      <c r="M202" t="n">
        <v>0</v>
      </c>
      <c r="N202" t="n">
        <v>0</v>
      </c>
      <c r="O202" t="n">
        <v>4</v>
      </c>
      <c r="P202" t="n">
        <v>1</v>
      </c>
      <c r="Q202" t="n">
        <v>5</v>
      </c>
      <c r="R202" s="2" t="inlineStr">
        <is>
          <t>Tallbit
Grönsångare
Järpe
Talltita
Orre</t>
        </is>
      </c>
      <c r="S202">
        <f>HYPERLINK("https://klasma.github.io/Logging_2582/artfynd/A 51389-2022 artfynd.xlsx", "A 51389-2022")</f>
        <v/>
      </c>
      <c r="T202">
        <f>HYPERLINK("https://klasma.github.io/Logging_2582/kartor/A 51389-2022 karta.png", "A 51389-2022")</f>
        <v/>
      </c>
      <c r="V202">
        <f>HYPERLINK("https://klasma.github.io/Logging_2582/klagomål/A 51389-2022 FSC-klagomål.docx", "A 51389-2022")</f>
        <v/>
      </c>
      <c r="W202">
        <f>HYPERLINK("https://klasma.github.io/Logging_2582/klagomålsmail/A 51389-2022 FSC-klagomål mail.docx", "A 51389-2022")</f>
        <v/>
      </c>
      <c r="X202">
        <f>HYPERLINK("https://klasma.github.io/Logging_2582/tillsyn/A 51389-2022 tillsynsbegäran.docx", "A 51389-2022")</f>
        <v/>
      </c>
      <c r="Y202">
        <f>HYPERLINK("https://klasma.github.io/Logging_2582/tillsynsmail/A 51389-2022 tillsynsbegäran mail.docx", "A 51389-2022")</f>
        <v/>
      </c>
      <c r="Z202">
        <f>HYPERLINK("https://klasma.github.io/Logging_2582/fåglar/A 51389-2022 prioriterade fågelarter.docx", "A 51389-2022")</f>
        <v/>
      </c>
    </row>
    <row r="203" ht="15" customHeight="1">
      <c r="A203" t="inlineStr">
        <is>
          <t>A 19598-2023</t>
        </is>
      </c>
      <c r="B203" s="1" t="n">
        <v>45049</v>
      </c>
      <c r="C203" s="1" t="n">
        <v>46046</v>
      </c>
      <c r="D203" t="inlineStr">
        <is>
          <t>NORRBOTTENS LÄN</t>
        </is>
      </c>
      <c r="E203" t="inlineStr">
        <is>
          <t>BODEN</t>
        </is>
      </c>
      <c r="G203" t="n">
        <v>1.8</v>
      </c>
      <c r="H203" t="n">
        <v>1</v>
      </c>
      <c r="I203" t="n">
        <v>2</v>
      </c>
      <c r="J203" t="n">
        <v>2</v>
      </c>
      <c r="K203" t="n">
        <v>1</v>
      </c>
      <c r="L203" t="n">
        <v>0</v>
      </c>
      <c r="M203" t="n">
        <v>0</v>
      </c>
      <c r="N203" t="n">
        <v>0</v>
      </c>
      <c r="O203" t="n">
        <v>3</v>
      </c>
      <c r="P203" t="n">
        <v>1</v>
      </c>
      <c r="Q203" t="n">
        <v>5</v>
      </c>
      <c r="R203" s="2" t="inlineStr">
        <is>
          <t>Grenlav
Garnlav
Granticka
Källpraktmossa
Lappranunkel</t>
        </is>
      </c>
      <c r="S203">
        <f>HYPERLINK("https://klasma.github.io/Logging_2582/artfynd/A 19598-2023 artfynd.xlsx", "A 19598-2023")</f>
        <v/>
      </c>
      <c r="T203">
        <f>HYPERLINK("https://klasma.github.io/Logging_2582/kartor/A 19598-2023 karta.png", "A 19598-2023")</f>
        <v/>
      </c>
      <c r="V203">
        <f>HYPERLINK("https://klasma.github.io/Logging_2582/klagomål/A 19598-2023 FSC-klagomål.docx", "A 19598-2023")</f>
        <v/>
      </c>
      <c r="W203">
        <f>HYPERLINK("https://klasma.github.io/Logging_2582/klagomålsmail/A 19598-2023 FSC-klagomål mail.docx", "A 19598-2023")</f>
        <v/>
      </c>
      <c r="X203">
        <f>HYPERLINK("https://klasma.github.io/Logging_2582/tillsyn/A 19598-2023 tillsynsbegäran.docx", "A 19598-2023")</f>
        <v/>
      </c>
      <c r="Y203">
        <f>HYPERLINK("https://klasma.github.io/Logging_2582/tillsynsmail/A 19598-2023 tillsynsbegäran mail.docx", "A 19598-2023")</f>
        <v/>
      </c>
    </row>
    <row r="204" ht="15" customHeight="1">
      <c r="A204" t="inlineStr">
        <is>
          <t>A 33135-2024</t>
        </is>
      </c>
      <c r="B204" s="1" t="n">
        <v>45518</v>
      </c>
      <c r="C204" s="1" t="n">
        <v>46046</v>
      </c>
      <c r="D204" t="inlineStr">
        <is>
          <t>NORRBOTTENS LÄN</t>
        </is>
      </c>
      <c r="E204" t="inlineStr">
        <is>
          <t>PITEÅ</t>
        </is>
      </c>
      <c r="G204" t="n">
        <v>8.800000000000001</v>
      </c>
      <c r="H204" t="n">
        <v>2</v>
      </c>
      <c r="I204" t="n">
        <v>0</v>
      </c>
      <c r="J204" t="n">
        <v>5</v>
      </c>
      <c r="K204" t="n">
        <v>0</v>
      </c>
      <c r="L204" t="n">
        <v>0</v>
      </c>
      <c r="M204" t="n">
        <v>0</v>
      </c>
      <c r="N204" t="n">
        <v>0</v>
      </c>
      <c r="O204" t="n">
        <v>5</v>
      </c>
      <c r="P204" t="n">
        <v>0</v>
      </c>
      <c r="Q204" t="n">
        <v>5</v>
      </c>
      <c r="R204" s="2" t="inlineStr">
        <is>
          <t>Igelkott
Spillkråka
Stjärntagging
Tretåig hackspett
Vitgrynig nållav</t>
        </is>
      </c>
      <c r="S204">
        <f>HYPERLINK("https://klasma.github.io/Logging_2581/artfynd/A 33135-2024 artfynd.xlsx", "A 33135-2024")</f>
        <v/>
      </c>
      <c r="T204">
        <f>HYPERLINK("https://klasma.github.io/Logging_2581/kartor/A 33135-2024 karta.png", "A 33135-2024")</f>
        <v/>
      </c>
      <c r="V204">
        <f>HYPERLINK("https://klasma.github.io/Logging_2581/klagomål/A 33135-2024 FSC-klagomål.docx", "A 33135-2024")</f>
        <v/>
      </c>
      <c r="W204">
        <f>HYPERLINK("https://klasma.github.io/Logging_2581/klagomålsmail/A 33135-2024 FSC-klagomål mail.docx", "A 33135-2024")</f>
        <v/>
      </c>
      <c r="X204">
        <f>HYPERLINK("https://klasma.github.io/Logging_2581/tillsyn/A 33135-2024 tillsynsbegäran.docx", "A 33135-2024")</f>
        <v/>
      </c>
      <c r="Y204">
        <f>HYPERLINK("https://klasma.github.io/Logging_2581/tillsynsmail/A 33135-2024 tillsynsbegäran mail.docx", "A 33135-2024")</f>
        <v/>
      </c>
      <c r="Z204">
        <f>HYPERLINK("https://klasma.github.io/Logging_2581/fåglar/A 33135-2024 prioriterade fågelarter.docx", "A 33135-2024")</f>
        <v/>
      </c>
    </row>
    <row r="205" ht="15" customHeight="1">
      <c r="A205" t="inlineStr">
        <is>
          <t>A 57808-2024</t>
        </is>
      </c>
      <c r="B205" s="1" t="n">
        <v>45631</v>
      </c>
      <c r="C205" s="1" t="n">
        <v>46046</v>
      </c>
      <c r="D205" t="inlineStr">
        <is>
          <t>NORRBOTTENS LÄN</t>
        </is>
      </c>
      <c r="E205" t="inlineStr">
        <is>
          <t>PITEÅ</t>
        </is>
      </c>
      <c r="G205" t="n">
        <v>17.4</v>
      </c>
      <c r="H205" t="n">
        <v>1</v>
      </c>
      <c r="I205" t="n">
        <v>0</v>
      </c>
      <c r="J205" t="n">
        <v>5</v>
      </c>
      <c r="K205" t="n">
        <v>0</v>
      </c>
      <c r="L205" t="n">
        <v>0</v>
      </c>
      <c r="M205" t="n">
        <v>0</v>
      </c>
      <c r="N205" t="n">
        <v>0</v>
      </c>
      <c r="O205" t="n">
        <v>5</v>
      </c>
      <c r="P205" t="n">
        <v>0</v>
      </c>
      <c r="Q205" t="n">
        <v>5</v>
      </c>
      <c r="R205" s="2" t="inlineStr">
        <is>
          <t>Garnlav
Granticka
Lunglav
Spillkråka
Ullticka</t>
        </is>
      </c>
      <c r="S205">
        <f>HYPERLINK("https://klasma.github.io/Logging_2581/artfynd/A 57808-2024 artfynd.xlsx", "A 57808-2024")</f>
        <v/>
      </c>
      <c r="T205">
        <f>HYPERLINK("https://klasma.github.io/Logging_2581/kartor/A 57808-2024 karta.png", "A 57808-2024")</f>
        <v/>
      </c>
      <c r="V205">
        <f>HYPERLINK("https://klasma.github.io/Logging_2581/klagomål/A 57808-2024 FSC-klagomål.docx", "A 57808-2024")</f>
        <v/>
      </c>
      <c r="W205">
        <f>HYPERLINK("https://klasma.github.io/Logging_2581/klagomålsmail/A 57808-2024 FSC-klagomål mail.docx", "A 57808-2024")</f>
        <v/>
      </c>
      <c r="X205">
        <f>HYPERLINK("https://klasma.github.io/Logging_2581/tillsyn/A 57808-2024 tillsynsbegäran.docx", "A 57808-2024")</f>
        <v/>
      </c>
      <c r="Y205">
        <f>HYPERLINK("https://klasma.github.io/Logging_2581/tillsynsmail/A 57808-2024 tillsynsbegäran mail.docx", "A 57808-2024")</f>
        <v/>
      </c>
      <c r="Z205">
        <f>HYPERLINK("https://klasma.github.io/Logging_2581/fåglar/A 57808-2024 prioriterade fågelarter.docx", "A 57808-2024")</f>
        <v/>
      </c>
    </row>
    <row r="206" ht="15" customHeight="1">
      <c r="A206" t="inlineStr">
        <is>
          <t>A 10218-2024</t>
        </is>
      </c>
      <c r="B206" s="1" t="n">
        <v>45364</v>
      </c>
      <c r="C206" s="1" t="n">
        <v>46046</v>
      </c>
      <c r="D206" t="inlineStr">
        <is>
          <t>NORRBOTTENS LÄN</t>
        </is>
      </c>
      <c r="E206" t="inlineStr">
        <is>
          <t>GÄLLIVARE</t>
        </is>
      </c>
      <c r="F206" t="inlineStr">
        <is>
          <t>SCA</t>
        </is>
      </c>
      <c r="G206" t="n">
        <v>18.7</v>
      </c>
      <c r="H206" t="n">
        <v>2</v>
      </c>
      <c r="I206" t="n">
        <v>1</v>
      </c>
      <c r="J206" t="n">
        <v>4</v>
      </c>
      <c r="K206" t="n">
        <v>0</v>
      </c>
      <c r="L206" t="n">
        <v>0</v>
      </c>
      <c r="M206" t="n">
        <v>0</v>
      </c>
      <c r="N206" t="n">
        <v>0</v>
      </c>
      <c r="O206" t="n">
        <v>4</v>
      </c>
      <c r="P206" t="n">
        <v>0</v>
      </c>
      <c r="Q206" t="n">
        <v>5</v>
      </c>
      <c r="R206" s="2" t="inlineStr">
        <is>
          <t>Blanksvart spiklav
Kolflarnlav
Mörk kolflarnlav
Spillkråka
Plattlummer</t>
        </is>
      </c>
      <c r="S206">
        <f>HYPERLINK("https://klasma.github.io/Logging_2523/artfynd/A 10218-2024 artfynd.xlsx", "A 10218-2024")</f>
        <v/>
      </c>
      <c r="T206">
        <f>HYPERLINK("https://klasma.github.io/Logging_2523/kartor/A 10218-2024 karta.png", "A 10218-2024")</f>
        <v/>
      </c>
      <c r="V206">
        <f>HYPERLINK("https://klasma.github.io/Logging_2523/klagomål/A 10218-2024 FSC-klagomål.docx", "A 10218-2024")</f>
        <v/>
      </c>
      <c r="W206">
        <f>HYPERLINK("https://klasma.github.io/Logging_2523/klagomålsmail/A 10218-2024 FSC-klagomål mail.docx", "A 10218-2024")</f>
        <v/>
      </c>
      <c r="X206">
        <f>HYPERLINK("https://klasma.github.io/Logging_2523/tillsyn/A 10218-2024 tillsynsbegäran.docx", "A 10218-2024")</f>
        <v/>
      </c>
      <c r="Y206">
        <f>HYPERLINK("https://klasma.github.io/Logging_2523/tillsynsmail/A 10218-2024 tillsynsbegäran mail.docx", "A 10218-2024")</f>
        <v/>
      </c>
      <c r="Z206">
        <f>HYPERLINK("https://klasma.github.io/Logging_2523/fåglar/A 10218-2024 prioriterade fågelarter.docx", "A 10218-2024")</f>
        <v/>
      </c>
    </row>
    <row r="207" ht="15" customHeight="1">
      <c r="A207" t="inlineStr">
        <is>
          <t>A 22380-2024</t>
        </is>
      </c>
      <c r="B207" s="1" t="n">
        <v>45446</v>
      </c>
      <c r="C207" s="1" t="n">
        <v>46046</v>
      </c>
      <c r="D207" t="inlineStr">
        <is>
          <t>NORRBOTTENS LÄN</t>
        </is>
      </c>
      <c r="E207" t="inlineStr">
        <is>
          <t>ÖVERTORNEÅ</t>
        </is>
      </c>
      <c r="G207" t="n">
        <v>22.9</v>
      </c>
      <c r="H207" t="n">
        <v>2</v>
      </c>
      <c r="I207" t="n">
        <v>1</v>
      </c>
      <c r="J207" t="n">
        <v>4</v>
      </c>
      <c r="K207" t="n">
        <v>0</v>
      </c>
      <c r="L207" t="n">
        <v>0</v>
      </c>
      <c r="M207" t="n">
        <v>0</v>
      </c>
      <c r="N207" t="n">
        <v>0</v>
      </c>
      <c r="O207" t="n">
        <v>4</v>
      </c>
      <c r="P207" t="n">
        <v>0</v>
      </c>
      <c r="Q207" t="n">
        <v>5</v>
      </c>
      <c r="R207" s="2" t="inlineStr">
        <is>
          <t>Garnlav
Spillkråka
Tretåig hackspett
Violmussling
Vedticka</t>
        </is>
      </c>
      <c r="S207">
        <f>HYPERLINK("https://klasma.github.io/Logging_2518/artfynd/A 22380-2024 artfynd.xlsx", "A 22380-2024")</f>
        <v/>
      </c>
      <c r="T207">
        <f>HYPERLINK("https://klasma.github.io/Logging_2518/kartor/A 22380-2024 karta.png", "A 22380-2024")</f>
        <v/>
      </c>
      <c r="V207">
        <f>HYPERLINK("https://klasma.github.io/Logging_2518/klagomål/A 22380-2024 FSC-klagomål.docx", "A 22380-2024")</f>
        <v/>
      </c>
      <c r="W207">
        <f>HYPERLINK("https://klasma.github.io/Logging_2518/klagomålsmail/A 22380-2024 FSC-klagomål mail.docx", "A 22380-2024")</f>
        <v/>
      </c>
      <c r="X207">
        <f>HYPERLINK("https://klasma.github.io/Logging_2518/tillsyn/A 22380-2024 tillsynsbegäran.docx", "A 22380-2024")</f>
        <v/>
      </c>
      <c r="Y207">
        <f>HYPERLINK("https://klasma.github.io/Logging_2518/tillsynsmail/A 22380-2024 tillsynsbegäran mail.docx", "A 22380-2024")</f>
        <v/>
      </c>
      <c r="Z207">
        <f>HYPERLINK("https://klasma.github.io/Logging_2518/fåglar/A 22380-2024 prioriterade fågelarter.docx", "A 22380-2024")</f>
        <v/>
      </c>
    </row>
    <row r="208" ht="15" customHeight="1">
      <c r="A208" t="inlineStr">
        <is>
          <t>A 28418-2025</t>
        </is>
      </c>
      <c r="B208" s="1" t="n">
        <v>45819</v>
      </c>
      <c r="C208" s="1" t="n">
        <v>46046</v>
      </c>
      <c r="D208" t="inlineStr">
        <is>
          <t>NORRBOTTENS LÄN</t>
        </is>
      </c>
      <c r="E208" t="inlineStr">
        <is>
          <t>BODEN</t>
        </is>
      </c>
      <c r="F208" t="inlineStr">
        <is>
          <t>Sveaskog</t>
        </is>
      </c>
      <c r="G208" t="n">
        <v>1.3</v>
      </c>
      <c r="H208" t="n">
        <v>0</v>
      </c>
      <c r="I208" t="n">
        <v>0</v>
      </c>
      <c r="J208" t="n">
        <v>4</v>
      </c>
      <c r="K208" t="n">
        <v>1</v>
      </c>
      <c r="L208" t="n">
        <v>0</v>
      </c>
      <c r="M208" t="n">
        <v>0</v>
      </c>
      <c r="N208" t="n">
        <v>0</v>
      </c>
      <c r="O208" t="n">
        <v>5</v>
      </c>
      <c r="P208" t="n">
        <v>1</v>
      </c>
      <c r="Q208" t="n">
        <v>5</v>
      </c>
      <c r="R208" s="2" t="inlineStr">
        <is>
          <t>Tallgråticka
Orange taggsvamp
Skrovlig taggsvamp
Svart taggsvamp
Svartvit taggsvamp</t>
        </is>
      </c>
      <c r="S208">
        <f>HYPERLINK("https://klasma.github.io/Logging_2582/artfynd/A 28418-2025 artfynd.xlsx", "A 28418-2025")</f>
        <v/>
      </c>
      <c r="T208">
        <f>HYPERLINK("https://klasma.github.io/Logging_2582/kartor/A 28418-2025 karta.png", "A 28418-2025")</f>
        <v/>
      </c>
      <c r="V208">
        <f>HYPERLINK("https://klasma.github.io/Logging_2582/klagomål/A 28418-2025 FSC-klagomål.docx", "A 28418-2025")</f>
        <v/>
      </c>
      <c r="W208">
        <f>HYPERLINK("https://klasma.github.io/Logging_2582/klagomålsmail/A 28418-2025 FSC-klagomål mail.docx", "A 28418-2025")</f>
        <v/>
      </c>
      <c r="X208">
        <f>HYPERLINK("https://klasma.github.io/Logging_2582/tillsyn/A 28418-2025 tillsynsbegäran.docx", "A 28418-2025")</f>
        <v/>
      </c>
      <c r="Y208">
        <f>HYPERLINK("https://klasma.github.io/Logging_2582/tillsynsmail/A 28418-2025 tillsynsbegäran mail.docx", "A 28418-2025")</f>
        <v/>
      </c>
    </row>
    <row r="209" ht="15" customHeight="1">
      <c r="A209" t="inlineStr">
        <is>
          <t>A 12193-2024</t>
        </is>
      </c>
      <c r="B209" s="1" t="n">
        <v>45377.94984953704</v>
      </c>
      <c r="C209" s="1" t="n">
        <v>46046</v>
      </c>
      <c r="D209" t="inlineStr">
        <is>
          <t>NORRBOTTENS LÄN</t>
        </is>
      </c>
      <c r="E209" t="inlineStr">
        <is>
          <t>PITEÅ</t>
        </is>
      </c>
      <c r="F209" t="inlineStr">
        <is>
          <t>SCA</t>
        </is>
      </c>
      <c r="G209" t="n">
        <v>32.2</v>
      </c>
      <c r="H209" t="n">
        <v>5</v>
      </c>
      <c r="I209" t="n">
        <v>0</v>
      </c>
      <c r="J209" t="n">
        <v>3</v>
      </c>
      <c r="K209" t="n">
        <v>0</v>
      </c>
      <c r="L209" t="n">
        <v>1</v>
      </c>
      <c r="M209" t="n">
        <v>0</v>
      </c>
      <c r="N209" t="n">
        <v>0</v>
      </c>
      <c r="O209" t="n">
        <v>4</v>
      </c>
      <c r="P209" t="n">
        <v>1</v>
      </c>
      <c r="Q209" t="n">
        <v>5</v>
      </c>
      <c r="R209" s="2" t="inlineStr">
        <is>
          <t>Grönfink
Järpe
Spillkråka
Talltita
Tjäder</t>
        </is>
      </c>
      <c r="S209">
        <f>HYPERLINK("https://klasma.github.io/Logging_2581/artfynd/A 12193-2024 artfynd.xlsx", "A 12193-2024")</f>
        <v/>
      </c>
      <c r="T209">
        <f>HYPERLINK("https://klasma.github.io/Logging_2581/kartor/A 12193-2024 karta.png", "A 12193-2024")</f>
        <v/>
      </c>
      <c r="V209">
        <f>HYPERLINK("https://klasma.github.io/Logging_2581/klagomål/A 12193-2024 FSC-klagomål.docx", "A 12193-2024")</f>
        <v/>
      </c>
      <c r="W209">
        <f>HYPERLINK("https://klasma.github.io/Logging_2581/klagomålsmail/A 12193-2024 FSC-klagomål mail.docx", "A 12193-2024")</f>
        <v/>
      </c>
      <c r="X209">
        <f>HYPERLINK("https://klasma.github.io/Logging_2581/tillsyn/A 12193-2024 tillsynsbegäran.docx", "A 12193-2024")</f>
        <v/>
      </c>
      <c r="Y209">
        <f>HYPERLINK("https://klasma.github.io/Logging_2581/tillsynsmail/A 12193-2024 tillsynsbegäran mail.docx", "A 12193-2024")</f>
        <v/>
      </c>
      <c r="Z209">
        <f>HYPERLINK("https://klasma.github.io/Logging_2581/fåglar/A 12193-2024 prioriterade fågelarter.docx", "A 12193-2024")</f>
        <v/>
      </c>
    </row>
    <row r="210" ht="15" customHeight="1">
      <c r="A210" t="inlineStr">
        <is>
          <t>A 44252-2024</t>
        </is>
      </c>
      <c r="B210" s="1" t="n">
        <v>45573.44864583333</v>
      </c>
      <c r="C210" s="1" t="n">
        <v>46046</v>
      </c>
      <c r="D210" t="inlineStr">
        <is>
          <t>NORRBOTTENS LÄN</t>
        </is>
      </c>
      <c r="E210" t="inlineStr">
        <is>
          <t>ÄLVSBYN</t>
        </is>
      </c>
      <c r="F210" t="inlineStr">
        <is>
          <t>Sveaskog</t>
        </is>
      </c>
      <c r="G210" t="n">
        <v>12.2</v>
      </c>
      <c r="H210" t="n">
        <v>0</v>
      </c>
      <c r="I210" t="n">
        <v>3</v>
      </c>
      <c r="J210" t="n">
        <v>2</v>
      </c>
      <c r="K210" t="n">
        <v>0</v>
      </c>
      <c r="L210" t="n">
        <v>0</v>
      </c>
      <c r="M210" t="n">
        <v>0</v>
      </c>
      <c r="N210" t="n">
        <v>0</v>
      </c>
      <c r="O210" t="n">
        <v>2</v>
      </c>
      <c r="P210" t="n">
        <v>0</v>
      </c>
      <c r="Q210" t="n">
        <v>5</v>
      </c>
      <c r="R210" s="2" t="inlineStr">
        <is>
          <t>Kolflarnlav
Orange taggsvamp
Dropptaggsvamp
Skarp dropptaggsvamp
Stuplav</t>
        </is>
      </c>
      <c r="S210">
        <f>HYPERLINK("https://klasma.github.io/Logging_2560/artfynd/A 44252-2024 artfynd.xlsx", "A 44252-2024")</f>
        <v/>
      </c>
      <c r="T210">
        <f>HYPERLINK("https://klasma.github.io/Logging_2560/kartor/A 44252-2024 karta.png", "A 44252-2024")</f>
        <v/>
      </c>
      <c r="V210">
        <f>HYPERLINK("https://klasma.github.io/Logging_2560/klagomål/A 44252-2024 FSC-klagomål.docx", "A 44252-2024")</f>
        <v/>
      </c>
      <c r="W210">
        <f>HYPERLINK("https://klasma.github.io/Logging_2560/klagomålsmail/A 44252-2024 FSC-klagomål mail.docx", "A 44252-2024")</f>
        <v/>
      </c>
      <c r="X210">
        <f>HYPERLINK("https://klasma.github.io/Logging_2560/tillsyn/A 44252-2024 tillsynsbegäran.docx", "A 44252-2024")</f>
        <v/>
      </c>
      <c r="Y210">
        <f>HYPERLINK("https://klasma.github.io/Logging_2560/tillsynsmail/A 44252-2024 tillsynsbegäran mail.docx", "A 44252-2024")</f>
        <v/>
      </c>
    </row>
    <row r="211" ht="15" customHeight="1">
      <c r="A211" t="inlineStr">
        <is>
          <t>A 31030-2025</t>
        </is>
      </c>
      <c r="B211" s="1" t="n">
        <v>45832.53813657408</v>
      </c>
      <c r="C211" s="1" t="n">
        <v>46046</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58034-2022</t>
        </is>
      </c>
      <c r="B212" s="1" t="n">
        <v>44893</v>
      </c>
      <c r="C212" s="1" t="n">
        <v>46046</v>
      </c>
      <c r="D212" t="inlineStr">
        <is>
          <t>NORRBOTTENS LÄN</t>
        </is>
      </c>
      <c r="E212" t="inlineStr">
        <is>
          <t>PAJALA</t>
        </is>
      </c>
      <c r="G212" t="n">
        <v>9.6</v>
      </c>
      <c r="H212" t="n">
        <v>0</v>
      </c>
      <c r="I212" t="n">
        <v>1</v>
      </c>
      <c r="J212" t="n">
        <v>4</v>
      </c>
      <c r="K212" t="n">
        <v>0</v>
      </c>
      <c r="L212" t="n">
        <v>0</v>
      </c>
      <c r="M212" t="n">
        <v>0</v>
      </c>
      <c r="N212" t="n">
        <v>0</v>
      </c>
      <c r="O212" t="n">
        <v>4</v>
      </c>
      <c r="P212" t="n">
        <v>0</v>
      </c>
      <c r="Q212" t="n">
        <v>5</v>
      </c>
      <c r="R212" s="2" t="inlineStr">
        <is>
          <t>Blanksvart spiklav
Gammelgransskål
Granticka
Vitgrynig nållav
Skör kvastmossa</t>
        </is>
      </c>
      <c r="S212">
        <f>HYPERLINK("https://klasma.github.io/Logging_2521/artfynd/A 58034-2022 artfynd.xlsx", "A 58034-2022")</f>
        <v/>
      </c>
      <c r="T212">
        <f>HYPERLINK("https://klasma.github.io/Logging_2521/kartor/A 58034-2022 karta.png", "A 58034-2022")</f>
        <v/>
      </c>
      <c r="V212">
        <f>HYPERLINK("https://klasma.github.io/Logging_2521/klagomål/A 58034-2022 FSC-klagomål.docx", "A 58034-2022")</f>
        <v/>
      </c>
      <c r="W212">
        <f>HYPERLINK("https://klasma.github.io/Logging_2521/klagomålsmail/A 58034-2022 FSC-klagomål mail.docx", "A 58034-2022")</f>
        <v/>
      </c>
      <c r="X212">
        <f>HYPERLINK("https://klasma.github.io/Logging_2521/tillsyn/A 58034-2022 tillsynsbegäran.docx", "A 58034-2022")</f>
        <v/>
      </c>
      <c r="Y212">
        <f>HYPERLINK("https://klasma.github.io/Logging_2521/tillsynsmail/A 58034-2022 tillsynsbegäran mail.docx", "A 58034-2022")</f>
        <v/>
      </c>
    </row>
    <row r="213" ht="15" customHeight="1">
      <c r="A213" t="inlineStr">
        <is>
          <t>A 32325-2024</t>
        </is>
      </c>
      <c r="B213" s="1" t="n">
        <v>45512</v>
      </c>
      <c r="C213" s="1" t="n">
        <v>46046</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33178-2025</t>
        </is>
      </c>
      <c r="B214" s="1" t="n">
        <v>45840.58945601852</v>
      </c>
      <c r="C214" s="1" t="n">
        <v>46046</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46046</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33343-2025</t>
        </is>
      </c>
      <c r="B216" s="1" t="n">
        <v>45841.36481481481</v>
      </c>
      <c r="C216" s="1" t="n">
        <v>46046</v>
      </c>
      <c r="D216" t="inlineStr">
        <is>
          <t>NORRBOTTENS LÄN</t>
        </is>
      </c>
      <c r="E216" t="inlineStr">
        <is>
          <t>JOKKMOKK</t>
        </is>
      </c>
      <c r="F216" t="inlineStr">
        <is>
          <t>Sveaskog</t>
        </is>
      </c>
      <c r="G216" t="n">
        <v>5.2</v>
      </c>
      <c r="H216" t="n">
        <v>0</v>
      </c>
      <c r="I216" t="n">
        <v>1</v>
      </c>
      <c r="J216" t="n">
        <v>4</v>
      </c>
      <c r="K216" t="n">
        <v>0</v>
      </c>
      <c r="L216" t="n">
        <v>0</v>
      </c>
      <c r="M216" t="n">
        <v>0</v>
      </c>
      <c r="N216" t="n">
        <v>0</v>
      </c>
      <c r="O216" t="n">
        <v>4</v>
      </c>
      <c r="P216" t="n">
        <v>0</v>
      </c>
      <c r="Q216" t="n">
        <v>5</v>
      </c>
      <c r="R216" s="2" t="inlineStr">
        <is>
          <t>Blå taggsvamp
Kolflarnlav
Orange taggsvamp
Svart taggsvamp
Dropptaggsvamp</t>
        </is>
      </c>
      <c r="S216">
        <f>HYPERLINK("https://klasma.github.io/Logging_2510/artfynd/A 33343-2025 artfynd.xlsx", "A 33343-2025")</f>
        <v/>
      </c>
      <c r="T216">
        <f>HYPERLINK("https://klasma.github.io/Logging_2510/kartor/A 33343-2025 karta.png", "A 33343-2025")</f>
        <v/>
      </c>
      <c r="V216">
        <f>HYPERLINK("https://klasma.github.io/Logging_2510/klagomål/A 33343-2025 FSC-klagomål.docx", "A 33343-2025")</f>
        <v/>
      </c>
      <c r="W216">
        <f>HYPERLINK("https://klasma.github.io/Logging_2510/klagomålsmail/A 33343-2025 FSC-klagomål mail.docx", "A 33343-2025")</f>
        <v/>
      </c>
      <c r="X216">
        <f>HYPERLINK("https://klasma.github.io/Logging_2510/tillsyn/A 33343-2025 tillsynsbegäran.docx", "A 33343-2025")</f>
        <v/>
      </c>
      <c r="Y216">
        <f>HYPERLINK("https://klasma.github.io/Logging_2510/tillsynsmail/A 33343-2025 tillsynsbegäran mail.docx", "A 33343-2025")</f>
        <v/>
      </c>
    </row>
    <row r="217" ht="15" customHeight="1">
      <c r="A217" t="inlineStr">
        <is>
          <t>A 8179-2024</t>
        </is>
      </c>
      <c r="B217" s="1" t="n">
        <v>45349</v>
      </c>
      <c r="C217" s="1" t="n">
        <v>46046</v>
      </c>
      <c r="D217" t="inlineStr">
        <is>
          <t>NORRBOTTENS LÄN</t>
        </is>
      </c>
      <c r="E217" t="inlineStr">
        <is>
          <t>PAJALA</t>
        </is>
      </c>
      <c r="G217" t="n">
        <v>9.5</v>
      </c>
      <c r="H217" t="n">
        <v>2</v>
      </c>
      <c r="I217" t="n">
        <v>0</v>
      </c>
      <c r="J217" t="n">
        <v>3</v>
      </c>
      <c r="K217" t="n">
        <v>0</v>
      </c>
      <c r="L217" t="n">
        <v>0</v>
      </c>
      <c r="M217" t="n">
        <v>0</v>
      </c>
      <c r="N217" t="n">
        <v>0</v>
      </c>
      <c r="O217" t="n">
        <v>3</v>
      </c>
      <c r="P217" t="n">
        <v>0</v>
      </c>
      <c r="Q217" t="n">
        <v>5</v>
      </c>
      <c r="R217" s="2" t="inlineStr">
        <is>
          <t>Gammelgransskål
Garnlav
Vitgrynig nållav
Kungsfågel
Revlummer</t>
        </is>
      </c>
      <c r="S217">
        <f>HYPERLINK("https://klasma.github.io/Logging_2521/artfynd/A 8179-2024 artfynd.xlsx", "A 8179-2024")</f>
        <v/>
      </c>
      <c r="T217">
        <f>HYPERLINK("https://klasma.github.io/Logging_2521/kartor/A 8179-2024 karta.png", "A 8179-2024")</f>
        <v/>
      </c>
      <c r="V217">
        <f>HYPERLINK("https://klasma.github.io/Logging_2521/klagomål/A 8179-2024 FSC-klagomål.docx", "A 8179-2024")</f>
        <v/>
      </c>
      <c r="W217">
        <f>HYPERLINK("https://klasma.github.io/Logging_2521/klagomålsmail/A 8179-2024 FSC-klagomål mail.docx", "A 8179-2024")</f>
        <v/>
      </c>
      <c r="X217">
        <f>HYPERLINK("https://klasma.github.io/Logging_2521/tillsyn/A 8179-2024 tillsynsbegäran.docx", "A 8179-2024")</f>
        <v/>
      </c>
      <c r="Y217">
        <f>HYPERLINK("https://klasma.github.io/Logging_2521/tillsynsmail/A 8179-2024 tillsynsbegäran mail.docx", "A 8179-2024")</f>
        <v/>
      </c>
      <c r="Z217">
        <f>HYPERLINK("https://klasma.github.io/Logging_2521/fåglar/A 8179-2024 prioriterade fågelarter.docx", "A 8179-2024")</f>
        <v/>
      </c>
    </row>
    <row r="218" ht="15" customHeight="1">
      <c r="A218" t="inlineStr">
        <is>
          <t>A 29873-2022</t>
        </is>
      </c>
      <c r="B218" s="1" t="n">
        <v>44755</v>
      </c>
      <c r="C218" s="1" t="n">
        <v>46046</v>
      </c>
      <c r="D218" t="inlineStr">
        <is>
          <t>NORRBOTTENS LÄN</t>
        </is>
      </c>
      <c r="E218" t="inlineStr">
        <is>
          <t>PAJALA</t>
        </is>
      </c>
      <c r="G218" t="n">
        <v>3.6</v>
      </c>
      <c r="H218" t="n">
        <v>1</v>
      </c>
      <c r="I218" t="n">
        <v>0</v>
      </c>
      <c r="J218" t="n">
        <v>4</v>
      </c>
      <c r="K218" t="n">
        <v>0</v>
      </c>
      <c r="L218" t="n">
        <v>0</v>
      </c>
      <c r="M218" t="n">
        <v>0</v>
      </c>
      <c r="N218" t="n">
        <v>0</v>
      </c>
      <c r="O218" t="n">
        <v>4</v>
      </c>
      <c r="P218" t="n">
        <v>0</v>
      </c>
      <c r="Q218" t="n">
        <v>5</v>
      </c>
      <c r="R218" s="2" t="inlineStr">
        <is>
          <t>Granticka
Rosenticka
Röd trolldruva
Ullticka
Fläcknycklar</t>
        </is>
      </c>
      <c r="S218">
        <f>HYPERLINK("https://klasma.github.io/Logging_2521/artfynd/A 29873-2022 artfynd.xlsx", "A 29873-2022")</f>
        <v/>
      </c>
      <c r="T218">
        <f>HYPERLINK("https://klasma.github.io/Logging_2521/kartor/A 29873-2022 karta.png", "A 29873-2022")</f>
        <v/>
      </c>
      <c r="V218">
        <f>HYPERLINK("https://klasma.github.io/Logging_2521/klagomål/A 29873-2022 FSC-klagomål.docx", "A 29873-2022")</f>
        <v/>
      </c>
      <c r="W218">
        <f>HYPERLINK("https://klasma.github.io/Logging_2521/klagomålsmail/A 29873-2022 FSC-klagomål mail.docx", "A 29873-2022")</f>
        <v/>
      </c>
      <c r="X218">
        <f>HYPERLINK("https://klasma.github.io/Logging_2521/tillsyn/A 29873-2022 tillsynsbegäran.docx", "A 29873-2022")</f>
        <v/>
      </c>
      <c r="Y218">
        <f>HYPERLINK("https://klasma.github.io/Logging_2521/tillsynsmail/A 29873-2022 tillsynsbegäran mail.docx", "A 29873-2022")</f>
        <v/>
      </c>
    </row>
    <row r="219" ht="15" customHeight="1">
      <c r="A219" t="inlineStr">
        <is>
          <t>A 59451-2021</t>
        </is>
      </c>
      <c r="B219" s="1" t="n">
        <v>44490</v>
      </c>
      <c r="C219" s="1" t="n">
        <v>46046</v>
      </c>
      <c r="D219" t="inlineStr">
        <is>
          <t>NORRBOTTENS LÄN</t>
        </is>
      </c>
      <c r="E219" t="inlineStr">
        <is>
          <t>JOKKMOKK</t>
        </is>
      </c>
      <c r="F219" t="inlineStr">
        <is>
          <t>Övriga statliga verk och myndigheter</t>
        </is>
      </c>
      <c r="G219" t="n">
        <v>9.699999999999999</v>
      </c>
      <c r="H219" t="n">
        <v>0</v>
      </c>
      <c r="I219" t="n">
        <v>1</v>
      </c>
      <c r="J219" t="n">
        <v>4</v>
      </c>
      <c r="K219" t="n">
        <v>0</v>
      </c>
      <c r="L219" t="n">
        <v>0</v>
      </c>
      <c r="M219" t="n">
        <v>0</v>
      </c>
      <c r="N219" t="n">
        <v>0</v>
      </c>
      <c r="O219" t="n">
        <v>4</v>
      </c>
      <c r="P219" t="n">
        <v>0</v>
      </c>
      <c r="Q219" t="n">
        <v>5</v>
      </c>
      <c r="R219" s="2" t="inlineStr">
        <is>
          <t>Blå taggsvamp
Mörk kolflarnlav
Talltaggsvamp
Violmussling
Dropptaggsvamp</t>
        </is>
      </c>
      <c r="S219">
        <f>HYPERLINK("https://klasma.github.io/Logging_2510/artfynd/A 59451-2021 artfynd.xlsx", "A 59451-2021")</f>
        <v/>
      </c>
      <c r="T219">
        <f>HYPERLINK("https://klasma.github.io/Logging_2510/kartor/A 59451-2021 karta.png", "A 59451-2021")</f>
        <v/>
      </c>
      <c r="V219">
        <f>HYPERLINK("https://klasma.github.io/Logging_2510/klagomål/A 59451-2021 FSC-klagomål.docx", "A 59451-2021")</f>
        <v/>
      </c>
      <c r="W219">
        <f>HYPERLINK("https://klasma.github.io/Logging_2510/klagomålsmail/A 59451-2021 FSC-klagomål mail.docx", "A 59451-2021")</f>
        <v/>
      </c>
      <c r="X219">
        <f>HYPERLINK("https://klasma.github.io/Logging_2510/tillsyn/A 59451-2021 tillsynsbegäran.docx", "A 59451-2021")</f>
        <v/>
      </c>
      <c r="Y219">
        <f>HYPERLINK("https://klasma.github.io/Logging_2510/tillsynsmail/A 59451-2021 tillsynsbegäran mail.docx", "A 59451-2021")</f>
        <v/>
      </c>
    </row>
    <row r="220" ht="15" customHeight="1">
      <c r="A220" t="inlineStr">
        <is>
          <t>A 39293-2022</t>
        </is>
      </c>
      <c r="B220" s="1" t="n">
        <v>44817</v>
      </c>
      <c r="C220" s="1" t="n">
        <v>46046</v>
      </c>
      <c r="D220" t="inlineStr">
        <is>
          <t>NORRBOTTENS LÄN</t>
        </is>
      </c>
      <c r="E220" t="inlineStr">
        <is>
          <t>ARVIDSJAUR</t>
        </is>
      </c>
      <c r="G220" t="n">
        <v>8.6</v>
      </c>
      <c r="H220" t="n">
        <v>1</v>
      </c>
      <c r="I220" t="n">
        <v>1</v>
      </c>
      <c r="J220" t="n">
        <v>4</v>
      </c>
      <c r="K220" t="n">
        <v>0</v>
      </c>
      <c r="L220" t="n">
        <v>0</v>
      </c>
      <c r="M220" t="n">
        <v>0</v>
      </c>
      <c r="N220" t="n">
        <v>0</v>
      </c>
      <c r="O220" t="n">
        <v>4</v>
      </c>
      <c r="P220" t="n">
        <v>0</v>
      </c>
      <c r="Q220" t="n">
        <v>5</v>
      </c>
      <c r="R220" s="2" t="inlineStr">
        <is>
          <t>Gammelgransskål
Garnlav
Stjärntagging
Ullticka
Korallrot</t>
        </is>
      </c>
      <c r="S220">
        <f>HYPERLINK("https://klasma.github.io/Logging_2505/artfynd/A 39293-2022 artfynd.xlsx", "A 39293-2022")</f>
        <v/>
      </c>
      <c r="T220">
        <f>HYPERLINK("https://klasma.github.io/Logging_2505/kartor/A 39293-2022 karta.png", "A 39293-2022")</f>
        <v/>
      </c>
      <c r="V220">
        <f>HYPERLINK("https://klasma.github.io/Logging_2505/klagomål/A 39293-2022 FSC-klagomål.docx", "A 39293-2022")</f>
        <v/>
      </c>
      <c r="W220">
        <f>HYPERLINK("https://klasma.github.io/Logging_2505/klagomålsmail/A 39293-2022 FSC-klagomål mail.docx", "A 39293-2022")</f>
        <v/>
      </c>
      <c r="X220">
        <f>HYPERLINK("https://klasma.github.io/Logging_2505/tillsyn/A 39293-2022 tillsynsbegäran.docx", "A 39293-2022")</f>
        <v/>
      </c>
      <c r="Y220">
        <f>HYPERLINK("https://klasma.github.io/Logging_2505/tillsynsmail/A 39293-2022 tillsynsbegäran mail.docx", "A 39293-2022")</f>
        <v/>
      </c>
    </row>
    <row r="221" ht="15" customHeight="1">
      <c r="A221" t="inlineStr">
        <is>
          <t>A 36298-2025</t>
        </is>
      </c>
      <c r="B221" s="1" t="n">
        <v>45867.68763888889</v>
      </c>
      <c r="C221" s="1" t="n">
        <v>46046</v>
      </c>
      <c r="D221" t="inlineStr">
        <is>
          <t>NORRBOTTENS LÄN</t>
        </is>
      </c>
      <c r="E221" t="inlineStr">
        <is>
          <t>GÄLLIVARE</t>
        </is>
      </c>
      <c r="F221" t="inlineStr">
        <is>
          <t>Sveaskog</t>
        </is>
      </c>
      <c r="G221" t="n">
        <v>18.1</v>
      </c>
      <c r="H221" t="n">
        <v>1</v>
      </c>
      <c r="I221" t="n">
        <v>3</v>
      </c>
      <c r="J221" t="n">
        <v>2</v>
      </c>
      <c r="K221" t="n">
        <v>0</v>
      </c>
      <c r="L221" t="n">
        <v>0</v>
      </c>
      <c r="M221" t="n">
        <v>0</v>
      </c>
      <c r="N221" t="n">
        <v>0</v>
      </c>
      <c r="O221" t="n">
        <v>2</v>
      </c>
      <c r="P221" t="n">
        <v>0</v>
      </c>
      <c r="Q221" t="n">
        <v>5</v>
      </c>
      <c r="R221" s="2" t="inlineStr">
        <is>
          <t>Knottrig blåslav
Orange taggsvamp
Bårdlav
Dropptaggsvamp
Plattlummer</t>
        </is>
      </c>
      <c r="S221">
        <f>HYPERLINK("https://klasma.github.io/Logging_2523/artfynd/A 36298-2025 artfynd.xlsx", "A 36298-2025")</f>
        <v/>
      </c>
      <c r="T221">
        <f>HYPERLINK("https://klasma.github.io/Logging_2523/kartor/A 36298-2025 karta.png", "A 36298-2025")</f>
        <v/>
      </c>
      <c r="V221">
        <f>HYPERLINK("https://klasma.github.io/Logging_2523/klagomål/A 36298-2025 FSC-klagomål.docx", "A 36298-2025")</f>
        <v/>
      </c>
      <c r="W221">
        <f>HYPERLINK("https://klasma.github.io/Logging_2523/klagomålsmail/A 36298-2025 FSC-klagomål mail.docx", "A 36298-2025")</f>
        <v/>
      </c>
      <c r="X221">
        <f>HYPERLINK("https://klasma.github.io/Logging_2523/tillsyn/A 36298-2025 tillsynsbegäran.docx", "A 36298-2025")</f>
        <v/>
      </c>
      <c r="Y221">
        <f>HYPERLINK("https://klasma.github.io/Logging_2523/tillsynsmail/A 36298-2025 tillsynsbegäran mail.docx", "A 36298-2025")</f>
        <v/>
      </c>
    </row>
    <row r="222" ht="15" customHeight="1">
      <c r="A222" t="inlineStr">
        <is>
          <t>A 36293-2025</t>
        </is>
      </c>
      <c r="B222" s="1" t="n">
        <v>45867</v>
      </c>
      <c r="C222" s="1" t="n">
        <v>46046</v>
      </c>
      <c r="D222" t="inlineStr">
        <is>
          <t>NORRBOTTENS LÄN</t>
        </is>
      </c>
      <c r="E222" t="inlineStr">
        <is>
          <t>GÄLLIVARE</t>
        </is>
      </c>
      <c r="F222" t="inlineStr">
        <is>
          <t>Sveaskog</t>
        </is>
      </c>
      <c r="G222" t="n">
        <v>13.3</v>
      </c>
      <c r="H222" t="n">
        <v>0</v>
      </c>
      <c r="I222" t="n">
        <v>0</v>
      </c>
      <c r="J222" t="n">
        <v>4</v>
      </c>
      <c r="K222" t="n">
        <v>1</v>
      </c>
      <c r="L222" t="n">
        <v>0</v>
      </c>
      <c r="M222" t="n">
        <v>0</v>
      </c>
      <c r="N222" t="n">
        <v>0</v>
      </c>
      <c r="O222" t="n">
        <v>5</v>
      </c>
      <c r="P222" t="n">
        <v>1</v>
      </c>
      <c r="Q222" t="n">
        <v>5</v>
      </c>
      <c r="R222" s="2" t="inlineStr">
        <is>
          <t>Fläckporing
Motaggsvamp
Mörk kolflarnlav
Vaddporing
Vedskivlav</t>
        </is>
      </c>
      <c r="S222">
        <f>HYPERLINK("https://klasma.github.io/Logging_2523/artfynd/A 36293-2025 artfynd.xlsx", "A 36293-2025")</f>
        <v/>
      </c>
      <c r="T222">
        <f>HYPERLINK("https://klasma.github.io/Logging_2523/kartor/A 36293-2025 karta.png", "A 36293-2025")</f>
        <v/>
      </c>
      <c r="V222">
        <f>HYPERLINK("https://klasma.github.io/Logging_2523/klagomål/A 36293-2025 FSC-klagomål.docx", "A 36293-2025")</f>
        <v/>
      </c>
      <c r="W222">
        <f>HYPERLINK("https://klasma.github.io/Logging_2523/klagomålsmail/A 36293-2025 FSC-klagomål mail.docx", "A 36293-2025")</f>
        <v/>
      </c>
      <c r="X222">
        <f>HYPERLINK("https://klasma.github.io/Logging_2523/tillsyn/A 36293-2025 tillsynsbegäran.docx", "A 36293-2025")</f>
        <v/>
      </c>
      <c r="Y222">
        <f>HYPERLINK("https://klasma.github.io/Logging_2523/tillsynsmail/A 36293-2025 tillsynsbegäran mail.docx", "A 36293-2025")</f>
        <v/>
      </c>
    </row>
    <row r="223" ht="15" customHeight="1">
      <c r="A223" t="inlineStr">
        <is>
          <t>A 47035-2022</t>
        </is>
      </c>
      <c r="B223" s="1" t="n">
        <v>44851</v>
      </c>
      <c r="C223" s="1" t="n">
        <v>46046</v>
      </c>
      <c r="D223" t="inlineStr">
        <is>
          <t>NORRBOTTENS LÄN</t>
        </is>
      </c>
      <c r="E223" t="inlineStr">
        <is>
          <t>ARJEPLOG</t>
        </is>
      </c>
      <c r="F223" t="inlineStr">
        <is>
          <t>Övriga statliga verk och myndigheter</t>
        </is>
      </c>
      <c r="G223" t="n">
        <v>15.9</v>
      </c>
      <c r="H223" t="n">
        <v>3</v>
      </c>
      <c r="I223" t="n">
        <v>3</v>
      </c>
      <c r="J223" t="n">
        <v>1</v>
      </c>
      <c r="K223" t="n">
        <v>0</v>
      </c>
      <c r="L223" t="n">
        <v>0</v>
      </c>
      <c r="M223" t="n">
        <v>0</v>
      </c>
      <c r="N223" t="n">
        <v>0</v>
      </c>
      <c r="O223" t="n">
        <v>1</v>
      </c>
      <c r="P223" t="n">
        <v>0</v>
      </c>
      <c r="Q223" t="n">
        <v>5</v>
      </c>
      <c r="R223" s="2" t="inlineStr">
        <is>
          <t>Månlåsbräken
Grönkulla
Spindelblomster
Tibast
Brudsporre</t>
        </is>
      </c>
      <c r="S223">
        <f>HYPERLINK("https://klasma.github.io/Logging_2506/artfynd/A 47035-2022 artfynd.xlsx", "A 47035-2022")</f>
        <v/>
      </c>
      <c r="T223">
        <f>HYPERLINK("https://klasma.github.io/Logging_2506/kartor/A 47035-2022 karta.png", "A 47035-2022")</f>
        <v/>
      </c>
      <c r="V223">
        <f>HYPERLINK("https://klasma.github.io/Logging_2506/klagomål/A 47035-2022 FSC-klagomål.docx", "A 47035-2022")</f>
        <v/>
      </c>
      <c r="W223">
        <f>HYPERLINK("https://klasma.github.io/Logging_2506/klagomålsmail/A 47035-2022 FSC-klagomål mail.docx", "A 47035-2022")</f>
        <v/>
      </c>
      <c r="X223">
        <f>HYPERLINK("https://klasma.github.io/Logging_2506/tillsyn/A 47035-2022 tillsynsbegäran.docx", "A 47035-2022")</f>
        <v/>
      </c>
      <c r="Y223">
        <f>HYPERLINK("https://klasma.github.io/Logging_2506/tillsynsmail/A 47035-2022 tillsynsbegäran mail.docx", "A 47035-2022")</f>
        <v/>
      </c>
    </row>
    <row r="224" ht="15" customHeight="1">
      <c r="A224" t="inlineStr">
        <is>
          <t>A 43709-2025</t>
        </is>
      </c>
      <c r="B224" s="1" t="n">
        <v>45912.40692129629</v>
      </c>
      <c r="C224" s="1" t="n">
        <v>46046</v>
      </c>
      <c r="D224" t="inlineStr">
        <is>
          <t>NORRBOTTENS LÄN</t>
        </is>
      </c>
      <c r="E224" t="inlineStr">
        <is>
          <t>BODEN</t>
        </is>
      </c>
      <c r="G224" t="n">
        <v>7.7</v>
      </c>
      <c r="H224" t="n">
        <v>4</v>
      </c>
      <c r="I224" t="n">
        <v>1</v>
      </c>
      <c r="J224" t="n">
        <v>3</v>
      </c>
      <c r="K224" t="n">
        <v>0</v>
      </c>
      <c r="L224" t="n">
        <v>0</v>
      </c>
      <c r="M224" t="n">
        <v>1</v>
      </c>
      <c r="N224" t="n">
        <v>0</v>
      </c>
      <c r="O224" t="n">
        <v>4</v>
      </c>
      <c r="P224" t="n">
        <v>1</v>
      </c>
      <c r="Q224" t="n">
        <v>5</v>
      </c>
      <c r="R224" s="2" t="inlineStr">
        <is>
          <t>Vitryggig hackspett
Spillkråka
Talltita
Tretåig hackspett
Björksplintborre</t>
        </is>
      </c>
      <c r="S224">
        <f>HYPERLINK("https://klasma.github.io/Logging_2582/artfynd/A 43709-2025 artfynd.xlsx", "A 43709-2025")</f>
        <v/>
      </c>
      <c r="T224">
        <f>HYPERLINK("https://klasma.github.io/Logging_2582/kartor/A 43709-2025 karta.png", "A 43709-2025")</f>
        <v/>
      </c>
      <c r="V224">
        <f>HYPERLINK("https://klasma.github.io/Logging_2582/klagomål/A 43709-2025 FSC-klagomål.docx", "A 43709-2025")</f>
        <v/>
      </c>
      <c r="W224">
        <f>HYPERLINK("https://klasma.github.io/Logging_2582/klagomålsmail/A 43709-2025 FSC-klagomål mail.docx", "A 43709-2025")</f>
        <v/>
      </c>
      <c r="X224">
        <f>HYPERLINK("https://klasma.github.io/Logging_2582/tillsyn/A 43709-2025 tillsynsbegäran.docx", "A 43709-2025")</f>
        <v/>
      </c>
      <c r="Y224">
        <f>HYPERLINK("https://klasma.github.io/Logging_2582/tillsynsmail/A 43709-2025 tillsynsbegäran mail.docx", "A 43709-2025")</f>
        <v/>
      </c>
      <c r="Z224">
        <f>HYPERLINK("https://klasma.github.io/Logging_2582/fåglar/A 43709-2025 prioriterade fågelarter.docx", "A 43709-2025")</f>
        <v/>
      </c>
    </row>
    <row r="225" ht="15" customHeight="1">
      <c r="A225" t="inlineStr">
        <is>
          <t>A 2344-2024</t>
        </is>
      </c>
      <c r="B225" s="1" t="n">
        <v>45310</v>
      </c>
      <c r="C225" s="1" t="n">
        <v>46046</v>
      </c>
      <c r="D225" t="inlineStr">
        <is>
          <t>NORRBOTTENS LÄN</t>
        </is>
      </c>
      <c r="E225" t="inlineStr">
        <is>
          <t>ÖVERKALIX</t>
        </is>
      </c>
      <c r="G225" t="n">
        <v>25.7</v>
      </c>
      <c r="H225" t="n">
        <v>2</v>
      </c>
      <c r="I225" t="n">
        <v>0</v>
      </c>
      <c r="J225" t="n">
        <v>4</v>
      </c>
      <c r="K225" t="n">
        <v>0</v>
      </c>
      <c r="L225" t="n">
        <v>1</v>
      </c>
      <c r="M225" t="n">
        <v>0</v>
      </c>
      <c r="N225" t="n">
        <v>0</v>
      </c>
      <c r="O225" t="n">
        <v>5</v>
      </c>
      <c r="P225" t="n">
        <v>1</v>
      </c>
      <c r="Q225" t="n">
        <v>5</v>
      </c>
      <c r="R225" s="2" t="inlineStr">
        <is>
          <t>Tornseglare
Dvärgbägarlav
Garnlav
Reliktbock
Tretåig hackspett</t>
        </is>
      </c>
      <c r="S225">
        <f>HYPERLINK("https://klasma.github.io/Logging_2513/artfynd/A 2344-2024 artfynd.xlsx", "A 2344-2024")</f>
        <v/>
      </c>
      <c r="T225">
        <f>HYPERLINK("https://klasma.github.io/Logging_2513/kartor/A 2344-2024 karta.png", "A 2344-2024")</f>
        <v/>
      </c>
      <c r="U225">
        <f>HYPERLINK("https://klasma.github.io/Logging_2513/knärot/A 2344-2024 karta knärot.png", "A 2344-2024")</f>
        <v/>
      </c>
      <c r="V225">
        <f>HYPERLINK("https://klasma.github.io/Logging_2513/klagomål/A 2344-2024 FSC-klagomål.docx", "A 2344-2024")</f>
        <v/>
      </c>
      <c r="W225">
        <f>HYPERLINK("https://klasma.github.io/Logging_2513/klagomålsmail/A 2344-2024 FSC-klagomål mail.docx", "A 2344-2024")</f>
        <v/>
      </c>
      <c r="X225">
        <f>HYPERLINK("https://klasma.github.io/Logging_2513/tillsyn/A 2344-2024 tillsynsbegäran.docx", "A 2344-2024")</f>
        <v/>
      </c>
      <c r="Y225">
        <f>HYPERLINK("https://klasma.github.io/Logging_2513/tillsynsmail/A 2344-2024 tillsynsbegäran mail.docx", "A 2344-2024")</f>
        <v/>
      </c>
      <c r="Z225">
        <f>HYPERLINK("https://klasma.github.io/Logging_2513/fåglar/A 2344-2024 prioriterade fågelarter.docx", "A 2344-2024")</f>
        <v/>
      </c>
    </row>
    <row r="226" ht="15" customHeight="1">
      <c r="A226" t="inlineStr">
        <is>
          <t>A 1855-2025</t>
        </is>
      </c>
      <c r="B226" s="1" t="n">
        <v>45671</v>
      </c>
      <c r="C226" s="1" t="n">
        <v>46046</v>
      </c>
      <c r="D226" t="inlineStr">
        <is>
          <t>NORRBOTTENS LÄN</t>
        </is>
      </c>
      <c r="E226" t="inlineStr">
        <is>
          <t>HAPARANDA</t>
        </is>
      </c>
      <c r="G226" t="n">
        <v>4.2</v>
      </c>
      <c r="H226" t="n">
        <v>1</v>
      </c>
      <c r="I226" t="n">
        <v>1</v>
      </c>
      <c r="J226" t="n">
        <v>4</v>
      </c>
      <c r="K226" t="n">
        <v>0</v>
      </c>
      <c r="L226" t="n">
        <v>0</v>
      </c>
      <c r="M226" t="n">
        <v>0</v>
      </c>
      <c r="N226" t="n">
        <v>0</v>
      </c>
      <c r="O226" t="n">
        <v>4</v>
      </c>
      <c r="P226" t="n">
        <v>0</v>
      </c>
      <c r="Q226" t="n">
        <v>5</v>
      </c>
      <c r="R226" s="2" t="inlineStr">
        <is>
          <t>Gammelgransskål
Granticka
Tretåig hackspett
Ullticka
Stuplav</t>
        </is>
      </c>
      <c r="S226">
        <f>HYPERLINK("https://klasma.github.io/Logging_2583/artfynd/A 1855-2025 artfynd.xlsx", "A 1855-2025")</f>
        <v/>
      </c>
      <c r="T226">
        <f>HYPERLINK("https://klasma.github.io/Logging_2583/kartor/A 1855-2025 karta.png", "A 1855-2025")</f>
        <v/>
      </c>
      <c r="U226">
        <f>HYPERLINK("https://klasma.github.io/Logging_2583/knärot/A 1855-2025 karta knärot.png", "A 1855-2025")</f>
        <v/>
      </c>
      <c r="V226">
        <f>HYPERLINK("https://klasma.github.io/Logging_2583/klagomål/A 1855-2025 FSC-klagomål.docx", "A 1855-2025")</f>
        <v/>
      </c>
      <c r="W226">
        <f>HYPERLINK("https://klasma.github.io/Logging_2583/klagomålsmail/A 1855-2025 FSC-klagomål mail.docx", "A 1855-2025")</f>
        <v/>
      </c>
      <c r="X226">
        <f>HYPERLINK("https://klasma.github.io/Logging_2583/tillsyn/A 1855-2025 tillsynsbegäran.docx", "A 1855-2025")</f>
        <v/>
      </c>
      <c r="Y226">
        <f>HYPERLINK("https://klasma.github.io/Logging_2583/tillsynsmail/A 1855-2025 tillsynsbegäran mail.docx", "A 1855-2025")</f>
        <v/>
      </c>
      <c r="Z226">
        <f>HYPERLINK("https://klasma.github.io/Logging_2583/fåglar/A 1855-2025 prioriterade fågelarter.docx", "A 1855-2025")</f>
        <v/>
      </c>
    </row>
    <row r="227" ht="15" customHeight="1">
      <c r="A227" t="inlineStr">
        <is>
          <t>A 54858-2022</t>
        </is>
      </c>
      <c r="B227" s="1" t="n">
        <v>44884</v>
      </c>
      <c r="C227" s="1" t="n">
        <v>46046</v>
      </c>
      <c r="D227" t="inlineStr">
        <is>
          <t>NORRBOTTENS LÄN</t>
        </is>
      </c>
      <c r="E227" t="inlineStr">
        <is>
          <t>HAPARANDA</t>
        </is>
      </c>
      <c r="G227" t="n">
        <v>5.8</v>
      </c>
      <c r="H227" t="n">
        <v>1</v>
      </c>
      <c r="I227" t="n">
        <v>1</v>
      </c>
      <c r="J227" t="n">
        <v>3</v>
      </c>
      <c r="K227" t="n">
        <v>0</v>
      </c>
      <c r="L227" t="n">
        <v>0</v>
      </c>
      <c r="M227" t="n">
        <v>0</v>
      </c>
      <c r="N227" t="n">
        <v>0</v>
      </c>
      <c r="O227" t="n">
        <v>3</v>
      </c>
      <c r="P227" t="n">
        <v>0</v>
      </c>
      <c r="Q227" t="n">
        <v>5</v>
      </c>
      <c r="R227" s="2" t="inlineStr">
        <is>
          <t>Gammelgransskål
Garnlav
Vedskivlav
Vedticka
Revlummer</t>
        </is>
      </c>
      <c r="S227">
        <f>HYPERLINK("https://klasma.github.io/Logging_2583/artfynd/A 54858-2022 artfynd.xlsx", "A 54858-2022")</f>
        <v/>
      </c>
      <c r="T227">
        <f>HYPERLINK("https://klasma.github.io/Logging_2583/kartor/A 54858-2022 karta.png", "A 54858-2022")</f>
        <v/>
      </c>
      <c r="V227">
        <f>HYPERLINK("https://klasma.github.io/Logging_2583/klagomål/A 54858-2022 FSC-klagomål.docx", "A 54858-2022")</f>
        <v/>
      </c>
      <c r="W227">
        <f>HYPERLINK("https://klasma.github.io/Logging_2583/klagomålsmail/A 54858-2022 FSC-klagomål mail.docx", "A 54858-2022")</f>
        <v/>
      </c>
      <c r="X227">
        <f>HYPERLINK("https://klasma.github.io/Logging_2583/tillsyn/A 54858-2022 tillsynsbegäran.docx", "A 54858-2022")</f>
        <v/>
      </c>
      <c r="Y227">
        <f>HYPERLINK("https://klasma.github.io/Logging_2583/tillsynsmail/A 54858-2022 tillsynsbegäran mail.docx", "A 54858-2022")</f>
        <v/>
      </c>
    </row>
    <row r="228" ht="15" customHeight="1">
      <c r="A228" t="inlineStr">
        <is>
          <t>A 54504-2022</t>
        </is>
      </c>
      <c r="B228" s="1" t="n">
        <v>44880</v>
      </c>
      <c r="C228" s="1" t="n">
        <v>46046</v>
      </c>
      <c r="D228" t="inlineStr">
        <is>
          <t>NORRBOTTENS LÄN</t>
        </is>
      </c>
      <c r="E228" t="inlineStr">
        <is>
          <t>ÖVERTORNEÅ</t>
        </is>
      </c>
      <c r="F228" t="inlineStr">
        <is>
          <t>Sveaskog</t>
        </is>
      </c>
      <c r="G228" t="n">
        <v>2.6</v>
      </c>
      <c r="H228" t="n">
        <v>2</v>
      </c>
      <c r="I228" t="n">
        <v>2</v>
      </c>
      <c r="J228" t="n">
        <v>2</v>
      </c>
      <c r="K228" t="n">
        <v>0</v>
      </c>
      <c r="L228" t="n">
        <v>0</v>
      </c>
      <c r="M228" t="n">
        <v>0</v>
      </c>
      <c r="N228" t="n">
        <v>0</v>
      </c>
      <c r="O228" t="n">
        <v>2</v>
      </c>
      <c r="P228" t="n">
        <v>0</v>
      </c>
      <c r="Q228" t="n">
        <v>5</v>
      </c>
      <c r="R228" s="2" t="inlineStr">
        <is>
          <t>Garnlav
Spillkråka
Barkticka
Norrlandslav
Revlummer</t>
        </is>
      </c>
      <c r="S228">
        <f>HYPERLINK("https://klasma.github.io/Logging_2518/artfynd/A 54504-2022 artfynd.xlsx", "A 54504-2022")</f>
        <v/>
      </c>
      <c r="T228">
        <f>HYPERLINK("https://klasma.github.io/Logging_2518/kartor/A 54504-2022 karta.png", "A 54504-2022")</f>
        <v/>
      </c>
      <c r="V228">
        <f>HYPERLINK("https://klasma.github.io/Logging_2518/klagomål/A 54504-2022 FSC-klagomål.docx", "A 54504-2022")</f>
        <v/>
      </c>
      <c r="W228">
        <f>HYPERLINK("https://klasma.github.io/Logging_2518/klagomålsmail/A 54504-2022 FSC-klagomål mail.docx", "A 54504-2022")</f>
        <v/>
      </c>
      <c r="X228">
        <f>HYPERLINK("https://klasma.github.io/Logging_2518/tillsyn/A 54504-2022 tillsynsbegäran.docx", "A 54504-2022")</f>
        <v/>
      </c>
      <c r="Y228">
        <f>HYPERLINK("https://klasma.github.io/Logging_2518/tillsynsmail/A 54504-2022 tillsynsbegäran mail.docx", "A 54504-2022")</f>
        <v/>
      </c>
      <c r="Z228">
        <f>HYPERLINK("https://klasma.github.io/Logging_2518/fåglar/A 54504-2022 prioriterade fågelarter.docx", "A 54504-2022")</f>
        <v/>
      </c>
    </row>
    <row r="229" ht="15" customHeight="1">
      <c r="A229" t="inlineStr">
        <is>
          <t>A 47762-2025</t>
        </is>
      </c>
      <c r="B229" s="1" t="n">
        <v>45931</v>
      </c>
      <c r="C229" s="1" t="n">
        <v>46046</v>
      </c>
      <c r="D229" t="inlineStr">
        <is>
          <t>NORRBOTTENS LÄN</t>
        </is>
      </c>
      <c r="E229" t="inlineStr">
        <is>
          <t>GÄLLIVARE</t>
        </is>
      </c>
      <c r="G229" t="n">
        <v>10.7</v>
      </c>
      <c r="H229" t="n">
        <v>0</v>
      </c>
      <c r="I229" t="n">
        <v>2</v>
      </c>
      <c r="J229" t="n">
        <v>3</v>
      </c>
      <c r="K229" t="n">
        <v>0</v>
      </c>
      <c r="L229" t="n">
        <v>0</v>
      </c>
      <c r="M229" t="n">
        <v>0</v>
      </c>
      <c r="N229" t="n">
        <v>0</v>
      </c>
      <c r="O229" t="n">
        <v>3</v>
      </c>
      <c r="P229" t="n">
        <v>0</v>
      </c>
      <c r="Q229" t="n">
        <v>5</v>
      </c>
      <c r="R229" s="2" t="inlineStr">
        <is>
          <t>Blå taggsvamp
Talltaggsvamp
Vedflamlav
Dropptaggsvamp
Skarp dropptaggsvamp</t>
        </is>
      </c>
      <c r="S229">
        <f>HYPERLINK("https://klasma.github.io/Logging_2523/artfynd/A 47762-2025 artfynd.xlsx", "A 47762-2025")</f>
        <v/>
      </c>
      <c r="T229">
        <f>HYPERLINK("https://klasma.github.io/Logging_2523/kartor/A 47762-2025 karta.png", "A 47762-2025")</f>
        <v/>
      </c>
      <c r="V229">
        <f>HYPERLINK("https://klasma.github.io/Logging_2523/klagomål/A 47762-2025 FSC-klagomål.docx", "A 47762-2025")</f>
        <v/>
      </c>
      <c r="W229">
        <f>HYPERLINK("https://klasma.github.io/Logging_2523/klagomålsmail/A 47762-2025 FSC-klagomål mail.docx", "A 47762-2025")</f>
        <v/>
      </c>
      <c r="X229">
        <f>HYPERLINK("https://klasma.github.io/Logging_2523/tillsyn/A 47762-2025 tillsynsbegäran.docx", "A 47762-2025")</f>
        <v/>
      </c>
      <c r="Y229">
        <f>HYPERLINK("https://klasma.github.io/Logging_2523/tillsynsmail/A 47762-2025 tillsynsbegäran mail.docx", "A 47762-2025")</f>
        <v/>
      </c>
    </row>
    <row r="230" ht="15" customHeight="1">
      <c r="A230" t="inlineStr">
        <is>
          <t>A 50427-2025</t>
        </is>
      </c>
      <c r="B230" s="1" t="n">
        <v>45944</v>
      </c>
      <c r="C230" s="1" t="n">
        <v>46046</v>
      </c>
      <c r="D230" t="inlineStr">
        <is>
          <t>NORRBOTTENS LÄN</t>
        </is>
      </c>
      <c r="E230" t="inlineStr">
        <is>
          <t>BODEN</t>
        </is>
      </c>
      <c r="F230" t="inlineStr">
        <is>
          <t>SCA</t>
        </is>
      </c>
      <c r="G230" t="n">
        <v>5.1</v>
      </c>
      <c r="H230" t="n">
        <v>3</v>
      </c>
      <c r="I230" t="n">
        <v>0</v>
      </c>
      <c r="J230" t="n">
        <v>5</v>
      </c>
      <c r="K230" t="n">
        <v>0</v>
      </c>
      <c r="L230" t="n">
        <v>0</v>
      </c>
      <c r="M230" t="n">
        <v>0</v>
      </c>
      <c r="N230" t="n">
        <v>0</v>
      </c>
      <c r="O230" t="n">
        <v>5</v>
      </c>
      <c r="P230" t="n">
        <v>0</v>
      </c>
      <c r="Q230" t="n">
        <v>5</v>
      </c>
      <c r="R230" s="2" t="inlineStr">
        <is>
          <t>Gammelgransskål
Granticka
Järpe
Spillkråka
Tretåig hackspett</t>
        </is>
      </c>
      <c r="S230">
        <f>HYPERLINK("https://klasma.github.io/Logging_2582/artfynd/A 50427-2025 artfynd.xlsx", "A 50427-2025")</f>
        <v/>
      </c>
      <c r="T230">
        <f>HYPERLINK("https://klasma.github.io/Logging_2582/kartor/A 50427-2025 karta.png", "A 50427-2025")</f>
        <v/>
      </c>
      <c r="V230">
        <f>HYPERLINK("https://klasma.github.io/Logging_2582/klagomål/A 50427-2025 FSC-klagomål.docx", "A 50427-2025")</f>
        <v/>
      </c>
      <c r="W230">
        <f>HYPERLINK("https://klasma.github.io/Logging_2582/klagomålsmail/A 50427-2025 FSC-klagomål mail.docx", "A 50427-2025")</f>
        <v/>
      </c>
      <c r="X230">
        <f>HYPERLINK("https://klasma.github.io/Logging_2582/tillsyn/A 50427-2025 tillsynsbegäran.docx", "A 50427-2025")</f>
        <v/>
      </c>
      <c r="Y230">
        <f>HYPERLINK("https://klasma.github.io/Logging_2582/tillsynsmail/A 50427-2025 tillsynsbegäran mail.docx", "A 50427-2025")</f>
        <v/>
      </c>
      <c r="Z230">
        <f>HYPERLINK("https://klasma.github.io/Logging_2582/fåglar/A 50427-2025 prioriterade fågelarter.docx", "A 50427-2025")</f>
        <v/>
      </c>
    </row>
    <row r="231" ht="15" customHeight="1">
      <c r="A231" t="inlineStr">
        <is>
          <t>A 51010-2025</t>
        </is>
      </c>
      <c r="B231" s="1" t="n">
        <v>45947</v>
      </c>
      <c r="C231" s="1" t="n">
        <v>46046</v>
      </c>
      <c r="D231" t="inlineStr">
        <is>
          <t>NORRBOTTENS LÄN</t>
        </is>
      </c>
      <c r="E231" t="inlineStr">
        <is>
          <t>ÄLVSBYN</t>
        </is>
      </c>
      <c r="F231" t="inlineStr">
        <is>
          <t>Sveaskog</t>
        </is>
      </c>
      <c r="G231" t="n">
        <v>6.3</v>
      </c>
      <c r="H231" t="n">
        <v>0</v>
      </c>
      <c r="I231" t="n">
        <v>2</v>
      </c>
      <c r="J231" t="n">
        <v>3</v>
      </c>
      <c r="K231" t="n">
        <v>0</v>
      </c>
      <c r="L231" t="n">
        <v>0</v>
      </c>
      <c r="M231" t="n">
        <v>0</v>
      </c>
      <c r="N231" t="n">
        <v>0</v>
      </c>
      <c r="O231" t="n">
        <v>3</v>
      </c>
      <c r="P231" t="n">
        <v>0</v>
      </c>
      <c r="Q231" t="n">
        <v>5</v>
      </c>
      <c r="R231" s="2" t="inlineStr">
        <is>
          <t>Kolflarnlav
Orange taggsvamp
Skrovlig taggsvamp
Dropptaggsvamp
Skarp dropptaggsvamp</t>
        </is>
      </c>
      <c r="S231">
        <f>HYPERLINK("https://klasma.github.io/Logging_2560/artfynd/A 51010-2025 artfynd.xlsx", "A 51010-2025")</f>
        <v/>
      </c>
      <c r="T231">
        <f>HYPERLINK("https://klasma.github.io/Logging_2560/kartor/A 51010-2025 karta.png", "A 51010-2025")</f>
        <v/>
      </c>
      <c r="V231">
        <f>HYPERLINK("https://klasma.github.io/Logging_2560/klagomål/A 51010-2025 FSC-klagomål.docx", "A 51010-2025")</f>
        <v/>
      </c>
      <c r="W231">
        <f>HYPERLINK("https://klasma.github.io/Logging_2560/klagomålsmail/A 51010-2025 FSC-klagomål mail.docx", "A 51010-2025")</f>
        <v/>
      </c>
      <c r="X231">
        <f>HYPERLINK("https://klasma.github.io/Logging_2560/tillsyn/A 51010-2025 tillsynsbegäran.docx", "A 51010-2025")</f>
        <v/>
      </c>
      <c r="Y231">
        <f>HYPERLINK("https://klasma.github.io/Logging_2560/tillsynsmail/A 51010-2025 tillsynsbegäran mail.docx", "A 51010-2025")</f>
        <v/>
      </c>
    </row>
    <row r="232" ht="15" customHeight="1">
      <c r="A232" t="inlineStr">
        <is>
          <t>A 52979-2025</t>
        </is>
      </c>
      <c r="B232" s="1" t="n">
        <v>45957</v>
      </c>
      <c r="C232" s="1" t="n">
        <v>46046</v>
      </c>
      <c r="D232" t="inlineStr">
        <is>
          <t>NORRBOTTENS LÄN</t>
        </is>
      </c>
      <c r="E232" t="inlineStr">
        <is>
          <t>PAJALA</t>
        </is>
      </c>
      <c r="F232" t="inlineStr">
        <is>
          <t>Sveaskog</t>
        </is>
      </c>
      <c r="G232" t="n">
        <v>37.8</v>
      </c>
      <c r="H232" t="n">
        <v>1</v>
      </c>
      <c r="I232" t="n">
        <v>0</v>
      </c>
      <c r="J232" t="n">
        <v>4</v>
      </c>
      <c r="K232" t="n">
        <v>0</v>
      </c>
      <c r="L232" t="n">
        <v>0</v>
      </c>
      <c r="M232" t="n">
        <v>0</v>
      </c>
      <c r="N232" t="n">
        <v>0</v>
      </c>
      <c r="O232" t="n">
        <v>4</v>
      </c>
      <c r="P232" t="n">
        <v>0</v>
      </c>
      <c r="Q232" t="n">
        <v>5</v>
      </c>
      <c r="R232" s="2" t="inlineStr">
        <is>
          <t>Gammelgransskål
Garnlav
Violmussling
Vitgrynig nållav
Revlummer</t>
        </is>
      </c>
      <c r="S232">
        <f>HYPERLINK("https://klasma.github.io/Logging_2521/artfynd/A 52979-2025 artfynd.xlsx", "A 52979-2025")</f>
        <v/>
      </c>
      <c r="T232">
        <f>HYPERLINK("https://klasma.github.io/Logging_2521/kartor/A 52979-2025 karta.png", "A 52979-2025")</f>
        <v/>
      </c>
      <c r="V232">
        <f>HYPERLINK("https://klasma.github.io/Logging_2521/klagomål/A 52979-2025 FSC-klagomål.docx", "A 52979-2025")</f>
        <v/>
      </c>
      <c r="W232">
        <f>HYPERLINK("https://klasma.github.io/Logging_2521/klagomålsmail/A 52979-2025 FSC-klagomål mail.docx", "A 52979-2025")</f>
        <v/>
      </c>
      <c r="X232">
        <f>HYPERLINK("https://klasma.github.io/Logging_2521/tillsyn/A 52979-2025 tillsynsbegäran.docx", "A 52979-2025")</f>
        <v/>
      </c>
      <c r="Y232">
        <f>HYPERLINK("https://klasma.github.io/Logging_2521/tillsynsmail/A 52979-2025 tillsynsbegäran mail.docx", "A 52979-2025")</f>
        <v/>
      </c>
    </row>
    <row r="233" ht="15" customHeight="1">
      <c r="A233" t="inlineStr">
        <is>
          <t>A 53728-2025</t>
        </is>
      </c>
      <c r="B233" s="1" t="n">
        <v>45960.63648148148</v>
      </c>
      <c r="C233" s="1" t="n">
        <v>46046</v>
      </c>
      <c r="D233" t="inlineStr">
        <is>
          <t>NORRBOTTENS LÄN</t>
        </is>
      </c>
      <c r="E233" t="inlineStr">
        <is>
          <t>PITEÅ</t>
        </is>
      </c>
      <c r="G233" t="n">
        <v>4.1</v>
      </c>
      <c r="H233" t="n">
        <v>4</v>
      </c>
      <c r="I233" t="n">
        <v>3</v>
      </c>
      <c r="J233" t="n">
        <v>0</v>
      </c>
      <c r="K233" t="n">
        <v>0</v>
      </c>
      <c r="L233" t="n">
        <v>0</v>
      </c>
      <c r="M233" t="n">
        <v>0</v>
      </c>
      <c r="N233" t="n">
        <v>0</v>
      </c>
      <c r="O233" t="n">
        <v>0</v>
      </c>
      <c r="P233" t="n">
        <v>0</v>
      </c>
      <c r="Q233" t="n">
        <v>5</v>
      </c>
      <c r="R233" s="2" t="inlineStr">
        <is>
          <t>Dropptaggsvamp
Plattlummer
Spindelblomster
Fläcknycklar
Revlummer</t>
        </is>
      </c>
      <c r="S233">
        <f>HYPERLINK("https://klasma.github.io/Logging_2581/artfynd/A 53728-2025 artfynd.xlsx", "A 53728-2025")</f>
        <v/>
      </c>
      <c r="T233">
        <f>HYPERLINK("https://klasma.github.io/Logging_2581/kartor/A 53728-2025 karta.png", "A 53728-2025")</f>
        <v/>
      </c>
      <c r="V233">
        <f>HYPERLINK("https://klasma.github.io/Logging_2581/klagomål/A 53728-2025 FSC-klagomål.docx", "A 53728-2025")</f>
        <v/>
      </c>
      <c r="W233">
        <f>HYPERLINK("https://klasma.github.io/Logging_2581/klagomålsmail/A 53728-2025 FSC-klagomål mail.docx", "A 53728-2025")</f>
        <v/>
      </c>
      <c r="X233">
        <f>HYPERLINK("https://klasma.github.io/Logging_2581/tillsyn/A 53728-2025 tillsynsbegäran.docx", "A 53728-2025")</f>
        <v/>
      </c>
      <c r="Y233">
        <f>HYPERLINK("https://klasma.github.io/Logging_2581/tillsynsmail/A 53728-2025 tillsynsbegäran mail.docx", "A 53728-2025")</f>
        <v/>
      </c>
    </row>
    <row r="234" ht="15" customHeight="1">
      <c r="A234" t="inlineStr">
        <is>
          <t>A 54208-2025</t>
        </is>
      </c>
      <c r="B234" s="1" t="n">
        <v>45964</v>
      </c>
      <c r="C234" s="1" t="n">
        <v>46046</v>
      </c>
      <c r="D234" t="inlineStr">
        <is>
          <t>NORRBOTTENS LÄN</t>
        </is>
      </c>
      <c r="E234" t="inlineStr">
        <is>
          <t>PAJALA</t>
        </is>
      </c>
      <c r="F234" t="inlineStr">
        <is>
          <t>Sveaskog</t>
        </is>
      </c>
      <c r="G234" t="n">
        <v>20.1</v>
      </c>
      <c r="H234" t="n">
        <v>4</v>
      </c>
      <c r="I234" t="n">
        <v>2</v>
      </c>
      <c r="J234" t="n">
        <v>0</v>
      </c>
      <c r="K234" t="n">
        <v>1</v>
      </c>
      <c r="L234" t="n">
        <v>0</v>
      </c>
      <c r="M234" t="n">
        <v>0</v>
      </c>
      <c r="N234" t="n">
        <v>0</v>
      </c>
      <c r="O234" t="n">
        <v>1</v>
      </c>
      <c r="P234" t="n">
        <v>1</v>
      </c>
      <c r="Q234" t="n">
        <v>5</v>
      </c>
      <c r="R234" s="2" t="inlineStr">
        <is>
          <t>Knärot
Plattlummer
Ögonpyrola
Fläcknycklar
Revlummer</t>
        </is>
      </c>
      <c r="S234">
        <f>HYPERLINK("https://klasma.github.io/Logging_2521/artfynd/A 54208-2025 artfynd.xlsx", "A 54208-2025")</f>
        <v/>
      </c>
      <c r="T234">
        <f>HYPERLINK("https://klasma.github.io/Logging_2521/kartor/A 54208-2025 karta.png", "A 54208-2025")</f>
        <v/>
      </c>
      <c r="U234">
        <f>HYPERLINK("https://klasma.github.io/Logging_2521/knärot/A 54208-2025 karta knärot.png", "A 54208-2025")</f>
        <v/>
      </c>
      <c r="V234">
        <f>HYPERLINK("https://klasma.github.io/Logging_2521/klagomål/A 54208-2025 FSC-klagomål.docx", "A 54208-2025")</f>
        <v/>
      </c>
      <c r="W234">
        <f>HYPERLINK("https://klasma.github.io/Logging_2521/klagomålsmail/A 54208-2025 FSC-klagomål mail.docx", "A 54208-2025")</f>
        <v/>
      </c>
      <c r="X234">
        <f>HYPERLINK("https://klasma.github.io/Logging_2521/tillsyn/A 54208-2025 tillsynsbegäran.docx", "A 54208-2025")</f>
        <v/>
      </c>
      <c r="Y234">
        <f>HYPERLINK("https://klasma.github.io/Logging_2521/tillsynsmail/A 54208-2025 tillsynsbegäran mail.docx", "A 54208-2025")</f>
        <v/>
      </c>
    </row>
    <row r="235" ht="15" customHeight="1">
      <c r="A235" t="inlineStr">
        <is>
          <t>A 34430-2025</t>
        </is>
      </c>
      <c r="B235" s="1" t="n">
        <v>45845</v>
      </c>
      <c r="C235" s="1" t="n">
        <v>46046</v>
      </c>
      <c r="D235" t="inlineStr">
        <is>
          <t>NORRBOTTENS LÄN</t>
        </is>
      </c>
      <c r="E235" t="inlineStr">
        <is>
          <t>ARJEPLOG</t>
        </is>
      </c>
      <c r="G235" t="n">
        <v>39.6</v>
      </c>
      <c r="H235" t="n">
        <v>1</v>
      </c>
      <c r="I235" t="n">
        <v>1</v>
      </c>
      <c r="J235" t="n">
        <v>3</v>
      </c>
      <c r="K235" t="n">
        <v>1</v>
      </c>
      <c r="L235" t="n">
        <v>0</v>
      </c>
      <c r="M235" t="n">
        <v>0</v>
      </c>
      <c r="N235" t="n">
        <v>0</v>
      </c>
      <c r="O235" t="n">
        <v>4</v>
      </c>
      <c r="P235" t="n">
        <v>1</v>
      </c>
      <c r="Q235" t="n">
        <v>5</v>
      </c>
      <c r="R235" s="2" t="inlineStr">
        <is>
          <t>Fläckporing
Blanksvart spiklav
Dvärgbägarlav
Vedskivlav
Plattlummer</t>
        </is>
      </c>
      <c r="S235">
        <f>HYPERLINK("https://klasma.github.io/Logging_2506/artfynd/A 34430-2025 artfynd.xlsx", "A 34430-2025")</f>
        <v/>
      </c>
      <c r="T235">
        <f>HYPERLINK("https://klasma.github.io/Logging_2506/kartor/A 34430-2025 karta.png", "A 34430-2025")</f>
        <v/>
      </c>
      <c r="V235">
        <f>HYPERLINK("https://klasma.github.io/Logging_2506/klagomål/A 34430-2025 FSC-klagomål.docx", "A 34430-2025")</f>
        <v/>
      </c>
      <c r="W235">
        <f>HYPERLINK("https://klasma.github.io/Logging_2506/klagomålsmail/A 34430-2025 FSC-klagomål mail.docx", "A 34430-2025")</f>
        <v/>
      </c>
      <c r="X235">
        <f>HYPERLINK("https://klasma.github.io/Logging_2506/tillsyn/A 34430-2025 tillsynsbegäran.docx", "A 34430-2025")</f>
        <v/>
      </c>
      <c r="Y235">
        <f>HYPERLINK("https://klasma.github.io/Logging_2506/tillsynsmail/A 34430-2025 tillsynsbegäran mail.docx", "A 34430-2025")</f>
        <v/>
      </c>
    </row>
    <row r="236" ht="15" customHeight="1">
      <c r="A236" t="inlineStr">
        <is>
          <t>A 58682-2025</t>
        </is>
      </c>
      <c r="B236" s="1" t="n">
        <v>45986</v>
      </c>
      <c r="C236" s="1" t="n">
        <v>46046</v>
      </c>
      <c r="D236" t="inlineStr">
        <is>
          <t>NORRBOTTENS LÄN</t>
        </is>
      </c>
      <c r="E236" t="inlineStr">
        <is>
          <t>LULEÅ</t>
        </is>
      </c>
      <c r="G236" t="n">
        <v>1.6</v>
      </c>
      <c r="H236" t="n">
        <v>2</v>
      </c>
      <c r="I236" t="n">
        <v>0</v>
      </c>
      <c r="J236" t="n">
        <v>4</v>
      </c>
      <c r="K236" t="n">
        <v>1</v>
      </c>
      <c r="L236" t="n">
        <v>0</v>
      </c>
      <c r="M236" t="n">
        <v>0</v>
      </c>
      <c r="N236" t="n">
        <v>0</v>
      </c>
      <c r="O236" t="n">
        <v>5</v>
      </c>
      <c r="P236" t="n">
        <v>1</v>
      </c>
      <c r="Q236" t="n">
        <v>5</v>
      </c>
      <c r="R236" s="2" t="inlineStr">
        <is>
          <t>Tallbit
Gammelgransskål
Lunglav
Tretåig hackspett
Ullticka</t>
        </is>
      </c>
      <c r="S236">
        <f>HYPERLINK("https://klasma.github.io/Logging_2580/artfynd/A 58682-2025 artfynd.xlsx", "A 58682-2025")</f>
        <v/>
      </c>
      <c r="T236">
        <f>HYPERLINK("https://klasma.github.io/Logging_2580/kartor/A 58682-2025 karta.png", "A 58682-2025")</f>
        <v/>
      </c>
      <c r="U236">
        <f>HYPERLINK("https://klasma.github.io/Logging_2580/knärot/A 58682-2025 karta knärot.png", "A 58682-2025")</f>
        <v/>
      </c>
      <c r="V236">
        <f>HYPERLINK("https://klasma.github.io/Logging_2580/klagomål/A 58682-2025 FSC-klagomål.docx", "A 58682-2025")</f>
        <v/>
      </c>
      <c r="W236">
        <f>HYPERLINK("https://klasma.github.io/Logging_2580/klagomålsmail/A 58682-2025 FSC-klagomål mail.docx", "A 58682-2025")</f>
        <v/>
      </c>
      <c r="X236">
        <f>HYPERLINK("https://klasma.github.io/Logging_2580/tillsyn/A 58682-2025 tillsynsbegäran.docx", "A 58682-2025")</f>
        <v/>
      </c>
      <c r="Y236">
        <f>HYPERLINK("https://klasma.github.io/Logging_2580/tillsynsmail/A 58682-2025 tillsynsbegäran mail.docx", "A 58682-2025")</f>
        <v/>
      </c>
      <c r="Z236">
        <f>HYPERLINK("https://klasma.github.io/Logging_2580/fåglar/A 58682-2025 prioriterade fågelarter.docx", "A 58682-2025")</f>
        <v/>
      </c>
    </row>
    <row r="237" ht="15" customHeight="1">
      <c r="A237" t="inlineStr">
        <is>
          <t>A 14856-2021</t>
        </is>
      </c>
      <c r="B237" s="1" t="n">
        <v>44280.93891203704</v>
      </c>
      <c r="C237" s="1" t="n">
        <v>46046</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59298-2021</t>
        </is>
      </c>
      <c r="B238" s="1" t="n">
        <v>44490</v>
      </c>
      <c r="C238" s="1" t="n">
        <v>46046</v>
      </c>
      <c r="D238" t="inlineStr">
        <is>
          <t>NORRBOTTENS LÄN</t>
        </is>
      </c>
      <c r="E238" t="inlineStr">
        <is>
          <t>LULEÅ</t>
        </is>
      </c>
      <c r="G238" t="n">
        <v>9.199999999999999</v>
      </c>
      <c r="H238" t="n">
        <v>0</v>
      </c>
      <c r="I238" t="n">
        <v>1</v>
      </c>
      <c r="J238" t="n">
        <v>3</v>
      </c>
      <c r="K238" t="n">
        <v>0</v>
      </c>
      <c r="L238" t="n">
        <v>0</v>
      </c>
      <c r="M238" t="n">
        <v>0</v>
      </c>
      <c r="N238" t="n">
        <v>0</v>
      </c>
      <c r="O238" t="n">
        <v>3</v>
      </c>
      <c r="P238" t="n">
        <v>0</v>
      </c>
      <c r="Q238" t="n">
        <v>4</v>
      </c>
      <c r="R238" s="2" t="inlineStr">
        <is>
          <t>Garnlav
Granticka
Stiftgelélav
Skinnlav</t>
        </is>
      </c>
      <c r="S238">
        <f>HYPERLINK("https://klasma.github.io/Logging_2580/artfynd/A 59298-2021 artfynd.xlsx", "A 59298-2021")</f>
        <v/>
      </c>
      <c r="T238">
        <f>HYPERLINK("https://klasma.github.io/Logging_2580/kartor/A 59298-2021 karta.png", "A 59298-2021")</f>
        <v/>
      </c>
      <c r="V238">
        <f>HYPERLINK("https://klasma.github.io/Logging_2580/klagomål/A 59298-2021 FSC-klagomål.docx", "A 59298-2021")</f>
        <v/>
      </c>
      <c r="W238">
        <f>HYPERLINK("https://klasma.github.io/Logging_2580/klagomålsmail/A 59298-2021 FSC-klagomål mail.docx", "A 59298-2021")</f>
        <v/>
      </c>
      <c r="X238">
        <f>HYPERLINK("https://klasma.github.io/Logging_2580/tillsyn/A 59298-2021 tillsynsbegäran.docx", "A 59298-2021")</f>
        <v/>
      </c>
      <c r="Y238">
        <f>HYPERLINK("https://klasma.github.io/Logging_2580/tillsynsmail/A 59298-2021 tillsynsbegäran mail.docx", "A 59298-2021")</f>
        <v/>
      </c>
    </row>
    <row r="239" ht="15" customHeight="1">
      <c r="A239" t="inlineStr">
        <is>
          <t>A 46059-2021</t>
        </is>
      </c>
      <c r="B239" s="1" t="n">
        <v>44441.94325231481</v>
      </c>
      <c r="C239" s="1" t="n">
        <v>46046</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22862-2025</t>
        </is>
      </c>
      <c r="B240" s="1" t="n">
        <v>45790.3622337963</v>
      </c>
      <c r="C240" s="1" t="n">
        <v>46046</v>
      </c>
      <c r="D240" t="inlineStr">
        <is>
          <t>NORRBOTTENS LÄN</t>
        </is>
      </c>
      <c r="E240" t="inlineStr">
        <is>
          <t>ÄLVSBYN</t>
        </is>
      </c>
      <c r="F240" t="inlineStr">
        <is>
          <t>Sveaskog</t>
        </is>
      </c>
      <c r="G240" t="n">
        <v>18.7</v>
      </c>
      <c r="H240" t="n">
        <v>0</v>
      </c>
      <c r="I240" t="n">
        <v>2</v>
      </c>
      <c r="J240" t="n">
        <v>2</v>
      </c>
      <c r="K240" t="n">
        <v>0</v>
      </c>
      <c r="L240" t="n">
        <v>0</v>
      </c>
      <c r="M240" t="n">
        <v>0</v>
      </c>
      <c r="N240" t="n">
        <v>0</v>
      </c>
      <c r="O240" t="n">
        <v>2</v>
      </c>
      <c r="P240" t="n">
        <v>0</v>
      </c>
      <c r="Q240" t="n">
        <v>4</v>
      </c>
      <c r="R240" s="2" t="inlineStr">
        <is>
          <t>Kolflarnlav
Orange taggsvamp
Dropptaggsvamp
Skarp dropptaggsvamp</t>
        </is>
      </c>
      <c r="S240">
        <f>HYPERLINK("https://klasma.github.io/Logging_2560/artfynd/A 22862-2025 artfynd.xlsx", "A 22862-2025")</f>
        <v/>
      </c>
      <c r="T240">
        <f>HYPERLINK("https://klasma.github.io/Logging_2560/kartor/A 22862-2025 karta.png", "A 22862-2025")</f>
        <v/>
      </c>
      <c r="V240">
        <f>HYPERLINK("https://klasma.github.io/Logging_2560/klagomål/A 22862-2025 FSC-klagomål.docx", "A 22862-2025")</f>
        <v/>
      </c>
      <c r="W240">
        <f>HYPERLINK("https://klasma.github.io/Logging_2560/klagomålsmail/A 22862-2025 FSC-klagomål mail.docx", "A 22862-2025")</f>
        <v/>
      </c>
      <c r="X240">
        <f>HYPERLINK("https://klasma.github.io/Logging_2560/tillsyn/A 22862-2025 tillsynsbegäran.docx", "A 22862-2025")</f>
        <v/>
      </c>
      <c r="Y240">
        <f>HYPERLINK("https://klasma.github.io/Logging_2560/tillsynsmail/A 22862-2025 tillsynsbegäran mail.docx", "A 22862-2025")</f>
        <v/>
      </c>
    </row>
    <row r="241" ht="15" customHeight="1">
      <c r="A241" t="inlineStr">
        <is>
          <t>A 55870-2024</t>
        </is>
      </c>
      <c r="B241" s="1" t="n">
        <v>45622</v>
      </c>
      <c r="C241" s="1" t="n">
        <v>46046</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7955-2022</t>
        </is>
      </c>
      <c r="B242" s="1" t="n">
        <v>44608.93818287037</v>
      </c>
      <c r="C242" s="1" t="n">
        <v>46046</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32990-2023</t>
        </is>
      </c>
      <c r="B243" s="1" t="n">
        <v>45113</v>
      </c>
      <c r="C243" s="1" t="n">
        <v>46046</v>
      </c>
      <c r="D243" t="inlineStr">
        <is>
          <t>NORRBOTTENS LÄN</t>
        </is>
      </c>
      <c r="E243" t="inlineStr">
        <is>
          <t>JOKKMOKK</t>
        </is>
      </c>
      <c r="F243" t="inlineStr">
        <is>
          <t>Övriga statliga verk och myndigheter</t>
        </is>
      </c>
      <c r="G243" t="n">
        <v>22.7</v>
      </c>
      <c r="H243" t="n">
        <v>0</v>
      </c>
      <c r="I243" t="n">
        <v>0</v>
      </c>
      <c r="J243" t="n">
        <v>3</v>
      </c>
      <c r="K243" t="n">
        <v>0</v>
      </c>
      <c r="L243" t="n">
        <v>1</v>
      </c>
      <c r="M243" t="n">
        <v>0</v>
      </c>
      <c r="N243" t="n">
        <v>0</v>
      </c>
      <c r="O243" t="n">
        <v>4</v>
      </c>
      <c r="P243" t="n">
        <v>1</v>
      </c>
      <c r="Q243" t="n">
        <v>4</v>
      </c>
      <c r="R243" s="2" t="inlineStr">
        <is>
          <t>Urskogsporing
Dvärgbägarlav
Vedflamlav
Vedskivlav</t>
        </is>
      </c>
      <c r="S243">
        <f>HYPERLINK("https://klasma.github.io/Logging_2510/artfynd/A 32990-2023 artfynd.xlsx", "A 32990-2023")</f>
        <v/>
      </c>
      <c r="T243">
        <f>HYPERLINK("https://klasma.github.io/Logging_2510/kartor/A 32990-2023 karta.png", "A 32990-2023")</f>
        <v/>
      </c>
      <c r="V243">
        <f>HYPERLINK("https://klasma.github.io/Logging_2510/klagomål/A 32990-2023 FSC-klagomål.docx", "A 32990-2023")</f>
        <v/>
      </c>
      <c r="W243">
        <f>HYPERLINK("https://klasma.github.io/Logging_2510/klagomålsmail/A 32990-2023 FSC-klagomål mail.docx", "A 32990-2023")</f>
        <v/>
      </c>
      <c r="X243">
        <f>HYPERLINK("https://klasma.github.io/Logging_2510/tillsyn/A 32990-2023 tillsynsbegäran.docx", "A 32990-2023")</f>
        <v/>
      </c>
      <c r="Y243">
        <f>HYPERLINK("https://klasma.github.io/Logging_2510/tillsynsmail/A 32990-2023 tillsynsbegäran mail.docx", "A 32990-2023")</f>
        <v/>
      </c>
    </row>
    <row r="244" ht="15" customHeight="1">
      <c r="A244" t="inlineStr">
        <is>
          <t>A 24185-2025</t>
        </is>
      </c>
      <c r="B244" s="1" t="n">
        <v>45796</v>
      </c>
      <c r="C244" s="1" t="n">
        <v>46046</v>
      </c>
      <c r="D244" t="inlineStr">
        <is>
          <t>NORRBOTTENS LÄN</t>
        </is>
      </c>
      <c r="E244" t="inlineStr">
        <is>
          <t>GÄLLIVARE</t>
        </is>
      </c>
      <c r="F244" t="inlineStr">
        <is>
          <t>Allmännings- och besparingsskogar</t>
        </is>
      </c>
      <c r="G244" t="n">
        <v>10.6</v>
      </c>
      <c r="H244" t="n">
        <v>1</v>
      </c>
      <c r="I244" t="n">
        <v>2</v>
      </c>
      <c r="J244" t="n">
        <v>1</v>
      </c>
      <c r="K244" t="n">
        <v>0</v>
      </c>
      <c r="L244" t="n">
        <v>0</v>
      </c>
      <c r="M244" t="n">
        <v>0</v>
      </c>
      <c r="N244" t="n">
        <v>0</v>
      </c>
      <c r="O244" t="n">
        <v>1</v>
      </c>
      <c r="P244" t="n">
        <v>0</v>
      </c>
      <c r="Q244" t="n">
        <v>4</v>
      </c>
      <c r="R244" s="2" t="inlineStr">
        <is>
          <t>Garnlav
Grönpyrola
Nästlav
Revlummer</t>
        </is>
      </c>
      <c r="S244">
        <f>HYPERLINK("https://klasma.github.io/Logging_2523/artfynd/A 24185-2025 artfynd.xlsx", "A 24185-2025")</f>
        <v/>
      </c>
      <c r="T244">
        <f>HYPERLINK("https://klasma.github.io/Logging_2523/kartor/A 24185-2025 karta.png", "A 24185-2025")</f>
        <v/>
      </c>
      <c r="V244">
        <f>HYPERLINK("https://klasma.github.io/Logging_2523/klagomål/A 24185-2025 FSC-klagomål.docx", "A 24185-2025")</f>
        <v/>
      </c>
      <c r="W244">
        <f>HYPERLINK("https://klasma.github.io/Logging_2523/klagomålsmail/A 24185-2025 FSC-klagomål mail.docx", "A 24185-2025")</f>
        <v/>
      </c>
      <c r="X244">
        <f>HYPERLINK("https://klasma.github.io/Logging_2523/tillsyn/A 24185-2025 tillsynsbegäran.docx", "A 24185-2025")</f>
        <v/>
      </c>
      <c r="Y244">
        <f>HYPERLINK("https://klasma.github.io/Logging_2523/tillsynsmail/A 24185-2025 tillsynsbegäran mail.docx", "A 24185-2025")</f>
        <v/>
      </c>
    </row>
    <row r="245" ht="15" customHeight="1">
      <c r="A245" t="inlineStr">
        <is>
          <t>A 15152-2025</t>
        </is>
      </c>
      <c r="B245" s="1" t="n">
        <v>45744</v>
      </c>
      <c r="C245" s="1" t="n">
        <v>46046</v>
      </c>
      <c r="D245" t="inlineStr">
        <is>
          <t>NORRBOTTENS LÄN</t>
        </is>
      </c>
      <c r="E245" t="inlineStr">
        <is>
          <t>GÄLLIVARE</t>
        </is>
      </c>
      <c r="F245" t="inlineStr">
        <is>
          <t>Sveaskog</t>
        </is>
      </c>
      <c r="G245" t="n">
        <v>0.4</v>
      </c>
      <c r="H245" t="n">
        <v>0</v>
      </c>
      <c r="I245" t="n">
        <v>0</v>
      </c>
      <c r="J245" t="n">
        <v>3</v>
      </c>
      <c r="K245" t="n">
        <v>1</v>
      </c>
      <c r="L245" t="n">
        <v>0</v>
      </c>
      <c r="M245" t="n">
        <v>0</v>
      </c>
      <c r="N245" t="n">
        <v>0</v>
      </c>
      <c r="O245" t="n">
        <v>4</v>
      </c>
      <c r="P245" t="n">
        <v>1</v>
      </c>
      <c r="Q245" t="n">
        <v>4</v>
      </c>
      <c r="R245" s="2" t="inlineStr">
        <is>
          <t>Tallmusseron
Blå taggsvamp
Skrovlig taggsvamp
Talltaggsvamp</t>
        </is>
      </c>
      <c r="S245">
        <f>HYPERLINK("https://klasma.github.io/Logging_2523/artfynd/A 15152-2025 artfynd.xlsx", "A 15152-2025")</f>
        <v/>
      </c>
      <c r="T245">
        <f>HYPERLINK("https://klasma.github.io/Logging_2523/kartor/A 15152-2025 karta.png", "A 15152-2025")</f>
        <v/>
      </c>
      <c r="V245">
        <f>HYPERLINK("https://klasma.github.io/Logging_2523/klagomål/A 15152-2025 FSC-klagomål.docx", "A 15152-2025")</f>
        <v/>
      </c>
      <c r="W245">
        <f>HYPERLINK("https://klasma.github.io/Logging_2523/klagomålsmail/A 15152-2025 FSC-klagomål mail.docx", "A 15152-2025")</f>
        <v/>
      </c>
      <c r="X245">
        <f>HYPERLINK("https://klasma.github.io/Logging_2523/tillsyn/A 15152-2025 tillsynsbegäran.docx", "A 15152-2025")</f>
        <v/>
      </c>
      <c r="Y245">
        <f>HYPERLINK("https://klasma.github.io/Logging_2523/tillsynsmail/A 15152-2025 tillsynsbegäran mail.docx", "A 15152-2025")</f>
        <v/>
      </c>
    </row>
    <row r="246" ht="15" customHeight="1">
      <c r="A246" t="inlineStr">
        <is>
          <t>A 16456-2024</t>
        </is>
      </c>
      <c r="B246" s="1" t="n">
        <v>45407</v>
      </c>
      <c r="C246" s="1" t="n">
        <v>46046</v>
      </c>
      <c r="D246" t="inlineStr">
        <is>
          <t>NORRBOTTENS LÄN</t>
        </is>
      </c>
      <c r="E246" t="inlineStr">
        <is>
          <t>ÖVERTORNEÅ</t>
        </is>
      </c>
      <c r="G246" t="n">
        <v>11.3</v>
      </c>
      <c r="H246" t="n">
        <v>3</v>
      </c>
      <c r="I246" t="n">
        <v>0</v>
      </c>
      <c r="J246" t="n">
        <v>3</v>
      </c>
      <c r="K246" t="n">
        <v>0</v>
      </c>
      <c r="L246" t="n">
        <v>0</v>
      </c>
      <c r="M246" t="n">
        <v>0</v>
      </c>
      <c r="N246" t="n">
        <v>0</v>
      </c>
      <c r="O246" t="n">
        <v>3</v>
      </c>
      <c r="P246" t="n">
        <v>0</v>
      </c>
      <c r="Q246" t="n">
        <v>4</v>
      </c>
      <c r="R246" s="2" t="inlineStr">
        <is>
          <t>Garnlav
Spillkråka
Tretåig hackspett
Revlummer</t>
        </is>
      </c>
      <c r="S246">
        <f>HYPERLINK("https://klasma.github.io/Logging_2518/artfynd/A 16456-2024 artfynd.xlsx", "A 16456-2024")</f>
        <v/>
      </c>
      <c r="T246">
        <f>HYPERLINK("https://klasma.github.io/Logging_2518/kartor/A 16456-2024 karta.png", "A 16456-2024")</f>
        <v/>
      </c>
      <c r="V246">
        <f>HYPERLINK("https://klasma.github.io/Logging_2518/klagomål/A 16456-2024 FSC-klagomål.docx", "A 16456-2024")</f>
        <v/>
      </c>
      <c r="W246">
        <f>HYPERLINK("https://klasma.github.io/Logging_2518/klagomålsmail/A 16456-2024 FSC-klagomål mail.docx", "A 16456-2024")</f>
        <v/>
      </c>
      <c r="X246">
        <f>HYPERLINK("https://klasma.github.io/Logging_2518/tillsyn/A 16456-2024 tillsynsbegäran.docx", "A 16456-2024")</f>
        <v/>
      </c>
      <c r="Y246">
        <f>HYPERLINK("https://klasma.github.io/Logging_2518/tillsynsmail/A 16456-2024 tillsynsbegäran mail.docx", "A 16456-2024")</f>
        <v/>
      </c>
      <c r="Z246">
        <f>HYPERLINK("https://klasma.github.io/Logging_2518/fåglar/A 16456-2024 prioriterade fågelarter.docx", "A 16456-2024")</f>
        <v/>
      </c>
    </row>
    <row r="247" ht="15" customHeight="1">
      <c r="A247" t="inlineStr">
        <is>
          <t>A 22474-2024</t>
        </is>
      </c>
      <c r="B247" s="1" t="n">
        <v>45446.95140046296</v>
      </c>
      <c r="C247" s="1" t="n">
        <v>46046</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5288-2023</t>
        </is>
      </c>
      <c r="B248" s="1" t="n">
        <v>44959</v>
      </c>
      <c r="C248" s="1" t="n">
        <v>46046</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11851-2024</t>
        </is>
      </c>
      <c r="B249" s="1" t="n">
        <v>45376</v>
      </c>
      <c r="C249" s="1" t="n">
        <v>46046</v>
      </c>
      <c r="D249" t="inlineStr">
        <is>
          <t>NORRBOTTENS LÄN</t>
        </is>
      </c>
      <c r="E249" t="inlineStr">
        <is>
          <t>LULEÅ</t>
        </is>
      </c>
      <c r="G249" t="n">
        <v>6.1</v>
      </c>
      <c r="H249" t="n">
        <v>1</v>
      </c>
      <c r="I249" t="n">
        <v>0</v>
      </c>
      <c r="J249" t="n">
        <v>3</v>
      </c>
      <c r="K249" t="n">
        <v>0</v>
      </c>
      <c r="L249" t="n">
        <v>0</v>
      </c>
      <c r="M249" t="n">
        <v>0</v>
      </c>
      <c r="N249" t="n">
        <v>0</v>
      </c>
      <c r="O249" t="n">
        <v>3</v>
      </c>
      <c r="P249" t="n">
        <v>0</v>
      </c>
      <c r="Q249" t="n">
        <v>4</v>
      </c>
      <c r="R249" s="2" t="inlineStr">
        <is>
          <t>Garnlav
Granticka
Stjärntagging
Gråspett</t>
        </is>
      </c>
      <c r="S249">
        <f>HYPERLINK("https://klasma.github.io/Logging_2580/artfynd/A 11851-2024 artfynd.xlsx", "A 11851-2024")</f>
        <v/>
      </c>
      <c r="T249">
        <f>HYPERLINK("https://klasma.github.io/Logging_2580/kartor/A 11851-2024 karta.png", "A 11851-2024")</f>
        <v/>
      </c>
      <c r="V249">
        <f>HYPERLINK("https://klasma.github.io/Logging_2580/klagomål/A 11851-2024 FSC-klagomål.docx", "A 11851-2024")</f>
        <v/>
      </c>
      <c r="W249">
        <f>HYPERLINK("https://klasma.github.io/Logging_2580/klagomålsmail/A 11851-2024 FSC-klagomål mail.docx", "A 11851-2024")</f>
        <v/>
      </c>
      <c r="X249">
        <f>HYPERLINK("https://klasma.github.io/Logging_2580/tillsyn/A 11851-2024 tillsynsbegäran.docx", "A 11851-2024")</f>
        <v/>
      </c>
      <c r="Y249">
        <f>HYPERLINK("https://klasma.github.io/Logging_2580/tillsynsmail/A 11851-2024 tillsynsbegäran mail.docx", "A 11851-2024")</f>
        <v/>
      </c>
      <c r="Z249">
        <f>HYPERLINK("https://klasma.github.io/Logging_2580/fåglar/A 11851-2024 prioriterade fågelarter.docx", "A 11851-2024")</f>
        <v/>
      </c>
    </row>
    <row r="250" ht="15" customHeight="1">
      <c r="A250" t="inlineStr">
        <is>
          <t>A 28582-2025</t>
        </is>
      </c>
      <c r="B250" s="1" t="n">
        <v>45819</v>
      </c>
      <c r="C250" s="1" t="n">
        <v>46046</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1879-2024</t>
        </is>
      </c>
      <c r="B251" s="1" t="n">
        <v>45307</v>
      </c>
      <c r="C251" s="1" t="n">
        <v>46046</v>
      </c>
      <c r="D251" t="inlineStr">
        <is>
          <t>NORRBOTTENS LÄN</t>
        </is>
      </c>
      <c r="E251" t="inlineStr">
        <is>
          <t>BODEN</t>
        </is>
      </c>
      <c r="F251" t="inlineStr">
        <is>
          <t>SCA</t>
        </is>
      </c>
      <c r="G251" t="n">
        <v>4.5</v>
      </c>
      <c r="H251" t="n">
        <v>0</v>
      </c>
      <c r="I251" t="n">
        <v>1</v>
      </c>
      <c r="J251" t="n">
        <v>2</v>
      </c>
      <c r="K251" t="n">
        <v>1</v>
      </c>
      <c r="L251" t="n">
        <v>0</v>
      </c>
      <c r="M251" t="n">
        <v>0</v>
      </c>
      <c r="N251" t="n">
        <v>0</v>
      </c>
      <c r="O251" t="n">
        <v>3</v>
      </c>
      <c r="P251" t="n">
        <v>1</v>
      </c>
      <c r="Q251" t="n">
        <v>4</v>
      </c>
      <c r="R251" s="2" t="inlineStr">
        <is>
          <t>Ringlav
Garnlav
Skogshare
Bårdlav</t>
        </is>
      </c>
      <c r="S251">
        <f>HYPERLINK("https://klasma.github.io/Logging_2582/artfynd/A 1879-2024 artfynd.xlsx", "A 1879-2024")</f>
        <v/>
      </c>
      <c r="T251">
        <f>HYPERLINK("https://klasma.github.io/Logging_2582/kartor/A 1879-2024 karta.png", "A 1879-2024")</f>
        <v/>
      </c>
      <c r="V251">
        <f>HYPERLINK("https://klasma.github.io/Logging_2582/klagomål/A 1879-2024 FSC-klagomål.docx", "A 1879-2024")</f>
        <v/>
      </c>
      <c r="W251">
        <f>HYPERLINK("https://klasma.github.io/Logging_2582/klagomålsmail/A 1879-2024 FSC-klagomål mail.docx", "A 1879-2024")</f>
        <v/>
      </c>
      <c r="X251">
        <f>HYPERLINK("https://klasma.github.io/Logging_2582/tillsyn/A 1879-2024 tillsynsbegäran.docx", "A 1879-2024")</f>
        <v/>
      </c>
      <c r="Y251">
        <f>HYPERLINK("https://klasma.github.io/Logging_2582/tillsynsmail/A 1879-2024 tillsynsbegäran mail.docx", "A 1879-2024")</f>
        <v/>
      </c>
    </row>
    <row r="252" ht="15" customHeight="1">
      <c r="A252" t="inlineStr">
        <is>
          <t>A 25922-2024</t>
        </is>
      </c>
      <c r="B252" s="1" t="n">
        <v>45467.60636574074</v>
      </c>
      <c r="C252" s="1" t="n">
        <v>46046</v>
      </c>
      <c r="D252" t="inlineStr">
        <is>
          <t>NORRBOTTENS LÄN</t>
        </is>
      </c>
      <c r="E252" t="inlineStr">
        <is>
          <t>GÄLLIVARE</t>
        </is>
      </c>
      <c r="G252" t="n">
        <v>9.300000000000001</v>
      </c>
      <c r="H252" t="n">
        <v>4</v>
      </c>
      <c r="I252" t="n">
        <v>0</v>
      </c>
      <c r="J252" t="n">
        <v>2</v>
      </c>
      <c r="K252" t="n">
        <v>1</v>
      </c>
      <c r="L252" t="n">
        <v>0</v>
      </c>
      <c r="M252" t="n">
        <v>0</v>
      </c>
      <c r="N252" t="n">
        <v>0</v>
      </c>
      <c r="O252" t="n">
        <v>3</v>
      </c>
      <c r="P252" t="n">
        <v>1</v>
      </c>
      <c r="Q252" t="n">
        <v>4</v>
      </c>
      <c r="R252" s="2" t="inlineStr">
        <is>
          <t>Kricka
Buskskvätta
Svartsnäppa
Huggorm</t>
        </is>
      </c>
      <c r="S252">
        <f>HYPERLINK("https://klasma.github.io/Logging_2523/artfynd/A 25922-2024 artfynd.xlsx", "A 25922-2024")</f>
        <v/>
      </c>
      <c r="T252">
        <f>HYPERLINK("https://klasma.github.io/Logging_2523/kartor/A 25922-2024 karta.png", "A 25922-2024")</f>
        <v/>
      </c>
      <c r="V252">
        <f>HYPERLINK("https://klasma.github.io/Logging_2523/klagomål/A 25922-2024 FSC-klagomål.docx", "A 25922-2024")</f>
        <v/>
      </c>
      <c r="W252">
        <f>HYPERLINK("https://klasma.github.io/Logging_2523/klagomålsmail/A 25922-2024 FSC-klagomål mail.docx", "A 25922-2024")</f>
        <v/>
      </c>
      <c r="X252">
        <f>HYPERLINK("https://klasma.github.io/Logging_2523/tillsyn/A 25922-2024 tillsynsbegäran.docx", "A 25922-2024")</f>
        <v/>
      </c>
      <c r="Y252">
        <f>HYPERLINK("https://klasma.github.io/Logging_2523/tillsynsmail/A 25922-2024 tillsynsbegäran mail.docx", "A 25922-2024")</f>
        <v/>
      </c>
      <c r="Z252">
        <f>HYPERLINK("https://klasma.github.io/Logging_2523/fåglar/A 25922-2024 prioriterade fågelarter.docx", "A 25922-2024")</f>
        <v/>
      </c>
    </row>
    <row r="253" ht="15" customHeight="1">
      <c r="A253" t="inlineStr">
        <is>
          <t>A 64803-2023</t>
        </is>
      </c>
      <c r="B253" s="1" t="n">
        <v>45281</v>
      </c>
      <c r="C253" s="1" t="n">
        <v>46046</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11630-2025</t>
        </is>
      </c>
      <c r="B254" s="1" t="n">
        <v>45726</v>
      </c>
      <c r="C254" s="1" t="n">
        <v>46046</v>
      </c>
      <c r="D254" t="inlineStr">
        <is>
          <t>NORRBOTTENS LÄN</t>
        </is>
      </c>
      <c r="E254" t="inlineStr">
        <is>
          <t>ARVIDSJAUR</t>
        </is>
      </c>
      <c r="F254" t="inlineStr">
        <is>
          <t>Allmännings- och besparingsskogar</t>
        </is>
      </c>
      <c r="G254" t="n">
        <v>7.7</v>
      </c>
      <c r="H254" t="n">
        <v>0</v>
      </c>
      <c r="I254" t="n">
        <v>1</v>
      </c>
      <c r="J254" t="n">
        <v>2</v>
      </c>
      <c r="K254" t="n">
        <v>1</v>
      </c>
      <c r="L254" t="n">
        <v>0</v>
      </c>
      <c r="M254" t="n">
        <v>0</v>
      </c>
      <c r="N254" t="n">
        <v>0</v>
      </c>
      <c r="O254" t="n">
        <v>3</v>
      </c>
      <c r="P254" t="n">
        <v>1</v>
      </c>
      <c r="Q254" t="n">
        <v>4</v>
      </c>
      <c r="R254" s="2" t="inlineStr">
        <is>
          <t>Smalfotad taggsvamp
Blanksvart spiklav
Svart taggsvamp
Dropptaggsvamp</t>
        </is>
      </c>
      <c r="S254">
        <f>HYPERLINK("https://klasma.github.io/Logging_2505/artfynd/A 11630-2025 artfynd.xlsx", "A 11630-2025")</f>
        <v/>
      </c>
      <c r="T254">
        <f>HYPERLINK("https://klasma.github.io/Logging_2505/kartor/A 11630-2025 karta.png", "A 11630-2025")</f>
        <v/>
      </c>
      <c r="V254">
        <f>HYPERLINK("https://klasma.github.io/Logging_2505/klagomål/A 11630-2025 FSC-klagomål.docx", "A 11630-2025")</f>
        <v/>
      </c>
      <c r="W254">
        <f>HYPERLINK("https://klasma.github.io/Logging_2505/klagomålsmail/A 11630-2025 FSC-klagomål mail.docx", "A 11630-2025")</f>
        <v/>
      </c>
      <c r="X254">
        <f>HYPERLINK("https://klasma.github.io/Logging_2505/tillsyn/A 11630-2025 tillsynsbegäran.docx", "A 11630-2025")</f>
        <v/>
      </c>
      <c r="Y254">
        <f>HYPERLINK("https://klasma.github.io/Logging_2505/tillsynsmail/A 11630-2025 tillsynsbegäran mail.docx", "A 11630-2025")</f>
        <v/>
      </c>
    </row>
    <row r="255" ht="15" customHeight="1">
      <c r="A255" t="inlineStr">
        <is>
          <t>A 21352-2024</t>
        </is>
      </c>
      <c r="B255" s="1" t="n">
        <v>45440</v>
      </c>
      <c r="C255" s="1" t="n">
        <v>46046</v>
      </c>
      <c r="D255" t="inlineStr">
        <is>
          <t>NORRBOTTENS LÄN</t>
        </is>
      </c>
      <c r="E255" t="inlineStr">
        <is>
          <t>JOKKMOKK</t>
        </is>
      </c>
      <c r="F255" t="inlineStr">
        <is>
          <t>SCA</t>
        </is>
      </c>
      <c r="G255" t="n">
        <v>2.7</v>
      </c>
      <c r="H255" t="n">
        <v>2</v>
      </c>
      <c r="I255" t="n">
        <v>0</v>
      </c>
      <c r="J255" t="n">
        <v>3</v>
      </c>
      <c r="K255" t="n">
        <v>0</v>
      </c>
      <c r="L255" t="n">
        <v>0</v>
      </c>
      <c r="M255" t="n">
        <v>0</v>
      </c>
      <c r="N255" t="n">
        <v>0</v>
      </c>
      <c r="O255" t="n">
        <v>3</v>
      </c>
      <c r="P255" t="n">
        <v>0</v>
      </c>
      <c r="Q255" t="n">
        <v>4</v>
      </c>
      <c r="R255" s="2" t="inlineStr">
        <is>
          <t>Gammelgransskål
Stjärntagging
Tretåig hackspett
Fläcknycklar</t>
        </is>
      </c>
      <c r="S255">
        <f>HYPERLINK("https://klasma.github.io/Logging_2510/artfynd/A 21352-2024 artfynd.xlsx", "A 21352-2024")</f>
        <v/>
      </c>
      <c r="T255">
        <f>HYPERLINK("https://klasma.github.io/Logging_2510/kartor/A 21352-2024 karta.png", "A 21352-2024")</f>
        <v/>
      </c>
      <c r="V255">
        <f>HYPERLINK("https://klasma.github.io/Logging_2510/klagomål/A 21352-2024 FSC-klagomål.docx", "A 21352-2024")</f>
        <v/>
      </c>
      <c r="W255">
        <f>HYPERLINK("https://klasma.github.io/Logging_2510/klagomålsmail/A 21352-2024 FSC-klagomål mail.docx", "A 21352-2024")</f>
        <v/>
      </c>
      <c r="X255">
        <f>HYPERLINK("https://klasma.github.io/Logging_2510/tillsyn/A 21352-2024 tillsynsbegäran.docx", "A 21352-2024")</f>
        <v/>
      </c>
      <c r="Y255">
        <f>HYPERLINK("https://klasma.github.io/Logging_2510/tillsynsmail/A 21352-2024 tillsynsbegäran mail.docx", "A 21352-2024")</f>
        <v/>
      </c>
      <c r="Z255">
        <f>HYPERLINK("https://klasma.github.io/Logging_2510/fåglar/A 21352-2024 prioriterade fågelarter.docx", "A 21352-2024")</f>
        <v/>
      </c>
    </row>
    <row r="256" ht="15" customHeight="1">
      <c r="A256" t="inlineStr">
        <is>
          <t>A 34385-2025</t>
        </is>
      </c>
      <c r="B256" s="1" t="n">
        <v>45846.56134259259</v>
      </c>
      <c r="C256" s="1" t="n">
        <v>46046</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46046</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11477-2022</t>
        </is>
      </c>
      <c r="B258" s="1" t="n">
        <v>44630.92287037037</v>
      </c>
      <c r="C258" s="1" t="n">
        <v>46046</v>
      </c>
      <c r="D258" t="inlineStr">
        <is>
          <t>NORRBOTTENS LÄN</t>
        </is>
      </c>
      <c r="E258" t="inlineStr">
        <is>
          <t>ÄLVSBYN</t>
        </is>
      </c>
      <c r="G258" t="n">
        <v>8.699999999999999</v>
      </c>
      <c r="H258" t="n">
        <v>2</v>
      </c>
      <c r="I258" t="n">
        <v>1</v>
      </c>
      <c r="J258" t="n">
        <v>2</v>
      </c>
      <c r="K258" t="n">
        <v>0</v>
      </c>
      <c r="L258" t="n">
        <v>0</v>
      </c>
      <c r="M258" t="n">
        <v>0</v>
      </c>
      <c r="N258" t="n">
        <v>0</v>
      </c>
      <c r="O258" t="n">
        <v>2</v>
      </c>
      <c r="P258" t="n">
        <v>0</v>
      </c>
      <c r="Q258" t="n">
        <v>4</v>
      </c>
      <c r="R258" s="2" t="inlineStr">
        <is>
          <t>Garnlav
Talltita
Ögonpyrola
Revlummer</t>
        </is>
      </c>
      <c r="S258">
        <f>HYPERLINK("https://klasma.github.io/Logging_2560/artfynd/A 11477-2022 artfynd.xlsx", "A 11477-2022")</f>
        <v/>
      </c>
      <c r="T258">
        <f>HYPERLINK("https://klasma.github.io/Logging_2560/kartor/A 11477-2022 karta.png", "A 11477-2022")</f>
        <v/>
      </c>
      <c r="V258">
        <f>HYPERLINK("https://klasma.github.io/Logging_2560/klagomål/A 11477-2022 FSC-klagomål.docx", "A 11477-2022")</f>
        <v/>
      </c>
      <c r="W258">
        <f>HYPERLINK("https://klasma.github.io/Logging_2560/klagomålsmail/A 11477-2022 FSC-klagomål mail.docx", "A 11477-2022")</f>
        <v/>
      </c>
      <c r="X258">
        <f>HYPERLINK("https://klasma.github.io/Logging_2560/tillsyn/A 11477-2022 tillsynsbegäran.docx", "A 11477-2022")</f>
        <v/>
      </c>
      <c r="Y258">
        <f>HYPERLINK("https://klasma.github.io/Logging_2560/tillsynsmail/A 11477-2022 tillsynsbegäran mail.docx", "A 11477-2022")</f>
        <v/>
      </c>
      <c r="Z258">
        <f>HYPERLINK("https://klasma.github.io/Logging_2560/fåglar/A 11477-2022 prioriterade fågelarter.docx", "A 11477-2022")</f>
        <v/>
      </c>
    </row>
    <row r="259" ht="15" customHeight="1">
      <c r="A259" t="inlineStr">
        <is>
          <t>A 32155-2023</t>
        </is>
      </c>
      <c r="B259" s="1" t="n">
        <v>45119</v>
      </c>
      <c r="C259" s="1" t="n">
        <v>46046</v>
      </c>
      <c r="D259" t="inlineStr">
        <is>
          <t>NORRBOTTENS LÄN</t>
        </is>
      </c>
      <c r="E259" t="inlineStr">
        <is>
          <t>PITEÅ</t>
        </is>
      </c>
      <c r="F259" t="inlineStr">
        <is>
          <t>Sveaskog</t>
        </is>
      </c>
      <c r="G259" t="n">
        <v>4</v>
      </c>
      <c r="H259" t="n">
        <v>0</v>
      </c>
      <c r="I259" t="n">
        <v>0</v>
      </c>
      <c r="J259" t="n">
        <v>4</v>
      </c>
      <c r="K259" t="n">
        <v>0</v>
      </c>
      <c r="L259" t="n">
        <v>0</v>
      </c>
      <c r="M259" t="n">
        <v>0</v>
      </c>
      <c r="N259" t="n">
        <v>0</v>
      </c>
      <c r="O259" t="n">
        <v>4</v>
      </c>
      <c r="P259" t="n">
        <v>0</v>
      </c>
      <c r="Q259" t="n">
        <v>4</v>
      </c>
      <c r="R259" s="2" t="inlineStr">
        <is>
          <t>Harticka
Kolflarnlav
Tallticka
Violmussling</t>
        </is>
      </c>
      <c r="S259">
        <f>HYPERLINK("https://klasma.github.io/Logging_2581/artfynd/A 32155-2023 artfynd.xlsx", "A 32155-2023")</f>
        <v/>
      </c>
      <c r="T259">
        <f>HYPERLINK("https://klasma.github.io/Logging_2581/kartor/A 32155-2023 karta.png", "A 32155-2023")</f>
        <v/>
      </c>
      <c r="V259">
        <f>HYPERLINK("https://klasma.github.io/Logging_2581/klagomål/A 32155-2023 FSC-klagomål.docx", "A 32155-2023")</f>
        <v/>
      </c>
      <c r="W259">
        <f>HYPERLINK("https://klasma.github.io/Logging_2581/klagomålsmail/A 32155-2023 FSC-klagomål mail.docx", "A 32155-2023")</f>
        <v/>
      </c>
      <c r="X259">
        <f>HYPERLINK("https://klasma.github.io/Logging_2581/tillsyn/A 32155-2023 tillsynsbegäran.docx", "A 32155-2023")</f>
        <v/>
      </c>
      <c r="Y259">
        <f>HYPERLINK("https://klasma.github.io/Logging_2581/tillsynsmail/A 32155-2023 tillsynsbegäran mail.docx", "A 32155-2023")</f>
        <v/>
      </c>
    </row>
    <row r="260" ht="15" customHeight="1">
      <c r="A260" t="inlineStr">
        <is>
          <t>A 31708-2021</t>
        </is>
      </c>
      <c r="B260" s="1" t="n">
        <v>44369</v>
      </c>
      <c r="C260" s="1" t="n">
        <v>46046</v>
      </c>
      <c r="D260" t="inlineStr">
        <is>
          <t>NORRBOTTENS LÄN</t>
        </is>
      </c>
      <c r="E260" t="inlineStr">
        <is>
          <t>KALIX</t>
        </is>
      </c>
      <c r="G260" t="n">
        <v>4.9</v>
      </c>
      <c r="H260" t="n">
        <v>1</v>
      </c>
      <c r="I260" t="n">
        <v>3</v>
      </c>
      <c r="J260" t="n">
        <v>1</v>
      </c>
      <c r="K260" t="n">
        <v>0</v>
      </c>
      <c r="L260" t="n">
        <v>0</v>
      </c>
      <c r="M260" t="n">
        <v>0</v>
      </c>
      <c r="N260" t="n">
        <v>0</v>
      </c>
      <c r="O260" t="n">
        <v>1</v>
      </c>
      <c r="P260" t="n">
        <v>0</v>
      </c>
      <c r="Q260" t="n">
        <v>4</v>
      </c>
      <c r="R260" s="2" t="inlineStr">
        <is>
          <t>Motaggsvamp
Guckusko
Rödgul trumpetsvamp
Svavelriska</t>
        </is>
      </c>
      <c r="S260">
        <f>HYPERLINK("https://klasma.github.io/Logging_2514/artfynd/A 31708-2021 artfynd.xlsx", "A 31708-2021")</f>
        <v/>
      </c>
      <c r="T260">
        <f>HYPERLINK("https://klasma.github.io/Logging_2514/kartor/A 31708-2021 karta.png", "A 31708-2021")</f>
        <v/>
      </c>
      <c r="U260">
        <f>HYPERLINK("https://klasma.github.io/Logging_2514/knärot/A 31708-2021 karta knärot.png", "A 31708-2021")</f>
        <v/>
      </c>
      <c r="V260">
        <f>HYPERLINK("https://klasma.github.io/Logging_2514/klagomål/A 31708-2021 FSC-klagomål.docx", "A 31708-2021")</f>
        <v/>
      </c>
      <c r="W260">
        <f>HYPERLINK("https://klasma.github.io/Logging_2514/klagomålsmail/A 31708-2021 FSC-klagomål mail.docx", "A 31708-2021")</f>
        <v/>
      </c>
      <c r="X260">
        <f>HYPERLINK("https://klasma.github.io/Logging_2514/tillsyn/A 31708-2021 tillsynsbegäran.docx", "A 31708-2021")</f>
        <v/>
      </c>
      <c r="Y260">
        <f>HYPERLINK("https://klasma.github.io/Logging_2514/tillsynsmail/A 31708-2021 tillsynsbegäran mail.docx", "A 31708-2021")</f>
        <v/>
      </c>
    </row>
    <row r="261" ht="15" customHeight="1">
      <c r="A261" t="inlineStr">
        <is>
          <t>A 3922-2025</t>
        </is>
      </c>
      <c r="B261" s="1" t="n">
        <v>45684.44825231482</v>
      </c>
      <c r="C261" s="1" t="n">
        <v>46046</v>
      </c>
      <c r="D261" t="inlineStr">
        <is>
          <t>NORRBOTTENS LÄN</t>
        </is>
      </c>
      <c r="E261" t="inlineStr">
        <is>
          <t>BODEN</t>
        </is>
      </c>
      <c r="F261" t="inlineStr">
        <is>
          <t>SCA</t>
        </is>
      </c>
      <c r="G261" t="n">
        <v>1.9</v>
      </c>
      <c r="H261" t="n">
        <v>1</v>
      </c>
      <c r="I261" t="n">
        <v>1</v>
      </c>
      <c r="J261" t="n">
        <v>3</v>
      </c>
      <c r="K261" t="n">
        <v>0</v>
      </c>
      <c r="L261" t="n">
        <v>0</v>
      </c>
      <c r="M261" t="n">
        <v>0</v>
      </c>
      <c r="N261" t="n">
        <v>0</v>
      </c>
      <c r="O261" t="n">
        <v>3</v>
      </c>
      <c r="P261" t="n">
        <v>0</v>
      </c>
      <c r="Q261" t="n">
        <v>4</v>
      </c>
      <c r="R261" s="2" t="inlineStr">
        <is>
          <t>Rosenticka
Talltita
Ullticka
Dropptaggsvamp</t>
        </is>
      </c>
      <c r="S261">
        <f>HYPERLINK("https://klasma.github.io/Logging_2582/artfynd/A 3922-2025 artfynd.xlsx", "A 3922-2025")</f>
        <v/>
      </c>
      <c r="T261">
        <f>HYPERLINK("https://klasma.github.io/Logging_2582/kartor/A 3922-2025 karta.png", "A 3922-2025")</f>
        <v/>
      </c>
      <c r="V261">
        <f>HYPERLINK("https://klasma.github.io/Logging_2582/klagomål/A 3922-2025 FSC-klagomål.docx", "A 3922-2025")</f>
        <v/>
      </c>
      <c r="W261">
        <f>HYPERLINK("https://klasma.github.io/Logging_2582/klagomålsmail/A 3922-2025 FSC-klagomål mail.docx", "A 3922-2025")</f>
        <v/>
      </c>
      <c r="X261">
        <f>HYPERLINK("https://klasma.github.io/Logging_2582/tillsyn/A 3922-2025 tillsynsbegäran.docx", "A 3922-2025")</f>
        <v/>
      </c>
      <c r="Y261">
        <f>HYPERLINK("https://klasma.github.io/Logging_2582/tillsynsmail/A 3922-2025 tillsynsbegäran mail.docx", "A 3922-2025")</f>
        <v/>
      </c>
      <c r="Z261">
        <f>HYPERLINK("https://klasma.github.io/Logging_2582/fåglar/A 3922-2025 prioriterade fågelarter.docx", "A 3922-2025")</f>
        <v/>
      </c>
    </row>
    <row r="262" ht="15" customHeight="1">
      <c r="A262" t="inlineStr">
        <is>
          <t>A 36983-2025</t>
        </is>
      </c>
      <c r="B262" s="1" t="n">
        <v>45874.64776620371</v>
      </c>
      <c r="C262" s="1" t="n">
        <v>46046</v>
      </c>
      <c r="D262" t="inlineStr">
        <is>
          <t>NORRBOTTENS LÄN</t>
        </is>
      </c>
      <c r="E262" t="inlineStr">
        <is>
          <t>ÖVERKALIX</t>
        </is>
      </c>
      <c r="F262" t="inlineStr">
        <is>
          <t>Sveaskog</t>
        </is>
      </c>
      <c r="G262" t="n">
        <v>1.7</v>
      </c>
      <c r="H262" t="n">
        <v>0</v>
      </c>
      <c r="I262" t="n">
        <v>0</v>
      </c>
      <c r="J262" t="n">
        <v>2</v>
      </c>
      <c r="K262" t="n">
        <v>0</v>
      </c>
      <c r="L262" t="n">
        <v>2</v>
      </c>
      <c r="M262" t="n">
        <v>0</v>
      </c>
      <c r="N262" t="n">
        <v>0</v>
      </c>
      <c r="O262" t="n">
        <v>4</v>
      </c>
      <c r="P262" t="n">
        <v>2</v>
      </c>
      <c r="Q262" t="n">
        <v>4</v>
      </c>
      <c r="R262" s="2" t="inlineStr">
        <is>
          <t>Djupsvart brunbagge
Karelsk barkfluga
Rosenticka
Ullticka</t>
        </is>
      </c>
      <c r="S262">
        <f>HYPERLINK("https://klasma.github.io/Logging_2513/artfynd/A 36983-2025 artfynd.xlsx", "A 36983-2025")</f>
        <v/>
      </c>
      <c r="T262">
        <f>HYPERLINK("https://klasma.github.io/Logging_2513/kartor/A 36983-2025 karta.png", "A 36983-2025")</f>
        <v/>
      </c>
      <c r="V262">
        <f>HYPERLINK("https://klasma.github.io/Logging_2513/klagomål/A 36983-2025 FSC-klagomål.docx", "A 36983-2025")</f>
        <v/>
      </c>
      <c r="W262">
        <f>HYPERLINK("https://klasma.github.io/Logging_2513/klagomålsmail/A 36983-2025 FSC-klagomål mail.docx", "A 36983-2025")</f>
        <v/>
      </c>
      <c r="X262">
        <f>HYPERLINK("https://klasma.github.io/Logging_2513/tillsyn/A 36983-2025 tillsynsbegäran.docx", "A 36983-2025")</f>
        <v/>
      </c>
      <c r="Y262">
        <f>HYPERLINK("https://klasma.github.io/Logging_2513/tillsynsmail/A 36983-2025 tillsynsbegäran mail.docx", "A 36983-2025")</f>
        <v/>
      </c>
    </row>
    <row r="263" ht="15" customHeight="1">
      <c r="A263" t="inlineStr">
        <is>
          <t>A 36753-2022</t>
        </is>
      </c>
      <c r="B263" s="1" t="n">
        <v>44805</v>
      </c>
      <c r="C263" s="1" t="n">
        <v>46046</v>
      </c>
      <c r="D263" t="inlineStr">
        <is>
          <t>NORRBOTTENS LÄN</t>
        </is>
      </c>
      <c r="E263" t="inlineStr">
        <is>
          <t>KALIX</t>
        </is>
      </c>
      <c r="G263" t="n">
        <v>5</v>
      </c>
      <c r="H263" t="n">
        <v>2</v>
      </c>
      <c r="I263" t="n">
        <v>2</v>
      </c>
      <c r="J263" t="n">
        <v>0</v>
      </c>
      <c r="K263" t="n">
        <v>2</v>
      </c>
      <c r="L263" t="n">
        <v>0</v>
      </c>
      <c r="M263" t="n">
        <v>0</v>
      </c>
      <c r="N263" t="n">
        <v>0</v>
      </c>
      <c r="O263" t="n">
        <v>2</v>
      </c>
      <c r="P263" t="n">
        <v>2</v>
      </c>
      <c r="Q263" t="n">
        <v>4</v>
      </c>
      <c r="R263" s="2" t="inlineStr">
        <is>
          <t>Knärot
Liten aspgelélav
Guckusko
Svart trolldruva</t>
        </is>
      </c>
      <c r="S263">
        <f>HYPERLINK("https://klasma.github.io/Logging_2514/artfynd/A 36753-2022 artfynd.xlsx", "A 36753-2022")</f>
        <v/>
      </c>
      <c r="T263">
        <f>HYPERLINK("https://klasma.github.io/Logging_2514/kartor/A 36753-2022 karta.png", "A 36753-2022")</f>
        <v/>
      </c>
      <c r="U263">
        <f>HYPERLINK("https://klasma.github.io/Logging_2514/knärot/A 36753-2022 karta knärot.png", "A 36753-2022")</f>
        <v/>
      </c>
      <c r="V263">
        <f>HYPERLINK("https://klasma.github.io/Logging_2514/klagomål/A 36753-2022 FSC-klagomål.docx", "A 36753-2022")</f>
        <v/>
      </c>
      <c r="W263">
        <f>HYPERLINK("https://klasma.github.io/Logging_2514/klagomålsmail/A 36753-2022 FSC-klagomål mail.docx", "A 36753-2022")</f>
        <v/>
      </c>
      <c r="X263">
        <f>HYPERLINK("https://klasma.github.io/Logging_2514/tillsyn/A 36753-2022 tillsynsbegäran.docx", "A 36753-2022")</f>
        <v/>
      </c>
      <c r="Y263">
        <f>HYPERLINK("https://klasma.github.io/Logging_2514/tillsynsmail/A 36753-2022 tillsynsbegäran mail.docx", "A 36753-2022")</f>
        <v/>
      </c>
    </row>
    <row r="264" ht="15" customHeight="1">
      <c r="A264" t="inlineStr">
        <is>
          <t>A 64290-2021</t>
        </is>
      </c>
      <c r="B264" s="1" t="n">
        <v>44510</v>
      </c>
      <c r="C264" s="1" t="n">
        <v>46046</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Dactylorhiza incarnata subsp. incarnata</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41283-2025</t>
        </is>
      </c>
      <c r="B265" s="1" t="n">
        <v>45898.6357175926</v>
      </c>
      <c r="C265" s="1" t="n">
        <v>46046</v>
      </c>
      <c r="D265" t="inlineStr">
        <is>
          <t>NORRBOTTENS LÄN</t>
        </is>
      </c>
      <c r="E265" t="inlineStr">
        <is>
          <t>PITEÅ</t>
        </is>
      </c>
      <c r="F265" t="inlineStr">
        <is>
          <t>Sveaskog</t>
        </is>
      </c>
      <c r="G265" t="n">
        <v>16.8</v>
      </c>
      <c r="H265" t="n">
        <v>2</v>
      </c>
      <c r="I265" t="n">
        <v>1</v>
      </c>
      <c r="J265" t="n">
        <v>1</v>
      </c>
      <c r="K265" t="n">
        <v>0</v>
      </c>
      <c r="L265" t="n">
        <v>0</v>
      </c>
      <c r="M265" t="n">
        <v>0</v>
      </c>
      <c r="N265" t="n">
        <v>0</v>
      </c>
      <c r="O265" t="n">
        <v>1</v>
      </c>
      <c r="P265" t="n">
        <v>0</v>
      </c>
      <c r="Q265" t="n">
        <v>4</v>
      </c>
      <c r="R265" s="2" t="inlineStr">
        <is>
          <t>Garnlav
Stuplav
Lavskrika
Revlummer</t>
        </is>
      </c>
      <c r="S265">
        <f>HYPERLINK("https://klasma.github.io/Logging_2581/artfynd/A 41283-2025 artfynd.xlsx", "A 41283-2025")</f>
        <v/>
      </c>
      <c r="T265">
        <f>HYPERLINK("https://klasma.github.io/Logging_2581/kartor/A 41283-2025 karta.png", "A 41283-2025")</f>
        <v/>
      </c>
      <c r="V265">
        <f>HYPERLINK("https://klasma.github.io/Logging_2581/klagomål/A 41283-2025 FSC-klagomål.docx", "A 41283-2025")</f>
        <v/>
      </c>
      <c r="W265">
        <f>HYPERLINK("https://klasma.github.io/Logging_2581/klagomålsmail/A 41283-2025 FSC-klagomål mail.docx", "A 41283-2025")</f>
        <v/>
      </c>
      <c r="X265">
        <f>HYPERLINK("https://klasma.github.io/Logging_2581/tillsyn/A 41283-2025 tillsynsbegäran.docx", "A 41283-2025")</f>
        <v/>
      </c>
      <c r="Y265">
        <f>HYPERLINK("https://klasma.github.io/Logging_2581/tillsynsmail/A 41283-2025 tillsynsbegäran mail.docx", "A 41283-2025")</f>
        <v/>
      </c>
      <c r="Z265">
        <f>HYPERLINK("https://klasma.github.io/Logging_2581/fåglar/A 41283-2025 prioriterade fågelarter.docx", "A 41283-2025")</f>
        <v/>
      </c>
    </row>
    <row r="266" ht="15" customHeight="1">
      <c r="A266" t="inlineStr">
        <is>
          <t>A 41787-2025</t>
        </is>
      </c>
      <c r="B266" s="1" t="n">
        <v>45902.5921875</v>
      </c>
      <c r="C266" s="1" t="n">
        <v>46046</v>
      </c>
      <c r="D266" t="inlineStr">
        <is>
          <t>NORRBOTTENS LÄN</t>
        </is>
      </c>
      <c r="E266" t="inlineStr">
        <is>
          <t>PAJALA</t>
        </is>
      </c>
      <c r="F266" t="inlineStr">
        <is>
          <t>Sveaskog</t>
        </is>
      </c>
      <c r="G266" t="n">
        <v>29.2</v>
      </c>
      <c r="H266" t="n">
        <v>0</v>
      </c>
      <c r="I266" t="n">
        <v>1</v>
      </c>
      <c r="J266" t="n">
        <v>3</v>
      </c>
      <c r="K266" t="n">
        <v>0</v>
      </c>
      <c r="L266" t="n">
        <v>0</v>
      </c>
      <c r="M266" t="n">
        <v>0</v>
      </c>
      <c r="N266" t="n">
        <v>0</v>
      </c>
      <c r="O266" t="n">
        <v>3</v>
      </c>
      <c r="P266" t="n">
        <v>0</v>
      </c>
      <c r="Q266" t="n">
        <v>4</v>
      </c>
      <c r="R266" s="2" t="inlineStr">
        <is>
          <t>Mörk kolflarnlav
Orange taggsvamp
Skrovlig taggsvamp
Dropptaggsvamp</t>
        </is>
      </c>
      <c r="S266">
        <f>HYPERLINK("https://klasma.github.io/Logging_2521/artfynd/A 41787-2025 artfynd.xlsx", "A 41787-2025")</f>
        <v/>
      </c>
      <c r="T266">
        <f>HYPERLINK("https://klasma.github.io/Logging_2521/kartor/A 41787-2025 karta.png", "A 41787-2025")</f>
        <v/>
      </c>
      <c r="V266">
        <f>HYPERLINK("https://klasma.github.io/Logging_2521/klagomål/A 41787-2025 FSC-klagomål.docx", "A 41787-2025")</f>
        <v/>
      </c>
      <c r="W266">
        <f>HYPERLINK("https://klasma.github.io/Logging_2521/klagomålsmail/A 41787-2025 FSC-klagomål mail.docx", "A 41787-2025")</f>
        <v/>
      </c>
      <c r="X266">
        <f>HYPERLINK("https://klasma.github.io/Logging_2521/tillsyn/A 41787-2025 tillsynsbegäran.docx", "A 41787-2025")</f>
        <v/>
      </c>
      <c r="Y266">
        <f>HYPERLINK("https://klasma.github.io/Logging_2521/tillsynsmail/A 41787-2025 tillsynsbegäran mail.docx", "A 41787-2025")</f>
        <v/>
      </c>
    </row>
    <row r="267" ht="15" customHeight="1">
      <c r="A267" t="inlineStr">
        <is>
          <t>A 47013-2025</t>
        </is>
      </c>
      <c r="B267" s="1" t="n">
        <v>45929.57364583333</v>
      </c>
      <c r="C267" s="1" t="n">
        <v>46046</v>
      </c>
      <c r="D267" t="inlineStr">
        <is>
          <t>NORRBOTTENS LÄN</t>
        </is>
      </c>
      <c r="E267" t="inlineStr">
        <is>
          <t>GÄLLIVARE</t>
        </is>
      </c>
      <c r="F267" t="inlineStr">
        <is>
          <t>SCA</t>
        </is>
      </c>
      <c r="G267" t="n">
        <v>14.1</v>
      </c>
      <c r="H267" t="n">
        <v>4</v>
      </c>
      <c r="I267" t="n">
        <v>1</v>
      </c>
      <c r="J267" t="n">
        <v>1</v>
      </c>
      <c r="K267" t="n">
        <v>0</v>
      </c>
      <c r="L267" t="n">
        <v>0</v>
      </c>
      <c r="M267" t="n">
        <v>0</v>
      </c>
      <c r="N267" t="n">
        <v>0</v>
      </c>
      <c r="O267" t="n">
        <v>1</v>
      </c>
      <c r="P267" t="n">
        <v>0</v>
      </c>
      <c r="Q267" t="n">
        <v>4</v>
      </c>
      <c r="R267" s="2" t="inlineStr">
        <is>
          <t>Spillkråka
Plattlummer
Mattlummer
Revlummer</t>
        </is>
      </c>
      <c r="S267">
        <f>HYPERLINK("https://klasma.github.io/Logging_2523/artfynd/A 47013-2025 artfynd.xlsx", "A 47013-2025")</f>
        <v/>
      </c>
      <c r="T267">
        <f>HYPERLINK("https://klasma.github.io/Logging_2523/kartor/A 47013-2025 karta.png", "A 47013-2025")</f>
        <v/>
      </c>
      <c r="V267">
        <f>HYPERLINK("https://klasma.github.io/Logging_2523/klagomål/A 47013-2025 FSC-klagomål.docx", "A 47013-2025")</f>
        <v/>
      </c>
      <c r="W267">
        <f>HYPERLINK("https://klasma.github.io/Logging_2523/klagomålsmail/A 47013-2025 FSC-klagomål mail.docx", "A 47013-2025")</f>
        <v/>
      </c>
      <c r="X267">
        <f>HYPERLINK("https://klasma.github.io/Logging_2523/tillsyn/A 47013-2025 tillsynsbegäran.docx", "A 47013-2025")</f>
        <v/>
      </c>
      <c r="Y267">
        <f>HYPERLINK("https://klasma.github.io/Logging_2523/tillsynsmail/A 47013-2025 tillsynsbegäran mail.docx", "A 47013-2025")</f>
        <v/>
      </c>
      <c r="Z267">
        <f>HYPERLINK("https://klasma.github.io/Logging_2523/fåglar/A 47013-2025 prioriterade fågelarter.docx", "A 47013-2025")</f>
        <v/>
      </c>
    </row>
    <row r="268" ht="15" customHeight="1">
      <c r="A268" t="inlineStr">
        <is>
          <t>A 50758-2025</t>
        </is>
      </c>
      <c r="B268" s="1" t="n">
        <v>45946.41756944444</v>
      </c>
      <c r="C268" s="1" t="n">
        <v>46046</v>
      </c>
      <c r="D268" t="inlineStr">
        <is>
          <t>NORRBOTTENS LÄN</t>
        </is>
      </c>
      <c r="E268" t="inlineStr">
        <is>
          <t>PAJALA</t>
        </is>
      </c>
      <c r="F268" t="inlineStr">
        <is>
          <t>Sveaskog</t>
        </is>
      </c>
      <c r="G268" t="n">
        <v>19.3</v>
      </c>
      <c r="H268" t="n">
        <v>1</v>
      </c>
      <c r="I268" t="n">
        <v>0</v>
      </c>
      <c r="J268" t="n">
        <v>4</v>
      </c>
      <c r="K268" t="n">
        <v>0</v>
      </c>
      <c r="L268" t="n">
        <v>0</v>
      </c>
      <c r="M268" t="n">
        <v>0</v>
      </c>
      <c r="N268" t="n">
        <v>0</v>
      </c>
      <c r="O268" t="n">
        <v>4</v>
      </c>
      <c r="P268" t="n">
        <v>0</v>
      </c>
      <c r="Q268" t="n">
        <v>4</v>
      </c>
      <c r="R268" s="2" t="inlineStr">
        <is>
          <t>Duvhök
Garnlav
Violmussling
Vitgrynig nållav</t>
        </is>
      </c>
      <c r="S268">
        <f>HYPERLINK("https://klasma.github.io/Logging_2521/artfynd/A 50758-2025 artfynd.xlsx", "A 50758-2025")</f>
        <v/>
      </c>
      <c r="T268">
        <f>HYPERLINK("https://klasma.github.io/Logging_2521/kartor/A 50758-2025 karta.png", "A 50758-2025")</f>
        <v/>
      </c>
      <c r="V268">
        <f>HYPERLINK("https://klasma.github.io/Logging_2521/klagomål/A 50758-2025 FSC-klagomål.docx", "A 50758-2025")</f>
        <v/>
      </c>
      <c r="W268">
        <f>HYPERLINK("https://klasma.github.io/Logging_2521/klagomålsmail/A 50758-2025 FSC-klagomål mail.docx", "A 50758-2025")</f>
        <v/>
      </c>
      <c r="X268">
        <f>HYPERLINK("https://klasma.github.io/Logging_2521/tillsyn/A 50758-2025 tillsynsbegäran.docx", "A 50758-2025")</f>
        <v/>
      </c>
      <c r="Y268">
        <f>HYPERLINK("https://klasma.github.io/Logging_2521/tillsynsmail/A 50758-2025 tillsynsbegäran mail.docx", "A 50758-2025")</f>
        <v/>
      </c>
      <c r="Z268">
        <f>HYPERLINK("https://klasma.github.io/Logging_2521/fåglar/A 50758-2025 prioriterade fågelarter.docx", "A 50758-2025")</f>
        <v/>
      </c>
    </row>
    <row r="269" ht="15" customHeight="1">
      <c r="A269" t="inlineStr">
        <is>
          <t>A 53643-2025</t>
        </is>
      </c>
      <c r="B269" s="1" t="n">
        <v>45960.51373842593</v>
      </c>
      <c r="C269" s="1" t="n">
        <v>46046</v>
      </c>
      <c r="D269" t="inlineStr">
        <is>
          <t>NORRBOTTENS LÄN</t>
        </is>
      </c>
      <c r="E269" t="inlineStr">
        <is>
          <t>ÄLVSBYN</t>
        </is>
      </c>
      <c r="F269" t="inlineStr">
        <is>
          <t>Sveaskog</t>
        </is>
      </c>
      <c r="G269" t="n">
        <v>3.4</v>
      </c>
      <c r="H269" t="n">
        <v>0</v>
      </c>
      <c r="I269" t="n">
        <v>2</v>
      </c>
      <c r="J269" t="n">
        <v>2</v>
      </c>
      <c r="K269" t="n">
        <v>0</v>
      </c>
      <c r="L269" t="n">
        <v>0</v>
      </c>
      <c r="M269" t="n">
        <v>0</v>
      </c>
      <c r="N269" t="n">
        <v>0</v>
      </c>
      <c r="O269" t="n">
        <v>2</v>
      </c>
      <c r="P269" t="n">
        <v>0</v>
      </c>
      <c r="Q269" t="n">
        <v>4</v>
      </c>
      <c r="R269" s="2" t="inlineStr">
        <is>
          <t>Blå taggsvamp
Tallriska
Dropptaggsvamp
Skarp dropptaggsvamp</t>
        </is>
      </c>
      <c r="S269">
        <f>HYPERLINK("https://klasma.github.io/Logging_2560/artfynd/A 53643-2025 artfynd.xlsx", "A 53643-2025")</f>
        <v/>
      </c>
      <c r="T269">
        <f>HYPERLINK("https://klasma.github.io/Logging_2560/kartor/A 53643-2025 karta.png", "A 53643-2025")</f>
        <v/>
      </c>
      <c r="V269">
        <f>HYPERLINK("https://klasma.github.io/Logging_2560/klagomål/A 53643-2025 FSC-klagomål.docx", "A 53643-2025")</f>
        <v/>
      </c>
      <c r="W269">
        <f>HYPERLINK("https://klasma.github.io/Logging_2560/klagomålsmail/A 53643-2025 FSC-klagomål mail.docx", "A 53643-2025")</f>
        <v/>
      </c>
      <c r="X269">
        <f>HYPERLINK("https://klasma.github.io/Logging_2560/tillsyn/A 53643-2025 tillsynsbegäran.docx", "A 53643-2025")</f>
        <v/>
      </c>
      <c r="Y269">
        <f>HYPERLINK("https://klasma.github.io/Logging_2560/tillsynsmail/A 53643-2025 tillsynsbegäran mail.docx", "A 53643-2025")</f>
        <v/>
      </c>
    </row>
    <row r="270" ht="15" customHeight="1">
      <c r="A270" t="inlineStr">
        <is>
          <t>A 56494-2025</t>
        </is>
      </c>
      <c r="B270" s="1" t="n">
        <v>45975.42476851852</v>
      </c>
      <c r="C270" s="1" t="n">
        <v>46046</v>
      </c>
      <c r="D270" t="inlineStr">
        <is>
          <t>NORRBOTTENS LÄN</t>
        </is>
      </c>
      <c r="E270" t="inlineStr">
        <is>
          <t>ARVIDSJAUR</t>
        </is>
      </c>
      <c r="F270" t="inlineStr">
        <is>
          <t>Sveaskog</t>
        </is>
      </c>
      <c r="G270" t="n">
        <v>5.8</v>
      </c>
      <c r="H270" t="n">
        <v>0</v>
      </c>
      <c r="I270" t="n">
        <v>3</v>
      </c>
      <c r="J270" t="n">
        <v>1</v>
      </c>
      <c r="K270" t="n">
        <v>0</v>
      </c>
      <c r="L270" t="n">
        <v>0</v>
      </c>
      <c r="M270" t="n">
        <v>0</v>
      </c>
      <c r="N270" t="n">
        <v>0</v>
      </c>
      <c r="O270" t="n">
        <v>1</v>
      </c>
      <c r="P270" t="n">
        <v>0</v>
      </c>
      <c r="Q270" t="n">
        <v>4</v>
      </c>
      <c r="R270" s="2" t="inlineStr">
        <is>
          <t>Garnlav
Skinnlav
Stor aspticka
Stuplav</t>
        </is>
      </c>
      <c r="S270">
        <f>HYPERLINK("https://klasma.github.io/Logging_2505/artfynd/A 56494-2025 artfynd.xlsx", "A 56494-2025")</f>
        <v/>
      </c>
      <c r="T270">
        <f>HYPERLINK("https://klasma.github.io/Logging_2505/kartor/A 56494-2025 karta.png", "A 56494-2025")</f>
        <v/>
      </c>
      <c r="V270">
        <f>HYPERLINK("https://klasma.github.io/Logging_2505/klagomål/A 56494-2025 FSC-klagomål.docx", "A 56494-2025")</f>
        <v/>
      </c>
      <c r="W270">
        <f>HYPERLINK("https://klasma.github.io/Logging_2505/klagomålsmail/A 56494-2025 FSC-klagomål mail.docx", "A 56494-2025")</f>
        <v/>
      </c>
      <c r="X270">
        <f>HYPERLINK("https://klasma.github.io/Logging_2505/tillsyn/A 56494-2025 tillsynsbegäran.docx", "A 56494-2025")</f>
        <v/>
      </c>
      <c r="Y270">
        <f>HYPERLINK("https://klasma.github.io/Logging_2505/tillsynsmail/A 56494-2025 tillsynsbegäran mail.docx", "A 56494-2025")</f>
        <v/>
      </c>
    </row>
    <row r="271" ht="15" customHeight="1">
      <c r="A271" t="inlineStr">
        <is>
          <t>A 57522-2025</t>
        </is>
      </c>
      <c r="B271" s="1" t="n">
        <v>45980.62435185185</v>
      </c>
      <c r="C271" s="1" t="n">
        <v>46046</v>
      </c>
      <c r="D271" t="inlineStr">
        <is>
          <t>NORRBOTTENS LÄN</t>
        </is>
      </c>
      <c r="E271" t="inlineStr">
        <is>
          <t>BODEN</t>
        </is>
      </c>
      <c r="F271" t="inlineStr">
        <is>
          <t>Sveaskog</t>
        </is>
      </c>
      <c r="G271" t="n">
        <v>17</v>
      </c>
      <c r="H271" t="n">
        <v>1</v>
      </c>
      <c r="I271" t="n">
        <v>0</v>
      </c>
      <c r="J271" t="n">
        <v>3</v>
      </c>
      <c r="K271" t="n">
        <v>1</v>
      </c>
      <c r="L271" t="n">
        <v>0</v>
      </c>
      <c r="M271" t="n">
        <v>0</v>
      </c>
      <c r="N271" t="n">
        <v>0</v>
      </c>
      <c r="O271" t="n">
        <v>4</v>
      </c>
      <c r="P271" t="n">
        <v>1</v>
      </c>
      <c r="Q271" t="n">
        <v>4</v>
      </c>
      <c r="R271" s="2" t="inlineStr">
        <is>
          <t>Knärot
Garnlav
Tallticka
Vedskivlav</t>
        </is>
      </c>
      <c r="S271">
        <f>HYPERLINK("https://klasma.github.io/Logging_2582/artfynd/A 57522-2025 artfynd.xlsx", "A 57522-2025")</f>
        <v/>
      </c>
      <c r="T271">
        <f>HYPERLINK("https://klasma.github.io/Logging_2582/kartor/A 57522-2025 karta.png", "A 57522-2025")</f>
        <v/>
      </c>
      <c r="U271">
        <f>HYPERLINK("https://klasma.github.io/Logging_2582/knärot/A 57522-2025 karta knärot.png", "A 57522-2025")</f>
        <v/>
      </c>
      <c r="V271">
        <f>HYPERLINK("https://klasma.github.io/Logging_2582/klagomål/A 57522-2025 FSC-klagomål.docx", "A 57522-2025")</f>
        <v/>
      </c>
      <c r="W271">
        <f>HYPERLINK("https://klasma.github.io/Logging_2582/klagomålsmail/A 57522-2025 FSC-klagomål mail.docx", "A 57522-2025")</f>
        <v/>
      </c>
      <c r="X271">
        <f>HYPERLINK("https://klasma.github.io/Logging_2582/tillsyn/A 57522-2025 tillsynsbegäran.docx", "A 57522-2025")</f>
        <v/>
      </c>
      <c r="Y271">
        <f>HYPERLINK("https://klasma.github.io/Logging_2582/tillsynsmail/A 57522-2025 tillsynsbegäran mail.docx", "A 57522-2025")</f>
        <v/>
      </c>
    </row>
    <row r="272" ht="15" customHeight="1">
      <c r="A272" t="inlineStr">
        <is>
          <t>A 6118-2025</t>
        </is>
      </c>
      <c r="B272" s="1" t="n">
        <v>45698</v>
      </c>
      <c r="C272" s="1" t="n">
        <v>46046</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49079-2025</t>
        </is>
      </c>
      <c r="B273" s="1" t="n">
        <v>45937</v>
      </c>
      <c r="C273" s="1" t="n">
        <v>46046</v>
      </c>
      <c r="D273" t="inlineStr">
        <is>
          <t>NORRBOTTENS LÄN</t>
        </is>
      </c>
      <c r="E273" t="inlineStr">
        <is>
          <t>ARJEPLOG</t>
        </is>
      </c>
      <c r="F273" t="inlineStr">
        <is>
          <t>Sveaskog</t>
        </is>
      </c>
      <c r="G273" t="n">
        <v>24.7</v>
      </c>
      <c r="H273" t="n">
        <v>4</v>
      </c>
      <c r="I273" t="n">
        <v>2</v>
      </c>
      <c r="J273" t="n">
        <v>0</v>
      </c>
      <c r="K273" t="n">
        <v>0</v>
      </c>
      <c r="L273" t="n">
        <v>0</v>
      </c>
      <c r="M273" t="n">
        <v>0</v>
      </c>
      <c r="N273" t="n">
        <v>0</v>
      </c>
      <c r="O273" t="n">
        <v>0</v>
      </c>
      <c r="P273" t="n">
        <v>0</v>
      </c>
      <c r="Q273" t="n">
        <v>4</v>
      </c>
      <c r="R273" s="2" t="inlineStr">
        <is>
          <t>Plattlummer
Spindelblomster
Mattlummer
Revlummer</t>
        </is>
      </c>
      <c r="S273">
        <f>HYPERLINK("https://klasma.github.io/Logging_2506/artfynd/A 49079-2025 artfynd.xlsx", "A 49079-2025")</f>
        <v/>
      </c>
      <c r="T273">
        <f>HYPERLINK("https://klasma.github.io/Logging_2506/kartor/A 49079-2025 karta.png", "A 49079-2025")</f>
        <v/>
      </c>
      <c r="V273">
        <f>HYPERLINK("https://klasma.github.io/Logging_2506/klagomål/A 49079-2025 FSC-klagomål.docx", "A 49079-2025")</f>
        <v/>
      </c>
      <c r="W273">
        <f>HYPERLINK("https://klasma.github.io/Logging_2506/klagomålsmail/A 49079-2025 FSC-klagomål mail.docx", "A 49079-2025")</f>
        <v/>
      </c>
      <c r="X273">
        <f>HYPERLINK("https://klasma.github.io/Logging_2506/tillsyn/A 49079-2025 tillsynsbegäran.docx", "A 49079-2025")</f>
        <v/>
      </c>
      <c r="Y273">
        <f>HYPERLINK("https://klasma.github.io/Logging_2506/tillsynsmail/A 49079-2025 tillsynsbegäran mail.docx", "A 49079-2025")</f>
        <v/>
      </c>
    </row>
    <row r="274" ht="15" customHeight="1">
      <c r="A274" t="inlineStr">
        <is>
          <t>A 46019-2021</t>
        </is>
      </c>
      <c r="B274" s="1" t="n">
        <v>44441</v>
      </c>
      <c r="C274" s="1" t="n">
        <v>46046</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46046</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46046</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46046</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53309-2023</t>
        </is>
      </c>
      <c r="B278" s="1" t="n">
        <v>45229</v>
      </c>
      <c r="C278" s="1" t="n">
        <v>46046</v>
      </c>
      <c r="D278" t="inlineStr">
        <is>
          <t>NORRBOTTENS LÄN</t>
        </is>
      </c>
      <c r="E278" t="inlineStr">
        <is>
          <t>KIRUNA</t>
        </is>
      </c>
      <c r="G278" t="n">
        <v>1.6</v>
      </c>
      <c r="H278" t="n">
        <v>3</v>
      </c>
      <c r="I278" t="n">
        <v>0</v>
      </c>
      <c r="J278" t="n">
        <v>1</v>
      </c>
      <c r="K278" t="n">
        <v>0</v>
      </c>
      <c r="L278" t="n">
        <v>0</v>
      </c>
      <c r="M278" t="n">
        <v>0</v>
      </c>
      <c r="N278" t="n">
        <v>0</v>
      </c>
      <c r="O278" t="n">
        <v>1</v>
      </c>
      <c r="P278" t="n">
        <v>0</v>
      </c>
      <c r="Q278" t="n">
        <v>3</v>
      </c>
      <c r="R278" s="2" t="inlineStr">
        <is>
          <t>Havsörn
Fiskgjuse
Grönsiska</t>
        </is>
      </c>
      <c r="S278">
        <f>HYPERLINK("https://klasma.github.io/Logging_2584/artfynd/A 53309-2023 artfynd.xlsx", "A 53309-2023")</f>
        <v/>
      </c>
      <c r="T278">
        <f>HYPERLINK("https://klasma.github.io/Logging_2584/kartor/A 53309-2023 karta.png", "A 53309-2023")</f>
        <v/>
      </c>
      <c r="V278">
        <f>HYPERLINK("https://klasma.github.io/Logging_2584/klagomål/A 53309-2023 FSC-klagomål.docx", "A 53309-2023")</f>
        <v/>
      </c>
      <c r="W278">
        <f>HYPERLINK("https://klasma.github.io/Logging_2584/klagomålsmail/A 53309-2023 FSC-klagomål mail.docx", "A 53309-2023")</f>
        <v/>
      </c>
      <c r="X278">
        <f>HYPERLINK("https://klasma.github.io/Logging_2584/tillsyn/A 53309-2023 tillsynsbegäran.docx", "A 53309-2023")</f>
        <v/>
      </c>
      <c r="Y278">
        <f>HYPERLINK("https://klasma.github.io/Logging_2584/tillsynsmail/A 53309-2023 tillsynsbegäran mail.docx", "A 53309-2023")</f>
        <v/>
      </c>
      <c r="Z278">
        <f>HYPERLINK("https://klasma.github.io/Logging_2584/fåglar/A 53309-2023 prioriterade fågelarter.docx", "A 53309-2023")</f>
        <v/>
      </c>
    </row>
    <row r="279" ht="15" customHeight="1">
      <c r="A279" t="inlineStr">
        <is>
          <t>A 1827-2025</t>
        </is>
      </c>
      <c r="B279" s="1" t="n">
        <v>45671</v>
      </c>
      <c r="C279" s="1" t="n">
        <v>46046</v>
      </c>
      <c r="D279" t="inlineStr">
        <is>
          <t>NORRBOTTENS LÄN</t>
        </is>
      </c>
      <c r="E279" t="inlineStr">
        <is>
          <t>ÖVERKALIX</t>
        </is>
      </c>
      <c r="G279" t="n">
        <v>7</v>
      </c>
      <c r="H279" t="n">
        <v>1</v>
      </c>
      <c r="I279" t="n">
        <v>1</v>
      </c>
      <c r="J279" t="n">
        <v>2</v>
      </c>
      <c r="K279" t="n">
        <v>0</v>
      </c>
      <c r="L279" t="n">
        <v>0</v>
      </c>
      <c r="M279" t="n">
        <v>0</v>
      </c>
      <c r="N279" t="n">
        <v>0</v>
      </c>
      <c r="O279" t="n">
        <v>2</v>
      </c>
      <c r="P279" t="n">
        <v>0</v>
      </c>
      <c r="Q279" t="n">
        <v>3</v>
      </c>
      <c r="R279" s="2" t="inlineStr">
        <is>
          <t>Garnlav
Spillkråka
Stuplav</t>
        </is>
      </c>
      <c r="S279">
        <f>HYPERLINK("https://klasma.github.io/Logging_2513/artfynd/A 1827-2025 artfynd.xlsx", "A 1827-2025")</f>
        <v/>
      </c>
      <c r="T279">
        <f>HYPERLINK("https://klasma.github.io/Logging_2513/kartor/A 1827-2025 karta.png", "A 1827-2025")</f>
        <v/>
      </c>
      <c r="V279">
        <f>HYPERLINK("https://klasma.github.io/Logging_2513/klagomål/A 1827-2025 FSC-klagomål.docx", "A 1827-2025")</f>
        <v/>
      </c>
      <c r="W279">
        <f>HYPERLINK("https://klasma.github.io/Logging_2513/klagomålsmail/A 1827-2025 FSC-klagomål mail.docx", "A 1827-2025")</f>
        <v/>
      </c>
      <c r="X279">
        <f>HYPERLINK("https://klasma.github.io/Logging_2513/tillsyn/A 1827-2025 tillsynsbegäran.docx", "A 1827-2025")</f>
        <v/>
      </c>
      <c r="Y279">
        <f>HYPERLINK("https://klasma.github.io/Logging_2513/tillsynsmail/A 1827-2025 tillsynsbegäran mail.docx", "A 1827-2025")</f>
        <v/>
      </c>
      <c r="Z279">
        <f>HYPERLINK("https://klasma.github.io/Logging_2513/fåglar/A 1827-2025 prioriterade fågelarter.docx", "A 1827-2025")</f>
        <v/>
      </c>
    </row>
    <row r="280" ht="15" customHeight="1">
      <c r="A280" t="inlineStr">
        <is>
          <t>A 30324-2022</t>
        </is>
      </c>
      <c r="B280" s="1" t="n">
        <v>44760</v>
      </c>
      <c r="C280" s="1" t="n">
        <v>46046</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2948-2023</t>
        </is>
      </c>
      <c r="B281" s="1" t="n">
        <v>44945</v>
      </c>
      <c r="C281" s="1" t="n">
        <v>46046</v>
      </c>
      <c r="D281" t="inlineStr">
        <is>
          <t>NORRBOTTENS LÄN</t>
        </is>
      </c>
      <c r="E281" t="inlineStr">
        <is>
          <t>PAJALA</t>
        </is>
      </c>
      <c r="G281" t="n">
        <v>13</v>
      </c>
      <c r="H281" t="n">
        <v>2</v>
      </c>
      <c r="I281" t="n">
        <v>1</v>
      </c>
      <c r="J281" t="n">
        <v>2</v>
      </c>
      <c r="K281" t="n">
        <v>0</v>
      </c>
      <c r="L281" t="n">
        <v>0</v>
      </c>
      <c r="M281" t="n">
        <v>0</v>
      </c>
      <c r="N281" t="n">
        <v>0</v>
      </c>
      <c r="O281" t="n">
        <v>2</v>
      </c>
      <c r="P281" t="n">
        <v>0</v>
      </c>
      <c r="Q281" t="n">
        <v>3</v>
      </c>
      <c r="R281" s="2" t="inlineStr">
        <is>
          <t>Garnlav
Talltita
Spindelblomster</t>
        </is>
      </c>
      <c r="S281">
        <f>HYPERLINK("https://klasma.github.io/Logging_2521/artfynd/A 2948-2023 artfynd.xlsx", "A 2948-2023")</f>
        <v/>
      </c>
      <c r="T281">
        <f>HYPERLINK("https://klasma.github.io/Logging_2521/kartor/A 2948-2023 karta.png", "A 2948-2023")</f>
        <v/>
      </c>
      <c r="V281">
        <f>HYPERLINK("https://klasma.github.io/Logging_2521/klagomål/A 2948-2023 FSC-klagomål.docx", "A 2948-2023")</f>
        <v/>
      </c>
      <c r="W281">
        <f>HYPERLINK("https://klasma.github.io/Logging_2521/klagomålsmail/A 2948-2023 FSC-klagomål mail.docx", "A 2948-2023")</f>
        <v/>
      </c>
      <c r="X281">
        <f>HYPERLINK("https://klasma.github.io/Logging_2521/tillsyn/A 2948-2023 tillsynsbegäran.docx", "A 2948-2023")</f>
        <v/>
      </c>
      <c r="Y281">
        <f>HYPERLINK("https://klasma.github.io/Logging_2521/tillsynsmail/A 2948-2023 tillsynsbegäran mail.docx", "A 2948-2023")</f>
        <v/>
      </c>
      <c r="Z281">
        <f>HYPERLINK("https://klasma.github.io/Logging_2521/fåglar/A 2948-2023 prioriterade fågelarter.docx", "A 2948-2023")</f>
        <v/>
      </c>
    </row>
    <row r="282" ht="15" customHeight="1">
      <c r="A282" t="inlineStr">
        <is>
          <t>A 61137-2022</t>
        </is>
      </c>
      <c r="B282" s="1" t="n">
        <v>44915</v>
      </c>
      <c r="C282" s="1" t="n">
        <v>46046</v>
      </c>
      <c r="D282" t="inlineStr">
        <is>
          <t>NORRBOTTENS LÄN</t>
        </is>
      </c>
      <c r="E282" t="inlineStr">
        <is>
          <t>ARVIDSJAUR</t>
        </is>
      </c>
      <c r="F282" t="inlineStr">
        <is>
          <t>Sveaskog</t>
        </is>
      </c>
      <c r="G282" t="n">
        <v>10.5</v>
      </c>
      <c r="H282" t="n">
        <v>1</v>
      </c>
      <c r="I282" t="n">
        <v>1</v>
      </c>
      <c r="J282" t="n">
        <v>1</v>
      </c>
      <c r="K282" t="n">
        <v>0</v>
      </c>
      <c r="L282" t="n">
        <v>0</v>
      </c>
      <c r="M282" t="n">
        <v>0</v>
      </c>
      <c r="N282" t="n">
        <v>0</v>
      </c>
      <c r="O282" t="n">
        <v>1</v>
      </c>
      <c r="P282" t="n">
        <v>0</v>
      </c>
      <c r="Q282" t="n">
        <v>3</v>
      </c>
      <c r="R282" s="2" t="inlineStr">
        <is>
          <t>Sandsyra
Ögonpyrola
Revlummer</t>
        </is>
      </c>
      <c r="S282">
        <f>HYPERLINK("https://klasma.github.io/Logging_2505/artfynd/A 61137-2022 artfynd.xlsx", "A 61137-2022")</f>
        <v/>
      </c>
      <c r="T282">
        <f>HYPERLINK("https://klasma.github.io/Logging_2505/kartor/A 61137-2022 karta.png", "A 61137-2022")</f>
        <v/>
      </c>
      <c r="V282">
        <f>HYPERLINK("https://klasma.github.io/Logging_2505/klagomål/A 61137-2022 FSC-klagomål.docx", "A 61137-2022")</f>
        <v/>
      </c>
      <c r="W282">
        <f>HYPERLINK("https://klasma.github.io/Logging_2505/klagomålsmail/A 61137-2022 FSC-klagomål mail.docx", "A 61137-2022")</f>
        <v/>
      </c>
      <c r="X282">
        <f>HYPERLINK("https://klasma.github.io/Logging_2505/tillsyn/A 61137-2022 tillsynsbegäran.docx", "A 61137-2022")</f>
        <v/>
      </c>
      <c r="Y282">
        <f>HYPERLINK("https://klasma.github.io/Logging_2505/tillsynsmail/A 61137-2022 tillsynsbegäran mail.docx", "A 61137-2022")</f>
        <v/>
      </c>
    </row>
    <row r="283" ht="15" customHeight="1">
      <c r="A283" t="inlineStr">
        <is>
          <t>A 73971-2021</t>
        </is>
      </c>
      <c r="B283" s="1" t="n">
        <v>44553</v>
      </c>
      <c r="C283" s="1" t="n">
        <v>46046</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881-2025</t>
        </is>
      </c>
      <c r="B284" s="1" t="n">
        <v>45664</v>
      </c>
      <c r="C284" s="1" t="n">
        <v>46046</v>
      </c>
      <c r="D284" t="inlineStr">
        <is>
          <t>NORRBOTTENS LÄN</t>
        </is>
      </c>
      <c r="E284" t="inlineStr">
        <is>
          <t>LULEÅ</t>
        </is>
      </c>
      <c r="G284" t="n">
        <v>13.2</v>
      </c>
      <c r="H284" t="n">
        <v>1</v>
      </c>
      <c r="I284" t="n">
        <v>0</v>
      </c>
      <c r="J284" t="n">
        <v>2</v>
      </c>
      <c r="K284" t="n">
        <v>0</v>
      </c>
      <c r="L284" t="n">
        <v>0</v>
      </c>
      <c r="M284" t="n">
        <v>0</v>
      </c>
      <c r="N284" t="n">
        <v>0</v>
      </c>
      <c r="O284" t="n">
        <v>2</v>
      </c>
      <c r="P284" t="n">
        <v>0</v>
      </c>
      <c r="Q284" t="n">
        <v>3</v>
      </c>
      <c r="R284" s="2" t="inlineStr">
        <is>
          <t>Granticka
Lunglav
Tjäder</t>
        </is>
      </c>
      <c r="S284">
        <f>HYPERLINK("https://klasma.github.io/Logging_2580/artfynd/A 881-2025 artfynd.xlsx", "A 881-2025")</f>
        <v/>
      </c>
      <c r="T284">
        <f>HYPERLINK("https://klasma.github.io/Logging_2580/kartor/A 881-2025 karta.png", "A 881-2025")</f>
        <v/>
      </c>
      <c r="V284">
        <f>HYPERLINK("https://klasma.github.io/Logging_2580/klagomål/A 881-2025 FSC-klagomål.docx", "A 881-2025")</f>
        <v/>
      </c>
      <c r="W284">
        <f>HYPERLINK("https://klasma.github.io/Logging_2580/klagomålsmail/A 881-2025 FSC-klagomål mail.docx", "A 881-2025")</f>
        <v/>
      </c>
      <c r="X284">
        <f>HYPERLINK("https://klasma.github.io/Logging_2580/tillsyn/A 881-2025 tillsynsbegäran.docx", "A 881-2025")</f>
        <v/>
      </c>
      <c r="Y284">
        <f>HYPERLINK("https://klasma.github.io/Logging_2580/tillsynsmail/A 881-2025 tillsynsbegäran mail.docx", "A 881-2025")</f>
        <v/>
      </c>
      <c r="Z284">
        <f>HYPERLINK("https://klasma.github.io/Logging_2580/fåglar/A 881-2025 prioriterade fågelarter.docx", "A 881-2025")</f>
        <v/>
      </c>
    </row>
    <row r="285" ht="15" customHeight="1">
      <c r="A285" t="inlineStr">
        <is>
          <t>A 33994-2023</t>
        </is>
      </c>
      <c r="B285" s="1" t="n">
        <v>45134</v>
      </c>
      <c r="C285" s="1" t="n">
        <v>46046</v>
      </c>
      <c r="D285" t="inlineStr">
        <is>
          <t>NORRBOTTENS LÄN</t>
        </is>
      </c>
      <c r="E285" t="inlineStr">
        <is>
          <t>JOKKMOKK</t>
        </is>
      </c>
      <c r="G285" t="n">
        <v>9.1</v>
      </c>
      <c r="H285" t="n">
        <v>1</v>
      </c>
      <c r="I285" t="n">
        <v>1</v>
      </c>
      <c r="J285" t="n">
        <v>1</v>
      </c>
      <c r="K285" t="n">
        <v>1</v>
      </c>
      <c r="L285" t="n">
        <v>0</v>
      </c>
      <c r="M285" t="n">
        <v>0</v>
      </c>
      <c r="N285" t="n">
        <v>0</v>
      </c>
      <c r="O285" t="n">
        <v>2</v>
      </c>
      <c r="P285" t="n">
        <v>1</v>
      </c>
      <c r="Q285" t="n">
        <v>3</v>
      </c>
      <c r="R285" s="2" t="inlineStr">
        <is>
          <t>Doftticka
Lunglav
Skinnlav</t>
        </is>
      </c>
      <c r="S285">
        <f>HYPERLINK("https://klasma.github.io/Logging_2510/artfynd/A 33994-2023 artfynd.xlsx", "A 33994-2023")</f>
        <v/>
      </c>
      <c r="T285">
        <f>HYPERLINK("https://klasma.github.io/Logging_2510/kartor/A 33994-2023 karta.png", "A 33994-2023")</f>
        <v/>
      </c>
      <c r="V285">
        <f>HYPERLINK("https://klasma.github.io/Logging_2510/klagomål/A 33994-2023 FSC-klagomål.docx", "A 33994-2023")</f>
        <v/>
      </c>
      <c r="W285">
        <f>HYPERLINK("https://klasma.github.io/Logging_2510/klagomålsmail/A 33994-2023 FSC-klagomål mail.docx", "A 33994-2023")</f>
        <v/>
      </c>
      <c r="X285">
        <f>HYPERLINK("https://klasma.github.io/Logging_2510/tillsyn/A 33994-2023 tillsynsbegäran.docx", "A 33994-2023")</f>
        <v/>
      </c>
      <c r="Y285">
        <f>HYPERLINK("https://klasma.github.io/Logging_2510/tillsynsmail/A 33994-2023 tillsynsbegäran mail.docx", "A 33994-2023")</f>
        <v/>
      </c>
    </row>
    <row r="286" ht="15" customHeight="1">
      <c r="A286" t="inlineStr">
        <is>
          <t>A 20780-2025</t>
        </is>
      </c>
      <c r="B286" s="1" t="n">
        <v>45776</v>
      </c>
      <c r="C286" s="1" t="n">
        <v>46046</v>
      </c>
      <c r="D286" t="inlineStr">
        <is>
          <t>NORRBOTTENS LÄN</t>
        </is>
      </c>
      <c r="E286" t="inlineStr">
        <is>
          <t>KIRUNA</t>
        </is>
      </c>
      <c r="F286" t="inlineStr">
        <is>
          <t>Sveaskog</t>
        </is>
      </c>
      <c r="G286" t="n">
        <v>5.7</v>
      </c>
      <c r="H286" t="n">
        <v>1</v>
      </c>
      <c r="I286" t="n">
        <v>2</v>
      </c>
      <c r="J286" t="n">
        <v>1</v>
      </c>
      <c r="K286" t="n">
        <v>0</v>
      </c>
      <c r="L286" t="n">
        <v>0</v>
      </c>
      <c r="M286" t="n">
        <v>0</v>
      </c>
      <c r="N286" t="n">
        <v>0</v>
      </c>
      <c r="O286" t="n">
        <v>1</v>
      </c>
      <c r="P286" t="n">
        <v>0</v>
      </c>
      <c r="Q286" t="n">
        <v>3</v>
      </c>
      <c r="R286" s="2" t="inlineStr">
        <is>
          <t>Garnlav
Lappranunkel
Stuplav</t>
        </is>
      </c>
      <c r="S286">
        <f>HYPERLINK("https://klasma.github.io/Logging_2584/artfynd/A 20780-2025 artfynd.xlsx", "A 20780-2025")</f>
        <v/>
      </c>
      <c r="T286">
        <f>HYPERLINK("https://klasma.github.io/Logging_2584/kartor/A 20780-2025 karta.png", "A 20780-2025")</f>
        <v/>
      </c>
      <c r="V286">
        <f>HYPERLINK("https://klasma.github.io/Logging_2584/klagomål/A 20780-2025 FSC-klagomål.docx", "A 20780-2025")</f>
        <v/>
      </c>
      <c r="W286">
        <f>HYPERLINK("https://klasma.github.io/Logging_2584/klagomålsmail/A 20780-2025 FSC-klagomål mail.docx", "A 20780-2025")</f>
        <v/>
      </c>
      <c r="X286">
        <f>HYPERLINK("https://klasma.github.io/Logging_2584/tillsyn/A 20780-2025 tillsynsbegäran.docx", "A 20780-2025")</f>
        <v/>
      </c>
      <c r="Y286">
        <f>HYPERLINK("https://klasma.github.io/Logging_2584/tillsynsmail/A 20780-2025 tillsynsbegäran mail.docx", "A 20780-2025")</f>
        <v/>
      </c>
    </row>
    <row r="287" ht="15" customHeight="1">
      <c r="A287" t="inlineStr">
        <is>
          <t>A 19133-2023</t>
        </is>
      </c>
      <c r="B287" s="1" t="n">
        <v>45044</v>
      </c>
      <c r="C287" s="1" t="n">
        <v>46046</v>
      </c>
      <c r="D287" t="inlineStr">
        <is>
          <t>NORRBOTTENS LÄN</t>
        </is>
      </c>
      <c r="E287" t="inlineStr">
        <is>
          <t>ÖVERTORNEÅ</t>
        </is>
      </c>
      <c r="G287" t="n">
        <v>11.4</v>
      </c>
      <c r="H287" t="n">
        <v>2</v>
      </c>
      <c r="I287" t="n">
        <v>0</v>
      </c>
      <c r="J287" t="n">
        <v>3</v>
      </c>
      <c r="K287" t="n">
        <v>0</v>
      </c>
      <c r="L287" t="n">
        <v>0</v>
      </c>
      <c r="M287" t="n">
        <v>0</v>
      </c>
      <c r="N287" t="n">
        <v>0</v>
      </c>
      <c r="O287" t="n">
        <v>3</v>
      </c>
      <c r="P287" t="n">
        <v>0</v>
      </c>
      <c r="Q287" t="n">
        <v>3</v>
      </c>
      <c r="R287" s="2" t="inlineStr">
        <is>
          <t>Garnlav
Järpe
Spillkråka</t>
        </is>
      </c>
      <c r="S287">
        <f>HYPERLINK("https://klasma.github.io/Logging_2518/artfynd/A 19133-2023 artfynd.xlsx", "A 19133-2023")</f>
        <v/>
      </c>
      <c r="T287">
        <f>HYPERLINK("https://klasma.github.io/Logging_2518/kartor/A 19133-2023 karta.png", "A 19133-2023")</f>
        <v/>
      </c>
      <c r="V287">
        <f>HYPERLINK("https://klasma.github.io/Logging_2518/klagomål/A 19133-2023 FSC-klagomål.docx", "A 19133-2023")</f>
        <v/>
      </c>
      <c r="W287">
        <f>HYPERLINK("https://klasma.github.io/Logging_2518/klagomålsmail/A 19133-2023 FSC-klagomål mail.docx", "A 19133-2023")</f>
        <v/>
      </c>
      <c r="X287">
        <f>HYPERLINK("https://klasma.github.io/Logging_2518/tillsyn/A 19133-2023 tillsynsbegäran.docx", "A 19133-2023")</f>
        <v/>
      </c>
      <c r="Y287">
        <f>HYPERLINK("https://klasma.github.io/Logging_2518/tillsynsmail/A 19133-2023 tillsynsbegäran mail.docx", "A 19133-2023")</f>
        <v/>
      </c>
      <c r="Z287">
        <f>HYPERLINK("https://klasma.github.io/Logging_2518/fåglar/A 19133-2023 prioriterade fågelarter.docx", "A 19133-2023")</f>
        <v/>
      </c>
    </row>
    <row r="288" ht="15" customHeight="1">
      <c r="A288" t="inlineStr">
        <is>
          <t>A 45316-2024</t>
        </is>
      </c>
      <c r="B288" s="1" t="n">
        <v>45576</v>
      </c>
      <c r="C288" s="1" t="n">
        <v>46046</v>
      </c>
      <c r="D288" t="inlineStr">
        <is>
          <t>NORRBOTTENS LÄN</t>
        </is>
      </c>
      <c r="E288" t="inlineStr">
        <is>
          <t>ÄLVSBYN</t>
        </is>
      </c>
      <c r="F288" t="inlineStr">
        <is>
          <t>Sveaskog</t>
        </is>
      </c>
      <c r="G288" t="n">
        <v>12.2</v>
      </c>
      <c r="H288" t="n">
        <v>0</v>
      </c>
      <c r="I288" t="n">
        <v>2</v>
      </c>
      <c r="J288" t="n">
        <v>1</v>
      </c>
      <c r="K288" t="n">
        <v>0</v>
      </c>
      <c r="L288" t="n">
        <v>0</v>
      </c>
      <c r="M288" t="n">
        <v>0</v>
      </c>
      <c r="N288" t="n">
        <v>0</v>
      </c>
      <c r="O288" t="n">
        <v>1</v>
      </c>
      <c r="P288" t="n">
        <v>0</v>
      </c>
      <c r="Q288" t="n">
        <v>3</v>
      </c>
      <c r="R288" s="2" t="inlineStr">
        <is>
          <t>Lunglav
Dropptaggsvamp
Stuplav</t>
        </is>
      </c>
      <c r="S288">
        <f>HYPERLINK("https://klasma.github.io/Logging_2560/artfynd/A 45316-2024 artfynd.xlsx", "A 45316-2024")</f>
        <v/>
      </c>
      <c r="T288">
        <f>HYPERLINK("https://klasma.github.io/Logging_2560/kartor/A 45316-2024 karta.png", "A 45316-2024")</f>
        <v/>
      </c>
      <c r="V288">
        <f>HYPERLINK("https://klasma.github.io/Logging_2560/klagomål/A 45316-2024 FSC-klagomål.docx", "A 45316-2024")</f>
        <v/>
      </c>
      <c r="W288">
        <f>HYPERLINK("https://klasma.github.io/Logging_2560/klagomålsmail/A 45316-2024 FSC-klagomål mail.docx", "A 45316-2024")</f>
        <v/>
      </c>
      <c r="X288">
        <f>HYPERLINK("https://klasma.github.io/Logging_2560/tillsyn/A 45316-2024 tillsynsbegäran.docx", "A 45316-2024")</f>
        <v/>
      </c>
      <c r="Y288">
        <f>HYPERLINK("https://klasma.github.io/Logging_2560/tillsynsmail/A 45316-2024 tillsynsbegäran mail.docx", "A 45316-2024")</f>
        <v/>
      </c>
    </row>
    <row r="289" ht="15" customHeight="1">
      <c r="A289" t="inlineStr">
        <is>
          <t>A 7505-2025</t>
        </is>
      </c>
      <c r="B289" s="1" t="n">
        <v>45705</v>
      </c>
      <c r="C289" s="1" t="n">
        <v>46046</v>
      </c>
      <c r="D289" t="inlineStr">
        <is>
          <t>NORRBOTTENS LÄN</t>
        </is>
      </c>
      <c r="E289" t="inlineStr">
        <is>
          <t>ÖVERTORNEÅ</t>
        </is>
      </c>
      <c r="G289" t="n">
        <v>8.6</v>
      </c>
      <c r="H289" t="n">
        <v>0</v>
      </c>
      <c r="I289" t="n">
        <v>1</v>
      </c>
      <c r="J289" t="n">
        <v>2</v>
      </c>
      <c r="K289" t="n">
        <v>0</v>
      </c>
      <c r="L289" t="n">
        <v>0</v>
      </c>
      <c r="M289" t="n">
        <v>0</v>
      </c>
      <c r="N289" t="n">
        <v>0</v>
      </c>
      <c r="O289" t="n">
        <v>2</v>
      </c>
      <c r="P289" t="n">
        <v>0</v>
      </c>
      <c r="Q289" t="n">
        <v>3</v>
      </c>
      <c r="R289" s="2" t="inlineStr">
        <is>
          <t>Finnmyrten
Älvstarr
Ögonpyrola</t>
        </is>
      </c>
      <c r="S289">
        <f>HYPERLINK("https://klasma.github.io/Logging_2518/artfynd/A 7505-2025 artfynd.xlsx", "A 7505-2025")</f>
        <v/>
      </c>
      <c r="T289">
        <f>HYPERLINK("https://klasma.github.io/Logging_2518/kartor/A 7505-2025 karta.png", "A 7505-2025")</f>
        <v/>
      </c>
      <c r="V289">
        <f>HYPERLINK("https://klasma.github.io/Logging_2518/klagomål/A 7505-2025 FSC-klagomål.docx", "A 7505-2025")</f>
        <v/>
      </c>
      <c r="W289">
        <f>HYPERLINK("https://klasma.github.io/Logging_2518/klagomålsmail/A 7505-2025 FSC-klagomål mail.docx", "A 7505-2025")</f>
        <v/>
      </c>
      <c r="X289">
        <f>HYPERLINK("https://klasma.github.io/Logging_2518/tillsyn/A 7505-2025 tillsynsbegäran.docx", "A 7505-2025")</f>
        <v/>
      </c>
      <c r="Y289">
        <f>HYPERLINK("https://klasma.github.io/Logging_2518/tillsynsmail/A 7505-2025 tillsynsbegäran mail.docx", "A 7505-2025")</f>
        <v/>
      </c>
    </row>
    <row r="290" ht="15" customHeight="1">
      <c r="A290" t="inlineStr">
        <is>
          <t>A 59358-2022</t>
        </is>
      </c>
      <c r="B290" s="1" t="n">
        <v>44904</v>
      </c>
      <c r="C290" s="1" t="n">
        <v>46046</v>
      </c>
      <c r="D290" t="inlineStr">
        <is>
          <t>NORRBOTTENS LÄN</t>
        </is>
      </c>
      <c r="E290" t="inlineStr">
        <is>
          <t>BODEN</t>
        </is>
      </c>
      <c r="G290" t="n">
        <v>1.5</v>
      </c>
      <c r="H290" t="n">
        <v>2</v>
      </c>
      <c r="I290" t="n">
        <v>1</v>
      </c>
      <c r="J290" t="n">
        <v>1</v>
      </c>
      <c r="K290" t="n">
        <v>1</v>
      </c>
      <c r="L290" t="n">
        <v>0</v>
      </c>
      <c r="M290" t="n">
        <v>0</v>
      </c>
      <c r="N290" t="n">
        <v>0</v>
      </c>
      <c r="O290" t="n">
        <v>2</v>
      </c>
      <c r="P290" t="n">
        <v>1</v>
      </c>
      <c r="Q290" t="n">
        <v>3</v>
      </c>
      <c r="R290" s="2" t="inlineStr">
        <is>
          <t>Stare
Rosenfink
Rävticka</t>
        </is>
      </c>
      <c r="S290">
        <f>HYPERLINK("https://klasma.github.io/Logging_2582/artfynd/A 59358-2022 artfynd.xlsx", "A 59358-2022")</f>
        <v/>
      </c>
      <c r="T290">
        <f>HYPERLINK("https://klasma.github.io/Logging_2582/kartor/A 59358-2022 karta.png", "A 59358-2022")</f>
        <v/>
      </c>
      <c r="V290">
        <f>HYPERLINK("https://klasma.github.io/Logging_2582/klagomål/A 59358-2022 FSC-klagomål.docx", "A 59358-2022")</f>
        <v/>
      </c>
      <c r="W290">
        <f>HYPERLINK("https://klasma.github.io/Logging_2582/klagomålsmail/A 59358-2022 FSC-klagomål mail.docx", "A 59358-2022")</f>
        <v/>
      </c>
      <c r="X290">
        <f>HYPERLINK("https://klasma.github.io/Logging_2582/tillsyn/A 59358-2022 tillsynsbegäran.docx", "A 59358-2022")</f>
        <v/>
      </c>
      <c r="Y290">
        <f>HYPERLINK("https://klasma.github.io/Logging_2582/tillsynsmail/A 59358-2022 tillsynsbegäran mail.docx", "A 59358-2022")</f>
        <v/>
      </c>
      <c r="Z290">
        <f>HYPERLINK("https://klasma.github.io/Logging_2582/fåglar/A 59358-2022 prioriterade fågelarter.docx", "A 59358-2022")</f>
        <v/>
      </c>
    </row>
    <row r="291" ht="15" customHeight="1">
      <c r="A291" t="inlineStr">
        <is>
          <t>A 22747-2025</t>
        </is>
      </c>
      <c r="B291" s="1" t="n">
        <v>45789.60505787037</v>
      </c>
      <c r="C291" s="1" t="n">
        <v>46046</v>
      </c>
      <c r="D291" t="inlineStr">
        <is>
          <t>NORRBOTTENS LÄN</t>
        </is>
      </c>
      <c r="E291" t="inlineStr">
        <is>
          <t>JOKKMOKK</t>
        </is>
      </c>
      <c r="F291" t="inlineStr">
        <is>
          <t>Sveaskog</t>
        </is>
      </c>
      <c r="G291" t="n">
        <v>2.3</v>
      </c>
      <c r="H291" t="n">
        <v>0</v>
      </c>
      <c r="I291" t="n">
        <v>0</v>
      </c>
      <c r="J291" t="n">
        <v>1</v>
      </c>
      <c r="K291" t="n">
        <v>2</v>
      </c>
      <c r="L291" t="n">
        <v>0</v>
      </c>
      <c r="M291" t="n">
        <v>0</v>
      </c>
      <c r="N291" t="n">
        <v>0</v>
      </c>
      <c r="O291" t="n">
        <v>3</v>
      </c>
      <c r="P291" t="n">
        <v>2</v>
      </c>
      <c r="Q291" t="n">
        <v>3</v>
      </c>
      <c r="R291" s="2" t="inlineStr">
        <is>
          <t>Smalfotad taggsvamp
Tajgataggsvamp
Orange taggsvamp</t>
        </is>
      </c>
      <c r="S291">
        <f>HYPERLINK("https://klasma.github.io/Logging_2510/artfynd/A 22747-2025 artfynd.xlsx", "A 22747-2025")</f>
        <v/>
      </c>
      <c r="T291">
        <f>HYPERLINK("https://klasma.github.io/Logging_2510/kartor/A 22747-2025 karta.png", "A 22747-2025")</f>
        <v/>
      </c>
      <c r="V291">
        <f>HYPERLINK("https://klasma.github.io/Logging_2510/klagomål/A 22747-2025 FSC-klagomål.docx", "A 22747-2025")</f>
        <v/>
      </c>
      <c r="W291">
        <f>HYPERLINK("https://klasma.github.io/Logging_2510/klagomålsmail/A 22747-2025 FSC-klagomål mail.docx", "A 22747-2025")</f>
        <v/>
      </c>
      <c r="X291">
        <f>HYPERLINK("https://klasma.github.io/Logging_2510/tillsyn/A 22747-2025 tillsynsbegäran.docx", "A 22747-2025")</f>
        <v/>
      </c>
      <c r="Y291">
        <f>HYPERLINK("https://klasma.github.io/Logging_2510/tillsynsmail/A 22747-2025 tillsynsbegäran mail.docx", "A 22747-2025")</f>
        <v/>
      </c>
    </row>
    <row r="292" ht="15" customHeight="1">
      <c r="A292" t="inlineStr">
        <is>
          <t>A 14482-2023</t>
        </is>
      </c>
      <c r="B292" s="1" t="n">
        <v>45012</v>
      </c>
      <c r="C292" s="1" t="n">
        <v>46046</v>
      </c>
      <c r="D292" t="inlineStr">
        <is>
          <t>NORRBOTTENS LÄN</t>
        </is>
      </c>
      <c r="E292" t="inlineStr">
        <is>
          <t>GÄLLIVARE</t>
        </is>
      </c>
      <c r="G292" t="n">
        <v>7.4</v>
      </c>
      <c r="H292" t="n">
        <v>0</v>
      </c>
      <c r="I292" t="n">
        <v>0</v>
      </c>
      <c r="J292" t="n">
        <v>1</v>
      </c>
      <c r="K292" t="n">
        <v>2</v>
      </c>
      <c r="L292" t="n">
        <v>0</v>
      </c>
      <c r="M292" t="n">
        <v>0</v>
      </c>
      <c r="N292" t="n">
        <v>0</v>
      </c>
      <c r="O292" t="n">
        <v>3</v>
      </c>
      <c r="P292" t="n">
        <v>2</v>
      </c>
      <c r="Q292" t="n">
        <v>3</v>
      </c>
      <c r="R292" s="2" t="inlineStr">
        <is>
          <t>Goliatmusseron
Tallgråticka
Blå taggsvamp</t>
        </is>
      </c>
      <c r="S292">
        <f>HYPERLINK("https://klasma.github.io/Logging_2523/artfynd/A 14482-2023 artfynd.xlsx", "A 14482-2023")</f>
        <v/>
      </c>
      <c r="T292">
        <f>HYPERLINK("https://klasma.github.io/Logging_2523/kartor/A 14482-2023 karta.png", "A 14482-2023")</f>
        <v/>
      </c>
      <c r="V292">
        <f>HYPERLINK("https://klasma.github.io/Logging_2523/klagomål/A 14482-2023 FSC-klagomål.docx", "A 14482-2023")</f>
        <v/>
      </c>
      <c r="W292">
        <f>HYPERLINK("https://klasma.github.io/Logging_2523/klagomålsmail/A 14482-2023 FSC-klagomål mail.docx", "A 14482-2023")</f>
        <v/>
      </c>
      <c r="X292">
        <f>HYPERLINK("https://klasma.github.io/Logging_2523/tillsyn/A 14482-2023 tillsynsbegäran.docx", "A 14482-2023")</f>
        <v/>
      </c>
      <c r="Y292">
        <f>HYPERLINK("https://klasma.github.io/Logging_2523/tillsynsmail/A 14482-2023 tillsynsbegäran mail.docx", "A 14482-2023")</f>
        <v/>
      </c>
    </row>
    <row r="293" ht="15" customHeight="1">
      <c r="A293" t="inlineStr">
        <is>
          <t>A 11564-2025</t>
        </is>
      </c>
      <c r="B293" s="1" t="n">
        <v>45726</v>
      </c>
      <c r="C293" s="1" t="n">
        <v>46046</v>
      </c>
      <c r="D293" t="inlineStr">
        <is>
          <t>NORRBOTTENS LÄN</t>
        </is>
      </c>
      <c r="E293" t="inlineStr">
        <is>
          <t>ARVIDSJAUR</t>
        </is>
      </c>
      <c r="F293" t="inlineStr">
        <is>
          <t>Allmännings- och besparingsskogar</t>
        </is>
      </c>
      <c r="G293" t="n">
        <v>38.8</v>
      </c>
      <c r="H293" t="n">
        <v>3</v>
      </c>
      <c r="I293" t="n">
        <v>2</v>
      </c>
      <c r="J293" t="n">
        <v>0</v>
      </c>
      <c r="K293" t="n">
        <v>0</v>
      </c>
      <c r="L293" t="n">
        <v>0</v>
      </c>
      <c r="M293" t="n">
        <v>0</v>
      </c>
      <c r="N293" t="n">
        <v>0</v>
      </c>
      <c r="O293" t="n">
        <v>0</v>
      </c>
      <c r="P293" t="n">
        <v>0</v>
      </c>
      <c r="Q293" t="n">
        <v>3</v>
      </c>
      <c r="R293" s="2" t="inlineStr">
        <is>
          <t>Korallrot
Spindelblomster
Mattlummer</t>
        </is>
      </c>
      <c r="S293">
        <f>HYPERLINK("https://klasma.github.io/Logging_2505/artfynd/A 11564-2025 artfynd.xlsx", "A 11564-2025")</f>
        <v/>
      </c>
      <c r="T293">
        <f>HYPERLINK("https://klasma.github.io/Logging_2505/kartor/A 11564-2025 karta.png", "A 11564-2025")</f>
        <v/>
      </c>
      <c r="V293">
        <f>HYPERLINK("https://klasma.github.io/Logging_2505/klagomål/A 11564-2025 FSC-klagomål.docx", "A 11564-2025")</f>
        <v/>
      </c>
      <c r="W293">
        <f>HYPERLINK("https://klasma.github.io/Logging_2505/klagomålsmail/A 11564-2025 FSC-klagomål mail.docx", "A 11564-2025")</f>
        <v/>
      </c>
      <c r="X293">
        <f>HYPERLINK("https://klasma.github.io/Logging_2505/tillsyn/A 11564-2025 tillsynsbegäran.docx", "A 11564-2025")</f>
        <v/>
      </c>
      <c r="Y293">
        <f>HYPERLINK("https://klasma.github.io/Logging_2505/tillsynsmail/A 11564-2025 tillsynsbegäran mail.docx", "A 11564-2025")</f>
        <v/>
      </c>
    </row>
    <row r="294" ht="15" customHeight="1">
      <c r="A294" t="inlineStr">
        <is>
          <t>A 52078-2021</t>
        </is>
      </c>
      <c r="B294" s="1" t="n">
        <v>44463.40674768519</v>
      </c>
      <c r="C294" s="1" t="n">
        <v>46046</v>
      </c>
      <c r="D294" t="inlineStr">
        <is>
          <t>NORRBOTTENS LÄN</t>
        </is>
      </c>
      <c r="E294" t="inlineStr">
        <is>
          <t>BODEN</t>
        </is>
      </c>
      <c r="F294" t="inlineStr">
        <is>
          <t>Sveaskog</t>
        </is>
      </c>
      <c r="G294" t="n">
        <v>0.5</v>
      </c>
      <c r="H294" t="n">
        <v>1</v>
      </c>
      <c r="I294" t="n">
        <v>0</v>
      </c>
      <c r="J294" t="n">
        <v>2</v>
      </c>
      <c r="K294" t="n">
        <v>1</v>
      </c>
      <c r="L294" t="n">
        <v>0</v>
      </c>
      <c r="M294" t="n">
        <v>0</v>
      </c>
      <c r="N294" t="n">
        <v>0</v>
      </c>
      <c r="O294" t="n">
        <v>3</v>
      </c>
      <c r="P294" t="n">
        <v>1</v>
      </c>
      <c r="Q294" t="n">
        <v>3</v>
      </c>
      <c r="R294" s="2" t="inlineStr">
        <is>
          <t>Knärot
Granticka
Lunglav</t>
        </is>
      </c>
      <c r="S294">
        <f>HYPERLINK("https://klasma.github.io/Logging_2582/artfynd/A 52078-2021 artfynd.xlsx", "A 52078-2021")</f>
        <v/>
      </c>
      <c r="T294">
        <f>HYPERLINK("https://klasma.github.io/Logging_2582/kartor/A 52078-2021 karta.png", "A 52078-2021")</f>
        <v/>
      </c>
      <c r="U294">
        <f>HYPERLINK("https://klasma.github.io/Logging_2582/knärot/A 52078-2021 karta knärot.png", "A 52078-2021")</f>
        <v/>
      </c>
      <c r="V294">
        <f>HYPERLINK("https://klasma.github.io/Logging_2582/klagomål/A 52078-2021 FSC-klagomål.docx", "A 52078-2021")</f>
        <v/>
      </c>
      <c r="W294">
        <f>HYPERLINK("https://klasma.github.io/Logging_2582/klagomålsmail/A 52078-2021 FSC-klagomål mail.docx", "A 52078-2021")</f>
        <v/>
      </c>
      <c r="X294">
        <f>HYPERLINK("https://klasma.github.io/Logging_2582/tillsyn/A 52078-2021 tillsynsbegäran.docx", "A 52078-2021")</f>
        <v/>
      </c>
      <c r="Y294">
        <f>HYPERLINK("https://klasma.github.io/Logging_2582/tillsynsmail/A 52078-2021 tillsynsbegäran mail.docx", "A 52078-2021")</f>
        <v/>
      </c>
    </row>
    <row r="295" ht="15" customHeight="1">
      <c r="A295" t="inlineStr">
        <is>
          <t>A 15171-2022</t>
        </is>
      </c>
      <c r="B295" s="1" t="n">
        <v>44658</v>
      </c>
      <c r="C295" s="1" t="n">
        <v>46046</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7959-2022</t>
        </is>
      </c>
      <c r="B296" s="1" t="n">
        <v>44608.93849537037</v>
      </c>
      <c r="C296" s="1" t="n">
        <v>46046</v>
      </c>
      <c r="D296" t="inlineStr">
        <is>
          <t>NORRBOTTENS LÄN</t>
        </is>
      </c>
      <c r="E296" t="inlineStr">
        <is>
          <t>PAJALA</t>
        </is>
      </c>
      <c r="F296" t="inlineStr">
        <is>
          <t>SCA</t>
        </is>
      </c>
      <c r="G296" t="n">
        <v>3</v>
      </c>
      <c r="H296" t="n">
        <v>0</v>
      </c>
      <c r="I296" t="n">
        <v>0</v>
      </c>
      <c r="J296" t="n">
        <v>3</v>
      </c>
      <c r="K296" t="n">
        <v>0</v>
      </c>
      <c r="L296" t="n">
        <v>0</v>
      </c>
      <c r="M296" t="n">
        <v>0</v>
      </c>
      <c r="N296" t="n">
        <v>0</v>
      </c>
      <c r="O296" t="n">
        <v>3</v>
      </c>
      <c r="P296" t="n">
        <v>0</v>
      </c>
      <c r="Q296" t="n">
        <v>3</v>
      </c>
      <c r="R296" s="2" t="inlineStr">
        <is>
          <t>Knottrig blåslav
Svartvit taggsvamp
Talltaggsvamp</t>
        </is>
      </c>
      <c r="S296">
        <f>HYPERLINK("https://klasma.github.io/Logging_2521/artfynd/A 7959-2022 artfynd.xlsx", "A 7959-2022")</f>
        <v/>
      </c>
      <c r="T296">
        <f>HYPERLINK("https://klasma.github.io/Logging_2521/kartor/A 7959-2022 karta.png", "A 7959-2022")</f>
        <v/>
      </c>
      <c r="V296">
        <f>HYPERLINK("https://klasma.github.io/Logging_2521/klagomål/A 7959-2022 FSC-klagomål.docx", "A 7959-2022")</f>
        <v/>
      </c>
      <c r="W296">
        <f>HYPERLINK("https://klasma.github.io/Logging_2521/klagomålsmail/A 7959-2022 FSC-klagomål mail.docx", "A 7959-2022")</f>
        <v/>
      </c>
      <c r="X296">
        <f>HYPERLINK("https://klasma.github.io/Logging_2521/tillsyn/A 7959-2022 tillsynsbegäran.docx", "A 7959-2022")</f>
        <v/>
      </c>
      <c r="Y296">
        <f>HYPERLINK("https://klasma.github.io/Logging_2521/tillsynsmail/A 7959-2022 tillsynsbegäran mail.docx", "A 7959-2022")</f>
        <v/>
      </c>
    </row>
    <row r="297" ht="15" customHeight="1">
      <c r="A297" t="inlineStr">
        <is>
          <t>A 72477-2021</t>
        </is>
      </c>
      <c r="B297" s="1" t="n">
        <v>44545</v>
      </c>
      <c r="C297" s="1" t="n">
        <v>46046</v>
      </c>
      <c r="D297" t="inlineStr">
        <is>
          <t>NORRBOTTENS LÄN</t>
        </is>
      </c>
      <c r="E297" t="inlineStr">
        <is>
          <t>JOKKMOKK</t>
        </is>
      </c>
      <c r="G297" t="n">
        <v>18.1</v>
      </c>
      <c r="H297" t="n">
        <v>0</v>
      </c>
      <c r="I297" t="n">
        <v>0</v>
      </c>
      <c r="J297" t="n">
        <v>2</v>
      </c>
      <c r="K297" t="n">
        <v>1</v>
      </c>
      <c r="L297" t="n">
        <v>0</v>
      </c>
      <c r="M297" t="n">
        <v>0</v>
      </c>
      <c r="N297" t="n">
        <v>0</v>
      </c>
      <c r="O297" t="n">
        <v>3</v>
      </c>
      <c r="P297" t="n">
        <v>1</v>
      </c>
      <c r="Q297" t="n">
        <v>3</v>
      </c>
      <c r="R297" s="2" t="inlineStr">
        <is>
          <t>Gräddporing
Blågrå svartspik
Ladlav</t>
        </is>
      </c>
      <c r="S297">
        <f>HYPERLINK("https://klasma.github.io/Logging_2510/artfynd/A 72477-2021 artfynd.xlsx", "A 72477-2021")</f>
        <v/>
      </c>
      <c r="T297">
        <f>HYPERLINK("https://klasma.github.io/Logging_2510/kartor/A 72477-2021 karta.png", "A 72477-2021")</f>
        <v/>
      </c>
      <c r="V297">
        <f>HYPERLINK("https://klasma.github.io/Logging_2510/klagomål/A 72477-2021 FSC-klagomål.docx", "A 72477-2021")</f>
        <v/>
      </c>
      <c r="W297">
        <f>HYPERLINK("https://klasma.github.io/Logging_2510/klagomålsmail/A 72477-2021 FSC-klagomål mail.docx", "A 72477-2021")</f>
        <v/>
      </c>
      <c r="X297">
        <f>HYPERLINK("https://klasma.github.io/Logging_2510/tillsyn/A 72477-2021 tillsynsbegäran.docx", "A 72477-2021")</f>
        <v/>
      </c>
      <c r="Y297">
        <f>HYPERLINK("https://klasma.github.io/Logging_2510/tillsynsmail/A 72477-2021 tillsynsbegäran mail.docx", "A 72477-2021")</f>
        <v/>
      </c>
    </row>
    <row r="298" ht="15" customHeight="1">
      <c r="A298" t="inlineStr">
        <is>
          <t>A 36451-2024</t>
        </is>
      </c>
      <c r="B298" s="1" t="n">
        <v>45537</v>
      </c>
      <c r="C298" s="1" t="n">
        <v>46046</v>
      </c>
      <c r="D298" t="inlineStr">
        <is>
          <t>NORRBOTTENS LÄN</t>
        </is>
      </c>
      <c r="E298" t="inlineStr">
        <is>
          <t>ARVIDSJAUR</t>
        </is>
      </c>
      <c r="F298" t="inlineStr">
        <is>
          <t>Sveaskog</t>
        </is>
      </c>
      <c r="G298" t="n">
        <v>19.2</v>
      </c>
      <c r="H298" t="n">
        <v>0</v>
      </c>
      <c r="I298" t="n">
        <v>1</v>
      </c>
      <c r="J298" t="n">
        <v>2</v>
      </c>
      <c r="K298" t="n">
        <v>0</v>
      </c>
      <c r="L298" t="n">
        <v>0</v>
      </c>
      <c r="M298" t="n">
        <v>0</v>
      </c>
      <c r="N298" t="n">
        <v>0</v>
      </c>
      <c r="O298" t="n">
        <v>2</v>
      </c>
      <c r="P298" t="n">
        <v>0</v>
      </c>
      <c r="Q298" t="n">
        <v>3</v>
      </c>
      <c r="R298" s="2" t="inlineStr">
        <is>
          <t>Blå taggsvamp
Orange taggsvamp
Dropptaggsvamp</t>
        </is>
      </c>
      <c r="S298">
        <f>HYPERLINK("https://klasma.github.io/Logging_2505/artfynd/A 36451-2024 artfynd.xlsx", "A 36451-2024")</f>
        <v/>
      </c>
      <c r="T298">
        <f>HYPERLINK("https://klasma.github.io/Logging_2505/kartor/A 36451-2024 karta.png", "A 36451-2024")</f>
        <v/>
      </c>
      <c r="V298">
        <f>HYPERLINK("https://klasma.github.io/Logging_2505/klagomål/A 36451-2024 FSC-klagomål.docx", "A 36451-2024")</f>
        <v/>
      </c>
      <c r="W298">
        <f>HYPERLINK("https://klasma.github.io/Logging_2505/klagomålsmail/A 36451-2024 FSC-klagomål mail.docx", "A 36451-2024")</f>
        <v/>
      </c>
      <c r="X298">
        <f>HYPERLINK("https://klasma.github.io/Logging_2505/tillsyn/A 36451-2024 tillsynsbegäran.docx", "A 36451-2024")</f>
        <v/>
      </c>
      <c r="Y298">
        <f>HYPERLINK("https://klasma.github.io/Logging_2505/tillsynsmail/A 36451-2024 tillsynsbegäran mail.docx", "A 36451-2024")</f>
        <v/>
      </c>
    </row>
    <row r="299" ht="15" customHeight="1">
      <c r="A299" t="inlineStr">
        <is>
          <t>A 59618-2023</t>
        </is>
      </c>
      <c r="B299" s="1" t="n">
        <v>45254</v>
      </c>
      <c r="C299" s="1" t="n">
        <v>46046</v>
      </c>
      <c r="D299" t="inlineStr">
        <is>
          <t>NORRBOTTENS LÄN</t>
        </is>
      </c>
      <c r="E299" t="inlineStr">
        <is>
          <t>ÄLVSBYN</t>
        </is>
      </c>
      <c r="F299" t="inlineStr">
        <is>
          <t>Sveaskog</t>
        </is>
      </c>
      <c r="G299" t="n">
        <v>26.3</v>
      </c>
      <c r="H299" t="n">
        <v>0</v>
      </c>
      <c r="I299" t="n">
        <v>1</v>
      </c>
      <c r="J299" t="n">
        <v>2</v>
      </c>
      <c r="K299" t="n">
        <v>0</v>
      </c>
      <c r="L299" t="n">
        <v>0</v>
      </c>
      <c r="M299" t="n">
        <v>0</v>
      </c>
      <c r="N299" t="n">
        <v>0</v>
      </c>
      <c r="O299" t="n">
        <v>2</v>
      </c>
      <c r="P299" t="n">
        <v>0</v>
      </c>
      <c r="Q299" t="n">
        <v>3</v>
      </c>
      <c r="R299" s="2" t="inlineStr">
        <is>
          <t>Kolflarnlav
Svart taggsvamp
Dropptaggsvamp</t>
        </is>
      </c>
      <c r="S299">
        <f>HYPERLINK("https://klasma.github.io/Logging_2560/artfynd/A 59618-2023 artfynd.xlsx", "A 59618-2023")</f>
        <v/>
      </c>
      <c r="T299">
        <f>HYPERLINK("https://klasma.github.io/Logging_2560/kartor/A 59618-2023 karta.png", "A 59618-2023")</f>
        <v/>
      </c>
      <c r="V299">
        <f>HYPERLINK("https://klasma.github.io/Logging_2560/klagomål/A 59618-2023 FSC-klagomål.docx", "A 59618-2023")</f>
        <v/>
      </c>
      <c r="W299">
        <f>HYPERLINK("https://klasma.github.io/Logging_2560/klagomålsmail/A 59618-2023 FSC-klagomål mail.docx", "A 59618-2023")</f>
        <v/>
      </c>
      <c r="X299">
        <f>HYPERLINK("https://klasma.github.io/Logging_2560/tillsyn/A 59618-2023 tillsynsbegäran.docx", "A 59618-2023")</f>
        <v/>
      </c>
      <c r="Y299">
        <f>HYPERLINK("https://klasma.github.io/Logging_2560/tillsynsmail/A 59618-2023 tillsynsbegäran mail.docx", "A 59618-2023")</f>
        <v/>
      </c>
    </row>
    <row r="300" ht="15" customHeight="1">
      <c r="A300" t="inlineStr">
        <is>
          <t>A 24737-2025</t>
        </is>
      </c>
      <c r="B300" s="1" t="n">
        <v>45799.34494212963</v>
      </c>
      <c r="C300" s="1" t="n">
        <v>46046</v>
      </c>
      <c r="D300" t="inlineStr">
        <is>
          <t>NORRBOTTENS LÄN</t>
        </is>
      </c>
      <c r="E300" t="inlineStr">
        <is>
          <t>JOKKMOKK</t>
        </is>
      </c>
      <c r="F300" t="inlineStr">
        <is>
          <t>SCA</t>
        </is>
      </c>
      <c r="G300" t="n">
        <v>12.3</v>
      </c>
      <c r="H300" t="n">
        <v>2</v>
      </c>
      <c r="I300" t="n">
        <v>0</v>
      </c>
      <c r="J300" t="n">
        <v>1</v>
      </c>
      <c r="K300" t="n">
        <v>0</v>
      </c>
      <c r="L300" t="n">
        <v>0</v>
      </c>
      <c r="M300" t="n">
        <v>0</v>
      </c>
      <c r="N300" t="n">
        <v>0</v>
      </c>
      <c r="O300" t="n">
        <v>1</v>
      </c>
      <c r="P300" t="n">
        <v>0</v>
      </c>
      <c r="Q300" t="n">
        <v>3</v>
      </c>
      <c r="R300" s="2" t="inlineStr">
        <is>
          <t>Tallticka
Vanlig groda
Vanlig padda</t>
        </is>
      </c>
      <c r="S300">
        <f>HYPERLINK("https://klasma.github.io/Logging_2510/artfynd/A 24737-2025 artfynd.xlsx", "A 24737-2025")</f>
        <v/>
      </c>
      <c r="T300">
        <f>HYPERLINK("https://klasma.github.io/Logging_2510/kartor/A 24737-2025 karta.png", "A 24737-2025")</f>
        <v/>
      </c>
      <c r="V300">
        <f>HYPERLINK("https://klasma.github.io/Logging_2510/klagomål/A 24737-2025 FSC-klagomål.docx", "A 24737-2025")</f>
        <v/>
      </c>
      <c r="W300">
        <f>HYPERLINK("https://klasma.github.io/Logging_2510/klagomålsmail/A 24737-2025 FSC-klagomål mail.docx", "A 24737-2025")</f>
        <v/>
      </c>
      <c r="X300">
        <f>HYPERLINK("https://klasma.github.io/Logging_2510/tillsyn/A 24737-2025 tillsynsbegäran.docx", "A 24737-2025")</f>
        <v/>
      </c>
      <c r="Y300">
        <f>HYPERLINK("https://klasma.github.io/Logging_2510/tillsynsmail/A 24737-2025 tillsynsbegäran mail.docx", "A 24737-2025")</f>
        <v/>
      </c>
    </row>
    <row r="301" ht="15" customHeight="1">
      <c r="A301" t="inlineStr">
        <is>
          <t>A 19324-2024</t>
        </is>
      </c>
      <c r="B301" s="1" t="n">
        <v>45428</v>
      </c>
      <c r="C301" s="1" t="n">
        <v>46046</v>
      </c>
      <c r="D301" t="inlineStr">
        <is>
          <t>NORRBOTTENS LÄN</t>
        </is>
      </c>
      <c r="E301" t="inlineStr">
        <is>
          <t>BODEN</t>
        </is>
      </c>
      <c r="G301" t="n">
        <v>3.8</v>
      </c>
      <c r="H301" t="n">
        <v>2</v>
      </c>
      <c r="I301" t="n">
        <v>1</v>
      </c>
      <c r="J301" t="n">
        <v>0</v>
      </c>
      <c r="K301" t="n">
        <v>2</v>
      </c>
      <c r="L301" t="n">
        <v>0</v>
      </c>
      <c r="M301" t="n">
        <v>0</v>
      </c>
      <c r="N301" t="n">
        <v>0</v>
      </c>
      <c r="O301" t="n">
        <v>2</v>
      </c>
      <c r="P301" t="n">
        <v>2</v>
      </c>
      <c r="Q301" t="n">
        <v>3</v>
      </c>
      <c r="R301" s="2" t="inlineStr">
        <is>
          <t>Knärot
Norna
Ögonpyrola</t>
        </is>
      </c>
      <c r="S301">
        <f>HYPERLINK("https://klasma.github.io/Logging_2582/artfynd/A 19324-2024 artfynd.xlsx", "A 19324-2024")</f>
        <v/>
      </c>
      <c r="T301">
        <f>HYPERLINK("https://klasma.github.io/Logging_2582/kartor/A 19324-2024 karta.png", "A 19324-2024")</f>
        <v/>
      </c>
      <c r="U301">
        <f>HYPERLINK("https://klasma.github.io/Logging_2582/knärot/A 19324-2024 karta knärot.png", "A 19324-2024")</f>
        <v/>
      </c>
      <c r="V301">
        <f>HYPERLINK("https://klasma.github.io/Logging_2582/klagomål/A 19324-2024 FSC-klagomål.docx", "A 19324-2024")</f>
        <v/>
      </c>
      <c r="W301">
        <f>HYPERLINK("https://klasma.github.io/Logging_2582/klagomålsmail/A 19324-2024 FSC-klagomål mail.docx", "A 19324-2024")</f>
        <v/>
      </c>
      <c r="X301">
        <f>HYPERLINK("https://klasma.github.io/Logging_2582/tillsyn/A 19324-2024 tillsynsbegäran.docx", "A 19324-2024")</f>
        <v/>
      </c>
      <c r="Y301">
        <f>HYPERLINK("https://klasma.github.io/Logging_2582/tillsynsmail/A 19324-2024 tillsynsbegäran mail.docx", "A 19324-2024")</f>
        <v/>
      </c>
    </row>
    <row r="302" ht="15" customHeight="1">
      <c r="A302" t="inlineStr">
        <is>
          <t>A 60091-2024</t>
        </is>
      </c>
      <c r="B302" s="1" t="n">
        <v>45642.55074074074</v>
      </c>
      <c r="C302" s="1" t="n">
        <v>46046</v>
      </c>
      <c r="D302" t="inlineStr">
        <is>
          <t>NORRBOTTENS LÄN</t>
        </is>
      </c>
      <c r="E302" t="inlineStr">
        <is>
          <t>LULEÅ</t>
        </is>
      </c>
      <c r="G302" t="n">
        <v>12.8</v>
      </c>
      <c r="H302" t="n">
        <v>1</v>
      </c>
      <c r="I302" t="n">
        <v>0</v>
      </c>
      <c r="J302" t="n">
        <v>2</v>
      </c>
      <c r="K302" t="n">
        <v>0</v>
      </c>
      <c r="L302" t="n">
        <v>0</v>
      </c>
      <c r="M302" t="n">
        <v>0</v>
      </c>
      <c r="N302" t="n">
        <v>0</v>
      </c>
      <c r="O302" t="n">
        <v>2</v>
      </c>
      <c r="P302" t="n">
        <v>0</v>
      </c>
      <c r="Q302" t="n">
        <v>3</v>
      </c>
      <c r="R302" s="2" t="inlineStr">
        <is>
          <t>Garnlav
Granticka
Revlummer</t>
        </is>
      </c>
      <c r="S302">
        <f>HYPERLINK("https://klasma.github.io/Logging_2580/artfynd/A 60091-2024 artfynd.xlsx", "A 60091-2024")</f>
        <v/>
      </c>
      <c r="T302">
        <f>HYPERLINK("https://klasma.github.io/Logging_2580/kartor/A 60091-2024 karta.png", "A 60091-2024")</f>
        <v/>
      </c>
      <c r="V302">
        <f>HYPERLINK("https://klasma.github.io/Logging_2580/klagomål/A 60091-2024 FSC-klagomål.docx", "A 60091-2024")</f>
        <v/>
      </c>
      <c r="W302">
        <f>HYPERLINK("https://klasma.github.io/Logging_2580/klagomålsmail/A 60091-2024 FSC-klagomål mail.docx", "A 60091-2024")</f>
        <v/>
      </c>
      <c r="X302">
        <f>HYPERLINK("https://klasma.github.io/Logging_2580/tillsyn/A 60091-2024 tillsynsbegäran.docx", "A 60091-2024")</f>
        <v/>
      </c>
      <c r="Y302">
        <f>HYPERLINK("https://klasma.github.io/Logging_2580/tillsynsmail/A 60091-2024 tillsynsbegäran mail.docx", "A 60091-2024")</f>
        <v/>
      </c>
    </row>
    <row r="303" ht="15" customHeight="1">
      <c r="A303" t="inlineStr">
        <is>
          <t>A 25839-2025</t>
        </is>
      </c>
      <c r="B303" s="1" t="n">
        <v>45804.45221064815</v>
      </c>
      <c r="C303" s="1" t="n">
        <v>46046</v>
      </c>
      <c r="D303" t="inlineStr">
        <is>
          <t>NORRBOTTENS LÄN</t>
        </is>
      </c>
      <c r="E303" t="inlineStr">
        <is>
          <t>BODEN</t>
        </is>
      </c>
      <c r="G303" t="n">
        <v>1.7</v>
      </c>
      <c r="H303" t="n">
        <v>3</v>
      </c>
      <c r="I303" t="n">
        <v>0</v>
      </c>
      <c r="J303" t="n">
        <v>0</v>
      </c>
      <c r="K303" t="n">
        <v>1</v>
      </c>
      <c r="L303" t="n">
        <v>0</v>
      </c>
      <c r="M303" t="n">
        <v>0</v>
      </c>
      <c r="N303" t="n">
        <v>0</v>
      </c>
      <c r="O303" t="n">
        <v>1</v>
      </c>
      <c r="P303" t="n">
        <v>1</v>
      </c>
      <c r="Q303" t="n">
        <v>3</v>
      </c>
      <c r="R303" s="2" t="inlineStr">
        <is>
          <t>Knärot
Fläcknycklar
Nattviol</t>
        </is>
      </c>
      <c r="S303">
        <f>HYPERLINK("https://klasma.github.io/Logging_2582/artfynd/A 25839-2025 artfynd.xlsx", "A 25839-2025")</f>
        <v/>
      </c>
      <c r="T303">
        <f>HYPERLINK("https://klasma.github.io/Logging_2582/kartor/A 25839-2025 karta.png", "A 25839-2025")</f>
        <v/>
      </c>
      <c r="U303">
        <f>HYPERLINK("https://klasma.github.io/Logging_2582/knärot/A 25839-2025 karta knärot.png", "A 25839-2025")</f>
        <v/>
      </c>
      <c r="V303">
        <f>HYPERLINK("https://klasma.github.io/Logging_2582/klagomål/A 25839-2025 FSC-klagomål.docx", "A 25839-2025")</f>
        <v/>
      </c>
      <c r="W303">
        <f>HYPERLINK("https://klasma.github.io/Logging_2582/klagomålsmail/A 25839-2025 FSC-klagomål mail.docx", "A 25839-2025")</f>
        <v/>
      </c>
      <c r="X303">
        <f>HYPERLINK("https://klasma.github.io/Logging_2582/tillsyn/A 25839-2025 tillsynsbegäran.docx", "A 25839-2025")</f>
        <v/>
      </c>
      <c r="Y303">
        <f>HYPERLINK("https://klasma.github.io/Logging_2582/tillsynsmail/A 25839-2025 tillsynsbegäran mail.docx", "A 25839-2025")</f>
        <v/>
      </c>
    </row>
    <row r="304" ht="15" customHeight="1">
      <c r="A304" t="inlineStr">
        <is>
          <t>A 65260-2023</t>
        </is>
      </c>
      <c r="B304" s="1" t="n">
        <v>45291</v>
      </c>
      <c r="C304" s="1" t="n">
        <v>46046</v>
      </c>
      <c r="D304" t="inlineStr">
        <is>
          <t>NORRBOTTENS LÄN</t>
        </is>
      </c>
      <c r="E304" t="inlineStr">
        <is>
          <t>ÖVERTORNEÅ</t>
        </is>
      </c>
      <c r="G304" t="n">
        <v>7.7</v>
      </c>
      <c r="H304" t="n">
        <v>1</v>
      </c>
      <c r="I304" t="n">
        <v>1</v>
      </c>
      <c r="J304" t="n">
        <v>2</v>
      </c>
      <c r="K304" t="n">
        <v>0</v>
      </c>
      <c r="L304" t="n">
        <v>0</v>
      </c>
      <c r="M304" t="n">
        <v>0</v>
      </c>
      <c r="N304" t="n">
        <v>0</v>
      </c>
      <c r="O304" t="n">
        <v>2</v>
      </c>
      <c r="P304" t="n">
        <v>0</v>
      </c>
      <c r="Q304" t="n">
        <v>3</v>
      </c>
      <c r="R304" s="2" t="inlineStr">
        <is>
          <t>Garnlav
Spillkråka
Vedticka</t>
        </is>
      </c>
      <c r="S304">
        <f>HYPERLINK("https://klasma.github.io/Logging_2518/artfynd/A 65260-2023 artfynd.xlsx", "A 65260-2023")</f>
        <v/>
      </c>
      <c r="T304">
        <f>HYPERLINK("https://klasma.github.io/Logging_2518/kartor/A 65260-2023 karta.png", "A 65260-2023")</f>
        <v/>
      </c>
      <c r="V304">
        <f>HYPERLINK("https://klasma.github.io/Logging_2518/klagomål/A 65260-2023 FSC-klagomål.docx", "A 65260-2023")</f>
        <v/>
      </c>
      <c r="W304">
        <f>HYPERLINK("https://klasma.github.io/Logging_2518/klagomålsmail/A 65260-2023 FSC-klagomål mail.docx", "A 65260-2023")</f>
        <v/>
      </c>
      <c r="X304">
        <f>HYPERLINK("https://klasma.github.io/Logging_2518/tillsyn/A 65260-2023 tillsynsbegäran.docx", "A 65260-2023")</f>
        <v/>
      </c>
      <c r="Y304">
        <f>HYPERLINK("https://klasma.github.io/Logging_2518/tillsynsmail/A 65260-2023 tillsynsbegäran mail.docx", "A 65260-2023")</f>
        <v/>
      </c>
      <c r="Z304">
        <f>HYPERLINK("https://klasma.github.io/Logging_2518/fåglar/A 65260-2023 prioriterade fågelarter.docx", "A 65260-2023")</f>
        <v/>
      </c>
    </row>
    <row r="305" ht="15" customHeight="1">
      <c r="A305" t="inlineStr">
        <is>
          <t>A 17705-2023</t>
        </is>
      </c>
      <c r="B305" s="1" t="n">
        <v>45035</v>
      </c>
      <c r="C305" s="1" t="n">
        <v>46046</v>
      </c>
      <c r="D305" t="inlineStr">
        <is>
          <t>NORRBOTTENS LÄN</t>
        </is>
      </c>
      <c r="E305" t="inlineStr">
        <is>
          <t>KIRUNA</t>
        </is>
      </c>
      <c r="F305" t="inlineStr">
        <is>
          <t>Allmännings- och besparingsskogar</t>
        </is>
      </c>
      <c r="G305" t="n">
        <v>58.9</v>
      </c>
      <c r="H305" t="n">
        <v>0</v>
      </c>
      <c r="I305" t="n">
        <v>1</v>
      </c>
      <c r="J305" t="n">
        <v>1</v>
      </c>
      <c r="K305" t="n">
        <v>1</v>
      </c>
      <c r="L305" t="n">
        <v>0</v>
      </c>
      <c r="M305" t="n">
        <v>0</v>
      </c>
      <c r="N305" t="n">
        <v>0</v>
      </c>
      <c r="O305" t="n">
        <v>2</v>
      </c>
      <c r="P305" t="n">
        <v>1</v>
      </c>
      <c r="Q305" t="n">
        <v>3</v>
      </c>
      <c r="R305" s="2" t="inlineStr">
        <is>
          <t>Fläckporing
Orange taggsvamp
Dropptaggsvamp</t>
        </is>
      </c>
      <c r="S305">
        <f>HYPERLINK("https://klasma.github.io/Logging_2584/artfynd/A 17705-2023 artfynd.xlsx", "A 17705-2023")</f>
        <v/>
      </c>
      <c r="T305">
        <f>HYPERLINK("https://klasma.github.io/Logging_2584/kartor/A 17705-2023 karta.png", "A 17705-2023")</f>
        <v/>
      </c>
      <c r="V305">
        <f>HYPERLINK("https://klasma.github.io/Logging_2584/klagomål/A 17705-2023 FSC-klagomål.docx", "A 17705-2023")</f>
        <v/>
      </c>
      <c r="W305">
        <f>HYPERLINK("https://klasma.github.io/Logging_2584/klagomålsmail/A 17705-2023 FSC-klagomål mail.docx", "A 17705-2023")</f>
        <v/>
      </c>
      <c r="X305">
        <f>HYPERLINK("https://klasma.github.io/Logging_2584/tillsyn/A 17705-2023 tillsynsbegäran.docx", "A 17705-2023")</f>
        <v/>
      </c>
      <c r="Y305">
        <f>HYPERLINK("https://klasma.github.io/Logging_2584/tillsynsmail/A 17705-2023 tillsynsbegäran mail.docx", "A 17705-2023")</f>
        <v/>
      </c>
    </row>
    <row r="306" ht="15" customHeight="1">
      <c r="A306" t="inlineStr">
        <is>
          <t>A 33139-2023</t>
        </is>
      </c>
      <c r="B306" s="1" t="n">
        <v>45114</v>
      </c>
      <c r="C306" s="1" t="n">
        <v>46046</v>
      </c>
      <c r="D306" t="inlineStr">
        <is>
          <t>NORRBOTTENS LÄN</t>
        </is>
      </c>
      <c r="E306" t="inlineStr">
        <is>
          <t>JOKKMOKK</t>
        </is>
      </c>
      <c r="F306" t="inlineStr">
        <is>
          <t>Övriga statliga verk och myndigheter</t>
        </is>
      </c>
      <c r="G306" t="n">
        <v>8.6</v>
      </c>
      <c r="H306" t="n">
        <v>0</v>
      </c>
      <c r="I306" t="n">
        <v>1</v>
      </c>
      <c r="J306" t="n">
        <v>2</v>
      </c>
      <c r="K306" t="n">
        <v>0</v>
      </c>
      <c r="L306" t="n">
        <v>0</v>
      </c>
      <c r="M306" t="n">
        <v>0</v>
      </c>
      <c r="N306" t="n">
        <v>0</v>
      </c>
      <c r="O306" t="n">
        <v>2</v>
      </c>
      <c r="P306" t="n">
        <v>0</v>
      </c>
      <c r="Q306" t="n">
        <v>3</v>
      </c>
      <c r="R306" s="2" t="inlineStr">
        <is>
          <t>Skrovellav
Tallriska
Stuplav</t>
        </is>
      </c>
      <c r="S306">
        <f>HYPERLINK("https://klasma.github.io/Logging_2510/artfynd/A 33139-2023 artfynd.xlsx", "A 33139-2023")</f>
        <v/>
      </c>
      <c r="T306">
        <f>HYPERLINK("https://klasma.github.io/Logging_2510/kartor/A 33139-2023 karta.png", "A 33139-2023")</f>
        <v/>
      </c>
      <c r="V306">
        <f>HYPERLINK("https://klasma.github.io/Logging_2510/klagomål/A 33139-2023 FSC-klagomål.docx", "A 33139-2023")</f>
        <v/>
      </c>
      <c r="W306">
        <f>HYPERLINK("https://klasma.github.io/Logging_2510/klagomålsmail/A 33139-2023 FSC-klagomål mail.docx", "A 33139-2023")</f>
        <v/>
      </c>
      <c r="X306">
        <f>HYPERLINK("https://klasma.github.io/Logging_2510/tillsyn/A 33139-2023 tillsynsbegäran.docx", "A 33139-2023")</f>
        <v/>
      </c>
      <c r="Y306">
        <f>HYPERLINK("https://klasma.github.io/Logging_2510/tillsynsmail/A 33139-2023 tillsynsbegäran mail.docx", "A 33139-2023")</f>
        <v/>
      </c>
    </row>
    <row r="307" ht="15" customHeight="1">
      <c r="A307" t="inlineStr">
        <is>
          <t>A 882-2025</t>
        </is>
      </c>
      <c r="B307" s="1" t="n">
        <v>45664</v>
      </c>
      <c r="C307" s="1" t="n">
        <v>46046</v>
      </c>
      <c r="D307" t="inlineStr">
        <is>
          <t>NORRBOTTENS LÄN</t>
        </is>
      </c>
      <c r="E307" t="inlineStr">
        <is>
          <t>LULEÅ</t>
        </is>
      </c>
      <c r="G307" t="n">
        <v>2.2</v>
      </c>
      <c r="H307" t="n">
        <v>1</v>
      </c>
      <c r="I307" t="n">
        <v>0</v>
      </c>
      <c r="J307" t="n">
        <v>2</v>
      </c>
      <c r="K307" t="n">
        <v>1</v>
      </c>
      <c r="L307" t="n">
        <v>0</v>
      </c>
      <c r="M307" t="n">
        <v>0</v>
      </c>
      <c r="N307" t="n">
        <v>0</v>
      </c>
      <c r="O307" t="n">
        <v>3</v>
      </c>
      <c r="P307" t="n">
        <v>1</v>
      </c>
      <c r="Q307" t="n">
        <v>3</v>
      </c>
      <c r="R307" s="2" t="inlineStr">
        <is>
          <t>Rynkskinn
Tretåig hackspett
Ullticka</t>
        </is>
      </c>
      <c r="S307">
        <f>HYPERLINK("https://klasma.github.io/Logging_2580/artfynd/A 882-2025 artfynd.xlsx", "A 882-2025")</f>
        <v/>
      </c>
      <c r="T307">
        <f>HYPERLINK("https://klasma.github.io/Logging_2580/kartor/A 882-2025 karta.png", "A 882-2025")</f>
        <v/>
      </c>
      <c r="V307">
        <f>HYPERLINK("https://klasma.github.io/Logging_2580/klagomål/A 882-2025 FSC-klagomål.docx", "A 882-2025")</f>
        <v/>
      </c>
      <c r="W307">
        <f>HYPERLINK("https://klasma.github.io/Logging_2580/klagomålsmail/A 882-2025 FSC-klagomål mail.docx", "A 882-2025")</f>
        <v/>
      </c>
      <c r="X307">
        <f>HYPERLINK("https://klasma.github.io/Logging_2580/tillsyn/A 882-2025 tillsynsbegäran.docx", "A 882-2025")</f>
        <v/>
      </c>
      <c r="Y307">
        <f>HYPERLINK("https://klasma.github.io/Logging_2580/tillsynsmail/A 882-2025 tillsynsbegäran mail.docx", "A 882-2025")</f>
        <v/>
      </c>
      <c r="Z307">
        <f>HYPERLINK("https://klasma.github.io/Logging_2580/fåglar/A 882-2025 prioriterade fågelarter.docx", "A 882-2025")</f>
        <v/>
      </c>
    </row>
    <row r="308" ht="15" customHeight="1">
      <c r="A308" t="inlineStr">
        <is>
          <t>A 16752-2022</t>
        </is>
      </c>
      <c r="B308" s="1" t="n">
        <v>44673</v>
      </c>
      <c r="C308" s="1" t="n">
        <v>46046</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44878-2024</t>
        </is>
      </c>
      <c r="B309" s="1" t="n">
        <v>45575.34488425926</v>
      </c>
      <c r="C309" s="1" t="n">
        <v>46046</v>
      </c>
      <c r="D309" t="inlineStr">
        <is>
          <t>NORRBOTTENS LÄN</t>
        </is>
      </c>
      <c r="E309" t="inlineStr">
        <is>
          <t>ÖVERTORNEÅ</t>
        </is>
      </c>
      <c r="G309" t="n">
        <v>9.5</v>
      </c>
      <c r="H309" t="n">
        <v>1</v>
      </c>
      <c r="I309" t="n">
        <v>0</v>
      </c>
      <c r="J309" t="n">
        <v>3</v>
      </c>
      <c r="K309" t="n">
        <v>0</v>
      </c>
      <c r="L309" t="n">
        <v>0</v>
      </c>
      <c r="M309" t="n">
        <v>0</v>
      </c>
      <c r="N309" t="n">
        <v>0</v>
      </c>
      <c r="O309" t="n">
        <v>3</v>
      </c>
      <c r="P309" t="n">
        <v>0</v>
      </c>
      <c r="Q309" t="n">
        <v>3</v>
      </c>
      <c r="R309" s="2" t="inlineStr">
        <is>
          <t>Garnlav
Granticka
Talltita</t>
        </is>
      </c>
      <c r="S309">
        <f>HYPERLINK("https://klasma.github.io/Logging_2518/artfynd/A 44878-2024 artfynd.xlsx", "A 44878-2024")</f>
        <v/>
      </c>
      <c r="T309">
        <f>HYPERLINK("https://klasma.github.io/Logging_2518/kartor/A 44878-2024 karta.png", "A 44878-2024")</f>
        <v/>
      </c>
      <c r="V309">
        <f>HYPERLINK("https://klasma.github.io/Logging_2518/klagomål/A 44878-2024 FSC-klagomål.docx", "A 44878-2024")</f>
        <v/>
      </c>
      <c r="W309">
        <f>HYPERLINK("https://klasma.github.io/Logging_2518/klagomålsmail/A 44878-2024 FSC-klagomål mail.docx", "A 44878-2024")</f>
        <v/>
      </c>
      <c r="X309">
        <f>HYPERLINK("https://klasma.github.io/Logging_2518/tillsyn/A 44878-2024 tillsynsbegäran.docx", "A 44878-2024")</f>
        <v/>
      </c>
      <c r="Y309">
        <f>HYPERLINK("https://klasma.github.io/Logging_2518/tillsynsmail/A 44878-2024 tillsynsbegäran mail.docx", "A 44878-2024")</f>
        <v/>
      </c>
      <c r="Z309">
        <f>HYPERLINK("https://klasma.github.io/Logging_2518/fåglar/A 44878-2024 prioriterade fågelarter.docx", "A 44878-2024")</f>
        <v/>
      </c>
    </row>
    <row r="310" ht="15" customHeight="1">
      <c r="A310" t="inlineStr">
        <is>
          <t>A 28718-2025</t>
        </is>
      </c>
      <c r="B310" s="1" t="n">
        <v>45820.34439814815</v>
      </c>
      <c r="C310" s="1" t="n">
        <v>46046</v>
      </c>
      <c r="D310" t="inlineStr">
        <is>
          <t>NORRBOTTENS LÄN</t>
        </is>
      </c>
      <c r="E310" t="inlineStr">
        <is>
          <t>BODEN</t>
        </is>
      </c>
      <c r="F310" t="inlineStr">
        <is>
          <t>SCA</t>
        </is>
      </c>
      <c r="G310" t="n">
        <v>3.1</v>
      </c>
      <c r="H310" t="n">
        <v>1</v>
      </c>
      <c r="I310" t="n">
        <v>0</v>
      </c>
      <c r="J310" t="n">
        <v>2</v>
      </c>
      <c r="K310" t="n">
        <v>1</v>
      </c>
      <c r="L310" t="n">
        <v>0</v>
      </c>
      <c r="M310" t="n">
        <v>0</v>
      </c>
      <c r="N310" t="n">
        <v>0</v>
      </c>
      <c r="O310" t="n">
        <v>3</v>
      </c>
      <c r="P310" t="n">
        <v>1</v>
      </c>
      <c r="Q310" t="n">
        <v>3</v>
      </c>
      <c r="R310" s="2" t="inlineStr">
        <is>
          <t>Knärot
Garnlav
Veckticka</t>
        </is>
      </c>
      <c r="S310">
        <f>HYPERLINK("https://klasma.github.io/Logging_2582/artfynd/A 28718-2025 artfynd.xlsx", "A 28718-2025")</f>
        <v/>
      </c>
      <c r="T310">
        <f>HYPERLINK("https://klasma.github.io/Logging_2582/kartor/A 28718-2025 karta.png", "A 28718-2025")</f>
        <v/>
      </c>
      <c r="U310">
        <f>HYPERLINK("https://klasma.github.io/Logging_2582/knärot/A 28718-2025 karta knärot.png", "A 28718-2025")</f>
        <v/>
      </c>
      <c r="V310">
        <f>HYPERLINK("https://klasma.github.io/Logging_2582/klagomål/A 28718-2025 FSC-klagomål.docx", "A 28718-2025")</f>
        <v/>
      </c>
      <c r="W310">
        <f>HYPERLINK("https://klasma.github.io/Logging_2582/klagomålsmail/A 28718-2025 FSC-klagomål mail.docx", "A 28718-2025")</f>
        <v/>
      </c>
      <c r="X310">
        <f>HYPERLINK("https://klasma.github.io/Logging_2582/tillsyn/A 28718-2025 tillsynsbegäran.docx", "A 28718-2025")</f>
        <v/>
      </c>
      <c r="Y310">
        <f>HYPERLINK("https://klasma.github.io/Logging_2582/tillsynsmail/A 28718-2025 tillsynsbegäran mail.docx", "A 28718-2025")</f>
        <v/>
      </c>
    </row>
    <row r="311" ht="15" customHeight="1">
      <c r="A311" t="inlineStr">
        <is>
          <t>A 36241-2023</t>
        </is>
      </c>
      <c r="B311" s="1" t="n">
        <v>45150.9028125</v>
      </c>
      <c r="C311" s="1" t="n">
        <v>46046</v>
      </c>
      <c r="D311" t="inlineStr">
        <is>
          <t>NORRBOTTENS LÄN</t>
        </is>
      </c>
      <c r="E311" t="inlineStr">
        <is>
          <t>PAJALA</t>
        </is>
      </c>
      <c r="G311" t="n">
        <v>19.6</v>
      </c>
      <c r="H311" t="n">
        <v>2</v>
      </c>
      <c r="I311" t="n">
        <v>0</v>
      </c>
      <c r="J311" t="n">
        <v>2</v>
      </c>
      <c r="K311" t="n">
        <v>0</v>
      </c>
      <c r="L311" t="n">
        <v>0</v>
      </c>
      <c r="M311" t="n">
        <v>0</v>
      </c>
      <c r="N311" t="n">
        <v>0</v>
      </c>
      <c r="O311" t="n">
        <v>2</v>
      </c>
      <c r="P311" t="n">
        <v>0</v>
      </c>
      <c r="Q311" t="n">
        <v>3</v>
      </c>
      <c r="R311" s="2" t="inlineStr">
        <is>
          <t>Garnlav
Tretåig hackspett
Tjäder</t>
        </is>
      </c>
      <c r="S311">
        <f>HYPERLINK("https://klasma.github.io/Logging_2521/artfynd/A 36241-2023 artfynd.xlsx", "A 36241-2023")</f>
        <v/>
      </c>
      <c r="T311">
        <f>HYPERLINK("https://klasma.github.io/Logging_2521/kartor/A 36241-2023 karta.png", "A 36241-2023")</f>
        <v/>
      </c>
      <c r="V311">
        <f>HYPERLINK("https://klasma.github.io/Logging_2521/klagomål/A 36241-2023 FSC-klagomål.docx", "A 36241-2023")</f>
        <v/>
      </c>
      <c r="W311">
        <f>HYPERLINK("https://klasma.github.io/Logging_2521/klagomålsmail/A 36241-2023 FSC-klagomål mail.docx", "A 36241-2023")</f>
        <v/>
      </c>
      <c r="X311">
        <f>HYPERLINK("https://klasma.github.io/Logging_2521/tillsyn/A 36241-2023 tillsynsbegäran.docx", "A 36241-2023")</f>
        <v/>
      </c>
      <c r="Y311">
        <f>HYPERLINK("https://klasma.github.io/Logging_2521/tillsynsmail/A 36241-2023 tillsynsbegäran mail.docx", "A 36241-2023")</f>
        <v/>
      </c>
      <c r="Z311">
        <f>HYPERLINK("https://klasma.github.io/Logging_2521/fåglar/A 36241-2023 prioriterade fågelarter.docx", "A 36241-2023")</f>
        <v/>
      </c>
    </row>
    <row r="312" ht="15" customHeight="1">
      <c r="A312" t="inlineStr">
        <is>
          <t>A 31512-2024</t>
        </is>
      </c>
      <c r="B312" s="1" t="n">
        <v>45505</v>
      </c>
      <c r="C312" s="1" t="n">
        <v>46046</v>
      </c>
      <c r="D312" t="inlineStr">
        <is>
          <t>NORRBOTTENS LÄN</t>
        </is>
      </c>
      <c r="E312" t="inlineStr">
        <is>
          <t>KALIX</t>
        </is>
      </c>
      <c r="G312" t="n">
        <v>7.8</v>
      </c>
      <c r="H312" t="n">
        <v>3</v>
      </c>
      <c r="I312" t="n">
        <v>0</v>
      </c>
      <c r="J312" t="n">
        <v>1</v>
      </c>
      <c r="K312" t="n">
        <v>1</v>
      </c>
      <c r="L312" t="n">
        <v>0</v>
      </c>
      <c r="M312" t="n">
        <v>0</v>
      </c>
      <c r="N312" t="n">
        <v>0</v>
      </c>
      <c r="O312" t="n">
        <v>2</v>
      </c>
      <c r="P312" t="n">
        <v>1</v>
      </c>
      <c r="Q312" t="n">
        <v>3</v>
      </c>
      <c r="R312" s="2" t="inlineStr">
        <is>
          <t>Topplåsbräken
Höstlåsbräken
Revlummer</t>
        </is>
      </c>
      <c r="S312">
        <f>HYPERLINK("https://klasma.github.io/Logging_2514/artfynd/A 31512-2024 artfynd.xlsx", "A 31512-2024")</f>
        <v/>
      </c>
      <c r="T312">
        <f>HYPERLINK("https://klasma.github.io/Logging_2514/kartor/A 31512-2024 karta.png", "A 31512-2024")</f>
        <v/>
      </c>
      <c r="V312">
        <f>HYPERLINK("https://klasma.github.io/Logging_2514/klagomål/A 31512-2024 FSC-klagomål.docx", "A 31512-2024")</f>
        <v/>
      </c>
      <c r="W312">
        <f>HYPERLINK("https://klasma.github.io/Logging_2514/klagomålsmail/A 31512-2024 FSC-klagomål mail.docx", "A 31512-2024")</f>
        <v/>
      </c>
      <c r="X312">
        <f>HYPERLINK("https://klasma.github.io/Logging_2514/tillsyn/A 31512-2024 tillsynsbegäran.docx", "A 31512-2024")</f>
        <v/>
      </c>
      <c r="Y312">
        <f>HYPERLINK("https://klasma.github.io/Logging_2514/tillsynsmail/A 31512-2024 tillsynsbegäran mail.docx", "A 31512-2024")</f>
        <v/>
      </c>
    </row>
    <row r="313" ht="15" customHeight="1">
      <c r="A313" t="inlineStr">
        <is>
          <t>A 44733-2024</t>
        </is>
      </c>
      <c r="B313" s="1" t="n">
        <v>45574</v>
      </c>
      <c r="C313" s="1" t="n">
        <v>46046</v>
      </c>
      <c r="D313" t="inlineStr">
        <is>
          <t>NORRBOTTENS LÄN</t>
        </is>
      </c>
      <c r="E313" t="inlineStr">
        <is>
          <t>ÄLVSBYN</t>
        </is>
      </c>
      <c r="F313" t="inlineStr">
        <is>
          <t>Sveaskog</t>
        </is>
      </c>
      <c r="G313" t="n">
        <v>2.9</v>
      </c>
      <c r="H313" t="n">
        <v>1</v>
      </c>
      <c r="I313" t="n">
        <v>1</v>
      </c>
      <c r="J313" t="n">
        <v>1</v>
      </c>
      <c r="K313" t="n">
        <v>1</v>
      </c>
      <c r="L313" t="n">
        <v>0</v>
      </c>
      <c r="M313" t="n">
        <v>0</v>
      </c>
      <c r="N313" t="n">
        <v>0</v>
      </c>
      <c r="O313" t="n">
        <v>2</v>
      </c>
      <c r="P313" t="n">
        <v>1</v>
      </c>
      <c r="Q313" t="n">
        <v>3</v>
      </c>
      <c r="R313" s="2" t="inlineStr">
        <is>
          <t>Doftticka
Rosenticka
Dropptaggsvamp</t>
        </is>
      </c>
      <c r="S313">
        <f>HYPERLINK("https://klasma.github.io/Logging_2560/artfynd/A 44733-2024 artfynd.xlsx", "A 44733-2024")</f>
        <v/>
      </c>
      <c r="T313">
        <f>HYPERLINK("https://klasma.github.io/Logging_2560/kartor/A 44733-2024 karta.png", "A 44733-2024")</f>
        <v/>
      </c>
      <c r="V313">
        <f>HYPERLINK("https://klasma.github.io/Logging_2560/klagomål/A 44733-2024 FSC-klagomål.docx", "A 44733-2024")</f>
        <v/>
      </c>
      <c r="W313">
        <f>HYPERLINK("https://klasma.github.io/Logging_2560/klagomålsmail/A 44733-2024 FSC-klagomål mail.docx", "A 44733-2024")</f>
        <v/>
      </c>
      <c r="X313">
        <f>HYPERLINK("https://klasma.github.io/Logging_2560/tillsyn/A 44733-2024 tillsynsbegäran.docx", "A 44733-2024")</f>
        <v/>
      </c>
      <c r="Y313">
        <f>HYPERLINK("https://klasma.github.io/Logging_2560/tillsynsmail/A 44733-2024 tillsynsbegäran mail.docx", "A 44733-2024")</f>
        <v/>
      </c>
    </row>
    <row r="314" ht="15" customHeight="1">
      <c r="A314" t="inlineStr">
        <is>
          <t>A 31280-2025</t>
        </is>
      </c>
      <c r="B314" s="1" t="n">
        <v>45833.34586805556</v>
      </c>
      <c r="C314" s="1" t="n">
        <v>46046</v>
      </c>
      <c r="D314" t="inlineStr">
        <is>
          <t>NORRBOTTENS LÄN</t>
        </is>
      </c>
      <c r="E314" t="inlineStr">
        <is>
          <t>ÖVERTORNEÅ</t>
        </is>
      </c>
      <c r="F314" t="inlineStr">
        <is>
          <t>Sveaskog</t>
        </is>
      </c>
      <c r="G314" t="n">
        <v>24.6</v>
      </c>
      <c r="H314" t="n">
        <v>1</v>
      </c>
      <c r="I314" t="n">
        <v>0</v>
      </c>
      <c r="J314" t="n">
        <v>2</v>
      </c>
      <c r="K314" t="n">
        <v>0</v>
      </c>
      <c r="L314" t="n">
        <v>0</v>
      </c>
      <c r="M314" t="n">
        <v>0</v>
      </c>
      <c r="N314" t="n">
        <v>0</v>
      </c>
      <c r="O314" t="n">
        <v>2</v>
      </c>
      <c r="P314" t="n">
        <v>0</v>
      </c>
      <c r="Q314" t="n">
        <v>3</v>
      </c>
      <c r="R314" s="2" t="inlineStr">
        <is>
          <t>Garnlav
Lunglav
Fläcknycklar</t>
        </is>
      </c>
      <c r="S314">
        <f>HYPERLINK("https://klasma.github.io/Logging_2518/artfynd/A 31280-2025 artfynd.xlsx", "A 31280-2025")</f>
        <v/>
      </c>
      <c r="T314">
        <f>HYPERLINK("https://klasma.github.io/Logging_2518/kartor/A 31280-2025 karta.png", "A 31280-2025")</f>
        <v/>
      </c>
      <c r="V314">
        <f>HYPERLINK("https://klasma.github.io/Logging_2518/klagomål/A 31280-2025 FSC-klagomål.docx", "A 31280-2025")</f>
        <v/>
      </c>
      <c r="W314">
        <f>HYPERLINK("https://klasma.github.io/Logging_2518/klagomålsmail/A 31280-2025 FSC-klagomål mail.docx", "A 31280-2025")</f>
        <v/>
      </c>
      <c r="X314">
        <f>HYPERLINK("https://klasma.github.io/Logging_2518/tillsyn/A 31280-2025 tillsynsbegäran.docx", "A 31280-2025")</f>
        <v/>
      </c>
      <c r="Y314">
        <f>HYPERLINK("https://klasma.github.io/Logging_2518/tillsynsmail/A 31280-2025 tillsynsbegäran mail.docx", "A 31280-2025")</f>
        <v/>
      </c>
    </row>
    <row r="315" ht="15" customHeight="1">
      <c r="A315" t="inlineStr">
        <is>
          <t>A 50156-2024</t>
        </is>
      </c>
      <c r="B315" s="1" t="n">
        <v>45600.46027777778</v>
      </c>
      <c r="C315" s="1" t="n">
        <v>46046</v>
      </c>
      <c r="D315" t="inlineStr">
        <is>
          <t>NORRBOTTENS LÄN</t>
        </is>
      </c>
      <c r="E315" t="inlineStr">
        <is>
          <t>ÄLVSBYN</t>
        </is>
      </c>
      <c r="F315" t="inlineStr">
        <is>
          <t>Sveaskog</t>
        </is>
      </c>
      <c r="G315" t="n">
        <v>9.9</v>
      </c>
      <c r="H315" t="n">
        <v>0</v>
      </c>
      <c r="I315" t="n">
        <v>1</v>
      </c>
      <c r="J315" t="n">
        <v>2</v>
      </c>
      <c r="K315" t="n">
        <v>0</v>
      </c>
      <c r="L315" t="n">
        <v>0</v>
      </c>
      <c r="M315" t="n">
        <v>0</v>
      </c>
      <c r="N315" t="n">
        <v>0</v>
      </c>
      <c r="O315" t="n">
        <v>2</v>
      </c>
      <c r="P315" t="n">
        <v>0</v>
      </c>
      <c r="Q315" t="n">
        <v>3</v>
      </c>
      <c r="R315" s="2" t="inlineStr">
        <is>
          <t>Kolflarnlav
Vaddporing
Dropptaggsvamp</t>
        </is>
      </c>
      <c r="S315">
        <f>HYPERLINK("https://klasma.github.io/Logging_2560/artfynd/A 50156-2024 artfynd.xlsx", "A 50156-2024")</f>
        <v/>
      </c>
      <c r="T315">
        <f>HYPERLINK("https://klasma.github.io/Logging_2560/kartor/A 50156-2024 karta.png", "A 50156-2024")</f>
        <v/>
      </c>
      <c r="V315">
        <f>HYPERLINK("https://klasma.github.io/Logging_2560/klagomål/A 50156-2024 FSC-klagomål.docx", "A 50156-2024")</f>
        <v/>
      </c>
      <c r="W315">
        <f>HYPERLINK("https://klasma.github.io/Logging_2560/klagomålsmail/A 50156-2024 FSC-klagomål mail.docx", "A 50156-2024")</f>
        <v/>
      </c>
      <c r="X315">
        <f>HYPERLINK("https://klasma.github.io/Logging_2560/tillsyn/A 50156-2024 tillsynsbegäran.docx", "A 50156-2024")</f>
        <v/>
      </c>
      <c r="Y315">
        <f>HYPERLINK("https://klasma.github.io/Logging_2560/tillsynsmail/A 50156-2024 tillsynsbegäran mail.docx", "A 50156-2024")</f>
        <v/>
      </c>
    </row>
    <row r="316" ht="15" customHeight="1">
      <c r="A316" t="inlineStr">
        <is>
          <t>A 33229-2025</t>
        </is>
      </c>
      <c r="B316" s="1" t="n">
        <v>45840</v>
      </c>
      <c r="C316" s="1" t="n">
        <v>46046</v>
      </c>
      <c r="D316" t="inlineStr">
        <is>
          <t>NORRBOTTENS LÄN</t>
        </is>
      </c>
      <c r="E316" t="inlineStr">
        <is>
          <t>PAJALA</t>
        </is>
      </c>
      <c r="F316" t="inlineStr">
        <is>
          <t>Allmännings- och besparingsskogar</t>
        </is>
      </c>
      <c r="G316" t="n">
        <v>17.2</v>
      </c>
      <c r="H316" t="n">
        <v>1</v>
      </c>
      <c r="I316" t="n">
        <v>0</v>
      </c>
      <c r="J316" t="n">
        <v>3</v>
      </c>
      <c r="K316" t="n">
        <v>0</v>
      </c>
      <c r="L316" t="n">
        <v>0</v>
      </c>
      <c r="M316" t="n">
        <v>0</v>
      </c>
      <c r="N316" t="n">
        <v>0</v>
      </c>
      <c r="O316" t="n">
        <v>3</v>
      </c>
      <c r="P316" t="n">
        <v>0</v>
      </c>
      <c r="Q316" t="n">
        <v>3</v>
      </c>
      <c r="R316" s="2" t="inlineStr">
        <is>
          <t>Garnlav
Granticka
Tretåig hackspett</t>
        </is>
      </c>
      <c r="S316">
        <f>HYPERLINK("https://klasma.github.io/Logging_2521/artfynd/A 33229-2025 artfynd.xlsx", "A 33229-2025")</f>
        <v/>
      </c>
      <c r="T316">
        <f>HYPERLINK("https://klasma.github.io/Logging_2521/kartor/A 33229-2025 karta.png", "A 33229-2025")</f>
        <v/>
      </c>
      <c r="V316">
        <f>HYPERLINK("https://klasma.github.io/Logging_2521/klagomål/A 33229-2025 FSC-klagomål.docx", "A 33229-2025")</f>
        <v/>
      </c>
      <c r="W316">
        <f>HYPERLINK("https://klasma.github.io/Logging_2521/klagomålsmail/A 33229-2025 FSC-klagomål mail.docx", "A 33229-2025")</f>
        <v/>
      </c>
      <c r="X316">
        <f>HYPERLINK("https://klasma.github.io/Logging_2521/tillsyn/A 33229-2025 tillsynsbegäran.docx", "A 33229-2025")</f>
        <v/>
      </c>
      <c r="Y316">
        <f>HYPERLINK("https://klasma.github.io/Logging_2521/tillsynsmail/A 33229-2025 tillsynsbegäran mail.docx", "A 33229-2025")</f>
        <v/>
      </c>
      <c r="Z316">
        <f>HYPERLINK("https://klasma.github.io/Logging_2521/fåglar/A 33229-2025 prioriterade fågelarter.docx", "A 33229-2025")</f>
        <v/>
      </c>
    </row>
    <row r="317" ht="15" customHeight="1">
      <c r="A317" t="inlineStr">
        <is>
          <t>A 34304-2025</t>
        </is>
      </c>
      <c r="B317" s="1" t="n">
        <v>45846.35324074074</v>
      </c>
      <c r="C317" s="1" t="n">
        <v>46046</v>
      </c>
      <c r="D317" t="inlineStr">
        <is>
          <t>NORRBOTTENS LÄN</t>
        </is>
      </c>
      <c r="E317" t="inlineStr">
        <is>
          <t>ÄLVSBYN</t>
        </is>
      </c>
      <c r="F317" t="inlineStr">
        <is>
          <t>Sveaskog</t>
        </is>
      </c>
      <c r="G317" t="n">
        <v>35.7</v>
      </c>
      <c r="H317" t="n">
        <v>2</v>
      </c>
      <c r="I317" t="n">
        <v>0</v>
      </c>
      <c r="J317" t="n">
        <v>1</v>
      </c>
      <c r="K317" t="n">
        <v>0</v>
      </c>
      <c r="L317" t="n">
        <v>0</v>
      </c>
      <c r="M317" t="n">
        <v>0</v>
      </c>
      <c r="N317" t="n">
        <v>0</v>
      </c>
      <c r="O317" t="n">
        <v>1</v>
      </c>
      <c r="P317" t="n">
        <v>0</v>
      </c>
      <c r="Q317" t="n">
        <v>3</v>
      </c>
      <c r="R317" s="2" t="inlineStr">
        <is>
          <t>Orange taggsvamp
Fläcknycklar
Revlummer</t>
        </is>
      </c>
      <c r="S317">
        <f>HYPERLINK("https://klasma.github.io/Logging_2560/artfynd/A 34304-2025 artfynd.xlsx", "A 34304-2025")</f>
        <v/>
      </c>
      <c r="T317">
        <f>HYPERLINK("https://klasma.github.io/Logging_2560/kartor/A 34304-2025 karta.png", "A 34304-2025")</f>
        <v/>
      </c>
      <c r="V317">
        <f>HYPERLINK("https://klasma.github.io/Logging_2560/klagomål/A 34304-2025 FSC-klagomål.docx", "A 34304-2025")</f>
        <v/>
      </c>
      <c r="W317">
        <f>HYPERLINK("https://klasma.github.io/Logging_2560/klagomålsmail/A 34304-2025 FSC-klagomål mail.docx", "A 34304-2025")</f>
        <v/>
      </c>
      <c r="X317">
        <f>HYPERLINK("https://klasma.github.io/Logging_2560/tillsyn/A 34304-2025 tillsynsbegäran.docx", "A 34304-2025")</f>
        <v/>
      </c>
      <c r="Y317">
        <f>HYPERLINK("https://klasma.github.io/Logging_2560/tillsynsmail/A 34304-2025 tillsynsbegäran mail.docx", "A 34304-2025")</f>
        <v/>
      </c>
    </row>
    <row r="318" ht="15" customHeight="1">
      <c r="A318" t="inlineStr">
        <is>
          <t>A 26143-2024</t>
        </is>
      </c>
      <c r="B318" s="1" t="n">
        <v>45467</v>
      </c>
      <c r="C318" s="1" t="n">
        <v>46046</v>
      </c>
      <c r="D318" t="inlineStr">
        <is>
          <t>NORRBOTTENS LÄN</t>
        </is>
      </c>
      <c r="E318" t="inlineStr">
        <is>
          <t>ARJEPLOG</t>
        </is>
      </c>
      <c r="G318" t="n">
        <v>8.1</v>
      </c>
      <c r="H318" t="n">
        <v>0</v>
      </c>
      <c r="I318" t="n">
        <v>1</v>
      </c>
      <c r="J318" t="n">
        <v>2</v>
      </c>
      <c r="K318" t="n">
        <v>0</v>
      </c>
      <c r="L318" t="n">
        <v>0</v>
      </c>
      <c r="M318" t="n">
        <v>0</v>
      </c>
      <c r="N318" t="n">
        <v>0</v>
      </c>
      <c r="O318" t="n">
        <v>2</v>
      </c>
      <c r="P318" t="n">
        <v>0</v>
      </c>
      <c r="Q318" t="n">
        <v>3</v>
      </c>
      <c r="R318" s="2" t="inlineStr">
        <is>
          <t>Blanksvart spiklav
Knottrig blåslav
Vedticka</t>
        </is>
      </c>
      <c r="S318">
        <f>HYPERLINK("https://klasma.github.io/Logging_2506/artfynd/A 26143-2024 artfynd.xlsx", "A 26143-2024")</f>
        <v/>
      </c>
      <c r="T318">
        <f>HYPERLINK("https://klasma.github.io/Logging_2506/kartor/A 26143-2024 karta.png", "A 26143-2024")</f>
        <v/>
      </c>
      <c r="V318">
        <f>HYPERLINK("https://klasma.github.io/Logging_2506/klagomål/A 26143-2024 FSC-klagomål.docx", "A 26143-2024")</f>
        <v/>
      </c>
      <c r="W318">
        <f>HYPERLINK("https://klasma.github.io/Logging_2506/klagomålsmail/A 26143-2024 FSC-klagomål mail.docx", "A 26143-2024")</f>
        <v/>
      </c>
      <c r="X318">
        <f>HYPERLINK("https://klasma.github.io/Logging_2506/tillsyn/A 26143-2024 tillsynsbegäran.docx", "A 26143-2024")</f>
        <v/>
      </c>
      <c r="Y318">
        <f>HYPERLINK("https://klasma.github.io/Logging_2506/tillsynsmail/A 26143-2024 tillsynsbegäran mail.docx", "A 26143-2024")</f>
        <v/>
      </c>
    </row>
    <row r="319" ht="15" customHeight="1">
      <c r="A319" t="inlineStr">
        <is>
          <t>A 45031-2023</t>
        </is>
      </c>
      <c r="B319" s="1" t="n">
        <v>45190</v>
      </c>
      <c r="C319" s="1" t="n">
        <v>46046</v>
      </c>
      <c r="D319" t="inlineStr">
        <is>
          <t>NORRBOTTENS LÄN</t>
        </is>
      </c>
      <c r="E319" t="inlineStr">
        <is>
          <t>ARJEPLOG</t>
        </is>
      </c>
      <c r="F319" t="inlineStr">
        <is>
          <t>Övriga statliga verk och myndigheter</t>
        </is>
      </c>
      <c r="G319" t="n">
        <v>10.3</v>
      </c>
      <c r="H319" t="n">
        <v>0</v>
      </c>
      <c r="I319" t="n">
        <v>0</v>
      </c>
      <c r="J319" t="n">
        <v>3</v>
      </c>
      <c r="K319" t="n">
        <v>0</v>
      </c>
      <c r="L319" t="n">
        <v>0</v>
      </c>
      <c r="M319" t="n">
        <v>0</v>
      </c>
      <c r="N319" t="n">
        <v>0</v>
      </c>
      <c r="O319" t="n">
        <v>3</v>
      </c>
      <c r="P319" t="n">
        <v>0</v>
      </c>
      <c r="Q319" t="n">
        <v>3</v>
      </c>
      <c r="R319" s="2" t="inlineStr">
        <is>
          <t>Gammelgransskål
Garnlav
Granticka</t>
        </is>
      </c>
      <c r="S319">
        <f>HYPERLINK("https://klasma.github.io/Logging_2506/artfynd/A 45031-2023 artfynd.xlsx", "A 45031-2023")</f>
        <v/>
      </c>
      <c r="T319">
        <f>HYPERLINK("https://klasma.github.io/Logging_2506/kartor/A 45031-2023 karta.png", "A 45031-2023")</f>
        <v/>
      </c>
      <c r="V319">
        <f>HYPERLINK("https://klasma.github.io/Logging_2506/klagomål/A 45031-2023 FSC-klagomål.docx", "A 45031-2023")</f>
        <v/>
      </c>
      <c r="W319">
        <f>HYPERLINK("https://klasma.github.io/Logging_2506/klagomålsmail/A 45031-2023 FSC-klagomål mail.docx", "A 45031-2023")</f>
        <v/>
      </c>
      <c r="X319">
        <f>HYPERLINK("https://klasma.github.io/Logging_2506/tillsyn/A 45031-2023 tillsynsbegäran.docx", "A 45031-2023")</f>
        <v/>
      </c>
      <c r="Y319">
        <f>HYPERLINK("https://klasma.github.io/Logging_2506/tillsynsmail/A 45031-2023 tillsynsbegäran mail.docx", "A 45031-2023")</f>
        <v/>
      </c>
    </row>
    <row r="320" ht="15" customHeight="1">
      <c r="A320" t="inlineStr">
        <is>
          <t>A 6435-2025</t>
        </is>
      </c>
      <c r="B320" s="1" t="n">
        <v>45699</v>
      </c>
      <c r="C320" s="1" t="n">
        <v>46046</v>
      </c>
      <c r="D320" t="inlineStr">
        <is>
          <t>NORRBOTTENS LÄN</t>
        </is>
      </c>
      <c r="E320" t="inlineStr">
        <is>
          <t>JOKKMOKK</t>
        </is>
      </c>
      <c r="G320" t="n">
        <v>2</v>
      </c>
      <c r="H320" t="n">
        <v>3</v>
      </c>
      <c r="I320" t="n">
        <v>0</v>
      </c>
      <c r="J320" t="n">
        <v>3</v>
      </c>
      <c r="K320" t="n">
        <v>0</v>
      </c>
      <c r="L320" t="n">
        <v>0</v>
      </c>
      <c r="M320" t="n">
        <v>0</v>
      </c>
      <c r="N320" t="n">
        <v>0</v>
      </c>
      <c r="O320" t="n">
        <v>3</v>
      </c>
      <c r="P320" t="n">
        <v>0</v>
      </c>
      <c r="Q320" t="n">
        <v>3</v>
      </c>
      <c r="R320" s="2" t="inlineStr">
        <is>
          <t>Buskskvätta
Talltita
Ärtsångare</t>
        </is>
      </c>
      <c r="S320">
        <f>HYPERLINK("https://klasma.github.io/Logging_2510/artfynd/A 6435-2025 artfynd.xlsx", "A 6435-2025")</f>
        <v/>
      </c>
      <c r="T320">
        <f>HYPERLINK("https://klasma.github.io/Logging_2510/kartor/A 6435-2025 karta.png", "A 6435-2025")</f>
        <v/>
      </c>
      <c r="V320">
        <f>HYPERLINK("https://klasma.github.io/Logging_2510/klagomål/A 6435-2025 FSC-klagomål.docx", "A 6435-2025")</f>
        <v/>
      </c>
      <c r="W320">
        <f>HYPERLINK("https://klasma.github.io/Logging_2510/klagomålsmail/A 6435-2025 FSC-klagomål mail.docx", "A 6435-2025")</f>
        <v/>
      </c>
      <c r="X320">
        <f>HYPERLINK("https://klasma.github.io/Logging_2510/tillsyn/A 6435-2025 tillsynsbegäran.docx", "A 6435-2025")</f>
        <v/>
      </c>
      <c r="Y320">
        <f>HYPERLINK("https://klasma.github.io/Logging_2510/tillsynsmail/A 6435-2025 tillsynsbegäran mail.docx", "A 6435-2025")</f>
        <v/>
      </c>
      <c r="Z320">
        <f>HYPERLINK("https://klasma.github.io/Logging_2510/fåglar/A 6435-2025 prioriterade fågelarter.docx", "A 6435-2025")</f>
        <v/>
      </c>
    </row>
    <row r="321" ht="15" customHeight="1">
      <c r="A321" t="inlineStr">
        <is>
          <t>A 727-2025</t>
        </is>
      </c>
      <c r="B321" s="1" t="n">
        <v>45664</v>
      </c>
      <c r="C321" s="1" t="n">
        <v>46046</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35595-2025</t>
        </is>
      </c>
      <c r="B322" s="1" t="n">
        <v>45858.32641203704</v>
      </c>
      <c r="C322" s="1" t="n">
        <v>46046</v>
      </c>
      <c r="D322" t="inlineStr">
        <is>
          <t>NORRBOTTENS LÄN</t>
        </is>
      </c>
      <c r="E322" t="inlineStr">
        <is>
          <t>LULEÅ</t>
        </is>
      </c>
      <c r="G322" t="n">
        <v>13.1</v>
      </c>
      <c r="H322" t="n">
        <v>0</v>
      </c>
      <c r="I322" t="n">
        <v>2</v>
      </c>
      <c r="J322" t="n">
        <v>1</v>
      </c>
      <c r="K322" t="n">
        <v>0</v>
      </c>
      <c r="L322" t="n">
        <v>0</v>
      </c>
      <c r="M322" t="n">
        <v>0</v>
      </c>
      <c r="N322" t="n">
        <v>0</v>
      </c>
      <c r="O322" t="n">
        <v>1</v>
      </c>
      <c r="P322" t="n">
        <v>0</v>
      </c>
      <c r="Q322" t="n">
        <v>3</v>
      </c>
      <c r="R322" s="2" t="inlineStr">
        <is>
          <t>Gammelgransskål
Skinnlav
Vedticka</t>
        </is>
      </c>
      <c r="S322">
        <f>HYPERLINK("https://klasma.github.io/Logging_2580/artfynd/A 35595-2025 artfynd.xlsx", "A 35595-2025")</f>
        <v/>
      </c>
      <c r="T322">
        <f>HYPERLINK("https://klasma.github.io/Logging_2580/kartor/A 35595-2025 karta.png", "A 35595-2025")</f>
        <v/>
      </c>
      <c r="V322">
        <f>HYPERLINK("https://klasma.github.io/Logging_2580/klagomål/A 35595-2025 FSC-klagomål.docx", "A 35595-2025")</f>
        <v/>
      </c>
      <c r="W322">
        <f>HYPERLINK("https://klasma.github.io/Logging_2580/klagomålsmail/A 35595-2025 FSC-klagomål mail.docx", "A 35595-2025")</f>
        <v/>
      </c>
      <c r="X322">
        <f>HYPERLINK("https://klasma.github.io/Logging_2580/tillsyn/A 35595-2025 tillsynsbegäran.docx", "A 35595-2025")</f>
        <v/>
      </c>
      <c r="Y322">
        <f>HYPERLINK("https://klasma.github.io/Logging_2580/tillsynsmail/A 35595-2025 tillsynsbegäran mail.docx", "A 35595-2025")</f>
        <v/>
      </c>
    </row>
    <row r="323" ht="15" customHeight="1">
      <c r="A323" t="inlineStr">
        <is>
          <t>A 31758-2025</t>
        </is>
      </c>
      <c r="B323" s="1" t="n">
        <v>45834</v>
      </c>
      <c r="C323" s="1" t="n">
        <v>46046</v>
      </c>
      <c r="D323" t="inlineStr">
        <is>
          <t>NORRBOTTENS LÄN</t>
        </is>
      </c>
      <c r="E323" t="inlineStr">
        <is>
          <t>BODEN</t>
        </is>
      </c>
      <c r="G323" t="n">
        <v>19.9</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HYPERLINK("https://klasma.github.io/Logging_2582/artfynd/A 31758-2025 artfynd.xlsx", "A 31758-2025")</f>
        <v/>
      </c>
      <c r="T323">
        <f>HYPERLINK("https://klasma.github.io/Logging_2582/kartor/A 31758-2025 karta.png", "A 31758-2025")</f>
        <v/>
      </c>
      <c r="V323">
        <f>HYPERLINK("https://klasma.github.io/Logging_2582/klagomål/A 31758-2025 FSC-klagomål.docx", "A 31758-2025")</f>
        <v/>
      </c>
      <c r="W323">
        <f>HYPERLINK("https://klasma.github.io/Logging_2582/klagomålsmail/A 31758-2025 FSC-klagomål mail.docx", "A 31758-2025")</f>
        <v/>
      </c>
      <c r="X323">
        <f>HYPERLINK("https://klasma.github.io/Logging_2582/tillsyn/A 31758-2025 tillsynsbegäran.docx", "A 31758-2025")</f>
        <v/>
      </c>
      <c r="Y323">
        <f>HYPERLINK("https://klasma.github.io/Logging_2582/tillsynsmail/A 31758-2025 tillsynsbegäran mail.docx", "A 31758-2025")</f>
        <v/>
      </c>
      <c r="Z323">
        <f>HYPERLINK("https://klasma.github.io/Logging_2582/fåglar/A 31758-2025 prioriterade fågelarter.docx", "A 31758-2025")</f>
        <v/>
      </c>
    </row>
    <row r="324" ht="15" customHeight="1">
      <c r="A324" t="inlineStr">
        <is>
          <t>A 39511-2025</t>
        </is>
      </c>
      <c r="B324" s="1" t="n">
        <v>45890.40740740741</v>
      </c>
      <c r="C324" s="1" t="n">
        <v>46046</v>
      </c>
      <c r="D324" t="inlineStr">
        <is>
          <t>NORRBOTTENS LÄN</t>
        </is>
      </c>
      <c r="E324" t="inlineStr">
        <is>
          <t>PITEÅ</t>
        </is>
      </c>
      <c r="G324" t="n">
        <v>5.4</v>
      </c>
      <c r="H324" t="n">
        <v>0</v>
      </c>
      <c r="I324" t="n">
        <v>0</v>
      </c>
      <c r="J324" t="n">
        <v>3</v>
      </c>
      <c r="K324" t="n">
        <v>0</v>
      </c>
      <c r="L324" t="n">
        <v>0</v>
      </c>
      <c r="M324" t="n">
        <v>0</v>
      </c>
      <c r="N324" t="n">
        <v>0</v>
      </c>
      <c r="O324" t="n">
        <v>3</v>
      </c>
      <c r="P324" t="n">
        <v>0</v>
      </c>
      <c r="Q324" t="n">
        <v>3</v>
      </c>
      <c r="R324" s="2" t="inlineStr">
        <is>
          <t>Blanksvart spiklav
Vedflamlav
Vedskivlav</t>
        </is>
      </c>
      <c r="S324">
        <f>HYPERLINK("https://klasma.github.io/Logging_2581/artfynd/A 39511-2025 artfynd.xlsx", "A 39511-2025")</f>
        <v/>
      </c>
      <c r="T324">
        <f>HYPERLINK("https://klasma.github.io/Logging_2581/kartor/A 39511-2025 karta.png", "A 39511-2025")</f>
        <v/>
      </c>
      <c r="V324">
        <f>HYPERLINK("https://klasma.github.io/Logging_2581/klagomål/A 39511-2025 FSC-klagomål.docx", "A 39511-2025")</f>
        <v/>
      </c>
      <c r="W324">
        <f>HYPERLINK("https://klasma.github.io/Logging_2581/klagomålsmail/A 39511-2025 FSC-klagomål mail.docx", "A 39511-2025")</f>
        <v/>
      </c>
      <c r="X324">
        <f>HYPERLINK("https://klasma.github.io/Logging_2581/tillsyn/A 39511-2025 tillsynsbegäran.docx", "A 39511-2025")</f>
        <v/>
      </c>
      <c r="Y324">
        <f>HYPERLINK("https://klasma.github.io/Logging_2581/tillsynsmail/A 39511-2025 tillsynsbegäran mail.docx", "A 39511-2025")</f>
        <v/>
      </c>
    </row>
    <row r="325" ht="15" customHeight="1">
      <c r="A325" t="inlineStr">
        <is>
          <t>A 32913-2023</t>
        </is>
      </c>
      <c r="B325" s="1" t="n">
        <v>45124</v>
      </c>
      <c r="C325" s="1" t="n">
        <v>46046</v>
      </c>
      <c r="D325" t="inlineStr">
        <is>
          <t>NORRBOTTENS LÄN</t>
        </is>
      </c>
      <c r="E325" t="inlineStr">
        <is>
          <t>JOKKMOKK</t>
        </is>
      </c>
      <c r="F325" t="inlineStr">
        <is>
          <t>SCA</t>
        </is>
      </c>
      <c r="G325" t="n">
        <v>3.2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HYPERLINK("https://klasma.github.io/Logging_2510/artfynd/A 32913-2023 artfynd.xlsx", "A 32913-2023")</f>
        <v/>
      </c>
      <c r="T325">
        <f>HYPERLINK("https://klasma.github.io/Logging_2510/kartor/A 32913-2023 karta.png", "A 32913-2023")</f>
        <v/>
      </c>
      <c r="V325">
        <f>HYPERLINK("https://klasma.github.io/Logging_2510/klagomål/A 32913-2023 FSC-klagomål.docx", "A 32913-2023")</f>
        <v/>
      </c>
      <c r="W325">
        <f>HYPERLINK("https://klasma.github.io/Logging_2510/klagomålsmail/A 32913-2023 FSC-klagomål mail.docx", "A 32913-2023")</f>
        <v/>
      </c>
      <c r="X325">
        <f>HYPERLINK("https://klasma.github.io/Logging_2510/tillsyn/A 32913-2023 tillsynsbegäran.docx", "A 32913-2023")</f>
        <v/>
      </c>
      <c r="Y325">
        <f>HYPERLINK("https://klasma.github.io/Logging_2510/tillsynsmail/A 32913-2023 tillsynsbegäran mail.docx", "A 32913-2023")</f>
        <v/>
      </c>
    </row>
    <row r="326" ht="15" customHeight="1">
      <c r="A326" t="inlineStr">
        <is>
          <t>A 39961-2025</t>
        </is>
      </c>
      <c r="B326" s="1" t="n">
        <v>45892.49017361111</v>
      </c>
      <c r="C326" s="1" t="n">
        <v>46046</v>
      </c>
      <c r="D326" t="inlineStr">
        <is>
          <t>NORRBOTTENS LÄN</t>
        </is>
      </c>
      <c r="E326" t="inlineStr">
        <is>
          <t>GÄLLIVARE</t>
        </is>
      </c>
      <c r="F326" t="inlineStr">
        <is>
          <t>SCA</t>
        </is>
      </c>
      <c r="G326" t="n">
        <v>3.1</v>
      </c>
      <c r="H326" t="n">
        <v>2</v>
      </c>
      <c r="I326" t="n">
        <v>0</v>
      </c>
      <c r="J326" t="n">
        <v>2</v>
      </c>
      <c r="K326" t="n">
        <v>0</v>
      </c>
      <c r="L326" t="n">
        <v>0</v>
      </c>
      <c r="M326" t="n">
        <v>0</v>
      </c>
      <c r="N326" t="n">
        <v>0</v>
      </c>
      <c r="O326" t="n">
        <v>2</v>
      </c>
      <c r="P326" t="n">
        <v>0</v>
      </c>
      <c r="Q326" t="n">
        <v>3</v>
      </c>
      <c r="R326" s="2" t="inlineStr">
        <is>
          <t>Knottrig blåslav
Spillkråka
Kungsfågel</t>
        </is>
      </c>
      <c r="S326">
        <f>HYPERLINK("https://klasma.github.io/Logging_2523/artfynd/A 39961-2025 artfynd.xlsx", "A 39961-2025")</f>
        <v/>
      </c>
      <c r="T326">
        <f>HYPERLINK("https://klasma.github.io/Logging_2523/kartor/A 39961-2025 karta.png", "A 39961-2025")</f>
        <v/>
      </c>
      <c r="V326">
        <f>HYPERLINK("https://klasma.github.io/Logging_2523/klagomål/A 39961-2025 FSC-klagomål.docx", "A 39961-2025")</f>
        <v/>
      </c>
      <c r="W326">
        <f>HYPERLINK("https://klasma.github.io/Logging_2523/klagomålsmail/A 39961-2025 FSC-klagomål mail.docx", "A 39961-2025")</f>
        <v/>
      </c>
      <c r="X326">
        <f>HYPERLINK("https://klasma.github.io/Logging_2523/tillsyn/A 39961-2025 tillsynsbegäran.docx", "A 39961-2025")</f>
        <v/>
      </c>
      <c r="Y326">
        <f>HYPERLINK("https://klasma.github.io/Logging_2523/tillsynsmail/A 39961-2025 tillsynsbegäran mail.docx", "A 39961-2025")</f>
        <v/>
      </c>
      <c r="Z326">
        <f>HYPERLINK("https://klasma.github.io/Logging_2523/fåglar/A 39961-2025 prioriterade fågelarter.docx", "A 39961-2025")</f>
        <v/>
      </c>
    </row>
    <row r="327" ht="15" customHeight="1">
      <c r="A327" t="inlineStr">
        <is>
          <t>A 47126-2023</t>
        </is>
      </c>
      <c r="B327" s="1" t="n">
        <v>45196</v>
      </c>
      <c r="C327" s="1" t="n">
        <v>46046</v>
      </c>
      <c r="D327" t="inlineStr">
        <is>
          <t>NORRBOTTENS LÄN</t>
        </is>
      </c>
      <c r="E327" t="inlineStr">
        <is>
          <t>PAJALA</t>
        </is>
      </c>
      <c r="G327" t="n">
        <v>6.8</v>
      </c>
      <c r="H327" t="n">
        <v>2</v>
      </c>
      <c r="I327" t="n">
        <v>0</v>
      </c>
      <c r="J327" t="n">
        <v>2</v>
      </c>
      <c r="K327" t="n">
        <v>0</v>
      </c>
      <c r="L327" t="n">
        <v>0</v>
      </c>
      <c r="M327" t="n">
        <v>0</v>
      </c>
      <c r="N327" t="n">
        <v>0</v>
      </c>
      <c r="O327" t="n">
        <v>2</v>
      </c>
      <c r="P327" t="n">
        <v>0</v>
      </c>
      <c r="Q327" t="n">
        <v>3</v>
      </c>
      <c r="R327" s="2" t="inlineStr">
        <is>
          <t>Garnlav
Spillkråka
Revlummer</t>
        </is>
      </c>
      <c r="S327">
        <f>HYPERLINK("https://klasma.github.io/Logging_2521/artfynd/A 47126-2023 artfynd.xlsx", "A 47126-2023")</f>
        <v/>
      </c>
      <c r="T327">
        <f>HYPERLINK("https://klasma.github.io/Logging_2521/kartor/A 47126-2023 karta.png", "A 47126-2023")</f>
        <v/>
      </c>
      <c r="V327">
        <f>HYPERLINK("https://klasma.github.io/Logging_2521/klagomål/A 47126-2023 FSC-klagomål.docx", "A 47126-2023")</f>
        <v/>
      </c>
      <c r="W327">
        <f>HYPERLINK("https://klasma.github.io/Logging_2521/klagomålsmail/A 47126-2023 FSC-klagomål mail.docx", "A 47126-2023")</f>
        <v/>
      </c>
      <c r="X327">
        <f>HYPERLINK("https://klasma.github.io/Logging_2521/tillsyn/A 47126-2023 tillsynsbegäran.docx", "A 47126-2023")</f>
        <v/>
      </c>
      <c r="Y327">
        <f>HYPERLINK("https://klasma.github.io/Logging_2521/tillsynsmail/A 47126-2023 tillsynsbegäran mail.docx", "A 47126-2023")</f>
        <v/>
      </c>
      <c r="Z327">
        <f>HYPERLINK("https://klasma.github.io/Logging_2521/fåglar/A 47126-2023 prioriterade fågelarter.docx", "A 47126-2023")</f>
        <v/>
      </c>
    </row>
    <row r="328" ht="15" customHeight="1">
      <c r="A328" t="inlineStr">
        <is>
          <t>A 10525-2024</t>
        </is>
      </c>
      <c r="B328" s="1" t="n">
        <v>45366</v>
      </c>
      <c r="C328" s="1" t="n">
        <v>46046</v>
      </c>
      <c r="D328" t="inlineStr">
        <is>
          <t>NORRBOTTENS LÄN</t>
        </is>
      </c>
      <c r="E328" t="inlineStr">
        <is>
          <t>ARJEPLOG</t>
        </is>
      </c>
      <c r="G328" t="n">
        <v>15.5</v>
      </c>
      <c r="H328" t="n">
        <v>2</v>
      </c>
      <c r="I328" t="n">
        <v>3</v>
      </c>
      <c r="J328" t="n">
        <v>0</v>
      </c>
      <c r="K328" t="n">
        <v>0</v>
      </c>
      <c r="L328" t="n">
        <v>0</v>
      </c>
      <c r="M328" t="n">
        <v>0</v>
      </c>
      <c r="N328" t="n">
        <v>0</v>
      </c>
      <c r="O328" t="n">
        <v>0</v>
      </c>
      <c r="P328" t="n">
        <v>0</v>
      </c>
      <c r="Q328" t="n">
        <v>3</v>
      </c>
      <c r="R328" s="2" t="inlineStr">
        <is>
          <t>Korallrot
Spindelblomster
Ögonpyrola</t>
        </is>
      </c>
      <c r="S328">
        <f>HYPERLINK("https://klasma.github.io/Logging_2506/artfynd/A 10525-2024 artfynd.xlsx", "A 10525-2024")</f>
        <v/>
      </c>
      <c r="T328">
        <f>HYPERLINK("https://klasma.github.io/Logging_2506/kartor/A 10525-2024 karta.png", "A 10525-2024")</f>
        <v/>
      </c>
      <c r="V328">
        <f>HYPERLINK("https://klasma.github.io/Logging_2506/klagomål/A 10525-2024 FSC-klagomål.docx", "A 10525-2024")</f>
        <v/>
      </c>
      <c r="W328">
        <f>HYPERLINK("https://klasma.github.io/Logging_2506/klagomålsmail/A 10525-2024 FSC-klagomål mail.docx", "A 10525-2024")</f>
        <v/>
      </c>
      <c r="X328">
        <f>HYPERLINK("https://klasma.github.io/Logging_2506/tillsyn/A 10525-2024 tillsynsbegäran.docx", "A 10525-2024")</f>
        <v/>
      </c>
      <c r="Y328">
        <f>HYPERLINK("https://klasma.github.io/Logging_2506/tillsynsmail/A 10525-2024 tillsynsbegäran mail.docx", "A 10525-2024")</f>
        <v/>
      </c>
    </row>
    <row r="329" ht="15" customHeight="1">
      <c r="A329" t="inlineStr">
        <is>
          <t>A 64289-2021</t>
        </is>
      </c>
      <c r="B329" s="1" t="n">
        <v>44510</v>
      </c>
      <c r="C329" s="1" t="n">
        <v>46046</v>
      </c>
      <c r="D329" t="inlineStr">
        <is>
          <t>NORRBOTTENS LÄN</t>
        </is>
      </c>
      <c r="E329" t="inlineStr">
        <is>
          <t>KALIX</t>
        </is>
      </c>
      <c r="F329" t="inlineStr">
        <is>
          <t>Sveaskog</t>
        </is>
      </c>
      <c r="G329" t="n">
        <v>18.9</v>
      </c>
      <c r="H329" t="n">
        <v>3</v>
      </c>
      <c r="I329" t="n">
        <v>0</v>
      </c>
      <c r="J329" t="n">
        <v>2</v>
      </c>
      <c r="K329" t="n">
        <v>0</v>
      </c>
      <c r="L329" t="n">
        <v>1</v>
      </c>
      <c r="M329" t="n">
        <v>0</v>
      </c>
      <c r="N329" t="n">
        <v>0</v>
      </c>
      <c r="O329" t="n">
        <v>3</v>
      </c>
      <c r="P329" t="n">
        <v>1</v>
      </c>
      <c r="Q329" t="n">
        <v>3</v>
      </c>
      <c r="R329" s="2" t="inlineStr">
        <is>
          <t>Grönfink
Spillkråka
Talltita</t>
        </is>
      </c>
      <c r="S329">
        <f>HYPERLINK("https://klasma.github.io/Logging_2514/artfynd/A 64289-2021 artfynd.xlsx", "A 64289-2021")</f>
        <v/>
      </c>
      <c r="T329">
        <f>HYPERLINK("https://klasma.github.io/Logging_2514/kartor/A 64289-2021 karta.png", "A 64289-2021")</f>
        <v/>
      </c>
      <c r="V329">
        <f>HYPERLINK("https://klasma.github.io/Logging_2514/klagomål/A 64289-2021 FSC-klagomål.docx", "A 64289-2021")</f>
        <v/>
      </c>
      <c r="W329">
        <f>HYPERLINK("https://klasma.github.io/Logging_2514/klagomålsmail/A 64289-2021 FSC-klagomål mail.docx", "A 64289-2021")</f>
        <v/>
      </c>
      <c r="X329">
        <f>HYPERLINK("https://klasma.github.io/Logging_2514/tillsyn/A 64289-2021 tillsynsbegäran.docx", "A 64289-2021")</f>
        <v/>
      </c>
      <c r="Y329">
        <f>HYPERLINK("https://klasma.github.io/Logging_2514/tillsynsmail/A 64289-2021 tillsynsbegäran mail.docx", "A 64289-2021")</f>
        <v/>
      </c>
      <c r="Z329">
        <f>HYPERLINK("https://klasma.github.io/Logging_2514/fåglar/A 64289-2021 prioriterade fågelarter.docx", "A 64289-2021")</f>
        <v/>
      </c>
    </row>
    <row r="330" ht="15" customHeight="1">
      <c r="A330" t="inlineStr">
        <is>
          <t>A 43149-2025</t>
        </is>
      </c>
      <c r="B330" s="1" t="n">
        <v>45910.32309027778</v>
      </c>
      <c r="C330" s="1" t="n">
        <v>46046</v>
      </c>
      <c r="D330" t="inlineStr">
        <is>
          <t>NORRBOTTENS LÄN</t>
        </is>
      </c>
      <c r="E330" t="inlineStr">
        <is>
          <t>PITEÅ</t>
        </is>
      </c>
      <c r="F330" t="inlineStr">
        <is>
          <t>Sveaskog</t>
        </is>
      </c>
      <c r="G330" t="n">
        <v>10.8</v>
      </c>
      <c r="H330" t="n">
        <v>2</v>
      </c>
      <c r="I330" t="n">
        <v>0</v>
      </c>
      <c r="J330" t="n">
        <v>2</v>
      </c>
      <c r="K330" t="n">
        <v>0</v>
      </c>
      <c r="L330" t="n">
        <v>0</v>
      </c>
      <c r="M330" t="n">
        <v>0</v>
      </c>
      <c r="N330" t="n">
        <v>0</v>
      </c>
      <c r="O330" t="n">
        <v>2</v>
      </c>
      <c r="P330" t="n">
        <v>0</v>
      </c>
      <c r="Q330" t="n">
        <v>3</v>
      </c>
      <c r="R330" s="2" t="inlineStr">
        <is>
          <t>Gammelgransskål
Tretåig hackspett
Tjäder</t>
        </is>
      </c>
      <c r="S330">
        <f>HYPERLINK("https://klasma.github.io/Logging_2581/artfynd/A 43149-2025 artfynd.xlsx", "A 43149-2025")</f>
        <v/>
      </c>
      <c r="T330">
        <f>HYPERLINK("https://klasma.github.io/Logging_2581/kartor/A 43149-2025 karta.png", "A 43149-2025")</f>
        <v/>
      </c>
      <c r="V330">
        <f>HYPERLINK("https://klasma.github.io/Logging_2581/klagomål/A 43149-2025 FSC-klagomål.docx", "A 43149-2025")</f>
        <v/>
      </c>
      <c r="W330">
        <f>HYPERLINK("https://klasma.github.io/Logging_2581/klagomålsmail/A 43149-2025 FSC-klagomål mail.docx", "A 43149-2025")</f>
        <v/>
      </c>
      <c r="X330">
        <f>HYPERLINK("https://klasma.github.io/Logging_2581/tillsyn/A 43149-2025 tillsynsbegäran.docx", "A 43149-2025")</f>
        <v/>
      </c>
      <c r="Y330">
        <f>HYPERLINK("https://klasma.github.io/Logging_2581/tillsynsmail/A 43149-2025 tillsynsbegäran mail.docx", "A 43149-2025")</f>
        <v/>
      </c>
      <c r="Z330">
        <f>HYPERLINK("https://klasma.github.io/Logging_2581/fåglar/A 43149-2025 prioriterade fågelarter.docx", "A 43149-2025")</f>
        <v/>
      </c>
    </row>
    <row r="331" ht="15" customHeight="1">
      <c r="A331" t="inlineStr">
        <is>
          <t>A 44704-2025</t>
        </is>
      </c>
      <c r="B331" s="1" t="n">
        <v>45917.61134259259</v>
      </c>
      <c r="C331" s="1" t="n">
        <v>46046</v>
      </c>
      <c r="D331" t="inlineStr">
        <is>
          <t>NORRBOTTENS LÄN</t>
        </is>
      </c>
      <c r="E331" t="inlineStr">
        <is>
          <t>BODEN</t>
        </is>
      </c>
      <c r="F331" t="inlineStr">
        <is>
          <t>Sveaskog</t>
        </is>
      </c>
      <c r="G331" t="n">
        <v>11.3</v>
      </c>
      <c r="H331" t="n">
        <v>0</v>
      </c>
      <c r="I331" t="n">
        <v>1</v>
      </c>
      <c r="J331" t="n">
        <v>2</v>
      </c>
      <c r="K331" t="n">
        <v>0</v>
      </c>
      <c r="L331" t="n">
        <v>0</v>
      </c>
      <c r="M331" t="n">
        <v>0</v>
      </c>
      <c r="N331" t="n">
        <v>0</v>
      </c>
      <c r="O331" t="n">
        <v>2</v>
      </c>
      <c r="P331" t="n">
        <v>0</v>
      </c>
      <c r="Q331" t="n">
        <v>3</v>
      </c>
      <c r="R331" s="2" t="inlineStr">
        <is>
          <t>Lunglav
Tallticka
Stuplav</t>
        </is>
      </c>
      <c r="S331">
        <f>HYPERLINK("https://klasma.github.io/Logging_2582/artfynd/A 44704-2025 artfynd.xlsx", "A 44704-2025")</f>
        <v/>
      </c>
      <c r="T331">
        <f>HYPERLINK("https://klasma.github.io/Logging_2582/kartor/A 44704-2025 karta.png", "A 44704-2025")</f>
        <v/>
      </c>
      <c r="V331">
        <f>HYPERLINK("https://klasma.github.io/Logging_2582/klagomål/A 44704-2025 FSC-klagomål.docx", "A 44704-2025")</f>
        <v/>
      </c>
      <c r="W331">
        <f>HYPERLINK("https://klasma.github.io/Logging_2582/klagomålsmail/A 44704-2025 FSC-klagomål mail.docx", "A 44704-2025")</f>
        <v/>
      </c>
      <c r="X331">
        <f>HYPERLINK("https://klasma.github.io/Logging_2582/tillsyn/A 44704-2025 tillsynsbegäran.docx", "A 44704-2025")</f>
        <v/>
      </c>
      <c r="Y331">
        <f>HYPERLINK("https://klasma.github.io/Logging_2582/tillsynsmail/A 44704-2025 tillsynsbegäran mail.docx", "A 44704-2025")</f>
        <v/>
      </c>
    </row>
    <row r="332" ht="15" customHeight="1">
      <c r="A332" t="inlineStr">
        <is>
          <t>A 733-2025</t>
        </is>
      </c>
      <c r="B332" s="1" t="n">
        <v>45664</v>
      </c>
      <c r="C332" s="1" t="n">
        <v>46046</v>
      </c>
      <c r="D332" t="inlineStr">
        <is>
          <t>NORRBOTTENS LÄN</t>
        </is>
      </c>
      <c r="E332" t="inlineStr">
        <is>
          <t>LULEÅ</t>
        </is>
      </c>
      <c r="G332" t="n">
        <v>0.8</v>
      </c>
      <c r="H332" t="n">
        <v>1</v>
      </c>
      <c r="I332" t="n">
        <v>0</v>
      </c>
      <c r="J332" t="n">
        <v>2</v>
      </c>
      <c r="K332" t="n">
        <v>1</v>
      </c>
      <c r="L332" t="n">
        <v>0</v>
      </c>
      <c r="M332" t="n">
        <v>0</v>
      </c>
      <c r="N332" t="n">
        <v>0</v>
      </c>
      <c r="O332" t="n">
        <v>3</v>
      </c>
      <c r="P332" t="n">
        <v>1</v>
      </c>
      <c r="Q332" t="n">
        <v>3</v>
      </c>
      <c r="R332" s="2" t="inlineStr">
        <is>
          <t>Knärot
Garnlav
Gränsticka</t>
        </is>
      </c>
      <c r="S332">
        <f>HYPERLINK("https://klasma.github.io/Logging_2580/artfynd/A 733-2025 artfynd.xlsx", "A 733-2025")</f>
        <v/>
      </c>
      <c r="T332">
        <f>HYPERLINK("https://klasma.github.io/Logging_2580/kartor/A 733-2025 karta.png", "A 733-2025")</f>
        <v/>
      </c>
      <c r="U332">
        <f>HYPERLINK("https://klasma.github.io/Logging_2580/knärot/A 733-2025 karta knärot.png", "A 733-2025")</f>
        <v/>
      </c>
      <c r="V332">
        <f>HYPERLINK("https://klasma.github.io/Logging_2580/klagomål/A 733-2025 FSC-klagomål.docx", "A 733-2025")</f>
        <v/>
      </c>
      <c r="W332">
        <f>HYPERLINK("https://klasma.github.io/Logging_2580/klagomålsmail/A 733-2025 FSC-klagomål mail.docx", "A 733-2025")</f>
        <v/>
      </c>
      <c r="X332">
        <f>HYPERLINK("https://klasma.github.io/Logging_2580/tillsyn/A 733-2025 tillsynsbegäran.docx", "A 733-2025")</f>
        <v/>
      </c>
      <c r="Y332">
        <f>HYPERLINK("https://klasma.github.io/Logging_2580/tillsynsmail/A 733-2025 tillsynsbegäran mail.docx", "A 733-2025")</f>
        <v/>
      </c>
    </row>
    <row r="333" ht="15" customHeight="1">
      <c r="A333" t="inlineStr">
        <is>
          <t>A 45578-2025</t>
        </is>
      </c>
      <c r="B333" s="1" t="n">
        <v>45922</v>
      </c>
      <c r="C333" s="1" t="n">
        <v>46046</v>
      </c>
      <c r="D333" t="inlineStr">
        <is>
          <t>NORRBOTTENS LÄN</t>
        </is>
      </c>
      <c r="E333" t="inlineStr">
        <is>
          <t>ÖVERKALIX</t>
        </is>
      </c>
      <c r="F333" t="inlineStr">
        <is>
          <t>Sveaskog</t>
        </is>
      </c>
      <c r="G333" t="n">
        <v>13.2</v>
      </c>
      <c r="H333" t="n">
        <v>0</v>
      </c>
      <c r="I333" t="n">
        <v>0</v>
      </c>
      <c r="J333" t="n">
        <v>3</v>
      </c>
      <c r="K333" t="n">
        <v>0</v>
      </c>
      <c r="L333" t="n">
        <v>0</v>
      </c>
      <c r="M333" t="n">
        <v>0</v>
      </c>
      <c r="N333" t="n">
        <v>0</v>
      </c>
      <c r="O333" t="n">
        <v>3</v>
      </c>
      <c r="P333" t="n">
        <v>0</v>
      </c>
      <c r="Q333" t="n">
        <v>3</v>
      </c>
      <c r="R333" s="2" t="inlineStr">
        <is>
          <t>Blå taggsvamp
Orange taggsvamp
Talltaggsvamp</t>
        </is>
      </c>
      <c r="S333">
        <f>HYPERLINK("https://klasma.github.io/Logging_2513/artfynd/A 45578-2025 artfynd.xlsx", "A 45578-2025")</f>
        <v/>
      </c>
      <c r="T333">
        <f>HYPERLINK("https://klasma.github.io/Logging_2513/kartor/A 45578-2025 karta.png", "A 45578-2025")</f>
        <v/>
      </c>
      <c r="V333">
        <f>HYPERLINK("https://klasma.github.io/Logging_2513/klagomål/A 45578-2025 FSC-klagomål.docx", "A 45578-2025")</f>
        <v/>
      </c>
      <c r="W333">
        <f>HYPERLINK("https://klasma.github.io/Logging_2513/klagomålsmail/A 45578-2025 FSC-klagomål mail.docx", "A 45578-2025")</f>
        <v/>
      </c>
      <c r="X333">
        <f>HYPERLINK("https://klasma.github.io/Logging_2513/tillsyn/A 45578-2025 tillsynsbegäran.docx", "A 45578-2025")</f>
        <v/>
      </c>
      <c r="Y333">
        <f>HYPERLINK("https://klasma.github.io/Logging_2513/tillsynsmail/A 45578-2025 tillsynsbegäran mail.docx", "A 45578-2025")</f>
        <v/>
      </c>
    </row>
    <row r="334" ht="15" customHeight="1">
      <c r="A334" t="inlineStr">
        <is>
          <t>A 25524-2024</t>
        </is>
      </c>
      <c r="B334" s="1" t="n">
        <v>45463</v>
      </c>
      <c r="C334" s="1" t="n">
        <v>46046</v>
      </c>
      <c r="D334" t="inlineStr">
        <is>
          <t>NORRBOTTENS LÄN</t>
        </is>
      </c>
      <c r="E334" t="inlineStr">
        <is>
          <t>LULEÅ</t>
        </is>
      </c>
      <c r="G334" t="n">
        <v>0.4</v>
      </c>
      <c r="H334" t="n">
        <v>0</v>
      </c>
      <c r="I334" t="n">
        <v>2</v>
      </c>
      <c r="J334" t="n">
        <v>1</v>
      </c>
      <c r="K334" t="n">
        <v>0</v>
      </c>
      <c r="L334" t="n">
        <v>0</v>
      </c>
      <c r="M334" t="n">
        <v>0</v>
      </c>
      <c r="N334" t="n">
        <v>0</v>
      </c>
      <c r="O334" t="n">
        <v>1</v>
      </c>
      <c r="P334" t="n">
        <v>0</v>
      </c>
      <c r="Q334" t="n">
        <v>3</v>
      </c>
      <c r="R334" s="2" t="inlineStr">
        <is>
          <t>Ullticka
Svart trolldruva
Vedticka</t>
        </is>
      </c>
      <c r="S334">
        <f>HYPERLINK("https://klasma.github.io/Logging_2580/artfynd/A 25524-2024 artfynd.xlsx", "A 25524-2024")</f>
        <v/>
      </c>
      <c r="T334">
        <f>HYPERLINK("https://klasma.github.io/Logging_2580/kartor/A 25524-2024 karta.png", "A 25524-2024")</f>
        <v/>
      </c>
      <c r="V334">
        <f>HYPERLINK("https://klasma.github.io/Logging_2580/klagomål/A 25524-2024 FSC-klagomål.docx", "A 25524-2024")</f>
        <v/>
      </c>
      <c r="W334">
        <f>HYPERLINK("https://klasma.github.io/Logging_2580/klagomålsmail/A 25524-2024 FSC-klagomål mail.docx", "A 25524-2024")</f>
        <v/>
      </c>
      <c r="X334">
        <f>HYPERLINK("https://klasma.github.io/Logging_2580/tillsyn/A 25524-2024 tillsynsbegäran.docx", "A 25524-2024")</f>
        <v/>
      </c>
      <c r="Y334">
        <f>HYPERLINK("https://klasma.github.io/Logging_2580/tillsynsmail/A 25524-2024 tillsynsbegäran mail.docx", "A 25524-2024")</f>
        <v/>
      </c>
    </row>
    <row r="335" ht="15" customHeight="1">
      <c r="A335" t="inlineStr">
        <is>
          <t>A 47099-2025</t>
        </is>
      </c>
      <c r="B335" s="1" t="n">
        <v>45929</v>
      </c>
      <c r="C335" s="1" t="n">
        <v>46046</v>
      </c>
      <c r="D335" t="inlineStr">
        <is>
          <t>NORRBOTTENS LÄN</t>
        </is>
      </c>
      <c r="E335" t="inlineStr">
        <is>
          <t>ARVIDSJAUR</t>
        </is>
      </c>
      <c r="F335" t="inlineStr">
        <is>
          <t>Sveaskog</t>
        </is>
      </c>
      <c r="G335" t="n">
        <v>11.6</v>
      </c>
      <c r="H335" t="n">
        <v>0</v>
      </c>
      <c r="I335" t="n">
        <v>0</v>
      </c>
      <c r="J335" t="n">
        <v>3</v>
      </c>
      <c r="K335" t="n">
        <v>0</v>
      </c>
      <c r="L335" t="n">
        <v>0</v>
      </c>
      <c r="M335" t="n">
        <v>0</v>
      </c>
      <c r="N335" t="n">
        <v>0</v>
      </c>
      <c r="O335" t="n">
        <v>3</v>
      </c>
      <c r="P335" t="n">
        <v>0</v>
      </c>
      <c r="Q335" t="n">
        <v>3</v>
      </c>
      <c r="R335" s="2" t="inlineStr">
        <is>
          <t>Granticka
Harticka
Stjärntagging</t>
        </is>
      </c>
      <c r="S335">
        <f>HYPERLINK("https://klasma.github.io/Logging_2505/artfynd/A 47099-2025 artfynd.xlsx", "A 47099-2025")</f>
        <v/>
      </c>
      <c r="T335">
        <f>HYPERLINK("https://klasma.github.io/Logging_2505/kartor/A 47099-2025 karta.png", "A 47099-2025")</f>
        <v/>
      </c>
      <c r="V335">
        <f>HYPERLINK("https://klasma.github.io/Logging_2505/klagomål/A 47099-2025 FSC-klagomål.docx", "A 47099-2025")</f>
        <v/>
      </c>
      <c r="W335">
        <f>HYPERLINK("https://klasma.github.io/Logging_2505/klagomålsmail/A 47099-2025 FSC-klagomål mail.docx", "A 47099-2025")</f>
        <v/>
      </c>
      <c r="X335">
        <f>HYPERLINK("https://klasma.github.io/Logging_2505/tillsyn/A 47099-2025 tillsynsbegäran.docx", "A 47099-2025")</f>
        <v/>
      </c>
      <c r="Y335">
        <f>HYPERLINK("https://klasma.github.io/Logging_2505/tillsynsmail/A 47099-2025 tillsynsbegäran mail.docx", "A 47099-2025")</f>
        <v/>
      </c>
    </row>
    <row r="336" ht="15" customHeight="1">
      <c r="A336" t="inlineStr">
        <is>
          <t>A 46769-2025</t>
        </is>
      </c>
      <c r="B336" s="1" t="n">
        <v>45926</v>
      </c>
      <c r="C336" s="1" t="n">
        <v>46046</v>
      </c>
      <c r="D336" t="inlineStr">
        <is>
          <t>NORRBOTTENS LÄN</t>
        </is>
      </c>
      <c r="E336" t="inlineStr">
        <is>
          <t>PITEÅ</t>
        </is>
      </c>
      <c r="G336" t="n">
        <v>3.2</v>
      </c>
      <c r="H336" t="n">
        <v>3</v>
      </c>
      <c r="I336" t="n">
        <v>0</v>
      </c>
      <c r="J336" t="n">
        <v>1</v>
      </c>
      <c r="K336" t="n">
        <v>1</v>
      </c>
      <c r="L336" t="n">
        <v>0</v>
      </c>
      <c r="M336" t="n">
        <v>0</v>
      </c>
      <c r="N336" t="n">
        <v>0</v>
      </c>
      <c r="O336" t="n">
        <v>2</v>
      </c>
      <c r="P336" t="n">
        <v>1</v>
      </c>
      <c r="Q336" t="n">
        <v>3</v>
      </c>
      <c r="R336" s="2" t="inlineStr">
        <is>
          <t>Knärot
Talltita
Gråspett</t>
        </is>
      </c>
      <c r="S336">
        <f>HYPERLINK("https://klasma.github.io/Logging_2581/artfynd/A 46769-2025 artfynd.xlsx", "A 46769-2025")</f>
        <v/>
      </c>
      <c r="T336">
        <f>HYPERLINK("https://klasma.github.io/Logging_2581/kartor/A 46769-2025 karta.png", "A 46769-2025")</f>
        <v/>
      </c>
      <c r="U336">
        <f>HYPERLINK("https://klasma.github.io/Logging_2581/knärot/A 46769-2025 karta knärot.png", "A 46769-2025")</f>
        <v/>
      </c>
      <c r="V336">
        <f>HYPERLINK("https://klasma.github.io/Logging_2581/klagomål/A 46769-2025 FSC-klagomål.docx", "A 46769-2025")</f>
        <v/>
      </c>
      <c r="W336">
        <f>HYPERLINK("https://klasma.github.io/Logging_2581/klagomålsmail/A 46769-2025 FSC-klagomål mail.docx", "A 46769-2025")</f>
        <v/>
      </c>
      <c r="X336">
        <f>HYPERLINK("https://klasma.github.io/Logging_2581/tillsyn/A 46769-2025 tillsynsbegäran.docx", "A 46769-2025")</f>
        <v/>
      </c>
      <c r="Y336">
        <f>HYPERLINK("https://klasma.github.io/Logging_2581/tillsynsmail/A 46769-2025 tillsynsbegäran mail.docx", "A 46769-2025")</f>
        <v/>
      </c>
      <c r="Z336">
        <f>HYPERLINK("https://klasma.github.io/Logging_2581/fåglar/A 46769-2025 prioriterade fågelarter.docx", "A 46769-2025")</f>
        <v/>
      </c>
    </row>
    <row r="337" ht="15" customHeight="1">
      <c r="A337" t="inlineStr">
        <is>
          <t>A 44392-2024</t>
        </is>
      </c>
      <c r="B337" s="1" t="n">
        <v>45573</v>
      </c>
      <c r="C337" s="1" t="n">
        <v>46046</v>
      </c>
      <c r="D337" t="inlineStr">
        <is>
          <t>NORRBOTTENS LÄN</t>
        </is>
      </c>
      <c r="E337" t="inlineStr">
        <is>
          <t>GÄLLIVARE</t>
        </is>
      </c>
      <c r="F337" t="inlineStr">
        <is>
          <t>Allmännings- och besparingsskogar</t>
        </is>
      </c>
      <c r="G337" t="n">
        <v>5.3</v>
      </c>
      <c r="H337" t="n">
        <v>0</v>
      </c>
      <c r="I337" t="n">
        <v>0</v>
      </c>
      <c r="J337" t="n">
        <v>3</v>
      </c>
      <c r="K337" t="n">
        <v>0</v>
      </c>
      <c r="L337" t="n">
        <v>0</v>
      </c>
      <c r="M337" t="n">
        <v>0</v>
      </c>
      <c r="N337" t="n">
        <v>0</v>
      </c>
      <c r="O337" t="n">
        <v>3</v>
      </c>
      <c r="P337" t="n">
        <v>0</v>
      </c>
      <c r="Q337" t="n">
        <v>3</v>
      </c>
      <c r="R337" s="2" t="inlineStr">
        <is>
          <t>Garnlav
Granticka
Rosenticka</t>
        </is>
      </c>
      <c r="S337">
        <f>HYPERLINK("https://klasma.github.io/Logging_2523/artfynd/A 44392-2024 artfynd.xlsx", "A 44392-2024")</f>
        <v/>
      </c>
      <c r="T337">
        <f>HYPERLINK("https://klasma.github.io/Logging_2523/kartor/A 44392-2024 karta.png", "A 44392-2024")</f>
        <v/>
      </c>
      <c r="V337">
        <f>HYPERLINK("https://klasma.github.io/Logging_2523/klagomål/A 44392-2024 FSC-klagomål.docx", "A 44392-2024")</f>
        <v/>
      </c>
      <c r="W337">
        <f>HYPERLINK("https://klasma.github.io/Logging_2523/klagomålsmail/A 44392-2024 FSC-klagomål mail.docx", "A 44392-2024")</f>
        <v/>
      </c>
      <c r="X337">
        <f>HYPERLINK("https://klasma.github.io/Logging_2523/tillsyn/A 44392-2024 tillsynsbegäran.docx", "A 44392-2024")</f>
        <v/>
      </c>
      <c r="Y337">
        <f>HYPERLINK("https://klasma.github.io/Logging_2523/tillsynsmail/A 44392-2024 tillsynsbegäran mail.docx", "A 44392-2024")</f>
        <v/>
      </c>
    </row>
    <row r="338" ht="15" customHeight="1">
      <c r="A338" t="inlineStr">
        <is>
          <t>A 39868-2025</t>
        </is>
      </c>
      <c r="B338" s="1" t="n">
        <v>45893</v>
      </c>
      <c r="C338" s="1" t="n">
        <v>46046</v>
      </c>
      <c r="D338" t="inlineStr">
        <is>
          <t>NORRBOTTENS LÄN</t>
        </is>
      </c>
      <c r="E338" t="inlineStr">
        <is>
          <t>BODEN</t>
        </is>
      </c>
      <c r="F338" t="inlineStr">
        <is>
          <t>Övriga statliga verk och myndigheter</t>
        </is>
      </c>
      <c r="G338" t="n">
        <v>3.1</v>
      </c>
      <c r="H338" t="n">
        <v>3</v>
      </c>
      <c r="I338" t="n">
        <v>0</v>
      </c>
      <c r="J338" t="n">
        <v>3</v>
      </c>
      <c r="K338" t="n">
        <v>0</v>
      </c>
      <c r="L338" t="n">
        <v>0</v>
      </c>
      <c r="M338" t="n">
        <v>0</v>
      </c>
      <c r="N338" t="n">
        <v>0</v>
      </c>
      <c r="O338" t="n">
        <v>3</v>
      </c>
      <c r="P338" t="n">
        <v>0</v>
      </c>
      <c r="Q338" t="n">
        <v>3</v>
      </c>
      <c r="R338" s="2" t="inlineStr">
        <is>
          <t>Järpe
Spillkråka
Talltita</t>
        </is>
      </c>
      <c r="S338">
        <f>HYPERLINK("https://klasma.github.io/Logging_2582/artfynd/A 39868-2025 artfynd.xlsx", "A 39868-2025")</f>
        <v/>
      </c>
      <c r="T338">
        <f>HYPERLINK("https://klasma.github.io/Logging_2582/kartor/A 39868-2025 karta.png", "A 39868-2025")</f>
        <v/>
      </c>
      <c r="V338">
        <f>HYPERLINK("https://klasma.github.io/Logging_2582/klagomål/A 39868-2025 FSC-klagomål.docx", "A 39868-2025")</f>
        <v/>
      </c>
      <c r="W338">
        <f>HYPERLINK("https://klasma.github.io/Logging_2582/klagomålsmail/A 39868-2025 FSC-klagomål mail.docx", "A 39868-2025")</f>
        <v/>
      </c>
      <c r="X338">
        <f>HYPERLINK("https://klasma.github.io/Logging_2582/tillsyn/A 39868-2025 tillsynsbegäran.docx", "A 39868-2025")</f>
        <v/>
      </c>
      <c r="Y338">
        <f>HYPERLINK("https://klasma.github.io/Logging_2582/tillsynsmail/A 39868-2025 tillsynsbegäran mail.docx", "A 39868-2025")</f>
        <v/>
      </c>
      <c r="Z338">
        <f>HYPERLINK("https://klasma.github.io/Logging_2582/fåglar/A 39868-2025 prioriterade fågelarter.docx", "A 39868-2025")</f>
        <v/>
      </c>
    </row>
    <row r="339" ht="15" customHeight="1">
      <c r="A339" t="inlineStr">
        <is>
          <t>A 53641-2025</t>
        </is>
      </c>
      <c r="B339" s="1" t="n">
        <v>45960</v>
      </c>
      <c r="C339" s="1" t="n">
        <v>46046</v>
      </c>
      <c r="D339" t="inlineStr">
        <is>
          <t>NORRBOTTENS LÄN</t>
        </is>
      </c>
      <c r="E339" t="inlineStr">
        <is>
          <t>ÄLVSBYN</t>
        </is>
      </c>
      <c r="F339" t="inlineStr">
        <is>
          <t>Sveaskog</t>
        </is>
      </c>
      <c r="G339" t="n">
        <v>4.7</v>
      </c>
      <c r="H339" t="n">
        <v>0</v>
      </c>
      <c r="I339" t="n">
        <v>2</v>
      </c>
      <c r="J339" t="n">
        <v>1</v>
      </c>
      <c r="K339" t="n">
        <v>0</v>
      </c>
      <c r="L339" t="n">
        <v>0</v>
      </c>
      <c r="M339" t="n">
        <v>0</v>
      </c>
      <c r="N339" t="n">
        <v>0</v>
      </c>
      <c r="O339" t="n">
        <v>1</v>
      </c>
      <c r="P339" t="n">
        <v>0</v>
      </c>
      <c r="Q339" t="n">
        <v>3</v>
      </c>
      <c r="R339" s="2" t="inlineStr">
        <is>
          <t>Orange taggsvamp
Dropptaggsvamp
Skarp dropptaggsvamp</t>
        </is>
      </c>
      <c r="S339">
        <f>HYPERLINK("https://klasma.github.io/Logging_2560/artfynd/A 53641-2025 artfynd.xlsx", "A 53641-2025")</f>
        <v/>
      </c>
      <c r="T339">
        <f>HYPERLINK("https://klasma.github.io/Logging_2560/kartor/A 53641-2025 karta.png", "A 53641-2025")</f>
        <v/>
      </c>
      <c r="V339">
        <f>HYPERLINK("https://klasma.github.io/Logging_2560/klagomål/A 53641-2025 FSC-klagomål.docx", "A 53641-2025")</f>
        <v/>
      </c>
      <c r="W339">
        <f>HYPERLINK("https://klasma.github.io/Logging_2560/klagomålsmail/A 53641-2025 FSC-klagomål mail.docx", "A 53641-2025")</f>
        <v/>
      </c>
      <c r="X339">
        <f>HYPERLINK("https://klasma.github.io/Logging_2560/tillsyn/A 53641-2025 tillsynsbegäran.docx", "A 53641-2025")</f>
        <v/>
      </c>
      <c r="Y339">
        <f>HYPERLINK("https://klasma.github.io/Logging_2560/tillsynsmail/A 53641-2025 tillsynsbegäran mail.docx", "A 53641-2025")</f>
        <v/>
      </c>
    </row>
    <row r="340" ht="15" customHeight="1">
      <c r="A340" t="inlineStr">
        <is>
          <t>A 54262-2025</t>
        </is>
      </c>
      <c r="B340" s="1" t="n">
        <v>45964</v>
      </c>
      <c r="C340" s="1" t="n">
        <v>46046</v>
      </c>
      <c r="D340" t="inlineStr">
        <is>
          <t>NORRBOTTENS LÄN</t>
        </is>
      </c>
      <c r="E340" t="inlineStr">
        <is>
          <t>PITEÅ</t>
        </is>
      </c>
      <c r="F340" t="inlineStr">
        <is>
          <t>Sveaskog</t>
        </is>
      </c>
      <c r="G340" t="n">
        <v>9.300000000000001</v>
      </c>
      <c r="H340" t="n">
        <v>1</v>
      </c>
      <c r="I340" t="n">
        <v>2</v>
      </c>
      <c r="J340" t="n">
        <v>1</v>
      </c>
      <c r="K340" t="n">
        <v>0</v>
      </c>
      <c r="L340" t="n">
        <v>0</v>
      </c>
      <c r="M340" t="n">
        <v>0</v>
      </c>
      <c r="N340" t="n">
        <v>0</v>
      </c>
      <c r="O340" t="n">
        <v>1</v>
      </c>
      <c r="P340" t="n">
        <v>0</v>
      </c>
      <c r="Q340" t="n">
        <v>3</v>
      </c>
      <c r="R340" s="2" t="inlineStr">
        <is>
          <t>Granticka
Plattlummer
Vedticka</t>
        </is>
      </c>
      <c r="S340">
        <f>HYPERLINK("https://klasma.github.io/Logging_2581/artfynd/A 54262-2025 artfynd.xlsx", "A 54262-2025")</f>
        <v/>
      </c>
      <c r="T340">
        <f>HYPERLINK("https://klasma.github.io/Logging_2581/kartor/A 54262-2025 karta.png", "A 54262-2025")</f>
        <v/>
      </c>
      <c r="V340">
        <f>HYPERLINK("https://klasma.github.io/Logging_2581/klagomål/A 54262-2025 FSC-klagomål.docx", "A 54262-2025")</f>
        <v/>
      </c>
      <c r="W340">
        <f>HYPERLINK("https://klasma.github.io/Logging_2581/klagomålsmail/A 54262-2025 FSC-klagomål mail.docx", "A 54262-2025")</f>
        <v/>
      </c>
      <c r="X340">
        <f>HYPERLINK("https://klasma.github.io/Logging_2581/tillsyn/A 54262-2025 tillsynsbegäran.docx", "A 54262-2025")</f>
        <v/>
      </c>
      <c r="Y340">
        <f>HYPERLINK("https://klasma.github.io/Logging_2581/tillsynsmail/A 54262-2025 tillsynsbegäran mail.docx", "A 54262-2025")</f>
        <v/>
      </c>
    </row>
    <row r="341" ht="15" customHeight="1">
      <c r="A341" t="inlineStr">
        <is>
          <t>A 55182-2025</t>
        </is>
      </c>
      <c r="B341" s="1" t="n">
        <v>45968.53197916667</v>
      </c>
      <c r="C341" s="1" t="n">
        <v>46046</v>
      </c>
      <c r="D341" t="inlineStr">
        <is>
          <t>NORRBOTTENS LÄN</t>
        </is>
      </c>
      <c r="E341" t="inlineStr">
        <is>
          <t>PITEÅ</t>
        </is>
      </c>
      <c r="G341" t="n">
        <v>15</v>
      </c>
      <c r="H341" t="n">
        <v>3</v>
      </c>
      <c r="I341" t="n">
        <v>0</v>
      </c>
      <c r="J341" t="n">
        <v>1</v>
      </c>
      <c r="K341" t="n">
        <v>0</v>
      </c>
      <c r="L341" t="n">
        <v>0</v>
      </c>
      <c r="M341" t="n">
        <v>0</v>
      </c>
      <c r="N341" t="n">
        <v>0</v>
      </c>
      <c r="O341" t="n">
        <v>1</v>
      </c>
      <c r="P341" t="n">
        <v>0</v>
      </c>
      <c r="Q341" t="n">
        <v>3</v>
      </c>
      <c r="R341" s="2" t="inlineStr">
        <is>
          <t>Rödvingetrast
Grönsiska
Kungsfågel</t>
        </is>
      </c>
      <c r="S341">
        <f>HYPERLINK("https://klasma.github.io/Logging_2581/artfynd/A 55182-2025 artfynd.xlsx", "A 55182-2025")</f>
        <v/>
      </c>
      <c r="T341">
        <f>HYPERLINK("https://klasma.github.io/Logging_2581/kartor/A 55182-2025 karta.png", "A 55182-2025")</f>
        <v/>
      </c>
      <c r="V341">
        <f>HYPERLINK("https://klasma.github.io/Logging_2581/klagomål/A 55182-2025 FSC-klagomål.docx", "A 55182-2025")</f>
        <v/>
      </c>
      <c r="W341">
        <f>HYPERLINK("https://klasma.github.io/Logging_2581/klagomålsmail/A 55182-2025 FSC-klagomål mail.docx", "A 55182-2025")</f>
        <v/>
      </c>
      <c r="X341">
        <f>HYPERLINK("https://klasma.github.io/Logging_2581/tillsyn/A 55182-2025 tillsynsbegäran.docx", "A 55182-2025")</f>
        <v/>
      </c>
      <c r="Y341">
        <f>HYPERLINK("https://klasma.github.io/Logging_2581/tillsynsmail/A 55182-2025 tillsynsbegäran mail.docx", "A 55182-2025")</f>
        <v/>
      </c>
      <c r="Z341">
        <f>HYPERLINK("https://klasma.github.io/Logging_2581/fåglar/A 55182-2025 prioriterade fågelarter.docx", "A 55182-2025")</f>
        <v/>
      </c>
    </row>
    <row r="342" ht="15" customHeight="1">
      <c r="A342" t="inlineStr">
        <is>
          <t>A 63039-2025</t>
        </is>
      </c>
      <c r="B342" s="1" t="n">
        <v>46009</v>
      </c>
      <c r="C342" s="1" t="n">
        <v>46046</v>
      </c>
      <c r="D342" t="inlineStr">
        <is>
          <t>NORRBOTTENS LÄN</t>
        </is>
      </c>
      <c r="E342" t="inlineStr">
        <is>
          <t>JOKKMOKK</t>
        </is>
      </c>
      <c r="F342" t="inlineStr">
        <is>
          <t>SCA</t>
        </is>
      </c>
      <c r="G342" t="n">
        <v>3.7</v>
      </c>
      <c r="H342" t="n">
        <v>2</v>
      </c>
      <c r="I342" t="n">
        <v>0</v>
      </c>
      <c r="J342" t="n">
        <v>3</v>
      </c>
      <c r="K342" t="n">
        <v>0</v>
      </c>
      <c r="L342" t="n">
        <v>0</v>
      </c>
      <c r="M342" t="n">
        <v>0</v>
      </c>
      <c r="N342" t="n">
        <v>0</v>
      </c>
      <c r="O342" t="n">
        <v>3</v>
      </c>
      <c r="P342" t="n">
        <v>0</v>
      </c>
      <c r="Q342" t="n">
        <v>3</v>
      </c>
      <c r="R342" s="2" t="inlineStr">
        <is>
          <t>Lappmes
Talltita
Ullticka</t>
        </is>
      </c>
      <c r="S342">
        <f>HYPERLINK("https://klasma.github.io/Logging_2510/artfynd/A 63039-2025 artfynd.xlsx", "A 63039-2025")</f>
        <v/>
      </c>
      <c r="T342">
        <f>HYPERLINK("https://klasma.github.io/Logging_2510/kartor/A 63039-2025 karta.png", "A 63039-2025")</f>
        <v/>
      </c>
      <c r="V342">
        <f>HYPERLINK("https://klasma.github.io/Logging_2510/klagomål/A 63039-2025 FSC-klagomål.docx", "A 63039-2025")</f>
        <v/>
      </c>
      <c r="W342">
        <f>HYPERLINK("https://klasma.github.io/Logging_2510/klagomålsmail/A 63039-2025 FSC-klagomål mail.docx", "A 63039-2025")</f>
        <v/>
      </c>
      <c r="X342">
        <f>HYPERLINK("https://klasma.github.io/Logging_2510/tillsyn/A 63039-2025 tillsynsbegäran.docx", "A 63039-2025")</f>
        <v/>
      </c>
      <c r="Y342">
        <f>HYPERLINK("https://klasma.github.io/Logging_2510/tillsynsmail/A 63039-2025 tillsynsbegäran mail.docx", "A 63039-2025")</f>
        <v/>
      </c>
      <c r="Z342">
        <f>HYPERLINK("https://klasma.github.io/Logging_2510/fåglar/A 63039-2025 prioriterade fågelarter.docx", "A 63039-2025")</f>
        <v/>
      </c>
    </row>
    <row r="343" ht="15" customHeight="1">
      <c r="A343" t="inlineStr">
        <is>
          <t>A 63444-2025</t>
        </is>
      </c>
      <c r="B343" s="1" t="n">
        <v>46013.39665509259</v>
      </c>
      <c r="C343" s="1" t="n">
        <v>46046</v>
      </c>
      <c r="D343" t="inlineStr">
        <is>
          <t>NORRBOTTENS LÄN</t>
        </is>
      </c>
      <c r="E343" t="inlineStr">
        <is>
          <t>JOKKMOKK</t>
        </is>
      </c>
      <c r="F343" t="inlineStr">
        <is>
          <t>Övriga statliga verk och myndigheter</t>
        </is>
      </c>
      <c r="G343" t="n">
        <v>11.2</v>
      </c>
      <c r="H343" t="n">
        <v>1</v>
      </c>
      <c r="I343" t="n">
        <v>1</v>
      </c>
      <c r="J343" t="n">
        <v>1</v>
      </c>
      <c r="K343" t="n">
        <v>1</v>
      </c>
      <c r="L343" t="n">
        <v>0</v>
      </c>
      <c r="M343" t="n">
        <v>0</v>
      </c>
      <c r="N343" t="n">
        <v>0</v>
      </c>
      <c r="O343" t="n">
        <v>2</v>
      </c>
      <c r="P343" t="n">
        <v>1</v>
      </c>
      <c r="Q343" t="n">
        <v>3</v>
      </c>
      <c r="R343" s="2" t="inlineStr">
        <is>
          <t>Doftticka
Reliktbock
Stuplav</t>
        </is>
      </c>
      <c r="S343">
        <f>HYPERLINK("https://klasma.github.io/Logging_2510/artfynd/A 63444-2025 artfynd.xlsx", "A 63444-2025")</f>
        <v/>
      </c>
      <c r="T343">
        <f>HYPERLINK("https://klasma.github.io/Logging_2510/kartor/A 63444-2025 karta.png", "A 63444-2025")</f>
        <v/>
      </c>
      <c r="V343">
        <f>HYPERLINK("https://klasma.github.io/Logging_2510/klagomål/A 63444-2025 FSC-klagomål.docx", "A 63444-2025")</f>
        <v/>
      </c>
      <c r="W343">
        <f>HYPERLINK("https://klasma.github.io/Logging_2510/klagomålsmail/A 63444-2025 FSC-klagomål mail.docx", "A 63444-2025")</f>
        <v/>
      </c>
      <c r="X343">
        <f>HYPERLINK("https://klasma.github.io/Logging_2510/tillsyn/A 63444-2025 tillsynsbegäran.docx", "A 63444-2025")</f>
        <v/>
      </c>
      <c r="Y343">
        <f>HYPERLINK("https://klasma.github.io/Logging_2510/tillsynsmail/A 63444-2025 tillsynsbegäran mail.docx", "A 63444-2025")</f>
        <v/>
      </c>
    </row>
    <row r="344" ht="15" customHeight="1">
      <c r="A344" t="inlineStr">
        <is>
          <t>A 55948-2025</t>
        </is>
      </c>
      <c r="B344" s="1" t="n">
        <v>45973.466875</v>
      </c>
      <c r="C344" s="1" t="n">
        <v>46046</v>
      </c>
      <c r="D344" t="inlineStr">
        <is>
          <t>NORRBOTTENS LÄN</t>
        </is>
      </c>
      <c r="E344" t="inlineStr">
        <is>
          <t>PAJALA</t>
        </is>
      </c>
      <c r="F344" t="inlineStr">
        <is>
          <t>Sveaskog</t>
        </is>
      </c>
      <c r="G344" t="n">
        <v>8.9</v>
      </c>
      <c r="H344" t="n">
        <v>0</v>
      </c>
      <c r="I344" t="n">
        <v>0</v>
      </c>
      <c r="J344" t="n">
        <v>3</v>
      </c>
      <c r="K344" t="n">
        <v>0</v>
      </c>
      <c r="L344" t="n">
        <v>0</v>
      </c>
      <c r="M344" t="n">
        <v>0</v>
      </c>
      <c r="N344" t="n">
        <v>0</v>
      </c>
      <c r="O344" t="n">
        <v>3</v>
      </c>
      <c r="P344" t="n">
        <v>0</v>
      </c>
      <c r="Q344" t="n">
        <v>3</v>
      </c>
      <c r="R344" s="2" t="inlineStr">
        <is>
          <t>Kolflarnlav
Motaggsvamp
Vaddporing</t>
        </is>
      </c>
      <c r="S344">
        <f>HYPERLINK("https://klasma.github.io/Logging_2521/artfynd/A 55948-2025 artfynd.xlsx", "A 55948-2025")</f>
        <v/>
      </c>
      <c r="T344">
        <f>HYPERLINK("https://klasma.github.io/Logging_2521/kartor/A 55948-2025 karta.png", "A 55948-2025")</f>
        <v/>
      </c>
      <c r="V344">
        <f>HYPERLINK("https://klasma.github.io/Logging_2521/klagomål/A 55948-2025 FSC-klagomål.docx", "A 55948-2025")</f>
        <v/>
      </c>
      <c r="W344">
        <f>HYPERLINK("https://klasma.github.io/Logging_2521/klagomålsmail/A 55948-2025 FSC-klagomål mail.docx", "A 55948-2025")</f>
        <v/>
      </c>
      <c r="X344">
        <f>HYPERLINK("https://klasma.github.io/Logging_2521/tillsyn/A 55948-2025 tillsynsbegäran.docx", "A 55948-2025")</f>
        <v/>
      </c>
      <c r="Y344">
        <f>HYPERLINK("https://klasma.github.io/Logging_2521/tillsynsmail/A 55948-2025 tillsynsbegäran mail.docx", "A 55948-2025")</f>
        <v/>
      </c>
    </row>
    <row r="345" ht="15" customHeight="1">
      <c r="A345" t="inlineStr">
        <is>
          <t>A 56314-2025</t>
        </is>
      </c>
      <c r="B345" s="1" t="n">
        <v>45974.63034722222</v>
      </c>
      <c r="C345" s="1" t="n">
        <v>46046</v>
      </c>
      <c r="D345" t="inlineStr">
        <is>
          <t>NORRBOTTENS LÄN</t>
        </is>
      </c>
      <c r="E345" t="inlineStr">
        <is>
          <t>ARVIDSJAUR</t>
        </is>
      </c>
      <c r="F345" t="inlineStr">
        <is>
          <t>Sveaskog</t>
        </is>
      </c>
      <c r="G345" t="n">
        <v>15.4</v>
      </c>
      <c r="H345" t="n">
        <v>0</v>
      </c>
      <c r="I345" t="n">
        <v>0</v>
      </c>
      <c r="J345" t="n">
        <v>3</v>
      </c>
      <c r="K345" t="n">
        <v>0</v>
      </c>
      <c r="L345" t="n">
        <v>0</v>
      </c>
      <c r="M345" t="n">
        <v>0</v>
      </c>
      <c r="N345" t="n">
        <v>0</v>
      </c>
      <c r="O345" t="n">
        <v>3</v>
      </c>
      <c r="P345" t="n">
        <v>0</v>
      </c>
      <c r="Q345" t="n">
        <v>3</v>
      </c>
      <c r="R345" s="2" t="inlineStr">
        <is>
          <t>Motaggsvamp
Rosenticka
Vaddporing</t>
        </is>
      </c>
      <c r="S345">
        <f>HYPERLINK("https://klasma.github.io/Logging_2505/artfynd/A 56314-2025 artfynd.xlsx", "A 56314-2025")</f>
        <v/>
      </c>
      <c r="T345">
        <f>HYPERLINK("https://klasma.github.io/Logging_2505/kartor/A 56314-2025 karta.png", "A 56314-2025")</f>
        <v/>
      </c>
      <c r="V345">
        <f>HYPERLINK("https://klasma.github.io/Logging_2505/klagomål/A 56314-2025 FSC-klagomål.docx", "A 56314-2025")</f>
        <v/>
      </c>
      <c r="W345">
        <f>HYPERLINK("https://klasma.github.io/Logging_2505/klagomålsmail/A 56314-2025 FSC-klagomål mail.docx", "A 56314-2025")</f>
        <v/>
      </c>
      <c r="X345">
        <f>HYPERLINK("https://klasma.github.io/Logging_2505/tillsyn/A 56314-2025 tillsynsbegäran.docx", "A 56314-2025")</f>
        <v/>
      </c>
      <c r="Y345">
        <f>HYPERLINK("https://klasma.github.io/Logging_2505/tillsynsmail/A 56314-2025 tillsynsbegäran mail.docx", "A 56314-2025")</f>
        <v/>
      </c>
    </row>
    <row r="346" ht="15" customHeight="1">
      <c r="A346" t="inlineStr">
        <is>
          <t>A 58692-2025</t>
        </is>
      </c>
      <c r="B346" s="1" t="n">
        <v>45986</v>
      </c>
      <c r="C346" s="1" t="n">
        <v>46046</v>
      </c>
      <c r="D346" t="inlineStr">
        <is>
          <t>NORRBOTTENS LÄN</t>
        </is>
      </c>
      <c r="E346" t="inlineStr">
        <is>
          <t>LULEÅ</t>
        </is>
      </c>
      <c r="G346" t="n">
        <v>2</v>
      </c>
      <c r="H346" t="n">
        <v>0</v>
      </c>
      <c r="I346" t="n">
        <v>1</v>
      </c>
      <c r="J346" t="n">
        <v>1</v>
      </c>
      <c r="K346" t="n">
        <v>1</v>
      </c>
      <c r="L346" t="n">
        <v>0</v>
      </c>
      <c r="M346" t="n">
        <v>0</v>
      </c>
      <c r="N346" t="n">
        <v>0</v>
      </c>
      <c r="O346" t="n">
        <v>2</v>
      </c>
      <c r="P346" t="n">
        <v>1</v>
      </c>
      <c r="Q346" t="n">
        <v>3</v>
      </c>
      <c r="R346" s="2" t="inlineStr">
        <is>
          <t>Rynkskinn
Ullticka
Stuplav</t>
        </is>
      </c>
      <c r="S346">
        <f>HYPERLINK("https://klasma.github.io/Logging_2580/artfynd/A 58692-2025 artfynd.xlsx", "A 58692-2025")</f>
        <v/>
      </c>
      <c r="T346">
        <f>HYPERLINK("https://klasma.github.io/Logging_2580/kartor/A 58692-2025 karta.png", "A 58692-2025")</f>
        <v/>
      </c>
      <c r="V346">
        <f>HYPERLINK("https://klasma.github.io/Logging_2580/klagomål/A 58692-2025 FSC-klagomål.docx", "A 58692-2025")</f>
        <v/>
      </c>
      <c r="W346">
        <f>HYPERLINK("https://klasma.github.io/Logging_2580/klagomålsmail/A 58692-2025 FSC-klagomål mail.docx", "A 58692-2025")</f>
        <v/>
      </c>
      <c r="X346">
        <f>HYPERLINK("https://klasma.github.io/Logging_2580/tillsyn/A 58692-2025 tillsynsbegäran.docx", "A 58692-2025")</f>
        <v/>
      </c>
      <c r="Y346">
        <f>HYPERLINK("https://klasma.github.io/Logging_2580/tillsynsmail/A 58692-2025 tillsynsbegäran mail.docx", "A 58692-2025")</f>
        <v/>
      </c>
    </row>
    <row r="347" ht="15" customHeight="1">
      <c r="A347" t="inlineStr">
        <is>
          <t>A 59028-2025</t>
        </is>
      </c>
      <c r="B347" s="1" t="n">
        <v>45988</v>
      </c>
      <c r="C347" s="1" t="n">
        <v>46046</v>
      </c>
      <c r="D347" t="inlineStr">
        <is>
          <t>NORRBOTTENS LÄN</t>
        </is>
      </c>
      <c r="E347" t="inlineStr">
        <is>
          <t>BODEN</t>
        </is>
      </c>
      <c r="G347" t="n">
        <v>4.3</v>
      </c>
      <c r="H347" t="n">
        <v>0</v>
      </c>
      <c r="I347" t="n">
        <v>1</v>
      </c>
      <c r="J347" t="n">
        <v>2</v>
      </c>
      <c r="K347" t="n">
        <v>0</v>
      </c>
      <c r="L347" t="n">
        <v>0</v>
      </c>
      <c r="M347" t="n">
        <v>0</v>
      </c>
      <c r="N347" t="n">
        <v>0</v>
      </c>
      <c r="O347" t="n">
        <v>2</v>
      </c>
      <c r="P347" t="n">
        <v>0</v>
      </c>
      <c r="Q347" t="n">
        <v>3</v>
      </c>
      <c r="R347" s="2" t="inlineStr">
        <is>
          <t>Dvärgbägarlav
Skrovlig taggsvamp
Skarp dropptaggsvamp</t>
        </is>
      </c>
      <c r="S347">
        <f>HYPERLINK("https://klasma.github.io/Logging_2582/artfynd/A 59028-2025 artfynd.xlsx", "A 59028-2025")</f>
        <v/>
      </c>
      <c r="T347">
        <f>HYPERLINK("https://klasma.github.io/Logging_2582/kartor/A 59028-2025 karta.png", "A 59028-2025")</f>
        <v/>
      </c>
      <c r="V347">
        <f>HYPERLINK("https://klasma.github.io/Logging_2582/klagomål/A 59028-2025 FSC-klagomål.docx", "A 59028-2025")</f>
        <v/>
      </c>
      <c r="W347">
        <f>HYPERLINK("https://klasma.github.io/Logging_2582/klagomålsmail/A 59028-2025 FSC-klagomål mail.docx", "A 59028-2025")</f>
        <v/>
      </c>
      <c r="X347">
        <f>HYPERLINK("https://klasma.github.io/Logging_2582/tillsyn/A 59028-2025 tillsynsbegäran.docx", "A 59028-2025")</f>
        <v/>
      </c>
      <c r="Y347">
        <f>HYPERLINK("https://klasma.github.io/Logging_2582/tillsynsmail/A 59028-2025 tillsynsbegäran mail.docx", "A 59028-2025")</f>
        <v/>
      </c>
    </row>
    <row r="348" ht="15" customHeight="1">
      <c r="A348" t="inlineStr">
        <is>
          <t>A 1479-2026</t>
        </is>
      </c>
      <c r="B348" s="1" t="n">
        <v>46033</v>
      </c>
      <c r="C348" s="1" t="n">
        <v>46046</v>
      </c>
      <c r="D348" t="inlineStr">
        <is>
          <t>NORRBOTTENS LÄN</t>
        </is>
      </c>
      <c r="E348" t="inlineStr">
        <is>
          <t>ARJEPLOG</t>
        </is>
      </c>
      <c r="F348" t="inlineStr">
        <is>
          <t>Övriga statliga verk och myndigheter</t>
        </is>
      </c>
      <c r="G348" t="n">
        <v>10</v>
      </c>
      <c r="H348" t="n">
        <v>0</v>
      </c>
      <c r="I348" t="n">
        <v>0</v>
      </c>
      <c r="J348" t="n">
        <v>3</v>
      </c>
      <c r="K348" t="n">
        <v>0</v>
      </c>
      <c r="L348" t="n">
        <v>0</v>
      </c>
      <c r="M348" t="n">
        <v>0</v>
      </c>
      <c r="N348" t="n">
        <v>0</v>
      </c>
      <c r="O348" t="n">
        <v>3</v>
      </c>
      <c r="P348" t="n">
        <v>0</v>
      </c>
      <c r="Q348" t="n">
        <v>3</v>
      </c>
      <c r="R348" s="2" t="inlineStr">
        <is>
          <t>Gammelgransskål
Garnlav
Granticka</t>
        </is>
      </c>
      <c r="S348">
        <f>HYPERLINK("https://klasma.github.io/Logging_2506/artfynd/A 1479-2026 artfynd.xlsx", "A 1479-2026")</f>
        <v/>
      </c>
      <c r="T348">
        <f>HYPERLINK("https://klasma.github.io/Logging_2506/kartor/A 1479-2026 karta.png", "A 1479-2026")</f>
        <v/>
      </c>
      <c r="V348">
        <f>HYPERLINK("https://klasma.github.io/Logging_2506/klagomål/A 1479-2026 FSC-klagomål.docx", "A 1479-2026")</f>
        <v/>
      </c>
      <c r="W348">
        <f>HYPERLINK("https://klasma.github.io/Logging_2506/klagomålsmail/A 1479-2026 FSC-klagomål mail.docx", "A 1479-2026")</f>
        <v/>
      </c>
      <c r="X348">
        <f>HYPERLINK("https://klasma.github.io/Logging_2506/tillsyn/A 1479-2026 tillsynsbegäran.docx", "A 1479-2026")</f>
        <v/>
      </c>
      <c r="Y348">
        <f>HYPERLINK("https://klasma.github.io/Logging_2506/tillsynsmail/A 1479-2026 tillsynsbegäran mail.docx", "A 1479-2026")</f>
        <v/>
      </c>
    </row>
    <row r="349" ht="15" customHeight="1">
      <c r="A349" t="inlineStr">
        <is>
          <t>A 60133-2025</t>
        </is>
      </c>
      <c r="B349" s="1" t="n">
        <v>45994</v>
      </c>
      <c r="C349" s="1" t="n">
        <v>46046</v>
      </c>
      <c r="D349" t="inlineStr">
        <is>
          <t>NORRBOTTENS LÄN</t>
        </is>
      </c>
      <c r="E349" t="inlineStr">
        <is>
          <t>ÄLVSBYN</t>
        </is>
      </c>
      <c r="F349" t="inlineStr">
        <is>
          <t>Sveaskog</t>
        </is>
      </c>
      <c r="G349" t="n">
        <v>3.9</v>
      </c>
      <c r="H349" t="n">
        <v>0</v>
      </c>
      <c r="I349" t="n">
        <v>0</v>
      </c>
      <c r="J349" t="n">
        <v>3</v>
      </c>
      <c r="K349" t="n">
        <v>0</v>
      </c>
      <c r="L349" t="n">
        <v>0</v>
      </c>
      <c r="M349" t="n">
        <v>0</v>
      </c>
      <c r="N349" t="n">
        <v>0</v>
      </c>
      <c r="O349" t="n">
        <v>3</v>
      </c>
      <c r="P349" t="n">
        <v>0</v>
      </c>
      <c r="Q349" t="n">
        <v>3</v>
      </c>
      <c r="R349" s="2" t="inlineStr">
        <is>
          <t>Blå taggsvamp
Kolflarnlav
Tallticka</t>
        </is>
      </c>
      <c r="S349">
        <f>HYPERLINK("https://klasma.github.io/Logging_2560/artfynd/A 60133-2025 artfynd.xlsx", "A 60133-2025")</f>
        <v/>
      </c>
      <c r="T349">
        <f>HYPERLINK("https://klasma.github.io/Logging_2560/kartor/A 60133-2025 karta.png", "A 60133-2025")</f>
        <v/>
      </c>
      <c r="V349">
        <f>HYPERLINK("https://klasma.github.io/Logging_2560/klagomål/A 60133-2025 FSC-klagomål.docx", "A 60133-2025")</f>
        <v/>
      </c>
      <c r="W349">
        <f>HYPERLINK("https://klasma.github.io/Logging_2560/klagomålsmail/A 60133-2025 FSC-klagomål mail.docx", "A 60133-2025")</f>
        <v/>
      </c>
      <c r="X349">
        <f>HYPERLINK("https://klasma.github.io/Logging_2560/tillsyn/A 60133-2025 tillsynsbegäran.docx", "A 60133-2025")</f>
        <v/>
      </c>
      <c r="Y349">
        <f>HYPERLINK("https://klasma.github.io/Logging_2560/tillsynsmail/A 60133-2025 tillsynsbegäran mail.docx", "A 60133-2025")</f>
        <v/>
      </c>
    </row>
    <row r="350" ht="15" customHeight="1">
      <c r="A350" t="inlineStr">
        <is>
          <t>A 60837-2023</t>
        </is>
      </c>
      <c r="B350" s="1" t="n">
        <v>45260</v>
      </c>
      <c r="C350" s="1" t="n">
        <v>46046</v>
      </c>
      <c r="D350" t="inlineStr">
        <is>
          <t>NORRBOTTENS LÄN</t>
        </is>
      </c>
      <c r="E350" t="inlineStr">
        <is>
          <t>PITEÅ</t>
        </is>
      </c>
      <c r="G350" t="n">
        <v>6.4</v>
      </c>
      <c r="H350" t="n">
        <v>1</v>
      </c>
      <c r="I350" t="n">
        <v>1</v>
      </c>
      <c r="J350" t="n">
        <v>1</v>
      </c>
      <c r="K350" t="n">
        <v>1</v>
      </c>
      <c r="L350" t="n">
        <v>0</v>
      </c>
      <c r="M350" t="n">
        <v>0</v>
      </c>
      <c r="N350" t="n">
        <v>0</v>
      </c>
      <c r="O350" t="n">
        <v>2</v>
      </c>
      <c r="P350" t="n">
        <v>1</v>
      </c>
      <c r="Q350" t="n">
        <v>3</v>
      </c>
      <c r="R350" s="2" t="inlineStr">
        <is>
          <t>Knärot
Orange taggsvamp
Dropptaggsvamp</t>
        </is>
      </c>
      <c r="S350">
        <f>HYPERLINK("https://klasma.github.io/Logging_2581/artfynd/A 60837-2023 artfynd.xlsx", "A 60837-2023")</f>
        <v/>
      </c>
      <c r="T350">
        <f>HYPERLINK("https://klasma.github.io/Logging_2581/kartor/A 60837-2023 karta.png", "A 60837-2023")</f>
        <v/>
      </c>
      <c r="U350">
        <f>HYPERLINK("https://klasma.github.io/Logging_2581/knärot/A 60837-2023 karta knärot.png", "A 60837-2023")</f>
        <v/>
      </c>
      <c r="V350">
        <f>HYPERLINK("https://klasma.github.io/Logging_2581/klagomål/A 60837-2023 FSC-klagomål.docx", "A 60837-2023")</f>
        <v/>
      </c>
      <c r="W350">
        <f>HYPERLINK("https://klasma.github.io/Logging_2581/klagomålsmail/A 60837-2023 FSC-klagomål mail.docx", "A 60837-2023")</f>
        <v/>
      </c>
      <c r="X350">
        <f>HYPERLINK("https://klasma.github.io/Logging_2581/tillsyn/A 60837-2023 tillsynsbegäran.docx", "A 60837-2023")</f>
        <v/>
      </c>
      <c r="Y350">
        <f>HYPERLINK("https://klasma.github.io/Logging_2581/tillsynsmail/A 60837-2023 tillsynsbegäran mail.docx", "A 60837-2023")</f>
        <v/>
      </c>
    </row>
    <row r="351" ht="15" customHeight="1">
      <c r="A351" t="inlineStr">
        <is>
          <t>A 60774-2025</t>
        </is>
      </c>
      <c r="B351" s="1" t="n">
        <v>45999</v>
      </c>
      <c r="C351" s="1" t="n">
        <v>46046</v>
      </c>
      <c r="D351" t="inlineStr">
        <is>
          <t>NORRBOTTENS LÄN</t>
        </is>
      </c>
      <c r="E351" t="inlineStr">
        <is>
          <t>BODEN</t>
        </is>
      </c>
      <c r="G351" t="n">
        <v>1</v>
      </c>
      <c r="H351" t="n">
        <v>0</v>
      </c>
      <c r="I351" t="n">
        <v>1</v>
      </c>
      <c r="J351" t="n">
        <v>2</v>
      </c>
      <c r="K351" t="n">
        <v>0</v>
      </c>
      <c r="L351" t="n">
        <v>0</v>
      </c>
      <c r="M351" t="n">
        <v>0</v>
      </c>
      <c r="N351" t="n">
        <v>0</v>
      </c>
      <c r="O351" t="n">
        <v>2</v>
      </c>
      <c r="P351" t="n">
        <v>0</v>
      </c>
      <c r="Q351" t="n">
        <v>3</v>
      </c>
      <c r="R351" s="2" t="inlineStr">
        <is>
          <t>Granticka
Ullticka
Skinnlav</t>
        </is>
      </c>
      <c r="S351">
        <f>HYPERLINK("https://klasma.github.io/Logging_2582/artfynd/A 60774-2025 artfynd.xlsx", "A 60774-2025")</f>
        <v/>
      </c>
      <c r="T351">
        <f>HYPERLINK("https://klasma.github.io/Logging_2582/kartor/A 60774-2025 karta.png", "A 60774-2025")</f>
        <v/>
      </c>
      <c r="V351">
        <f>HYPERLINK("https://klasma.github.io/Logging_2582/klagomål/A 60774-2025 FSC-klagomål.docx", "A 60774-2025")</f>
        <v/>
      </c>
      <c r="W351">
        <f>HYPERLINK("https://klasma.github.io/Logging_2582/klagomålsmail/A 60774-2025 FSC-klagomål mail.docx", "A 60774-2025")</f>
        <v/>
      </c>
      <c r="X351">
        <f>HYPERLINK("https://klasma.github.io/Logging_2582/tillsyn/A 60774-2025 tillsynsbegäran.docx", "A 60774-2025")</f>
        <v/>
      </c>
      <c r="Y351">
        <f>HYPERLINK("https://klasma.github.io/Logging_2582/tillsynsmail/A 60774-2025 tillsynsbegäran mail.docx", "A 60774-2025")</f>
        <v/>
      </c>
    </row>
    <row r="352" ht="15" customHeight="1">
      <c r="A352" t="inlineStr">
        <is>
          <t>A 61172-2025</t>
        </is>
      </c>
      <c r="B352" s="1" t="n">
        <v>45999</v>
      </c>
      <c r="C352" s="1" t="n">
        <v>46046</v>
      </c>
      <c r="D352" t="inlineStr">
        <is>
          <t>NORRBOTTENS LÄN</t>
        </is>
      </c>
      <c r="E352" t="inlineStr">
        <is>
          <t>ARVIDSJAUR</t>
        </is>
      </c>
      <c r="G352" t="n">
        <v>15.5</v>
      </c>
      <c r="H352" t="n">
        <v>0</v>
      </c>
      <c r="I352" t="n">
        <v>0</v>
      </c>
      <c r="J352" t="n">
        <v>3</v>
      </c>
      <c r="K352" t="n">
        <v>0</v>
      </c>
      <c r="L352" t="n">
        <v>0</v>
      </c>
      <c r="M352" t="n">
        <v>0</v>
      </c>
      <c r="N352" t="n">
        <v>0</v>
      </c>
      <c r="O352" t="n">
        <v>3</v>
      </c>
      <c r="P352" t="n">
        <v>0</v>
      </c>
      <c r="Q352" t="n">
        <v>3</v>
      </c>
      <c r="R352" s="2" t="inlineStr">
        <is>
          <t>Garnlav
Granticka
Knottrig blåslav</t>
        </is>
      </c>
      <c r="S352">
        <f>HYPERLINK("https://klasma.github.io/Logging_2505/artfynd/A 61172-2025 artfynd.xlsx", "A 61172-2025")</f>
        <v/>
      </c>
      <c r="T352">
        <f>HYPERLINK("https://klasma.github.io/Logging_2505/kartor/A 61172-2025 karta.png", "A 61172-2025")</f>
        <v/>
      </c>
      <c r="V352">
        <f>HYPERLINK("https://klasma.github.io/Logging_2505/klagomål/A 61172-2025 FSC-klagomål.docx", "A 61172-2025")</f>
        <v/>
      </c>
      <c r="W352">
        <f>HYPERLINK("https://klasma.github.io/Logging_2505/klagomålsmail/A 61172-2025 FSC-klagomål mail.docx", "A 61172-2025")</f>
        <v/>
      </c>
      <c r="X352">
        <f>HYPERLINK("https://klasma.github.io/Logging_2505/tillsyn/A 61172-2025 tillsynsbegäran.docx", "A 61172-2025")</f>
        <v/>
      </c>
      <c r="Y352">
        <f>HYPERLINK("https://klasma.github.io/Logging_2505/tillsynsmail/A 61172-2025 tillsynsbegäran mail.docx", "A 61172-2025")</f>
        <v/>
      </c>
    </row>
    <row r="353" ht="15" customHeight="1">
      <c r="A353" t="inlineStr">
        <is>
          <t>A 3509-2026</t>
        </is>
      </c>
      <c r="B353" s="1" t="n">
        <v>46042</v>
      </c>
      <c r="C353" s="1" t="n">
        <v>46046</v>
      </c>
      <c r="D353" t="inlineStr">
        <is>
          <t>NORRBOTTENS LÄN</t>
        </is>
      </c>
      <c r="E353" t="inlineStr">
        <is>
          <t>JOKKMOKK</t>
        </is>
      </c>
      <c r="F353" t="inlineStr">
        <is>
          <t>Övriga statliga verk och myndigheter</t>
        </is>
      </c>
      <c r="G353" t="n">
        <v>4.5</v>
      </c>
      <c r="H353" t="n">
        <v>0</v>
      </c>
      <c r="I353" t="n">
        <v>0</v>
      </c>
      <c r="J353" t="n">
        <v>3</v>
      </c>
      <c r="K353" t="n">
        <v>0</v>
      </c>
      <c r="L353" t="n">
        <v>0</v>
      </c>
      <c r="M353" t="n">
        <v>0</v>
      </c>
      <c r="N353" t="n">
        <v>0</v>
      </c>
      <c r="O353" t="n">
        <v>3</v>
      </c>
      <c r="P353" t="n">
        <v>0</v>
      </c>
      <c r="Q353" t="n">
        <v>3</v>
      </c>
      <c r="R353" s="2" t="inlineStr">
        <is>
          <t>Knottrig blåslav
Mörk kolflarnlav
Vedflamlav</t>
        </is>
      </c>
      <c r="S353">
        <f>HYPERLINK("https://klasma.github.io/Logging_2510/artfynd/A 3509-2026 artfynd.xlsx", "A 3509-2026")</f>
        <v/>
      </c>
      <c r="T353">
        <f>HYPERLINK("https://klasma.github.io/Logging_2510/kartor/A 3509-2026 karta.png", "A 3509-2026")</f>
        <v/>
      </c>
      <c r="V353">
        <f>HYPERLINK("https://klasma.github.io/Logging_2510/klagomål/A 3509-2026 FSC-klagomål.docx", "A 3509-2026")</f>
        <v/>
      </c>
      <c r="W353">
        <f>HYPERLINK("https://klasma.github.io/Logging_2510/klagomålsmail/A 3509-2026 FSC-klagomål mail.docx", "A 3509-2026")</f>
        <v/>
      </c>
      <c r="X353">
        <f>HYPERLINK("https://klasma.github.io/Logging_2510/tillsyn/A 3509-2026 tillsynsbegäran.docx", "A 3509-2026")</f>
        <v/>
      </c>
      <c r="Y353">
        <f>HYPERLINK("https://klasma.github.io/Logging_2510/tillsynsmail/A 3509-2026 tillsynsbegäran mail.docx", "A 3509-2026")</f>
        <v/>
      </c>
    </row>
    <row r="354" ht="15" customHeight="1">
      <c r="A354" t="inlineStr">
        <is>
          <t>A 14684-2021</t>
        </is>
      </c>
      <c r="B354" s="1" t="n">
        <v>44280</v>
      </c>
      <c r="C354" s="1" t="n">
        <v>46046</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46046</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46046</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46046</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46046</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47498-2022</t>
        </is>
      </c>
      <c r="B359" s="1" t="n">
        <v>44853</v>
      </c>
      <c r="C359" s="1" t="n">
        <v>46046</v>
      </c>
      <c r="D359" t="inlineStr">
        <is>
          <t>NORRBOTTENS LÄN</t>
        </is>
      </c>
      <c r="E359" t="inlineStr">
        <is>
          <t>BODEN</t>
        </is>
      </c>
      <c r="F359" t="inlineStr">
        <is>
          <t>Kommuner</t>
        </is>
      </c>
      <c r="G359" t="n">
        <v>2.6</v>
      </c>
      <c r="H359" t="n">
        <v>2</v>
      </c>
      <c r="I359" t="n">
        <v>0</v>
      </c>
      <c r="J359" t="n">
        <v>1</v>
      </c>
      <c r="K359" t="n">
        <v>0</v>
      </c>
      <c r="L359" t="n">
        <v>0</v>
      </c>
      <c r="M359" t="n">
        <v>0</v>
      </c>
      <c r="N359" t="n">
        <v>0</v>
      </c>
      <c r="O359" t="n">
        <v>1</v>
      </c>
      <c r="P359" t="n">
        <v>0</v>
      </c>
      <c r="Q359" t="n">
        <v>2</v>
      </c>
      <c r="R359" s="2" t="inlineStr">
        <is>
          <t>Spillkråka
Orre</t>
        </is>
      </c>
      <c r="S359">
        <f>HYPERLINK("https://klasma.github.io/Logging_2582/artfynd/A 47498-2022 artfynd.xlsx", "A 47498-2022")</f>
        <v/>
      </c>
      <c r="T359">
        <f>HYPERLINK("https://klasma.github.io/Logging_2582/kartor/A 47498-2022 karta.png", "A 47498-2022")</f>
        <v/>
      </c>
      <c r="V359">
        <f>HYPERLINK("https://klasma.github.io/Logging_2582/klagomål/A 47498-2022 FSC-klagomål.docx", "A 47498-2022")</f>
        <v/>
      </c>
      <c r="W359">
        <f>HYPERLINK("https://klasma.github.io/Logging_2582/klagomålsmail/A 47498-2022 FSC-klagomål mail.docx", "A 47498-2022")</f>
        <v/>
      </c>
      <c r="X359">
        <f>HYPERLINK("https://klasma.github.io/Logging_2582/tillsyn/A 47498-2022 tillsynsbegäran.docx", "A 47498-2022")</f>
        <v/>
      </c>
      <c r="Y359">
        <f>HYPERLINK("https://klasma.github.io/Logging_2582/tillsynsmail/A 47498-2022 tillsynsbegäran mail.docx", "A 47498-2022")</f>
        <v/>
      </c>
      <c r="Z359">
        <f>HYPERLINK("https://klasma.github.io/Logging_2582/fåglar/A 47498-2022 prioriterade fågelarter.docx", "A 47498-2022")</f>
        <v/>
      </c>
    </row>
    <row r="360" ht="15" customHeight="1">
      <c r="A360" t="inlineStr">
        <is>
          <t>A 42548-2021</t>
        </is>
      </c>
      <c r="B360" s="1" t="n">
        <v>44427</v>
      </c>
      <c r="C360" s="1" t="n">
        <v>46046</v>
      </c>
      <c r="D360" t="inlineStr">
        <is>
          <t>NORRBOTTENS LÄN</t>
        </is>
      </c>
      <c r="E360" t="inlineStr">
        <is>
          <t>GÄLLIVARE</t>
        </is>
      </c>
      <c r="F360" t="inlineStr">
        <is>
          <t>SCA</t>
        </is>
      </c>
      <c r="G360" t="n">
        <v>3.2</v>
      </c>
      <c r="H360" t="n">
        <v>0</v>
      </c>
      <c r="I360" t="n">
        <v>0</v>
      </c>
      <c r="J360" t="n">
        <v>2</v>
      </c>
      <c r="K360" t="n">
        <v>0</v>
      </c>
      <c r="L360" t="n">
        <v>0</v>
      </c>
      <c r="M360" t="n">
        <v>0</v>
      </c>
      <c r="N360" t="n">
        <v>0</v>
      </c>
      <c r="O360" t="n">
        <v>2</v>
      </c>
      <c r="P360" t="n">
        <v>0</v>
      </c>
      <c r="Q360" t="n">
        <v>2</v>
      </c>
      <c r="R360" s="2" t="inlineStr">
        <is>
          <t>Orange taggsvamp
Svart taggsvamp</t>
        </is>
      </c>
      <c r="S360">
        <f>HYPERLINK("https://klasma.github.io/Logging_2523/artfynd/A 42548-2021 artfynd.xlsx", "A 42548-2021")</f>
        <v/>
      </c>
      <c r="T360">
        <f>HYPERLINK("https://klasma.github.io/Logging_2523/kartor/A 42548-2021 karta.png", "A 42548-2021")</f>
        <v/>
      </c>
      <c r="V360">
        <f>HYPERLINK("https://klasma.github.io/Logging_2523/klagomål/A 42548-2021 FSC-klagomål.docx", "A 42548-2021")</f>
        <v/>
      </c>
      <c r="W360">
        <f>HYPERLINK("https://klasma.github.io/Logging_2523/klagomålsmail/A 42548-2021 FSC-klagomål mail.docx", "A 42548-2021")</f>
        <v/>
      </c>
      <c r="X360">
        <f>HYPERLINK("https://klasma.github.io/Logging_2523/tillsyn/A 42548-2021 tillsynsbegäran.docx", "A 42548-2021")</f>
        <v/>
      </c>
      <c r="Y360">
        <f>HYPERLINK("https://klasma.github.io/Logging_2523/tillsynsmail/A 42548-2021 tillsynsbegäran mail.docx", "A 42548-2021")</f>
        <v/>
      </c>
    </row>
    <row r="361" ht="15" customHeight="1">
      <c r="A361" t="inlineStr">
        <is>
          <t>A 15192-2022</t>
        </is>
      </c>
      <c r="B361" s="1" t="n">
        <v>44658.62614583333</v>
      </c>
      <c r="C361" s="1" t="n">
        <v>46046</v>
      </c>
      <c r="D361" t="inlineStr">
        <is>
          <t>NORRBOTTENS LÄN</t>
        </is>
      </c>
      <c r="E361" t="inlineStr">
        <is>
          <t>LULEÅ</t>
        </is>
      </c>
      <c r="G361" t="n">
        <v>6.9</v>
      </c>
      <c r="H361" t="n">
        <v>1</v>
      </c>
      <c r="I361" t="n">
        <v>0</v>
      </c>
      <c r="J361" t="n">
        <v>2</v>
      </c>
      <c r="K361" t="n">
        <v>0</v>
      </c>
      <c r="L361" t="n">
        <v>0</v>
      </c>
      <c r="M361" t="n">
        <v>0</v>
      </c>
      <c r="N361" t="n">
        <v>0</v>
      </c>
      <c r="O361" t="n">
        <v>2</v>
      </c>
      <c r="P361" t="n">
        <v>0</v>
      </c>
      <c r="Q361" t="n">
        <v>2</v>
      </c>
      <c r="R361" s="2" t="inlineStr">
        <is>
          <t>Björktrast
Igelkott</t>
        </is>
      </c>
      <c r="S361">
        <f>HYPERLINK("https://klasma.github.io/Logging_2580/artfynd/A 15192-2022 artfynd.xlsx", "A 15192-2022")</f>
        <v/>
      </c>
      <c r="T361">
        <f>HYPERLINK("https://klasma.github.io/Logging_2580/kartor/A 15192-2022 karta.png", "A 15192-2022")</f>
        <v/>
      </c>
      <c r="V361">
        <f>HYPERLINK("https://klasma.github.io/Logging_2580/klagomål/A 15192-2022 FSC-klagomål.docx", "A 15192-2022")</f>
        <v/>
      </c>
      <c r="W361">
        <f>HYPERLINK("https://klasma.github.io/Logging_2580/klagomålsmail/A 15192-2022 FSC-klagomål mail.docx", "A 15192-2022")</f>
        <v/>
      </c>
      <c r="X361">
        <f>HYPERLINK("https://klasma.github.io/Logging_2580/tillsyn/A 15192-2022 tillsynsbegäran.docx", "A 15192-2022")</f>
        <v/>
      </c>
      <c r="Y361">
        <f>HYPERLINK("https://klasma.github.io/Logging_2580/tillsynsmail/A 15192-2022 tillsynsbegäran mail.docx", "A 15192-2022")</f>
        <v/>
      </c>
      <c r="Z361">
        <f>HYPERLINK("https://klasma.github.io/Logging_2580/fåglar/A 15192-2022 prioriterade fågelarter.docx", "A 15192-2022")</f>
        <v/>
      </c>
    </row>
    <row r="362" ht="15" customHeight="1">
      <c r="A362" t="inlineStr">
        <is>
          <t>A 48789-2021</t>
        </is>
      </c>
      <c r="B362" s="1" t="n">
        <v>44452</v>
      </c>
      <c r="C362" s="1" t="n">
        <v>46046</v>
      </c>
      <c r="D362" t="inlineStr">
        <is>
          <t>NORRBOTTENS LÄN</t>
        </is>
      </c>
      <c r="E362" t="inlineStr">
        <is>
          <t>ÖVERTORNEÅ</t>
        </is>
      </c>
      <c r="G362" t="n">
        <v>0.7</v>
      </c>
      <c r="H362" t="n">
        <v>1</v>
      </c>
      <c r="I362" t="n">
        <v>0</v>
      </c>
      <c r="J362" t="n">
        <v>1</v>
      </c>
      <c r="K362" t="n">
        <v>0</v>
      </c>
      <c r="L362" t="n">
        <v>0</v>
      </c>
      <c r="M362" t="n">
        <v>0</v>
      </c>
      <c r="N362" t="n">
        <v>0</v>
      </c>
      <c r="O362" t="n">
        <v>1</v>
      </c>
      <c r="P362" t="n">
        <v>0</v>
      </c>
      <c r="Q362" t="n">
        <v>2</v>
      </c>
      <c r="R362" s="2" t="inlineStr">
        <is>
          <t>Garnlav
Revlummer</t>
        </is>
      </c>
      <c r="S362">
        <f>HYPERLINK("https://klasma.github.io/Logging_2518/artfynd/A 48789-2021 artfynd.xlsx", "A 48789-2021")</f>
        <v/>
      </c>
      <c r="T362">
        <f>HYPERLINK("https://klasma.github.io/Logging_2518/kartor/A 48789-2021 karta.png", "A 48789-2021")</f>
        <v/>
      </c>
      <c r="V362">
        <f>HYPERLINK("https://klasma.github.io/Logging_2518/klagomål/A 48789-2021 FSC-klagomål.docx", "A 48789-2021")</f>
        <v/>
      </c>
      <c r="W362">
        <f>HYPERLINK("https://klasma.github.io/Logging_2518/klagomålsmail/A 48789-2021 FSC-klagomål mail.docx", "A 48789-2021")</f>
        <v/>
      </c>
      <c r="X362">
        <f>HYPERLINK("https://klasma.github.io/Logging_2518/tillsyn/A 48789-2021 tillsynsbegäran.docx", "A 48789-2021")</f>
        <v/>
      </c>
      <c r="Y362">
        <f>HYPERLINK("https://klasma.github.io/Logging_2518/tillsynsmail/A 48789-2021 tillsynsbegäran mail.docx", "A 48789-2021")</f>
        <v/>
      </c>
    </row>
    <row r="363" ht="15" customHeight="1">
      <c r="A363" t="inlineStr">
        <is>
          <t>A 36289-2022</t>
        </is>
      </c>
      <c r="B363" s="1" t="n">
        <v>44803</v>
      </c>
      <c r="C363" s="1" t="n">
        <v>46046</v>
      </c>
      <c r="D363" t="inlineStr">
        <is>
          <t>NORRBOTTENS LÄN</t>
        </is>
      </c>
      <c r="E363" t="inlineStr">
        <is>
          <t>GÄLLIVARE</t>
        </is>
      </c>
      <c r="G363" t="n">
        <v>9.6</v>
      </c>
      <c r="H363" t="n">
        <v>2</v>
      </c>
      <c r="I363" t="n">
        <v>1</v>
      </c>
      <c r="J363" t="n">
        <v>0</v>
      </c>
      <c r="K363" t="n">
        <v>0</v>
      </c>
      <c r="L363" t="n">
        <v>0</v>
      </c>
      <c r="M363" t="n">
        <v>0</v>
      </c>
      <c r="N363" t="n">
        <v>0</v>
      </c>
      <c r="O363" t="n">
        <v>0</v>
      </c>
      <c r="P363" t="n">
        <v>0</v>
      </c>
      <c r="Q363" t="n">
        <v>2</v>
      </c>
      <c r="R363" s="2" t="inlineStr">
        <is>
          <t>Spindelblomster
Revlummer</t>
        </is>
      </c>
      <c r="S363">
        <f>HYPERLINK("https://klasma.github.io/Logging_2523/artfynd/A 36289-2022 artfynd.xlsx", "A 36289-2022")</f>
        <v/>
      </c>
      <c r="T363">
        <f>HYPERLINK("https://klasma.github.io/Logging_2523/kartor/A 36289-2022 karta.png", "A 36289-2022")</f>
        <v/>
      </c>
      <c r="V363">
        <f>HYPERLINK("https://klasma.github.io/Logging_2523/klagomål/A 36289-2022 FSC-klagomål.docx", "A 36289-2022")</f>
        <v/>
      </c>
      <c r="W363">
        <f>HYPERLINK("https://klasma.github.io/Logging_2523/klagomålsmail/A 36289-2022 FSC-klagomål mail.docx", "A 36289-2022")</f>
        <v/>
      </c>
      <c r="X363">
        <f>HYPERLINK("https://klasma.github.io/Logging_2523/tillsyn/A 36289-2022 tillsynsbegäran.docx", "A 36289-2022")</f>
        <v/>
      </c>
      <c r="Y363">
        <f>HYPERLINK("https://klasma.github.io/Logging_2523/tillsynsmail/A 36289-2022 tillsynsbegäran mail.docx", "A 36289-2022")</f>
        <v/>
      </c>
    </row>
    <row r="364" ht="15" customHeight="1">
      <c r="A364" t="inlineStr">
        <is>
          <t>A 21861-2021</t>
        </is>
      </c>
      <c r="B364" s="1" t="n">
        <v>44322</v>
      </c>
      <c r="C364" s="1" t="n">
        <v>46046</v>
      </c>
      <c r="D364" t="inlineStr">
        <is>
          <t>NORRBOTTENS LÄN</t>
        </is>
      </c>
      <c r="E364" t="inlineStr">
        <is>
          <t>BODEN</t>
        </is>
      </c>
      <c r="G364" t="n">
        <v>34.6</v>
      </c>
      <c r="H364" t="n">
        <v>2</v>
      </c>
      <c r="I364" t="n">
        <v>0</v>
      </c>
      <c r="J364" t="n">
        <v>0</v>
      </c>
      <c r="K364" t="n">
        <v>2</v>
      </c>
      <c r="L364" t="n">
        <v>0</v>
      </c>
      <c r="M364" t="n">
        <v>0</v>
      </c>
      <c r="N364" t="n">
        <v>0</v>
      </c>
      <c r="O364" t="n">
        <v>2</v>
      </c>
      <c r="P364" t="n">
        <v>2</v>
      </c>
      <c r="Q364" t="n">
        <v>2</v>
      </c>
      <c r="R364" s="2" t="inlineStr">
        <is>
          <t>Finnros
Gråtrut</t>
        </is>
      </c>
      <c r="S364">
        <f>HYPERLINK("https://klasma.github.io/Logging_2582/artfynd/A 21861-2021 artfynd.xlsx", "A 21861-2021")</f>
        <v/>
      </c>
      <c r="T364">
        <f>HYPERLINK("https://klasma.github.io/Logging_2582/kartor/A 21861-2021 karta.png", "A 21861-2021")</f>
        <v/>
      </c>
      <c r="V364">
        <f>HYPERLINK("https://klasma.github.io/Logging_2582/klagomål/A 21861-2021 FSC-klagomål.docx", "A 21861-2021")</f>
        <v/>
      </c>
      <c r="W364">
        <f>HYPERLINK("https://klasma.github.io/Logging_2582/klagomålsmail/A 21861-2021 FSC-klagomål mail.docx", "A 21861-2021")</f>
        <v/>
      </c>
      <c r="X364">
        <f>HYPERLINK("https://klasma.github.io/Logging_2582/tillsyn/A 21861-2021 tillsynsbegäran.docx", "A 21861-2021")</f>
        <v/>
      </c>
      <c r="Y364">
        <f>HYPERLINK("https://klasma.github.io/Logging_2582/tillsynsmail/A 21861-2021 tillsynsbegäran mail.docx", "A 21861-2021")</f>
        <v/>
      </c>
    </row>
    <row r="365" ht="15" customHeight="1">
      <c r="A365" t="inlineStr">
        <is>
          <t>A 17190-2021</t>
        </is>
      </c>
      <c r="B365" s="1" t="n">
        <v>44298</v>
      </c>
      <c r="C365" s="1" t="n">
        <v>46046</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52513-2022</t>
        </is>
      </c>
      <c r="B366" s="1" t="n">
        <v>44874</v>
      </c>
      <c r="C366" s="1" t="n">
        <v>46046</v>
      </c>
      <c r="D366" t="inlineStr">
        <is>
          <t>NORRBOTTENS LÄN</t>
        </is>
      </c>
      <c r="E366" t="inlineStr">
        <is>
          <t>ÄLVSBYN</t>
        </is>
      </c>
      <c r="F366" t="inlineStr">
        <is>
          <t>Sveaskog</t>
        </is>
      </c>
      <c r="G366" t="n">
        <v>2.3</v>
      </c>
      <c r="H366" t="n">
        <v>0</v>
      </c>
      <c r="I366" t="n">
        <v>0</v>
      </c>
      <c r="J366" t="n">
        <v>2</v>
      </c>
      <c r="K366" t="n">
        <v>0</v>
      </c>
      <c r="L366" t="n">
        <v>0</v>
      </c>
      <c r="M366" t="n">
        <v>0</v>
      </c>
      <c r="N366" t="n">
        <v>0</v>
      </c>
      <c r="O366" t="n">
        <v>2</v>
      </c>
      <c r="P366" t="n">
        <v>0</v>
      </c>
      <c r="Q366" t="n">
        <v>2</v>
      </c>
      <c r="R366" s="2" t="inlineStr">
        <is>
          <t>Gammelgransskål
Lunglav</t>
        </is>
      </c>
      <c r="S366">
        <f>HYPERLINK("https://klasma.github.io/Logging_2560/artfynd/A 52513-2022 artfynd.xlsx", "A 52513-2022")</f>
        <v/>
      </c>
      <c r="T366">
        <f>HYPERLINK("https://klasma.github.io/Logging_2560/kartor/A 52513-2022 karta.png", "A 52513-2022")</f>
        <v/>
      </c>
      <c r="V366">
        <f>HYPERLINK("https://klasma.github.io/Logging_2560/klagomål/A 52513-2022 FSC-klagomål.docx", "A 52513-2022")</f>
        <v/>
      </c>
      <c r="W366">
        <f>HYPERLINK("https://klasma.github.io/Logging_2560/klagomålsmail/A 52513-2022 FSC-klagomål mail.docx", "A 52513-2022")</f>
        <v/>
      </c>
      <c r="X366">
        <f>HYPERLINK("https://klasma.github.io/Logging_2560/tillsyn/A 52513-2022 tillsynsbegäran.docx", "A 52513-2022")</f>
        <v/>
      </c>
      <c r="Y366">
        <f>HYPERLINK("https://klasma.github.io/Logging_2560/tillsynsmail/A 52513-2022 tillsynsbegäran mail.docx", "A 52513-2022")</f>
        <v/>
      </c>
    </row>
    <row r="367" ht="15" customHeight="1">
      <c r="A367" t="inlineStr">
        <is>
          <t>A 13659-2022</t>
        </is>
      </c>
      <c r="B367" s="1" t="n">
        <v>44648</v>
      </c>
      <c r="C367" s="1" t="n">
        <v>46046</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52326-2021</t>
        </is>
      </c>
      <c r="B368" s="1" t="n">
        <v>44463</v>
      </c>
      <c r="C368" s="1" t="n">
        <v>46046</v>
      </c>
      <c r="D368" t="inlineStr">
        <is>
          <t>NORRBOTTENS LÄN</t>
        </is>
      </c>
      <c r="E368" t="inlineStr">
        <is>
          <t>ÖVERKALIX</t>
        </is>
      </c>
      <c r="F368" t="inlineStr">
        <is>
          <t>SCA</t>
        </is>
      </c>
      <c r="G368" t="n">
        <v>1.2</v>
      </c>
      <c r="H368" t="n">
        <v>0</v>
      </c>
      <c r="I368" t="n">
        <v>0</v>
      </c>
      <c r="J368" t="n">
        <v>2</v>
      </c>
      <c r="K368" t="n">
        <v>0</v>
      </c>
      <c r="L368" t="n">
        <v>0</v>
      </c>
      <c r="M368" t="n">
        <v>0</v>
      </c>
      <c r="N368" t="n">
        <v>0</v>
      </c>
      <c r="O368" t="n">
        <v>2</v>
      </c>
      <c r="P368" t="n">
        <v>0</v>
      </c>
      <c r="Q368" t="n">
        <v>2</v>
      </c>
      <c r="R368" s="2" t="inlineStr">
        <is>
          <t>Tallriska
Talltaggsvamp</t>
        </is>
      </c>
      <c r="S368">
        <f>HYPERLINK("https://klasma.github.io/Logging_2513/artfynd/A 52326-2021 artfynd.xlsx", "A 52326-2021")</f>
        <v/>
      </c>
      <c r="T368">
        <f>HYPERLINK("https://klasma.github.io/Logging_2513/kartor/A 52326-2021 karta.png", "A 52326-2021")</f>
        <v/>
      </c>
      <c r="V368">
        <f>HYPERLINK("https://klasma.github.io/Logging_2513/klagomål/A 52326-2021 FSC-klagomål.docx", "A 52326-2021")</f>
        <v/>
      </c>
      <c r="W368">
        <f>HYPERLINK("https://klasma.github.io/Logging_2513/klagomålsmail/A 52326-2021 FSC-klagomål mail.docx", "A 52326-2021")</f>
        <v/>
      </c>
      <c r="X368">
        <f>HYPERLINK("https://klasma.github.io/Logging_2513/tillsyn/A 52326-2021 tillsynsbegäran.docx", "A 52326-2021")</f>
        <v/>
      </c>
      <c r="Y368">
        <f>HYPERLINK("https://klasma.github.io/Logging_2513/tillsynsmail/A 52326-2021 tillsynsbegäran mail.docx", "A 52326-2021")</f>
        <v/>
      </c>
    </row>
    <row r="369" ht="15" customHeight="1">
      <c r="A369" t="inlineStr">
        <is>
          <t>A 62537-2023</t>
        </is>
      </c>
      <c r="B369" s="1" t="n">
        <v>45268.71260416666</v>
      </c>
      <c r="C369" s="1" t="n">
        <v>46046</v>
      </c>
      <c r="D369" t="inlineStr">
        <is>
          <t>NORRBOTTENS LÄN</t>
        </is>
      </c>
      <c r="E369" t="inlineStr">
        <is>
          <t>KALIX</t>
        </is>
      </c>
      <c r="G369" t="n">
        <v>6.9</v>
      </c>
      <c r="H369" t="n">
        <v>1</v>
      </c>
      <c r="I369" t="n">
        <v>1</v>
      </c>
      <c r="J369" t="n">
        <v>0</v>
      </c>
      <c r="K369" t="n">
        <v>0</v>
      </c>
      <c r="L369" t="n">
        <v>0</v>
      </c>
      <c r="M369" t="n">
        <v>0</v>
      </c>
      <c r="N369" t="n">
        <v>0</v>
      </c>
      <c r="O369" t="n">
        <v>0</v>
      </c>
      <c r="P369" t="n">
        <v>0</v>
      </c>
      <c r="Q369" t="n">
        <v>2</v>
      </c>
      <c r="R369" s="2" t="inlineStr">
        <is>
          <t>Tibast
Äkta lopplummer</t>
        </is>
      </c>
      <c r="S369">
        <f>HYPERLINK("https://klasma.github.io/Logging_2514/artfynd/A 62537-2023 artfynd.xlsx", "A 62537-2023")</f>
        <v/>
      </c>
      <c r="T369">
        <f>HYPERLINK("https://klasma.github.io/Logging_2514/kartor/A 62537-2023 karta.png", "A 62537-2023")</f>
        <v/>
      </c>
      <c r="V369">
        <f>HYPERLINK("https://klasma.github.io/Logging_2514/klagomål/A 62537-2023 FSC-klagomål.docx", "A 62537-2023")</f>
        <v/>
      </c>
      <c r="W369">
        <f>HYPERLINK("https://klasma.github.io/Logging_2514/klagomålsmail/A 62537-2023 FSC-klagomål mail.docx", "A 62537-2023")</f>
        <v/>
      </c>
      <c r="X369">
        <f>HYPERLINK("https://klasma.github.io/Logging_2514/tillsyn/A 62537-2023 tillsynsbegäran.docx", "A 62537-2023")</f>
        <v/>
      </c>
      <c r="Y369">
        <f>HYPERLINK("https://klasma.github.io/Logging_2514/tillsynsmail/A 62537-2023 tillsynsbegäran mail.docx", "A 62537-2023")</f>
        <v/>
      </c>
    </row>
    <row r="370" ht="15" customHeight="1">
      <c r="A370" t="inlineStr">
        <is>
          <t>A 36629-2022</t>
        </is>
      </c>
      <c r="B370" s="1" t="n">
        <v>44804</v>
      </c>
      <c r="C370" s="1" t="n">
        <v>46046</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5797-2022</t>
        </is>
      </c>
      <c r="B371" s="1" t="n">
        <v>44596</v>
      </c>
      <c r="C371" s="1" t="n">
        <v>46046</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46046</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55038-2024</t>
        </is>
      </c>
      <c r="B373" s="1" t="n">
        <v>45621</v>
      </c>
      <c r="C373" s="1" t="n">
        <v>46046</v>
      </c>
      <c r="D373" t="inlineStr">
        <is>
          <t>NORRBOTTENS LÄN</t>
        </is>
      </c>
      <c r="E373" t="inlineStr">
        <is>
          <t>ÄLVSBYN</t>
        </is>
      </c>
      <c r="F373" t="inlineStr">
        <is>
          <t>Sveaskog</t>
        </is>
      </c>
      <c r="G373" t="n">
        <v>39</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55038-2024 artfynd.xlsx", "A 55038-2024")</f>
        <v/>
      </c>
      <c r="T373">
        <f>HYPERLINK("https://klasma.github.io/Logging_2560/kartor/A 55038-2024 karta.png", "A 55038-2024")</f>
        <v/>
      </c>
      <c r="V373">
        <f>HYPERLINK("https://klasma.github.io/Logging_2560/klagomål/A 55038-2024 FSC-klagomål.docx", "A 55038-2024")</f>
        <v/>
      </c>
      <c r="W373">
        <f>HYPERLINK("https://klasma.github.io/Logging_2560/klagomålsmail/A 55038-2024 FSC-klagomål mail.docx", "A 55038-2024")</f>
        <v/>
      </c>
      <c r="X373">
        <f>HYPERLINK("https://klasma.github.io/Logging_2560/tillsyn/A 55038-2024 tillsynsbegäran.docx", "A 55038-2024")</f>
        <v/>
      </c>
      <c r="Y373">
        <f>HYPERLINK("https://klasma.github.io/Logging_2560/tillsynsmail/A 55038-2024 tillsynsbegäran mail.docx", "A 55038-2024")</f>
        <v/>
      </c>
    </row>
    <row r="374" ht="15" customHeight="1">
      <c r="A374" t="inlineStr">
        <is>
          <t>A 15827-2025</t>
        </is>
      </c>
      <c r="B374" s="1" t="n">
        <v>45748</v>
      </c>
      <c r="C374" s="1" t="n">
        <v>46046</v>
      </c>
      <c r="D374" t="inlineStr">
        <is>
          <t>NORRBOTTENS LÄN</t>
        </is>
      </c>
      <c r="E374" t="inlineStr">
        <is>
          <t>JOKKMOKK</t>
        </is>
      </c>
      <c r="G374" t="n">
        <v>23</v>
      </c>
      <c r="H374" t="n">
        <v>0</v>
      </c>
      <c r="I374" t="n">
        <v>0</v>
      </c>
      <c r="J374" t="n">
        <v>2</v>
      </c>
      <c r="K374" t="n">
        <v>0</v>
      </c>
      <c r="L374" t="n">
        <v>0</v>
      </c>
      <c r="M374" t="n">
        <v>0</v>
      </c>
      <c r="N374" t="n">
        <v>0</v>
      </c>
      <c r="O374" t="n">
        <v>2</v>
      </c>
      <c r="P374" t="n">
        <v>0</v>
      </c>
      <c r="Q374" t="n">
        <v>2</v>
      </c>
      <c r="R374" s="2" t="inlineStr">
        <is>
          <t>Dvärgbägarlav
Vaddporing</t>
        </is>
      </c>
      <c r="S374">
        <f>HYPERLINK("https://klasma.github.io/Logging_2510/artfynd/A 15827-2025 artfynd.xlsx", "A 15827-2025")</f>
        <v/>
      </c>
      <c r="T374">
        <f>HYPERLINK("https://klasma.github.io/Logging_2510/kartor/A 15827-2025 karta.png", "A 15827-2025")</f>
        <v/>
      </c>
      <c r="V374">
        <f>HYPERLINK("https://klasma.github.io/Logging_2510/klagomål/A 15827-2025 FSC-klagomål.docx", "A 15827-2025")</f>
        <v/>
      </c>
      <c r="W374">
        <f>HYPERLINK("https://klasma.github.io/Logging_2510/klagomålsmail/A 15827-2025 FSC-klagomål mail.docx", "A 15827-2025")</f>
        <v/>
      </c>
      <c r="X374">
        <f>HYPERLINK("https://klasma.github.io/Logging_2510/tillsyn/A 15827-2025 tillsynsbegäran.docx", "A 15827-2025")</f>
        <v/>
      </c>
      <c r="Y374">
        <f>HYPERLINK("https://klasma.github.io/Logging_2510/tillsynsmail/A 15827-2025 tillsynsbegäran mail.docx", "A 15827-2025")</f>
        <v/>
      </c>
    </row>
    <row r="375" ht="15" customHeight="1">
      <c r="A375" t="inlineStr">
        <is>
          <t>A 45030-2023</t>
        </is>
      </c>
      <c r="B375" s="1" t="n">
        <v>45190</v>
      </c>
      <c r="C375" s="1" t="n">
        <v>46046</v>
      </c>
      <c r="D375" t="inlineStr">
        <is>
          <t>NORRBOTTENS LÄN</t>
        </is>
      </c>
      <c r="E375" t="inlineStr">
        <is>
          <t>ARJEPLOG</t>
        </is>
      </c>
      <c r="F375" t="inlineStr">
        <is>
          <t>Övriga statliga verk och myndigheter</t>
        </is>
      </c>
      <c r="G375" t="n">
        <v>3.8</v>
      </c>
      <c r="H375" t="n">
        <v>0</v>
      </c>
      <c r="I375" t="n">
        <v>0</v>
      </c>
      <c r="J375" t="n">
        <v>2</v>
      </c>
      <c r="K375" t="n">
        <v>0</v>
      </c>
      <c r="L375" t="n">
        <v>0</v>
      </c>
      <c r="M375" t="n">
        <v>0</v>
      </c>
      <c r="N375" t="n">
        <v>0</v>
      </c>
      <c r="O375" t="n">
        <v>2</v>
      </c>
      <c r="P375" t="n">
        <v>0</v>
      </c>
      <c r="Q375" t="n">
        <v>2</v>
      </c>
      <c r="R375" s="2" t="inlineStr">
        <is>
          <t>Harticka
Ullticka</t>
        </is>
      </c>
      <c r="S375">
        <f>HYPERLINK("https://klasma.github.io/Logging_2506/artfynd/A 45030-2023 artfynd.xlsx", "A 45030-2023")</f>
        <v/>
      </c>
      <c r="T375">
        <f>HYPERLINK("https://klasma.github.io/Logging_2506/kartor/A 45030-2023 karta.png", "A 45030-2023")</f>
        <v/>
      </c>
      <c r="V375">
        <f>HYPERLINK("https://klasma.github.io/Logging_2506/klagomål/A 45030-2023 FSC-klagomål.docx", "A 45030-2023")</f>
        <v/>
      </c>
      <c r="W375">
        <f>HYPERLINK("https://klasma.github.io/Logging_2506/klagomålsmail/A 45030-2023 FSC-klagomål mail.docx", "A 45030-2023")</f>
        <v/>
      </c>
      <c r="X375">
        <f>HYPERLINK("https://klasma.github.io/Logging_2506/tillsyn/A 45030-2023 tillsynsbegäran.docx", "A 45030-2023")</f>
        <v/>
      </c>
      <c r="Y375">
        <f>HYPERLINK("https://klasma.github.io/Logging_2506/tillsynsmail/A 45030-2023 tillsynsbegäran mail.docx", "A 45030-2023")</f>
        <v/>
      </c>
    </row>
    <row r="376" ht="15" customHeight="1">
      <c r="A376" t="inlineStr">
        <is>
          <t>A 67902-2021</t>
        </is>
      </c>
      <c r="B376" s="1" t="n">
        <v>44525</v>
      </c>
      <c r="C376" s="1" t="n">
        <v>46046</v>
      </c>
      <c r="D376" t="inlineStr">
        <is>
          <t>NORRBOTTENS LÄN</t>
        </is>
      </c>
      <c r="E376" t="inlineStr">
        <is>
          <t>PITEÅ</t>
        </is>
      </c>
      <c r="F376" t="inlineStr">
        <is>
          <t>Sveaskog</t>
        </is>
      </c>
      <c r="G376" t="n">
        <v>1.6</v>
      </c>
      <c r="H376" t="n">
        <v>0</v>
      </c>
      <c r="I376" t="n">
        <v>1</v>
      </c>
      <c r="J376" t="n">
        <v>1</v>
      </c>
      <c r="K376" t="n">
        <v>0</v>
      </c>
      <c r="L376" t="n">
        <v>0</v>
      </c>
      <c r="M376" t="n">
        <v>0</v>
      </c>
      <c r="N376" t="n">
        <v>0</v>
      </c>
      <c r="O376" t="n">
        <v>1</v>
      </c>
      <c r="P376" t="n">
        <v>0</v>
      </c>
      <c r="Q376" t="n">
        <v>2</v>
      </c>
      <c r="R376" s="2" t="inlineStr">
        <is>
          <t>Rosenticka
Stor aspticka</t>
        </is>
      </c>
      <c r="S376">
        <f>HYPERLINK("https://klasma.github.io/Logging_2581/artfynd/A 67902-2021 artfynd.xlsx", "A 67902-2021")</f>
        <v/>
      </c>
      <c r="T376">
        <f>HYPERLINK("https://klasma.github.io/Logging_2581/kartor/A 67902-2021 karta.png", "A 67902-2021")</f>
        <v/>
      </c>
      <c r="V376">
        <f>HYPERLINK("https://klasma.github.io/Logging_2581/klagomål/A 67902-2021 FSC-klagomål.docx", "A 67902-2021")</f>
        <v/>
      </c>
      <c r="W376">
        <f>HYPERLINK("https://klasma.github.io/Logging_2581/klagomålsmail/A 67902-2021 FSC-klagomål mail.docx", "A 67902-2021")</f>
        <v/>
      </c>
      <c r="X376">
        <f>HYPERLINK("https://klasma.github.io/Logging_2581/tillsyn/A 67902-2021 tillsynsbegäran.docx", "A 67902-2021")</f>
        <v/>
      </c>
      <c r="Y376">
        <f>HYPERLINK("https://klasma.github.io/Logging_2581/tillsynsmail/A 67902-2021 tillsynsbegäran mail.docx", "A 67902-2021")</f>
        <v/>
      </c>
    </row>
    <row r="377" ht="15" customHeight="1">
      <c r="A377" t="inlineStr">
        <is>
          <t>A 26346-2022</t>
        </is>
      </c>
      <c r="B377" s="1" t="n">
        <v>44735.63122685185</v>
      </c>
      <c r="C377" s="1" t="n">
        <v>46046</v>
      </c>
      <c r="D377" t="inlineStr">
        <is>
          <t>NORRBOTTENS LÄN</t>
        </is>
      </c>
      <c r="E377" t="inlineStr">
        <is>
          <t>BODEN</t>
        </is>
      </c>
      <c r="F377" t="inlineStr">
        <is>
          <t>Sveaskog</t>
        </is>
      </c>
      <c r="G377" t="n">
        <v>5.6</v>
      </c>
      <c r="H377" t="n">
        <v>0</v>
      </c>
      <c r="I377" t="n">
        <v>0</v>
      </c>
      <c r="J377" t="n">
        <v>2</v>
      </c>
      <c r="K377" t="n">
        <v>0</v>
      </c>
      <c r="L377" t="n">
        <v>0</v>
      </c>
      <c r="M377" t="n">
        <v>0</v>
      </c>
      <c r="N377" t="n">
        <v>0</v>
      </c>
      <c r="O377" t="n">
        <v>2</v>
      </c>
      <c r="P377" t="n">
        <v>0</v>
      </c>
      <c r="Q377" t="n">
        <v>2</v>
      </c>
      <c r="R377" s="2" t="inlineStr">
        <is>
          <t>Blå taggsvamp
Ullticka</t>
        </is>
      </c>
      <c r="S377">
        <f>HYPERLINK("https://klasma.github.io/Logging_2582/artfynd/A 26346-2022 artfynd.xlsx", "A 26346-2022")</f>
        <v/>
      </c>
      <c r="T377">
        <f>HYPERLINK("https://klasma.github.io/Logging_2582/kartor/A 26346-2022 karta.png", "A 26346-2022")</f>
        <v/>
      </c>
      <c r="V377">
        <f>HYPERLINK("https://klasma.github.io/Logging_2582/klagomål/A 26346-2022 FSC-klagomål.docx", "A 26346-2022")</f>
        <v/>
      </c>
      <c r="W377">
        <f>HYPERLINK("https://klasma.github.io/Logging_2582/klagomålsmail/A 26346-2022 FSC-klagomål mail.docx", "A 26346-2022")</f>
        <v/>
      </c>
      <c r="X377">
        <f>HYPERLINK("https://klasma.github.io/Logging_2582/tillsyn/A 26346-2022 tillsynsbegäran.docx", "A 26346-2022")</f>
        <v/>
      </c>
      <c r="Y377">
        <f>HYPERLINK("https://klasma.github.io/Logging_2582/tillsynsmail/A 26346-2022 tillsynsbegäran mail.docx", "A 26346-2022")</f>
        <v/>
      </c>
    </row>
    <row r="378" ht="15" customHeight="1">
      <c r="A378" t="inlineStr">
        <is>
          <t>A 1385-2023</t>
        </is>
      </c>
      <c r="B378" s="1" t="n">
        <v>44930</v>
      </c>
      <c r="C378" s="1" t="n">
        <v>46046</v>
      </c>
      <c r="D378" t="inlineStr">
        <is>
          <t>NORRBOTTENS LÄN</t>
        </is>
      </c>
      <c r="E378" t="inlineStr">
        <is>
          <t>PAJALA</t>
        </is>
      </c>
      <c r="G378" t="n">
        <v>2.7</v>
      </c>
      <c r="H378" t="n">
        <v>0</v>
      </c>
      <c r="I378" t="n">
        <v>1</v>
      </c>
      <c r="J378" t="n">
        <v>1</v>
      </c>
      <c r="K378" t="n">
        <v>0</v>
      </c>
      <c r="L378" t="n">
        <v>0</v>
      </c>
      <c r="M378" t="n">
        <v>0</v>
      </c>
      <c r="N378" t="n">
        <v>0</v>
      </c>
      <c r="O378" t="n">
        <v>1</v>
      </c>
      <c r="P378" t="n">
        <v>0</v>
      </c>
      <c r="Q378" t="n">
        <v>2</v>
      </c>
      <c r="R378" s="2" t="inlineStr">
        <is>
          <t>Gammelgransskål
Skör kvastmossa</t>
        </is>
      </c>
      <c r="S378">
        <f>HYPERLINK("https://klasma.github.io/Logging_2521/artfynd/A 1385-2023 artfynd.xlsx", "A 1385-2023")</f>
        <v/>
      </c>
      <c r="T378">
        <f>HYPERLINK("https://klasma.github.io/Logging_2521/kartor/A 1385-2023 karta.png", "A 1385-2023")</f>
        <v/>
      </c>
      <c r="V378">
        <f>HYPERLINK("https://klasma.github.io/Logging_2521/klagomål/A 1385-2023 FSC-klagomål.docx", "A 1385-2023")</f>
        <v/>
      </c>
      <c r="W378">
        <f>HYPERLINK("https://klasma.github.io/Logging_2521/klagomålsmail/A 1385-2023 FSC-klagomål mail.docx", "A 1385-2023")</f>
        <v/>
      </c>
      <c r="X378">
        <f>HYPERLINK("https://klasma.github.io/Logging_2521/tillsyn/A 1385-2023 tillsynsbegäran.docx", "A 1385-2023")</f>
        <v/>
      </c>
      <c r="Y378">
        <f>HYPERLINK("https://klasma.github.io/Logging_2521/tillsynsmail/A 1385-2023 tillsynsbegäran mail.docx", "A 1385-2023")</f>
        <v/>
      </c>
    </row>
    <row r="379" ht="15" customHeight="1">
      <c r="A379" t="inlineStr">
        <is>
          <t>A 36252-2023</t>
        </is>
      </c>
      <c r="B379" s="1" t="n">
        <v>45150</v>
      </c>
      <c r="C379" s="1" t="n">
        <v>46046</v>
      </c>
      <c r="D379" t="inlineStr">
        <is>
          <t>NORRBOTTENS LÄN</t>
        </is>
      </c>
      <c r="E379" t="inlineStr">
        <is>
          <t>GÄLLIVARE</t>
        </is>
      </c>
      <c r="F379" t="inlineStr">
        <is>
          <t>SCA</t>
        </is>
      </c>
      <c r="G379" t="n">
        <v>14.1</v>
      </c>
      <c r="H379" t="n">
        <v>0</v>
      </c>
      <c r="I379" t="n">
        <v>0</v>
      </c>
      <c r="J379" t="n">
        <v>2</v>
      </c>
      <c r="K379" t="n">
        <v>0</v>
      </c>
      <c r="L379" t="n">
        <v>0</v>
      </c>
      <c r="M379" t="n">
        <v>0</v>
      </c>
      <c r="N379" t="n">
        <v>0</v>
      </c>
      <c r="O379" t="n">
        <v>2</v>
      </c>
      <c r="P379" t="n">
        <v>0</v>
      </c>
      <c r="Q379" t="n">
        <v>2</v>
      </c>
      <c r="R379" s="2" t="inlineStr">
        <is>
          <t>Svartvit taggsvamp
Talltaggsvamp</t>
        </is>
      </c>
      <c r="S379">
        <f>HYPERLINK("https://klasma.github.io/Logging_2523/artfynd/A 36252-2023 artfynd.xlsx", "A 36252-2023")</f>
        <v/>
      </c>
      <c r="T379">
        <f>HYPERLINK("https://klasma.github.io/Logging_2523/kartor/A 36252-2023 karta.png", "A 36252-2023")</f>
        <v/>
      </c>
      <c r="V379">
        <f>HYPERLINK("https://klasma.github.io/Logging_2523/klagomål/A 36252-2023 FSC-klagomål.docx", "A 36252-2023")</f>
        <v/>
      </c>
      <c r="W379">
        <f>HYPERLINK("https://klasma.github.io/Logging_2523/klagomålsmail/A 36252-2023 FSC-klagomål mail.docx", "A 36252-2023")</f>
        <v/>
      </c>
      <c r="X379">
        <f>HYPERLINK("https://klasma.github.io/Logging_2523/tillsyn/A 36252-2023 tillsynsbegäran.docx", "A 36252-2023")</f>
        <v/>
      </c>
      <c r="Y379">
        <f>HYPERLINK("https://klasma.github.io/Logging_2523/tillsynsmail/A 36252-2023 tillsynsbegäran mail.docx", "A 36252-2023")</f>
        <v/>
      </c>
    </row>
    <row r="380" ht="15" customHeight="1">
      <c r="A380" t="inlineStr">
        <is>
          <t>A 41651-2023</t>
        </is>
      </c>
      <c r="B380" s="1" t="n">
        <v>45175</v>
      </c>
      <c r="C380" s="1" t="n">
        <v>46046</v>
      </c>
      <c r="D380" t="inlineStr">
        <is>
          <t>NORRBOTTENS LÄN</t>
        </is>
      </c>
      <c r="E380" t="inlineStr">
        <is>
          <t>GÄLLIVARE</t>
        </is>
      </c>
      <c r="F380" t="inlineStr">
        <is>
          <t>SCA</t>
        </is>
      </c>
      <c r="G380" t="n">
        <v>2.7</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HYPERLINK("https://klasma.github.io/Logging_2523/artfynd/A 41651-2023 artfynd.xlsx", "A 41651-2023")</f>
        <v/>
      </c>
      <c r="T380">
        <f>HYPERLINK("https://klasma.github.io/Logging_2523/kartor/A 41651-2023 karta.png", "A 41651-2023")</f>
        <v/>
      </c>
      <c r="V380">
        <f>HYPERLINK("https://klasma.github.io/Logging_2523/klagomål/A 41651-2023 FSC-klagomål.docx", "A 41651-2023")</f>
        <v/>
      </c>
      <c r="W380">
        <f>HYPERLINK("https://klasma.github.io/Logging_2523/klagomålsmail/A 41651-2023 FSC-klagomål mail.docx", "A 41651-2023")</f>
        <v/>
      </c>
      <c r="X380">
        <f>HYPERLINK("https://klasma.github.io/Logging_2523/tillsyn/A 41651-2023 tillsynsbegäran.docx", "A 41651-2023")</f>
        <v/>
      </c>
      <c r="Y380">
        <f>HYPERLINK("https://klasma.github.io/Logging_2523/tillsynsmail/A 41651-2023 tillsynsbegäran mail.docx", "A 41651-2023")</f>
        <v/>
      </c>
      <c r="Z380">
        <f>HYPERLINK("https://klasma.github.io/Logging_2523/fåglar/A 41651-2023 prioriterade fågelarter.docx", "A 41651-2023")</f>
        <v/>
      </c>
    </row>
    <row r="381" ht="15" customHeight="1">
      <c r="A381" t="inlineStr">
        <is>
          <t>A 7956-2022</t>
        </is>
      </c>
      <c r="B381" s="1" t="n">
        <v>44608.93826388889</v>
      </c>
      <c r="C381" s="1" t="n">
        <v>46046</v>
      </c>
      <c r="D381" t="inlineStr">
        <is>
          <t>NORRBOTTENS LÄN</t>
        </is>
      </c>
      <c r="E381" t="inlineStr">
        <is>
          <t>PAJALA</t>
        </is>
      </c>
      <c r="F381" t="inlineStr">
        <is>
          <t>SCA</t>
        </is>
      </c>
      <c r="G381" t="n">
        <v>14.9</v>
      </c>
      <c r="H381" t="n">
        <v>0</v>
      </c>
      <c r="I381" t="n">
        <v>0</v>
      </c>
      <c r="J381" t="n">
        <v>2</v>
      </c>
      <c r="K381" t="n">
        <v>0</v>
      </c>
      <c r="L381" t="n">
        <v>0</v>
      </c>
      <c r="M381" t="n">
        <v>0</v>
      </c>
      <c r="N381" t="n">
        <v>0</v>
      </c>
      <c r="O381" t="n">
        <v>2</v>
      </c>
      <c r="P381" t="n">
        <v>0</v>
      </c>
      <c r="Q381" t="n">
        <v>2</v>
      </c>
      <c r="R381" s="2" t="inlineStr">
        <is>
          <t>Granticka
Orange taggsvamp</t>
        </is>
      </c>
      <c r="S381">
        <f>HYPERLINK("https://klasma.github.io/Logging_2521/artfynd/A 7956-2022 artfynd.xlsx", "A 7956-2022")</f>
        <v/>
      </c>
      <c r="T381">
        <f>HYPERLINK("https://klasma.github.io/Logging_2521/kartor/A 7956-2022 karta.png", "A 7956-2022")</f>
        <v/>
      </c>
      <c r="V381">
        <f>HYPERLINK("https://klasma.github.io/Logging_2521/klagomål/A 7956-2022 FSC-klagomål.docx", "A 7956-2022")</f>
        <v/>
      </c>
      <c r="W381">
        <f>HYPERLINK("https://klasma.github.io/Logging_2521/klagomålsmail/A 7956-2022 FSC-klagomål mail.docx", "A 7956-2022")</f>
        <v/>
      </c>
      <c r="X381">
        <f>HYPERLINK("https://klasma.github.io/Logging_2521/tillsyn/A 7956-2022 tillsynsbegäran.docx", "A 7956-2022")</f>
        <v/>
      </c>
      <c r="Y381">
        <f>HYPERLINK("https://klasma.github.io/Logging_2521/tillsynsmail/A 7956-2022 tillsynsbegäran mail.docx", "A 7956-2022")</f>
        <v/>
      </c>
    </row>
    <row r="382" ht="15" customHeight="1">
      <c r="A382" t="inlineStr">
        <is>
          <t>A 21710-2025</t>
        </is>
      </c>
      <c r="B382" s="1" t="n">
        <v>45783.53160879629</v>
      </c>
      <c r="C382" s="1" t="n">
        <v>46046</v>
      </c>
      <c r="D382" t="inlineStr">
        <is>
          <t>NORRBOTTENS LÄN</t>
        </is>
      </c>
      <c r="E382" t="inlineStr">
        <is>
          <t>JOKKMOKK</t>
        </is>
      </c>
      <c r="F382" t="inlineStr">
        <is>
          <t>SCA</t>
        </is>
      </c>
      <c r="G382" t="n">
        <v>4.3</v>
      </c>
      <c r="H382" t="n">
        <v>2</v>
      </c>
      <c r="I382" t="n">
        <v>0</v>
      </c>
      <c r="J382" t="n">
        <v>1</v>
      </c>
      <c r="K382" t="n">
        <v>0</v>
      </c>
      <c r="L382" t="n">
        <v>0</v>
      </c>
      <c r="M382" t="n">
        <v>0</v>
      </c>
      <c r="N382" t="n">
        <v>0</v>
      </c>
      <c r="O382" t="n">
        <v>1</v>
      </c>
      <c r="P382" t="n">
        <v>0</v>
      </c>
      <c r="Q382" t="n">
        <v>2</v>
      </c>
      <c r="R382" s="2" t="inlineStr">
        <is>
          <t>Talltita
Lavskrika</t>
        </is>
      </c>
      <c r="S382">
        <f>HYPERLINK("https://klasma.github.io/Logging_2510/artfynd/A 21710-2025 artfynd.xlsx", "A 21710-2025")</f>
        <v/>
      </c>
      <c r="T382">
        <f>HYPERLINK("https://klasma.github.io/Logging_2510/kartor/A 21710-2025 karta.png", "A 21710-2025")</f>
        <v/>
      </c>
      <c r="V382">
        <f>HYPERLINK("https://klasma.github.io/Logging_2510/klagomål/A 21710-2025 FSC-klagomål.docx", "A 21710-2025")</f>
        <v/>
      </c>
      <c r="W382">
        <f>HYPERLINK("https://klasma.github.io/Logging_2510/klagomålsmail/A 21710-2025 FSC-klagomål mail.docx", "A 21710-2025")</f>
        <v/>
      </c>
      <c r="X382">
        <f>HYPERLINK("https://klasma.github.io/Logging_2510/tillsyn/A 21710-2025 tillsynsbegäran.docx", "A 21710-2025")</f>
        <v/>
      </c>
      <c r="Y382">
        <f>HYPERLINK("https://klasma.github.io/Logging_2510/tillsynsmail/A 21710-2025 tillsynsbegäran mail.docx", "A 21710-2025")</f>
        <v/>
      </c>
      <c r="Z382">
        <f>HYPERLINK("https://klasma.github.io/Logging_2510/fåglar/A 21710-2025 prioriterade fågelarter.docx", "A 21710-2025")</f>
        <v/>
      </c>
    </row>
    <row r="383" ht="15" customHeight="1">
      <c r="A383" t="inlineStr">
        <is>
          <t>A 6639-2024</t>
        </is>
      </c>
      <c r="B383" s="1" t="n">
        <v>45341</v>
      </c>
      <c r="C383" s="1" t="n">
        <v>46046</v>
      </c>
      <c r="D383" t="inlineStr">
        <is>
          <t>NORRBOTTENS LÄN</t>
        </is>
      </c>
      <c r="E383" t="inlineStr">
        <is>
          <t>BODEN</t>
        </is>
      </c>
      <c r="F383" t="inlineStr">
        <is>
          <t>Övriga statliga verk och myndigheter</t>
        </is>
      </c>
      <c r="G383" t="n">
        <v>23.8</v>
      </c>
      <c r="H383" t="n">
        <v>0</v>
      </c>
      <c r="I383" t="n">
        <v>0</v>
      </c>
      <c r="J383" t="n">
        <v>2</v>
      </c>
      <c r="K383" t="n">
        <v>0</v>
      </c>
      <c r="L383" t="n">
        <v>0</v>
      </c>
      <c r="M383" t="n">
        <v>0</v>
      </c>
      <c r="N383" t="n">
        <v>0</v>
      </c>
      <c r="O383" t="n">
        <v>2</v>
      </c>
      <c r="P383" t="n">
        <v>0</v>
      </c>
      <c r="Q383" t="n">
        <v>2</v>
      </c>
      <c r="R383" s="2" t="inlineStr">
        <is>
          <t>Granticka
Lunglav</t>
        </is>
      </c>
      <c r="S383">
        <f>HYPERLINK("https://klasma.github.io/Logging_2582/artfynd/A 6639-2024 artfynd.xlsx", "A 6639-2024")</f>
        <v/>
      </c>
      <c r="T383">
        <f>HYPERLINK("https://klasma.github.io/Logging_2582/kartor/A 6639-2024 karta.png", "A 6639-2024")</f>
        <v/>
      </c>
      <c r="V383">
        <f>HYPERLINK("https://klasma.github.io/Logging_2582/klagomål/A 6639-2024 FSC-klagomål.docx", "A 6639-2024")</f>
        <v/>
      </c>
      <c r="W383">
        <f>HYPERLINK("https://klasma.github.io/Logging_2582/klagomålsmail/A 6639-2024 FSC-klagomål mail.docx", "A 6639-2024")</f>
        <v/>
      </c>
      <c r="X383">
        <f>HYPERLINK("https://klasma.github.io/Logging_2582/tillsyn/A 6639-2024 tillsynsbegäran.docx", "A 6639-2024")</f>
        <v/>
      </c>
      <c r="Y383">
        <f>HYPERLINK("https://klasma.github.io/Logging_2582/tillsynsmail/A 6639-2024 tillsynsbegäran mail.docx", "A 6639-2024")</f>
        <v/>
      </c>
    </row>
    <row r="384" ht="15" customHeight="1">
      <c r="A384" t="inlineStr">
        <is>
          <t>A 54332-2024</t>
        </is>
      </c>
      <c r="B384" s="1" t="n">
        <v>45617</v>
      </c>
      <c r="C384" s="1" t="n">
        <v>46046</v>
      </c>
      <c r="D384" t="inlineStr">
        <is>
          <t>NORRBOTTENS LÄN</t>
        </is>
      </c>
      <c r="E384" t="inlineStr">
        <is>
          <t>KALIX</t>
        </is>
      </c>
      <c r="F384" t="inlineStr">
        <is>
          <t>Sveaskog</t>
        </is>
      </c>
      <c r="G384" t="n">
        <v>10.3</v>
      </c>
      <c r="H384" t="n">
        <v>0</v>
      </c>
      <c r="I384" t="n">
        <v>0</v>
      </c>
      <c r="J384" t="n">
        <v>2</v>
      </c>
      <c r="K384" t="n">
        <v>0</v>
      </c>
      <c r="L384" t="n">
        <v>0</v>
      </c>
      <c r="M384" t="n">
        <v>0</v>
      </c>
      <c r="N384" t="n">
        <v>0</v>
      </c>
      <c r="O384" t="n">
        <v>2</v>
      </c>
      <c r="P384" t="n">
        <v>0</v>
      </c>
      <c r="Q384" t="n">
        <v>2</v>
      </c>
      <c r="R384" s="2" t="inlineStr">
        <is>
          <t>Gammelgransskål
Garnlav</t>
        </is>
      </c>
      <c r="S384">
        <f>HYPERLINK("https://klasma.github.io/Logging_2514/artfynd/A 54332-2024 artfynd.xlsx", "A 54332-2024")</f>
        <v/>
      </c>
      <c r="T384">
        <f>HYPERLINK("https://klasma.github.io/Logging_2514/kartor/A 54332-2024 karta.png", "A 54332-2024")</f>
        <v/>
      </c>
      <c r="V384">
        <f>HYPERLINK("https://klasma.github.io/Logging_2514/klagomål/A 54332-2024 FSC-klagomål.docx", "A 54332-2024")</f>
        <v/>
      </c>
      <c r="W384">
        <f>HYPERLINK("https://klasma.github.io/Logging_2514/klagomålsmail/A 54332-2024 FSC-klagomål mail.docx", "A 54332-2024")</f>
        <v/>
      </c>
      <c r="X384">
        <f>HYPERLINK("https://klasma.github.io/Logging_2514/tillsyn/A 54332-2024 tillsynsbegäran.docx", "A 54332-2024")</f>
        <v/>
      </c>
      <c r="Y384">
        <f>HYPERLINK("https://klasma.github.io/Logging_2514/tillsynsmail/A 54332-2024 tillsynsbegäran mail.docx", "A 54332-2024")</f>
        <v/>
      </c>
    </row>
    <row r="385" ht="15" customHeight="1">
      <c r="A385" t="inlineStr">
        <is>
          <t>A 37905-2024</t>
        </is>
      </c>
      <c r="B385" s="1" t="n">
        <v>45544</v>
      </c>
      <c r="C385" s="1" t="n">
        <v>46046</v>
      </c>
      <c r="D385" t="inlineStr">
        <is>
          <t>NORRBOTTENS LÄN</t>
        </is>
      </c>
      <c r="E385" t="inlineStr">
        <is>
          <t>ÖVERKALIX</t>
        </is>
      </c>
      <c r="G385" t="n">
        <v>25</v>
      </c>
      <c r="H385" t="n">
        <v>2</v>
      </c>
      <c r="I385" t="n">
        <v>1</v>
      </c>
      <c r="J385" t="n">
        <v>0</v>
      </c>
      <c r="K385" t="n">
        <v>0</v>
      </c>
      <c r="L385" t="n">
        <v>0</v>
      </c>
      <c r="M385" t="n">
        <v>0</v>
      </c>
      <c r="N385" t="n">
        <v>0</v>
      </c>
      <c r="O385" t="n">
        <v>0</v>
      </c>
      <c r="P385" t="n">
        <v>0</v>
      </c>
      <c r="Q385" t="n">
        <v>2</v>
      </c>
      <c r="R385" s="2" t="inlineStr">
        <is>
          <t>Plattlummer
Mattlummer</t>
        </is>
      </c>
      <c r="S385">
        <f>HYPERLINK("https://klasma.github.io/Logging_2513/artfynd/A 37905-2024 artfynd.xlsx", "A 37905-2024")</f>
        <v/>
      </c>
      <c r="T385">
        <f>HYPERLINK("https://klasma.github.io/Logging_2513/kartor/A 37905-2024 karta.png", "A 37905-2024")</f>
        <v/>
      </c>
      <c r="V385">
        <f>HYPERLINK("https://klasma.github.io/Logging_2513/klagomål/A 37905-2024 FSC-klagomål.docx", "A 37905-2024")</f>
        <v/>
      </c>
      <c r="W385">
        <f>HYPERLINK("https://klasma.github.io/Logging_2513/klagomålsmail/A 37905-2024 FSC-klagomål mail.docx", "A 37905-2024")</f>
        <v/>
      </c>
      <c r="X385">
        <f>HYPERLINK("https://klasma.github.io/Logging_2513/tillsyn/A 37905-2024 tillsynsbegäran.docx", "A 37905-2024")</f>
        <v/>
      </c>
      <c r="Y385">
        <f>HYPERLINK("https://klasma.github.io/Logging_2513/tillsynsmail/A 37905-2024 tillsynsbegäran mail.docx", "A 37905-2024")</f>
        <v/>
      </c>
    </row>
    <row r="386" ht="15" customHeight="1">
      <c r="A386" t="inlineStr">
        <is>
          <t>A 32301-2023</t>
        </is>
      </c>
      <c r="B386" s="1" t="n">
        <v>45120</v>
      </c>
      <c r="C386" s="1" t="n">
        <v>46046</v>
      </c>
      <c r="D386" t="inlineStr">
        <is>
          <t>NORRBOTTENS LÄN</t>
        </is>
      </c>
      <c r="E386" t="inlineStr">
        <is>
          <t>PITEÅ</t>
        </is>
      </c>
      <c r="F386" t="inlineStr">
        <is>
          <t>Sveaskog</t>
        </is>
      </c>
      <c r="G386" t="n">
        <v>27.7</v>
      </c>
      <c r="H386" t="n">
        <v>1</v>
      </c>
      <c r="I386" t="n">
        <v>0</v>
      </c>
      <c r="J386" t="n">
        <v>1</v>
      </c>
      <c r="K386" t="n">
        <v>0</v>
      </c>
      <c r="L386" t="n">
        <v>0</v>
      </c>
      <c r="M386" t="n">
        <v>0</v>
      </c>
      <c r="N386" t="n">
        <v>0</v>
      </c>
      <c r="O386" t="n">
        <v>1</v>
      </c>
      <c r="P386" t="n">
        <v>0</v>
      </c>
      <c r="Q386" t="n">
        <v>2</v>
      </c>
      <c r="R386" s="2" t="inlineStr">
        <is>
          <t>Lunglav
Fläcknycklar</t>
        </is>
      </c>
      <c r="S386">
        <f>HYPERLINK("https://klasma.github.io/Logging_2581/artfynd/A 32301-2023 artfynd.xlsx", "A 32301-2023")</f>
        <v/>
      </c>
      <c r="T386">
        <f>HYPERLINK("https://klasma.github.io/Logging_2581/kartor/A 32301-2023 karta.png", "A 32301-2023")</f>
        <v/>
      </c>
      <c r="V386">
        <f>HYPERLINK("https://klasma.github.io/Logging_2581/klagomål/A 32301-2023 FSC-klagomål.docx", "A 32301-2023")</f>
        <v/>
      </c>
      <c r="W386">
        <f>HYPERLINK("https://klasma.github.io/Logging_2581/klagomålsmail/A 32301-2023 FSC-klagomål mail.docx", "A 32301-2023")</f>
        <v/>
      </c>
      <c r="X386">
        <f>HYPERLINK("https://klasma.github.io/Logging_2581/tillsyn/A 32301-2023 tillsynsbegäran.docx", "A 32301-2023")</f>
        <v/>
      </c>
      <c r="Y386">
        <f>HYPERLINK("https://klasma.github.io/Logging_2581/tillsynsmail/A 32301-2023 tillsynsbegäran mail.docx", "A 32301-2023")</f>
        <v/>
      </c>
    </row>
    <row r="387" ht="15" customHeight="1">
      <c r="A387" t="inlineStr">
        <is>
          <t>A 21856-2025</t>
        </is>
      </c>
      <c r="B387" s="1" t="n">
        <v>45784</v>
      </c>
      <c r="C387" s="1" t="n">
        <v>46046</v>
      </c>
      <c r="D387" t="inlineStr">
        <is>
          <t>NORRBOTTENS LÄN</t>
        </is>
      </c>
      <c r="E387" t="inlineStr">
        <is>
          <t>ÄLVSBYN</t>
        </is>
      </c>
      <c r="F387" t="inlineStr">
        <is>
          <t>Sveaskog</t>
        </is>
      </c>
      <c r="G387" t="n">
        <v>26.9</v>
      </c>
      <c r="H387" t="n">
        <v>1</v>
      </c>
      <c r="I387" t="n">
        <v>2</v>
      </c>
      <c r="J387" t="n">
        <v>0</v>
      </c>
      <c r="K387" t="n">
        <v>0</v>
      </c>
      <c r="L387" t="n">
        <v>0</v>
      </c>
      <c r="M387" t="n">
        <v>0</v>
      </c>
      <c r="N387" t="n">
        <v>0</v>
      </c>
      <c r="O387" t="n">
        <v>0</v>
      </c>
      <c r="P387" t="n">
        <v>0</v>
      </c>
      <c r="Q387" t="n">
        <v>2</v>
      </c>
      <c r="R387" s="2" t="inlineStr">
        <is>
          <t>Plattlummer
Tibast</t>
        </is>
      </c>
      <c r="S387">
        <f>HYPERLINK("https://klasma.github.io/Logging_2560/artfynd/A 21856-2025 artfynd.xlsx", "A 21856-2025")</f>
        <v/>
      </c>
      <c r="T387">
        <f>HYPERLINK("https://klasma.github.io/Logging_2560/kartor/A 21856-2025 karta.png", "A 21856-2025")</f>
        <v/>
      </c>
      <c r="V387">
        <f>HYPERLINK("https://klasma.github.io/Logging_2560/klagomål/A 21856-2025 FSC-klagomål.docx", "A 21856-2025")</f>
        <v/>
      </c>
      <c r="W387">
        <f>HYPERLINK("https://klasma.github.io/Logging_2560/klagomålsmail/A 21856-2025 FSC-klagomål mail.docx", "A 21856-2025")</f>
        <v/>
      </c>
      <c r="X387">
        <f>HYPERLINK("https://klasma.github.io/Logging_2560/tillsyn/A 21856-2025 tillsynsbegäran.docx", "A 21856-2025")</f>
        <v/>
      </c>
      <c r="Y387">
        <f>HYPERLINK("https://klasma.github.io/Logging_2560/tillsynsmail/A 21856-2025 tillsynsbegäran mail.docx", "A 21856-2025")</f>
        <v/>
      </c>
    </row>
    <row r="388" ht="15" customHeight="1">
      <c r="A388" t="inlineStr">
        <is>
          <t>A 52902-2021</t>
        </is>
      </c>
      <c r="B388" s="1" t="n">
        <v>44467</v>
      </c>
      <c r="C388" s="1" t="n">
        <v>46046</v>
      </c>
      <c r="D388" t="inlineStr">
        <is>
          <t>NORRBOTTENS LÄN</t>
        </is>
      </c>
      <c r="E388" t="inlineStr">
        <is>
          <t>KALIX</t>
        </is>
      </c>
      <c r="F388" t="inlineStr">
        <is>
          <t>Sveaskog</t>
        </is>
      </c>
      <c r="G388" t="n">
        <v>4.9</v>
      </c>
      <c r="H388" t="n">
        <v>1</v>
      </c>
      <c r="I388" t="n">
        <v>0</v>
      </c>
      <c r="J388" t="n">
        <v>1</v>
      </c>
      <c r="K388" t="n">
        <v>1</v>
      </c>
      <c r="L388" t="n">
        <v>0</v>
      </c>
      <c r="M388" t="n">
        <v>0</v>
      </c>
      <c r="N388" t="n">
        <v>0</v>
      </c>
      <c r="O388" t="n">
        <v>2</v>
      </c>
      <c r="P388" t="n">
        <v>1</v>
      </c>
      <c r="Q388" t="n">
        <v>2</v>
      </c>
      <c r="R388" s="2" t="inlineStr">
        <is>
          <t>Doftticka
Garnlav</t>
        </is>
      </c>
      <c r="S388">
        <f>HYPERLINK("https://klasma.github.io/Logging_2514/artfynd/A 52902-2021 artfynd.xlsx", "A 52902-2021")</f>
        <v/>
      </c>
      <c r="T388">
        <f>HYPERLINK("https://klasma.github.io/Logging_2514/kartor/A 52902-2021 karta.png", "A 52902-2021")</f>
        <v/>
      </c>
      <c r="V388">
        <f>HYPERLINK("https://klasma.github.io/Logging_2514/klagomål/A 52902-2021 FSC-klagomål.docx", "A 52902-2021")</f>
        <v/>
      </c>
      <c r="W388">
        <f>HYPERLINK("https://klasma.github.io/Logging_2514/klagomålsmail/A 52902-2021 FSC-klagomål mail.docx", "A 52902-2021")</f>
        <v/>
      </c>
      <c r="X388">
        <f>HYPERLINK("https://klasma.github.io/Logging_2514/tillsyn/A 52902-2021 tillsynsbegäran.docx", "A 52902-2021")</f>
        <v/>
      </c>
      <c r="Y388">
        <f>HYPERLINK("https://klasma.github.io/Logging_2514/tillsynsmail/A 52902-2021 tillsynsbegäran mail.docx", "A 52902-2021")</f>
        <v/>
      </c>
    </row>
    <row r="389" ht="15" customHeight="1">
      <c r="A389" t="inlineStr">
        <is>
          <t>A 32971-2024</t>
        </is>
      </c>
      <c r="B389" s="1" t="n">
        <v>45517</v>
      </c>
      <c r="C389" s="1" t="n">
        <v>46046</v>
      </c>
      <c r="D389" t="inlineStr">
        <is>
          <t>NORRBOTTENS LÄN</t>
        </is>
      </c>
      <c r="E389" t="inlineStr">
        <is>
          <t>BODEN</t>
        </is>
      </c>
      <c r="F389" t="inlineStr">
        <is>
          <t>Sveaskog</t>
        </is>
      </c>
      <c r="G389" t="n">
        <v>10</v>
      </c>
      <c r="H389" t="n">
        <v>1</v>
      </c>
      <c r="I389" t="n">
        <v>0</v>
      </c>
      <c r="J389" t="n">
        <v>1</v>
      </c>
      <c r="K389" t="n">
        <v>0</v>
      </c>
      <c r="L389" t="n">
        <v>0</v>
      </c>
      <c r="M389" t="n">
        <v>0</v>
      </c>
      <c r="N389" t="n">
        <v>0</v>
      </c>
      <c r="O389" t="n">
        <v>1</v>
      </c>
      <c r="P389" t="n">
        <v>0</v>
      </c>
      <c r="Q389" t="n">
        <v>2</v>
      </c>
      <c r="R389" s="2" t="inlineStr">
        <is>
          <t>Lunglav
Fläcknycklar</t>
        </is>
      </c>
      <c r="S389">
        <f>HYPERLINK("https://klasma.github.io/Logging_2582/artfynd/A 32971-2024 artfynd.xlsx", "A 32971-2024")</f>
        <v/>
      </c>
      <c r="T389">
        <f>HYPERLINK("https://klasma.github.io/Logging_2582/kartor/A 32971-2024 karta.png", "A 32971-2024")</f>
        <v/>
      </c>
      <c r="V389">
        <f>HYPERLINK("https://klasma.github.io/Logging_2582/klagomål/A 32971-2024 FSC-klagomål.docx", "A 32971-2024")</f>
        <v/>
      </c>
      <c r="W389">
        <f>HYPERLINK("https://klasma.github.io/Logging_2582/klagomålsmail/A 32971-2024 FSC-klagomål mail.docx", "A 32971-2024")</f>
        <v/>
      </c>
      <c r="X389">
        <f>HYPERLINK("https://klasma.github.io/Logging_2582/tillsyn/A 32971-2024 tillsynsbegäran.docx", "A 32971-2024")</f>
        <v/>
      </c>
      <c r="Y389">
        <f>HYPERLINK("https://klasma.github.io/Logging_2582/tillsynsmail/A 32971-2024 tillsynsbegäran mail.docx", "A 32971-2024")</f>
        <v/>
      </c>
    </row>
    <row r="390" ht="15" customHeight="1">
      <c r="A390" t="inlineStr">
        <is>
          <t>A 22567-2025</t>
        </is>
      </c>
      <c r="B390" s="1" t="n">
        <v>45789</v>
      </c>
      <c r="C390" s="1" t="n">
        <v>46046</v>
      </c>
      <c r="D390" t="inlineStr">
        <is>
          <t>NORRBOTTENS LÄN</t>
        </is>
      </c>
      <c r="E390" t="inlineStr">
        <is>
          <t>ÄLVSBYN</t>
        </is>
      </c>
      <c r="F390" t="inlineStr">
        <is>
          <t>Sveaskog</t>
        </is>
      </c>
      <c r="G390" t="n">
        <v>3.1</v>
      </c>
      <c r="H390" t="n">
        <v>0</v>
      </c>
      <c r="I390" t="n">
        <v>0</v>
      </c>
      <c r="J390" t="n">
        <v>1</v>
      </c>
      <c r="K390" t="n">
        <v>1</v>
      </c>
      <c r="L390" t="n">
        <v>0</v>
      </c>
      <c r="M390" t="n">
        <v>0</v>
      </c>
      <c r="N390" t="n">
        <v>0</v>
      </c>
      <c r="O390" t="n">
        <v>2</v>
      </c>
      <c r="P390" t="n">
        <v>1</v>
      </c>
      <c r="Q390" t="n">
        <v>2</v>
      </c>
      <c r="R390" s="2" t="inlineStr">
        <is>
          <t>Rotfingersvamp
Orange taggsvamp</t>
        </is>
      </c>
      <c r="S390">
        <f>HYPERLINK("https://klasma.github.io/Logging_2560/artfynd/A 22567-2025 artfynd.xlsx", "A 22567-2025")</f>
        <v/>
      </c>
      <c r="T390">
        <f>HYPERLINK("https://klasma.github.io/Logging_2560/kartor/A 22567-2025 karta.png", "A 22567-2025")</f>
        <v/>
      </c>
      <c r="V390">
        <f>HYPERLINK("https://klasma.github.io/Logging_2560/klagomål/A 22567-2025 FSC-klagomål.docx", "A 22567-2025")</f>
        <v/>
      </c>
      <c r="W390">
        <f>HYPERLINK("https://klasma.github.io/Logging_2560/klagomålsmail/A 22567-2025 FSC-klagomål mail.docx", "A 22567-2025")</f>
        <v/>
      </c>
      <c r="X390">
        <f>HYPERLINK("https://klasma.github.io/Logging_2560/tillsyn/A 22567-2025 tillsynsbegäran.docx", "A 22567-2025")</f>
        <v/>
      </c>
      <c r="Y390">
        <f>HYPERLINK("https://klasma.github.io/Logging_2560/tillsynsmail/A 22567-2025 tillsynsbegäran mail.docx", "A 22567-2025")</f>
        <v/>
      </c>
    </row>
    <row r="391" ht="15" customHeight="1">
      <c r="A391" t="inlineStr">
        <is>
          <t>A 53264-2023</t>
        </is>
      </c>
      <c r="B391" s="1" t="n">
        <v>45222</v>
      </c>
      <c r="C391" s="1" t="n">
        <v>46046</v>
      </c>
      <c r="D391" t="inlineStr">
        <is>
          <t>NORRBOTTENS LÄN</t>
        </is>
      </c>
      <c r="E391" t="inlineStr">
        <is>
          <t>KIRUNA</t>
        </is>
      </c>
      <c r="G391" t="n">
        <v>100.3</v>
      </c>
      <c r="H391" t="n">
        <v>2</v>
      </c>
      <c r="I391" t="n">
        <v>1</v>
      </c>
      <c r="J391" t="n">
        <v>0</v>
      </c>
      <c r="K391" t="n">
        <v>0</v>
      </c>
      <c r="L391" t="n">
        <v>0</v>
      </c>
      <c r="M391" t="n">
        <v>0</v>
      </c>
      <c r="N391" t="n">
        <v>0</v>
      </c>
      <c r="O391" t="n">
        <v>0</v>
      </c>
      <c r="P391" t="n">
        <v>0</v>
      </c>
      <c r="Q391" t="n">
        <v>2</v>
      </c>
      <c r="R391" s="2" t="inlineStr">
        <is>
          <t>Plattlummer
Revlummer</t>
        </is>
      </c>
      <c r="S391">
        <f>HYPERLINK("https://klasma.github.io/Logging_2584/artfynd/A 53264-2023 artfynd.xlsx", "A 53264-2023")</f>
        <v/>
      </c>
      <c r="T391">
        <f>HYPERLINK("https://klasma.github.io/Logging_2584/kartor/A 53264-2023 karta.png", "A 53264-2023")</f>
        <v/>
      </c>
      <c r="V391">
        <f>HYPERLINK("https://klasma.github.io/Logging_2584/klagomål/A 53264-2023 FSC-klagomål.docx", "A 53264-2023")</f>
        <v/>
      </c>
      <c r="W391">
        <f>HYPERLINK("https://klasma.github.io/Logging_2584/klagomålsmail/A 53264-2023 FSC-klagomål mail.docx", "A 53264-2023")</f>
        <v/>
      </c>
      <c r="X391">
        <f>HYPERLINK("https://klasma.github.io/Logging_2584/tillsyn/A 53264-2023 tillsynsbegäran.docx", "A 53264-2023")</f>
        <v/>
      </c>
      <c r="Y391">
        <f>HYPERLINK("https://klasma.github.io/Logging_2584/tillsynsmail/A 53264-2023 tillsynsbegäran mail.docx", "A 53264-2023")</f>
        <v/>
      </c>
    </row>
    <row r="392" ht="15" customHeight="1">
      <c r="A392" t="inlineStr">
        <is>
          <t>A 61469-2024</t>
        </is>
      </c>
      <c r="B392" s="1" t="n">
        <v>45646</v>
      </c>
      <c r="C392" s="1" t="n">
        <v>46046</v>
      </c>
      <c r="D392" t="inlineStr">
        <is>
          <t>NORRBOTTENS LÄN</t>
        </is>
      </c>
      <c r="E392" t="inlineStr">
        <is>
          <t>PITEÅ</t>
        </is>
      </c>
      <c r="G392" t="n">
        <v>2</v>
      </c>
      <c r="H392" t="n">
        <v>2</v>
      </c>
      <c r="I392" t="n">
        <v>0</v>
      </c>
      <c r="J392" t="n">
        <v>2</v>
      </c>
      <c r="K392" t="n">
        <v>0</v>
      </c>
      <c r="L392" t="n">
        <v>0</v>
      </c>
      <c r="M392" t="n">
        <v>0</v>
      </c>
      <c r="N392" t="n">
        <v>0</v>
      </c>
      <c r="O392" t="n">
        <v>2</v>
      </c>
      <c r="P392" t="n">
        <v>0</v>
      </c>
      <c r="Q392" t="n">
        <v>2</v>
      </c>
      <c r="R392" s="2" t="inlineStr">
        <is>
          <t>Spillkråka
Tretåig hackspett</t>
        </is>
      </c>
      <c r="S392">
        <f>HYPERLINK("https://klasma.github.io/Logging_2581/artfynd/A 61469-2024 artfynd.xlsx", "A 61469-2024")</f>
        <v/>
      </c>
      <c r="T392">
        <f>HYPERLINK("https://klasma.github.io/Logging_2581/kartor/A 61469-2024 karta.png", "A 61469-2024")</f>
        <v/>
      </c>
      <c r="V392">
        <f>HYPERLINK("https://klasma.github.io/Logging_2581/klagomål/A 61469-2024 FSC-klagomål.docx", "A 61469-2024")</f>
        <v/>
      </c>
      <c r="W392">
        <f>HYPERLINK("https://klasma.github.io/Logging_2581/klagomålsmail/A 61469-2024 FSC-klagomål mail.docx", "A 61469-2024")</f>
        <v/>
      </c>
      <c r="X392">
        <f>HYPERLINK("https://klasma.github.io/Logging_2581/tillsyn/A 61469-2024 tillsynsbegäran.docx", "A 61469-2024")</f>
        <v/>
      </c>
      <c r="Y392">
        <f>HYPERLINK("https://klasma.github.io/Logging_2581/tillsynsmail/A 61469-2024 tillsynsbegäran mail.docx", "A 61469-2024")</f>
        <v/>
      </c>
      <c r="Z392">
        <f>HYPERLINK("https://klasma.github.io/Logging_2581/fåglar/A 61469-2024 prioriterade fågelarter.docx", "A 61469-2024")</f>
        <v/>
      </c>
    </row>
    <row r="393" ht="15" customHeight="1">
      <c r="A393" t="inlineStr">
        <is>
          <t>A 46856-2023</t>
        </is>
      </c>
      <c r="B393" s="1" t="n">
        <v>45199</v>
      </c>
      <c r="C393" s="1" t="n">
        <v>46046</v>
      </c>
      <c r="D393" t="inlineStr">
        <is>
          <t>NORRBOTTENS LÄN</t>
        </is>
      </c>
      <c r="E393" t="inlineStr">
        <is>
          <t>GÄLLIVARE</t>
        </is>
      </c>
      <c r="F393" t="inlineStr">
        <is>
          <t>SCA</t>
        </is>
      </c>
      <c r="G393" t="n">
        <v>15.2</v>
      </c>
      <c r="H393" t="n">
        <v>1</v>
      </c>
      <c r="I393" t="n">
        <v>0</v>
      </c>
      <c r="J393" t="n">
        <v>2</v>
      </c>
      <c r="K393" t="n">
        <v>0</v>
      </c>
      <c r="L393" t="n">
        <v>0</v>
      </c>
      <c r="M393" t="n">
        <v>0</v>
      </c>
      <c r="N393" t="n">
        <v>0</v>
      </c>
      <c r="O393" t="n">
        <v>2</v>
      </c>
      <c r="P393" t="n">
        <v>0</v>
      </c>
      <c r="Q393" t="n">
        <v>2</v>
      </c>
      <c r="R393" s="2" t="inlineStr">
        <is>
          <t>Garnlav
Tretåig hackspett</t>
        </is>
      </c>
      <c r="S393">
        <f>HYPERLINK("https://klasma.github.io/Logging_2523/artfynd/A 46856-2023 artfynd.xlsx", "A 46856-2023")</f>
        <v/>
      </c>
      <c r="T393">
        <f>HYPERLINK("https://klasma.github.io/Logging_2523/kartor/A 46856-2023 karta.png", "A 46856-2023")</f>
        <v/>
      </c>
      <c r="V393">
        <f>HYPERLINK("https://klasma.github.io/Logging_2523/klagomål/A 46856-2023 FSC-klagomål.docx", "A 46856-2023")</f>
        <v/>
      </c>
      <c r="W393">
        <f>HYPERLINK("https://klasma.github.io/Logging_2523/klagomålsmail/A 46856-2023 FSC-klagomål mail.docx", "A 46856-2023")</f>
        <v/>
      </c>
      <c r="X393">
        <f>HYPERLINK("https://klasma.github.io/Logging_2523/tillsyn/A 46856-2023 tillsynsbegäran.docx", "A 46856-2023")</f>
        <v/>
      </c>
      <c r="Y393">
        <f>HYPERLINK("https://klasma.github.io/Logging_2523/tillsynsmail/A 46856-2023 tillsynsbegäran mail.docx", "A 46856-2023")</f>
        <v/>
      </c>
      <c r="Z393">
        <f>HYPERLINK("https://klasma.github.io/Logging_2523/fåglar/A 46856-2023 prioriterade fågelarter.docx", "A 46856-2023")</f>
        <v/>
      </c>
    </row>
    <row r="394" ht="15" customHeight="1">
      <c r="A394" t="inlineStr">
        <is>
          <t>A 6180-2023</t>
        </is>
      </c>
      <c r="B394" s="1" t="n">
        <v>44964</v>
      </c>
      <c r="C394" s="1" t="n">
        <v>46046</v>
      </c>
      <c r="D394" t="inlineStr">
        <is>
          <t>NORRBOTTENS LÄN</t>
        </is>
      </c>
      <c r="E394" t="inlineStr">
        <is>
          <t>PAJALA</t>
        </is>
      </c>
      <c r="G394" t="n">
        <v>16.3</v>
      </c>
      <c r="H394" t="n">
        <v>1</v>
      </c>
      <c r="I394" t="n">
        <v>0</v>
      </c>
      <c r="J394" t="n">
        <v>2</v>
      </c>
      <c r="K394" t="n">
        <v>0</v>
      </c>
      <c r="L394" t="n">
        <v>0</v>
      </c>
      <c r="M394" t="n">
        <v>0</v>
      </c>
      <c r="N394" t="n">
        <v>0</v>
      </c>
      <c r="O394" t="n">
        <v>2</v>
      </c>
      <c r="P394" t="n">
        <v>0</v>
      </c>
      <c r="Q394" t="n">
        <v>2</v>
      </c>
      <c r="R394" s="2" t="inlineStr">
        <is>
          <t>Knottrig blåslav
Tretåig hackspett</t>
        </is>
      </c>
      <c r="S394">
        <f>HYPERLINK("https://klasma.github.io/Logging_2521/artfynd/A 6180-2023 artfynd.xlsx", "A 6180-2023")</f>
        <v/>
      </c>
      <c r="T394">
        <f>HYPERLINK("https://klasma.github.io/Logging_2521/kartor/A 6180-2023 karta.png", "A 6180-2023")</f>
        <v/>
      </c>
      <c r="V394">
        <f>HYPERLINK("https://klasma.github.io/Logging_2521/klagomål/A 6180-2023 FSC-klagomål.docx", "A 6180-2023")</f>
        <v/>
      </c>
      <c r="W394">
        <f>HYPERLINK("https://klasma.github.io/Logging_2521/klagomålsmail/A 6180-2023 FSC-klagomål mail.docx", "A 6180-2023")</f>
        <v/>
      </c>
      <c r="X394">
        <f>HYPERLINK("https://klasma.github.io/Logging_2521/tillsyn/A 6180-2023 tillsynsbegäran.docx", "A 6180-2023")</f>
        <v/>
      </c>
      <c r="Y394">
        <f>HYPERLINK("https://klasma.github.io/Logging_2521/tillsynsmail/A 6180-2023 tillsynsbegäran mail.docx", "A 6180-2023")</f>
        <v/>
      </c>
      <c r="Z394">
        <f>HYPERLINK("https://klasma.github.io/Logging_2521/fåglar/A 6180-2023 prioriterade fågelarter.docx", "A 6180-2023")</f>
        <v/>
      </c>
    </row>
    <row r="395" ht="15" customHeight="1">
      <c r="A395" t="inlineStr">
        <is>
          <t>A 41650-2023</t>
        </is>
      </c>
      <c r="B395" s="1" t="n">
        <v>45175</v>
      </c>
      <c r="C395" s="1" t="n">
        <v>46046</v>
      </c>
      <c r="D395" t="inlineStr">
        <is>
          <t>NORRBOTTENS LÄN</t>
        </is>
      </c>
      <c r="E395" t="inlineStr">
        <is>
          <t>GÄLLIVARE</t>
        </is>
      </c>
      <c r="F395" t="inlineStr">
        <is>
          <t>SCA</t>
        </is>
      </c>
      <c r="G395" t="n">
        <v>16.1</v>
      </c>
      <c r="H395" t="n">
        <v>0</v>
      </c>
      <c r="I395" t="n">
        <v>0</v>
      </c>
      <c r="J395" t="n">
        <v>1</v>
      </c>
      <c r="K395" t="n">
        <v>1</v>
      </c>
      <c r="L395" t="n">
        <v>0</v>
      </c>
      <c r="M395" t="n">
        <v>0</v>
      </c>
      <c r="N395" t="n">
        <v>0</v>
      </c>
      <c r="O395" t="n">
        <v>2</v>
      </c>
      <c r="P395" t="n">
        <v>1</v>
      </c>
      <c r="Q395" t="n">
        <v>2</v>
      </c>
      <c r="R395" s="2" t="inlineStr">
        <is>
          <t>Gräddporing
Vaddporing</t>
        </is>
      </c>
      <c r="S395">
        <f>HYPERLINK("https://klasma.github.io/Logging_2523/artfynd/A 41650-2023 artfynd.xlsx", "A 41650-2023")</f>
        <v/>
      </c>
      <c r="T395">
        <f>HYPERLINK("https://klasma.github.io/Logging_2523/kartor/A 41650-2023 karta.png", "A 41650-2023")</f>
        <v/>
      </c>
      <c r="V395">
        <f>HYPERLINK("https://klasma.github.io/Logging_2523/klagomål/A 41650-2023 FSC-klagomål.docx", "A 41650-2023")</f>
        <v/>
      </c>
      <c r="W395">
        <f>HYPERLINK("https://klasma.github.io/Logging_2523/klagomålsmail/A 41650-2023 FSC-klagomål mail.docx", "A 41650-2023")</f>
        <v/>
      </c>
      <c r="X395">
        <f>HYPERLINK("https://klasma.github.io/Logging_2523/tillsyn/A 41650-2023 tillsynsbegäran.docx", "A 41650-2023")</f>
        <v/>
      </c>
      <c r="Y395">
        <f>HYPERLINK("https://klasma.github.io/Logging_2523/tillsynsmail/A 41650-2023 tillsynsbegäran mail.docx", "A 41650-2023")</f>
        <v/>
      </c>
    </row>
    <row r="396" ht="15" customHeight="1">
      <c r="A396" t="inlineStr">
        <is>
          <t>A 24998-2025</t>
        </is>
      </c>
      <c r="B396" s="1" t="n">
        <v>45799.61730324074</v>
      </c>
      <c r="C396" s="1" t="n">
        <v>46046</v>
      </c>
      <c r="D396" t="inlineStr">
        <is>
          <t>NORRBOTTENS LÄN</t>
        </is>
      </c>
      <c r="E396" t="inlineStr">
        <is>
          <t>ÖVERTORNEÅ</t>
        </is>
      </c>
      <c r="G396" t="n">
        <v>4.3</v>
      </c>
      <c r="H396" t="n">
        <v>0</v>
      </c>
      <c r="I396" t="n">
        <v>2</v>
      </c>
      <c r="J396" t="n">
        <v>0</v>
      </c>
      <c r="K396" t="n">
        <v>0</v>
      </c>
      <c r="L396" t="n">
        <v>0</v>
      </c>
      <c r="M396" t="n">
        <v>0</v>
      </c>
      <c r="N396" t="n">
        <v>0</v>
      </c>
      <c r="O396" t="n">
        <v>0</v>
      </c>
      <c r="P396" t="n">
        <v>0</v>
      </c>
      <c r="Q396" t="n">
        <v>2</v>
      </c>
      <c r="R396" s="2" t="inlineStr">
        <is>
          <t>Norrlandslav
Vedticka</t>
        </is>
      </c>
      <c r="S396">
        <f>HYPERLINK("https://klasma.github.io/Logging_2518/artfynd/A 24998-2025 artfynd.xlsx", "A 24998-2025")</f>
        <v/>
      </c>
      <c r="T396">
        <f>HYPERLINK("https://klasma.github.io/Logging_2518/kartor/A 24998-2025 karta.png", "A 24998-2025")</f>
        <v/>
      </c>
      <c r="V396">
        <f>HYPERLINK("https://klasma.github.io/Logging_2518/klagomål/A 24998-2025 FSC-klagomål.docx", "A 24998-2025")</f>
        <v/>
      </c>
      <c r="W396">
        <f>HYPERLINK("https://klasma.github.io/Logging_2518/klagomålsmail/A 24998-2025 FSC-klagomål mail.docx", "A 24998-2025")</f>
        <v/>
      </c>
      <c r="X396">
        <f>HYPERLINK("https://klasma.github.io/Logging_2518/tillsyn/A 24998-2025 tillsynsbegäran.docx", "A 24998-2025")</f>
        <v/>
      </c>
      <c r="Y396">
        <f>HYPERLINK("https://klasma.github.io/Logging_2518/tillsynsmail/A 24998-2025 tillsynsbegäran mail.docx", "A 24998-2025")</f>
        <v/>
      </c>
    </row>
    <row r="397" ht="15" customHeight="1">
      <c r="A397" t="inlineStr">
        <is>
          <t>A 45779-2024</t>
        </is>
      </c>
      <c r="B397" s="1" t="n">
        <v>45579</v>
      </c>
      <c r="C397" s="1" t="n">
        <v>46046</v>
      </c>
      <c r="D397" t="inlineStr">
        <is>
          <t>NORRBOTTENS LÄN</t>
        </is>
      </c>
      <c r="E397" t="inlineStr">
        <is>
          <t>ARJEPLOG</t>
        </is>
      </c>
      <c r="F397" t="inlineStr">
        <is>
          <t>Sveaskog</t>
        </is>
      </c>
      <c r="G397" t="n">
        <v>6.8</v>
      </c>
      <c r="H397" t="n">
        <v>0</v>
      </c>
      <c r="I397" t="n">
        <v>0</v>
      </c>
      <c r="J397" t="n">
        <v>2</v>
      </c>
      <c r="K397" t="n">
        <v>0</v>
      </c>
      <c r="L397" t="n">
        <v>0</v>
      </c>
      <c r="M397" t="n">
        <v>0</v>
      </c>
      <c r="N397" t="n">
        <v>0</v>
      </c>
      <c r="O397" t="n">
        <v>2</v>
      </c>
      <c r="P397" t="n">
        <v>0</v>
      </c>
      <c r="Q397" t="n">
        <v>2</v>
      </c>
      <c r="R397" s="2" t="inlineStr">
        <is>
          <t>Granticka
Ullticka</t>
        </is>
      </c>
      <c r="S397">
        <f>HYPERLINK("https://klasma.github.io/Logging_2506/artfynd/A 45779-2024 artfynd.xlsx", "A 45779-2024")</f>
        <v/>
      </c>
      <c r="T397">
        <f>HYPERLINK("https://klasma.github.io/Logging_2506/kartor/A 45779-2024 karta.png", "A 45779-2024")</f>
        <v/>
      </c>
      <c r="V397">
        <f>HYPERLINK("https://klasma.github.io/Logging_2506/klagomål/A 45779-2024 FSC-klagomål.docx", "A 45779-2024")</f>
        <v/>
      </c>
      <c r="W397">
        <f>HYPERLINK("https://klasma.github.io/Logging_2506/klagomålsmail/A 45779-2024 FSC-klagomål mail.docx", "A 45779-2024")</f>
        <v/>
      </c>
      <c r="X397">
        <f>HYPERLINK("https://klasma.github.io/Logging_2506/tillsyn/A 45779-2024 tillsynsbegäran.docx", "A 45779-2024")</f>
        <v/>
      </c>
      <c r="Y397">
        <f>HYPERLINK("https://klasma.github.io/Logging_2506/tillsynsmail/A 45779-2024 tillsynsbegäran mail.docx", "A 45779-2024")</f>
        <v/>
      </c>
    </row>
    <row r="398" ht="15" customHeight="1">
      <c r="A398" t="inlineStr">
        <is>
          <t>A 36378-2024</t>
        </is>
      </c>
      <c r="B398" s="1" t="n">
        <v>45534</v>
      </c>
      <c r="C398" s="1" t="n">
        <v>46046</v>
      </c>
      <c r="D398" t="inlineStr">
        <is>
          <t>NORRBOTTENS LÄN</t>
        </is>
      </c>
      <c r="E398" t="inlineStr">
        <is>
          <t>ÖVERKALIX</t>
        </is>
      </c>
      <c r="F398" t="inlineStr">
        <is>
          <t>Sveaskog</t>
        </is>
      </c>
      <c r="G398" t="n">
        <v>21.5</v>
      </c>
      <c r="H398" t="n">
        <v>1</v>
      </c>
      <c r="I398" t="n">
        <v>0</v>
      </c>
      <c r="J398" t="n">
        <v>1</v>
      </c>
      <c r="K398" t="n">
        <v>0</v>
      </c>
      <c r="L398" t="n">
        <v>0</v>
      </c>
      <c r="M398" t="n">
        <v>0</v>
      </c>
      <c r="N398" t="n">
        <v>0</v>
      </c>
      <c r="O398" t="n">
        <v>1</v>
      </c>
      <c r="P398" t="n">
        <v>0</v>
      </c>
      <c r="Q398" t="n">
        <v>2</v>
      </c>
      <c r="R398" s="2" t="inlineStr">
        <is>
          <t>Lunglav
Fläcknycklar</t>
        </is>
      </c>
      <c r="S398">
        <f>HYPERLINK("https://klasma.github.io/Logging_2513/artfynd/A 36378-2024 artfynd.xlsx", "A 36378-2024")</f>
        <v/>
      </c>
      <c r="T398">
        <f>HYPERLINK("https://klasma.github.io/Logging_2513/kartor/A 36378-2024 karta.png", "A 36378-2024")</f>
        <v/>
      </c>
      <c r="V398">
        <f>HYPERLINK("https://klasma.github.io/Logging_2513/klagomål/A 36378-2024 FSC-klagomål.docx", "A 36378-2024")</f>
        <v/>
      </c>
      <c r="W398">
        <f>HYPERLINK("https://klasma.github.io/Logging_2513/klagomålsmail/A 36378-2024 FSC-klagomål mail.docx", "A 36378-2024")</f>
        <v/>
      </c>
      <c r="X398">
        <f>HYPERLINK("https://klasma.github.io/Logging_2513/tillsyn/A 36378-2024 tillsynsbegäran.docx", "A 36378-2024")</f>
        <v/>
      </c>
      <c r="Y398">
        <f>HYPERLINK("https://klasma.github.io/Logging_2513/tillsynsmail/A 36378-2024 tillsynsbegäran mail.docx", "A 36378-2024")</f>
        <v/>
      </c>
    </row>
    <row r="399" ht="15" customHeight="1">
      <c r="A399" t="inlineStr">
        <is>
          <t>A 34737-2024</t>
        </is>
      </c>
      <c r="B399" s="1" t="n">
        <v>45526</v>
      </c>
      <c r="C399" s="1" t="n">
        <v>46046</v>
      </c>
      <c r="D399" t="inlineStr">
        <is>
          <t>NORRBOTTENS LÄN</t>
        </is>
      </c>
      <c r="E399" t="inlineStr">
        <is>
          <t>BODEN</t>
        </is>
      </c>
      <c r="F399" t="inlineStr">
        <is>
          <t>Sveaskog</t>
        </is>
      </c>
      <c r="G399" t="n">
        <v>6</v>
      </c>
      <c r="H399" t="n">
        <v>1</v>
      </c>
      <c r="I399" t="n">
        <v>0</v>
      </c>
      <c r="J399" t="n">
        <v>1</v>
      </c>
      <c r="K399" t="n">
        <v>0</v>
      </c>
      <c r="L399" t="n">
        <v>0</v>
      </c>
      <c r="M399" t="n">
        <v>0</v>
      </c>
      <c r="N399" t="n">
        <v>0</v>
      </c>
      <c r="O399" t="n">
        <v>1</v>
      </c>
      <c r="P399" t="n">
        <v>0</v>
      </c>
      <c r="Q399" t="n">
        <v>2</v>
      </c>
      <c r="R399" s="2" t="inlineStr">
        <is>
          <t>Lunglav
Fläcknycklar</t>
        </is>
      </c>
      <c r="S399">
        <f>HYPERLINK("https://klasma.github.io/Logging_2582/artfynd/A 34737-2024 artfynd.xlsx", "A 34737-2024")</f>
        <v/>
      </c>
      <c r="T399">
        <f>HYPERLINK("https://klasma.github.io/Logging_2582/kartor/A 34737-2024 karta.png", "A 34737-2024")</f>
        <v/>
      </c>
      <c r="V399">
        <f>HYPERLINK("https://klasma.github.io/Logging_2582/klagomål/A 34737-2024 FSC-klagomål.docx", "A 34737-2024")</f>
        <v/>
      </c>
      <c r="W399">
        <f>HYPERLINK("https://klasma.github.io/Logging_2582/klagomålsmail/A 34737-2024 FSC-klagomål mail.docx", "A 34737-2024")</f>
        <v/>
      </c>
      <c r="X399">
        <f>HYPERLINK("https://klasma.github.io/Logging_2582/tillsyn/A 34737-2024 tillsynsbegäran.docx", "A 34737-2024")</f>
        <v/>
      </c>
      <c r="Y399">
        <f>HYPERLINK("https://klasma.github.io/Logging_2582/tillsynsmail/A 34737-2024 tillsynsbegäran mail.docx", "A 34737-2024")</f>
        <v/>
      </c>
    </row>
    <row r="400" ht="15" customHeight="1">
      <c r="A400" t="inlineStr">
        <is>
          <t>A 900-2024</t>
        </is>
      </c>
      <c r="B400" s="1" t="n">
        <v>45301</v>
      </c>
      <c r="C400" s="1" t="n">
        <v>46046</v>
      </c>
      <c r="D400" t="inlineStr">
        <is>
          <t>NORRBOTTENS LÄN</t>
        </is>
      </c>
      <c r="E400" t="inlineStr">
        <is>
          <t>BODEN</t>
        </is>
      </c>
      <c r="G400" t="n">
        <v>5.2</v>
      </c>
      <c r="H400" t="n">
        <v>2</v>
      </c>
      <c r="I400" t="n">
        <v>0</v>
      </c>
      <c r="J400" t="n">
        <v>0</v>
      </c>
      <c r="K400" t="n">
        <v>1</v>
      </c>
      <c r="L400" t="n">
        <v>0</v>
      </c>
      <c r="M400" t="n">
        <v>0</v>
      </c>
      <c r="N400" t="n">
        <v>0</v>
      </c>
      <c r="O400" t="n">
        <v>1</v>
      </c>
      <c r="P400" t="n">
        <v>1</v>
      </c>
      <c r="Q400" t="n">
        <v>2</v>
      </c>
      <c r="R400" s="2" t="inlineStr">
        <is>
          <t>Knärot
Revlummer</t>
        </is>
      </c>
      <c r="S400">
        <f>HYPERLINK("https://klasma.github.io/Logging_2582/artfynd/A 900-2024 artfynd.xlsx", "A 900-2024")</f>
        <v/>
      </c>
      <c r="T400">
        <f>HYPERLINK("https://klasma.github.io/Logging_2582/kartor/A 900-2024 karta.png", "A 900-2024")</f>
        <v/>
      </c>
      <c r="U400">
        <f>HYPERLINK("https://klasma.github.io/Logging_2582/knärot/A 900-2024 karta knärot.png", "A 900-2024")</f>
        <v/>
      </c>
      <c r="V400">
        <f>HYPERLINK("https://klasma.github.io/Logging_2582/klagomål/A 900-2024 FSC-klagomål.docx", "A 900-2024")</f>
        <v/>
      </c>
      <c r="W400">
        <f>HYPERLINK("https://klasma.github.io/Logging_2582/klagomålsmail/A 900-2024 FSC-klagomål mail.docx", "A 900-2024")</f>
        <v/>
      </c>
      <c r="X400">
        <f>HYPERLINK("https://klasma.github.io/Logging_2582/tillsyn/A 900-2024 tillsynsbegäran.docx", "A 900-2024")</f>
        <v/>
      </c>
      <c r="Y400">
        <f>HYPERLINK("https://klasma.github.io/Logging_2582/tillsynsmail/A 900-2024 tillsynsbegäran mail.docx", "A 900-2024")</f>
        <v/>
      </c>
    </row>
    <row r="401" ht="15" customHeight="1">
      <c r="A401" t="inlineStr">
        <is>
          <t>A 17549-2023</t>
        </is>
      </c>
      <c r="B401" s="1" t="n">
        <v>45034</v>
      </c>
      <c r="C401" s="1" t="n">
        <v>46046</v>
      </c>
      <c r="D401" t="inlineStr">
        <is>
          <t>NORRBOTTENS LÄN</t>
        </is>
      </c>
      <c r="E401" t="inlineStr">
        <is>
          <t>ARJEPLOG</t>
        </is>
      </c>
      <c r="G401" t="n">
        <v>18.8</v>
      </c>
      <c r="H401" t="n">
        <v>1</v>
      </c>
      <c r="I401" t="n">
        <v>0</v>
      </c>
      <c r="J401" t="n">
        <v>2</v>
      </c>
      <c r="K401" t="n">
        <v>0</v>
      </c>
      <c r="L401" t="n">
        <v>0</v>
      </c>
      <c r="M401" t="n">
        <v>0</v>
      </c>
      <c r="N401" t="n">
        <v>0</v>
      </c>
      <c r="O401" t="n">
        <v>2</v>
      </c>
      <c r="P401" t="n">
        <v>0</v>
      </c>
      <c r="Q401" t="n">
        <v>2</v>
      </c>
      <c r="R401" s="2" t="inlineStr">
        <is>
          <t>Granticka
Tretåig hackspett</t>
        </is>
      </c>
      <c r="S401">
        <f>HYPERLINK("https://klasma.github.io/Logging_2506/artfynd/A 17549-2023 artfynd.xlsx", "A 17549-2023")</f>
        <v/>
      </c>
      <c r="T401">
        <f>HYPERLINK("https://klasma.github.io/Logging_2506/kartor/A 17549-2023 karta.png", "A 17549-2023")</f>
        <v/>
      </c>
      <c r="V401">
        <f>HYPERLINK("https://klasma.github.io/Logging_2506/klagomål/A 17549-2023 FSC-klagomål.docx", "A 17549-2023")</f>
        <v/>
      </c>
      <c r="W401">
        <f>HYPERLINK("https://klasma.github.io/Logging_2506/klagomålsmail/A 17549-2023 FSC-klagomål mail.docx", "A 17549-2023")</f>
        <v/>
      </c>
      <c r="X401">
        <f>HYPERLINK("https://klasma.github.io/Logging_2506/tillsyn/A 17549-2023 tillsynsbegäran.docx", "A 17549-2023")</f>
        <v/>
      </c>
      <c r="Y401">
        <f>HYPERLINK("https://klasma.github.io/Logging_2506/tillsynsmail/A 17549-2023 tillsynsbegäran mail.docx", "A 17549-2023")</f>
        <v/>
      </c>
      <c r="Z401">
        <f>HYPERLINK("https://klasma.github.io/Logging_2506/fåglar/A 17549-2023 prioriterade fågelarter.docx", "A 17549-2023")</f>
        <v/>
      </c>
    </row>
    <row r="402" ht="15" customHeight="1">
      <c r="A402" t="inlineStr">
        <is>
          <t>A 27113-2025</t>
        </is>
      </c>
      <c r="B402" s="1" t="n">
        <v>45811.73701388889</v>
      </c>
      <c r="C402" s="1" t="n">
        <v>46046</v>
      </c>
      <c r="D402" t="inlineStr">
        <is>
          <t>NORRBOTTENS LÄN</t>
        </is>
      </c>
      <c r="E402" t="inlineStr">
        <is>
          <t>PAJALA</t>
        </is>
      </c>
      <c r="F402" t="inlineStr">
        <is>
          <t>Sveaskog</t>
        </is>
      </c>
      <c r="G402" t="n">
        <v>11.4</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27113-2025 artfynd.xlsx", "A 27113-2025")</f>
        <v/>
      </c>
      <c r="T402">
        <f>HYPERLINK("https://klasma.github.io/Logging_2521/kartor/A 27113-2025 karta.png", "A 27113-2025")</f>
        <v/>
      </c>
      <c r="V402">
        <f>HYPERLINK("https://klasma.github.io/Logging_2521/klagomål/A 27113-2025 FSC-klagomål.docx", "A 27113-2025")</f>
        <v/>
      </c>
      <c r="W402">
        <f>HYPERLINK("https://klasma.github.io/Logging_2521/klagomålsmail/A 27113-2025 FSC-klagomål mail.docx", "A 27113-2025")</f>
        <v/>
      </c>
      <c r="X402">
        <f>HYPERLINK("https://klasma.github.io/Logging_2521/tillsyn/A 27113-2025 tillsynsbegäran.docx", "A 27113-2025")</f>
        <v/>
      </c>
      <c r="Y402">
        <f>HYPERLINK("https://klasma.github.io/Logging_2521/tillsynsmail/A 27113-2025 tillsynsbegäran mail.docx", "A 27113-2025")</f>
        <v/>
      </c>
    </row>
    <row r="403" ht="15" customHeight="1">
      <c r="A403" t="inlineStr">
        <is>
          <t>A 27115-2025</t>
        </is>
      </c>
      <c r="B403" s="1" t="n">
        <v>45811.74119212963</v>
      </c>
      <c r="C403" s="1" t="n">
        <v>46046</v>
      </c>
      <c r="D403" t="inlineStr">
        <is>
          <t>NORRBOTTENS LÄN</t>
        </is>
      </c>
      <c r="E403" t="inlineStr">
        <is>
          <t>GÄLLIVARE</t>
        </is>
      </c>
      <c r="F403" t="inlineStr">
        <is>
          <t>Sveaskog</t>
        </is>
      </c>
      <c r="G403" t="n">
        <v>15</v>
      </c>
      <c r="H403" t="n">
        <v>0</v>
      </c>
      <c r="I403" t="n">
        <v>1</v>
      </c>
      <c r="J403" t="n">
        <v>1</v>
      </c>
      <c r="K403" t="n">
        <v>0</v>
      </c>
      <c r="L403" t="n">
        <v>0</v>
      </c>
      <c r="M403" t="n">
        <v>0</v>
      </c>
      <c r="N403" t="n">
        <v>0</v>
      </c>
      <c r="O403" t="n">
        <v>1</v>
      </c>
      <c r="P403" t="n">
        <v>0</v>
      </c>
      <c r="Q403" t="n">
        <v>2</v>
      </c>
      <c r="R403" s="2" t="inlineStr">
        <is>
          <t>Kolflarnlav
Dropptaggsvamp</t>
        </is>
      </c>
      <c r="S403">
        <f>HYPERLINK("https://klasma.github.io/Logging_2523/artfynd/A 27115-2025 artfynd.xlsx", "A 27115-2025")</f>
        <v/>
      </c>
      <c r="T403">
        <f>HYPERLINK("https://klasma.github.io/Logging_2523/kartor/A 27115-2025 karta.png", "A 27115-2025")</f>
        <v/>
      </c>
      <c r="V403">
        <f>HYPERLINK("https://klasma.github.io/Logging_2523/klagomål/A 27115-2025 FSC-klagomål.docx", "A 27115-2025")</f>
        <v/>
      </c>
      <c r="W403">
        <f>HYPERLINK("https://klasma.github.io/Logging_2523/klagomålsmail/A 27115-2025 FSC-klagomål mail.docx", "A 27115-2025")</f>
        <v/>
      </c>
      <c r="X403">
        <f>HYPERLINK("https://klasma.github.io/Logging_2523/tillsyn/A 27115-2025 tillsynsbegäran.docx", "A 27115-2025")</f>
        <v/>
      </c>
      <c r="Y403">
        <f>HYPERLINK("https://klasma.github.io/Logging_2523/tillsynsmail/A 27115-2025 tillsynsbegäran mail.docx", "A 27115-2025")</f>
        <v/>
      </c>
    </row>
    <row r="404" ht="15" customHeight="1">
      <c r="A404" t="inlineStr">
        <is>
          <t>A 4367-2024</t>
        </is>
      </c>
      <c r="B404" s="1" t="n">
        <v>45326</v>
      </c>
      <c r="C404" s="1" t="n">
        <v>46046</v>
      </c>
      <c r="D404" t="inlineStr">
        <is>
          <t>NORRBOTTENS LÄN</t>
        </is>
      </c>
      <c r="E404" t="inlineStr">
        <is>
          <t>KIRUNA</t>
        </is>
      </c>
      <c r="G404" t="n">
        <v>7.5</v>
      </c>
      <c r="H404" t="n">
        <v>0</v>
      </c>
      <c r="I404" t="n">
        <v>0</v>
      </c>
      <c r="J404" t="n">
        <v>2</v>
      </c>
      <c r="K404" t="n">
        <v>0</v>
      </c>
      <c r="L404" t="n">
        <v>0</v>
      </c>
      <c r="M404" t="n">
        <v>0</v>
      </c>
      <c r="N404" t="n">
        <v>0</v>
      </c>
      <c r="O404" t="n">
        <v>2</v>
      </c>
      <c r="P404" t="n">
        <v>0</v>
      </c>
      <c r="Q404" t="n">
        <v>2</v>
      </c>
      <c r="R404" s="2" t="inlineStr">
        <is>
          <t>Granticka
Tallticka</t>
        </is>
      </c>
      <c r="S404">
        <f>HYPERLINK("https://klasma.github.io/Logging_2584/artfynd/A 4367-2024 artfynd.xlsx", "A 4367-2024")</f>
        <v/>
      </c>
      <c r="T404">
        <f>HYPERLINK("https://klasma.github.io/Logging_2584/kartor/A 4367-2024 karta.png", "A 4367-2024")</f>
        <v/>
      </c>
      <c r="V404">
        <f>HYPERLINK("https://klasma.github.io/Logging_2584/klagomål/A 4367-2024 FSC-klagomål.docx", "A 4367-2024")</f>
        <v/>
      </c>
      <c r="W404">
        <f>HYPERLINK("https://klasma.github.io/Logging_2584/klagomålsmail/A 4367-2024 FSC-klagomål mail.docx", "A 4367-2024")</f>
        <v/>
      </c>
      <c r="X404">
        <f>HYPERLINK("https://klasma.github.io/Logging_2584/tillsyn/A 4367-2024 tillsynsbegäran.docx", "A 4367-2024")</f>
        <v/>
      </c>
      <c r="Y404">
        <f>HYPERLINK("https://klasma.github.io/Logging_2584/tillsynsmail/A 4367-2024 tillsynsbegäran mail.docx", "A 4367-2024")</f>
        <v/>
      </c>
    </row>
    <row r="405" ht="15" customHeight="1">
      <c r="A405" t="inlineStr">
        <is>
          <t>A 27111-2025</t>
        </is>
      </c>
      <c r="B405" s="1" t="n">
        <v>45811.73290509259</v>
      </c>
      <c r="C405" s="1" t="n">
        <v>46046</v>
      </c>
      <c r="D405" t="inlineStr">
        <is>
          <t>NORRBOTTENS LÄN</t>
        </is>
      </c>
      <c r="E405" t="inlineStr">
        <is>
          <t>PAJALA</t>
        </is>
      </c>
      <c r="F405" t="inlineStr">
        <is>
          <t>Sveaskog</t>
        </is>
      </c>
      <c r="G405" t="n">
        <v>6.1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27111-2025 artfynd.xlsx", "A 27111-2025")</f>
        <v/>
      </c>
      <c r="T405">
        <f>HYPERLINK("https://klasma.github.io/Logging_2521/kartor/A 27111-2025 karta.png", "A 27111-2025")</f>
        <v/>
      </c>
      <c r="V405">
        <f>HYPERLINK("https://klasma.github.io/Logging_2521/klagomål/A 27111-2025 FSC-klagomål.docx", "A 27111-2025")</f>
        <v/>
      </c>
      <c r="W405">
        <f>HYPERLINK("https://klasma.github.io/Logging_2521/klagomålsmail/A 27111-2025 FSC-klagomål mail.docx", "A 27111-2025")</f>
        <v/>
      </c>
      <c r="X405">
        <f>HYPERLINK("https://klasma.github.io/Logging_2521/tillsyn/A 27111-2025 tillsynsbegäran.docx", "A 27111-2025")</f>
        <v/>
      </c>
      <c r="Y405">
        <f>HYPERLINK("https://klasma.github.io/Logging_2521/tillsynsmail/A 27111-2025 tillsynsbegäran mail.docx", "A 27111-2025")</f>
        <v/>
      </c>
    </row>
    <row r="406" ht="15" customHeight="1">
      <c r="A406" t="inlineStr">
        <is>
          <t>A 17802-2025</t>
        </is>
      </c>
      <c r="B406" s="1" t="n">
        <v>45758.55125</v>
      </c>
      <c r="C406" s="1" t="n">
        <v>46046</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6895-2025</t>
        </is>
      </c>
      <c r="B407" s="1" t="n">
        <v>45701</v>
      </c>
      <c r="C407" s="1" t="n">
        <v>46046</v>
      </c>
      <c r="D407" t="inlineStr">
        <is>
          <t>NORRBOTTENS LÄN</t>
        </is>
      </c>
      <c r="E407" t="inlineStr">
        <is>
          <t>BODEN</t>
        </is>
      </c>
      <c r="G407" t="n">
        <v>1.5</v>
      </c>
      <c r="H407" t="n">
        <v>1</v>
      </c>
      <c r="I407" t="n">
        <v>1</v>
      </c>
      <c r="J407" t="n">
        <v>1</v>
      </c>
      <c r="K407" t="n">
        <v>0</v>
      </c>
      <c r="L407" t="n">
        <v>0</v>
      </c>
      <c r="M407" t="n">
        <v>0</v>
      </c>
      <c r="N407" t="n">
        <v>0</v>
      </c>
      <c r="O407" t="n">
        <v>1</v>
      </c>
      <c r="P407" t="n">
        <v>0</v>
      </c>
      <c r="Q407" t="n">
        <v>2</v>
      </c>
      <c r="R407" s="2" t="inlineStr">
        <is>
          <t>Kolflarnlav
Plattlummer</t>
        </is>
      </c>
      <c r="S407">
        <f>HYPERLINK("https://klasma.github.io/Logging_2582/artfynd/A 6895-2025 artfynd.xlsx", "A 6895-2025")</f>
        <v/>
      </c>
      <c r="T407">
        <f>HYPERLINK("https://klasma.github.io/Logging_2582/kartor/A 6895-2025 karta.png", "A 6895-2025")</f>
        <v/>
      </c>
      <c r="V407">
        <f>HYPERLINK("https://klasma.github.io/Logging_2582/klagomål/A 6895-2025 FSC-klagomål.docx", "A 6895-2025")</f>
        <v/>
      </c>
      <c r="W407">
        <f>HYPERLINK("https://klasma.github.io/Logging_2582/klagomålsmail/A 6895-2025 FSC-klagomål mail.docx", "A 6895-2025")</f>
        <v/>
      </c>
      <c r="X407">
        <f>HYPERLINK("https://klasma.github.io/Logging_2582/tillsyn/A 6895-2025 tillsynsbegäran.docx", "A 6895-2025")</f>
        <v/>
      </c>
      <c r="Y407">
        <f>HYPERLINK("https://klasma.github.io/Logging_2582/tillsynsmail/A 6895-2025 tillsynsbegäran mail.docx", "A 6895-2025")</f>
        <v/>
      </c>
    </row>
    <row r="408" ht="15" customHeight="1">
      <c r="A408" t="inlineStr">
        <is>
          <t>A 11372-2025</t>
        </is>
      </c>
      <c r="B408" s="1" t="n">
        <v>45726.55266203704</v>
      </c>
      <c r="C408" s="1" t="n">
        <v>46046</v>
      </c>
      <c r="D408" t="inlineStr">
        <is>
          <t>NORRBOTTENS LÄN</t>
        </is>
      </c>
      <c r="E408" t="inlineStr">
        <is>
          <t>PITEÅ</t>
        </is>
      </c>
      <c r="G408" t="n">
        <v>4.7</v>
      </c>
      <c r="H408" t="n">
        <v>2</v>
      </c>
      <c r="I408" t="n">
        <v>0</v>
      </c>
      <c r="J408" t="n">
        <v>1</v>
      </c>
      <c r="K408" t="n">
        <v>0</v>
      </c>
      <c r="L408" t="n">
        <v>0</v>
      </c>
      <c r="M408" t="n">
        <v>0</v>
      </c>
      <c r="N408" t="n">
        <v>0</v>
      </c>
      <c r="O408" t="n">
        <v>1</v>
      </c>
      <c r="P408" t="n">
        <v>0</v>
      </c>
      <c r="Q408" t="n">
        <v>2</v>
      </c>
      <c r="R408" s="2" t="inlineStr">
        <is>
          <t>Tretåig hackspett
Vanlig padda</t>
        </is>
      </c>
      <c r="S408">
        <f>HYPERLINK("https://klasma.github.io/Logging_2581/artfynd/A 11372-2025 artfynd.xlsx", "A 11372-2025")</f>
        <v/>
      </c>
      <c r="T408">
        <f>HYPERLINK("https://klasma.github.io/Logging_2581/kartor/A 11372-2025 karta.png", "A 11372-2025")</f>
        <v/>
      </c>
      <c r="V408">
        <f>HYPERLINK("https://klasma.github.io/Logging_2581/klagomål/A 11372-2025 FSC-klagomål.docx", "A 11372-2025")</f>
        <v/>
      </c>
      <c r="W408">
        <f>HYPERLINK("https://klasma.github.io/Logging_2581/klagomålsmail/A 11372-2025 FSC-klagomål mail.docx", "A 11372-2025")</f>
        <v/>
      </c>
      <c r="X408">
        <f>HYPERLINK("https://klasma.github.io/Logging_2581/tillsyn/A 11372-2025 tillsynsbegäran.docx", "A 11372-2025")</f>
        <v/>
      </c>
      <c r="Y408">
        <f>HYPERLINK("https://klasma.github.io/Logging_2581/tillsynsmail/A 11372-2025 tillsynsbegäran mail.docx", "A 11372-2025")</f>
        <v/>
      </c>
      <c r="Z408">
        <f>HYPERLINK("https://klasma.github.io/Logging_2581/fåglar/A 11372-2025 prioriterade fågelarter.docx", "A 11372-2025")</f>
        <v/>
      </c>
    </row>
    <row r="409" ht="15" customHeight="1">
      <c r="A409" t="inlineStr">
        <is>
          <t>A 16255-2024</t>
        </is>
      </c>
      <c r="B409" s="1" t="n">
        <v>45407</v>
      </c>
      <c r="C409" s="1" t="n">
        <v>46046</v>
      </c>
      <c r="D409" t="inlineStr">
        <is>
          <t>NORRBOTTENS LÄN</t>
        </is>
      </c>
      <c r="E409" t="inlineStr">
        <is>
          <t>ÄLVSBYN</t>
        </is>
      </c>
      <c r="F409" t="inlineStr">
        <is>
          <t>SCA</t>
        </is>
      </c>
      <c r="G409" t="n">
        <v>18.5</v>
      </c>
      <c r="H409" t="n">
        <v>1</v>
      </c>
      <c r="I409" t="n">
        <v>1</v>
      </c>
      <c r="J409" t="n">
        <v>1</v>
      </c>
      <c r="K409" t="n">
        <v>0</v>
      </c>
      <c r="L409" t="n">
        <v>0</v>
      </c>
      <c r="M409" t="n">
        <v>0</v>
      </c>
      <c r="N409" t="n">
        <v>0</v>
      </c>
      <c r="O409" t="n">
        <v>1</v>
      </c>
      <c r="P409" t="n">
        <v>0</v>
      </c>
      <c r="Q409" t="n">
        <v>2</v>
      </c>
      <c r="R409" s="2" t="inlineStr">
        <is>
          <t>Gammelgransskål
Lappranunkel</t>
        </is>
      </c>
      <c r="S409">
        <f>HYPERLINK("https://klasma.github.io/Logging_2560/artfynd/A 16255-2024 artfynd.xlsx", "A 16255-2024")</f>
        <v/>
      </c>
      <c r="T409">
        <f>HYPERLINK("https://klasma.github.io/Logging_2560/kartor/A 16255-2024 karta.png", "A 16255-2024")</f>
        <v/>
      </c>
      <c r="V409">
        <f>HYPERLINK("https://klasma.github.io/Logging_2560/klagomål/A 16255-2024 FSC-klagomål.docx", "A 16255-2024")</f>
        <v/>
      </c>
      <c r="W409">
        <f>HYPERLINK("https://klasma.github.io/Logging_2560/klagomålsmail/A 16255-2024 FSC-klagomål mail.docx", "A 16255-2024")</f>
        <v/>
      </c>
      <c r="X409">
        <f>HYPERLINK("https://klasma.github.io/Logging_2560/tillsyn/A 16255-2024 tillsynsbegäran.docx", "A 16255-2024")</f>
        <v/>
      </c>
      <c r="Y409">
        <f>HYPERLINK("https://klasma.github.io/Logging_2560/tillsynsmail/A 16255-2024 tillsynsbegäran mail.docx", "A 16255-2024")</f>
        <v/>
      </c>
    </row>
    <row r="410" ht="15" customHeight="1">
      <c r="A410" t="inlineStr">
        <is>
          <t>A 28555-2025</t>
        </is>
      </c>
      <c r="B410" s="1" t="n">
        <v>45819</v>
      </c>
      <c r="C410" s="1" t="n">
        <v>46046</v>
      </c>
      <c r="D410" t="inlineStr">
        <is>
          <t>NORRBOTTENS LÄN</t>
        </is>
      </c>
      <c r="E410" t="inlineStr">
        <is>
          <t>ÄLVSBYN</t>
        </is>
      </c>
      <c r="F410" t="inlineStr">
        <is>
          <t>Sveaskog</t>
        </is>
      </c>
      <c r="G410" t="n">
        <v>40.5</v>
      </c>
      <c r="H410" t="n">
        <v>0</v>
      </c>
      <c r="I410" t="n">
        <v>0</v>
      </c>
      <c r="J410" t="n">
        <v>2</v>
      </c>
      <c r="K410" t="n">
        <v>0</v>
      </c>
      <c r="L410" t="n">
        <v>0</v>
      </c>
      <c r="M410" t="n">
        <v>0</v>
      </c>
      <c r="N410" t="n">
        <v>0</v>
      </c>
      <c r="O410" t="n">
        <v>2</v>
      </c>
      <c r="P410" t="n">
        <v>0</v>
      </c>
      <c r="Q410" t="n">
        <v>2</v>
      </c>
      <c r="R410" s="2" t="inlineStr">
        <is>
          <t>Kolflarnlav
Lunglav</t>
        </is>
      </c>
      <c r="S410">
        <f>HYPERLINK("https://klasma.github.io/Logging_2560/artfynd/A 28555-2025 artfynd.xlsx", "A 28555-2025")</f>
        <v/>
      </c>
      <c r="T410">
        <f>HYPERLINK("https://klasma.github.io/Logging_2560/kartor/A 28555-2025 karta.png", "A 28555-2025")</f>
        <v/>
      </c>
      <c r="V410">
        <f>HYPERLINK("https://klasma.github.io/Logging_2560/klagomål/A 28555-2025 FSC-klagomål.docx", "A 28555-2025")</f>
        <v/>
      </c>
      <c r="W410">
        <f>HYPERLINK("https://klasma.github.io/Logging_2560/klagomålsmail/A 28555-2025 FSC-klagomål mail.docx", "A 28555-2025")</f>
        <v/>
      </c>
      <c r="X410">
        <f>HYPERLINK("https://klasma.github.io/Logging_2560/tillsyn/A 28555-2025 tillsynsbegäran.docx", "A 28555-2025")</f>
        <v/>
      </c>
      <c r="Y410">
        <f>HYPERLINK("https://klasma.github.io/Logging_2560/tillsynsmail/A 28555-2025 tillsynsbegäran mail.docx", "A 28555-2025")</f>
        <v/>
      </c>
    </row>
    <row r="411" ht="15" customHeight="1">
      <c r="A411" t="inlineStr">
        <is>
          <t>A 28246-2025</t>
        </is>
      </c>
      <c r="B411" s="1" t="n">
        <v>45818.51263888889</v>
      </c>
      <c r="C411" s="1" t="n">
        <v>46046</v>
      </c>
      <c r="D411" t="inlineStr">
        <is>
          <t>NORRBOTTENS LÄN</t>
        </is>
      </c>
      <c r="E411" t="inlineStr">
        <is>
          <t>PITEÅ</t>
        </is>
      </c>
      <c r="F411" t="inlineStr">
        <is>
          <t>Sveaskog</t>
        </is>
      </c>
      <c r="G411" t="n">
        <v>24.6</v>
      </c>
      <c r="H411" t="n">
        <v>0</v>
      </c>
      <c r="I411" t="n">
        <v>1</v>
      </c>
      <c r="J411" t="n">
        <v>1</v>
      </c>
      <c r="K411" t="n">
        <v>0</v>
      </c>
      <c r="L411" t="n">
        <v>0</v>
      </c>
      <c r="M411" t="n">
        <v>0</v>
      </c>
      <c r="N411" t="n">
        <v>0</v>
      </c>
      <c r="O411" t="n">
        <v>1</v>
      </c>
      <c r="P411" t="n">
        <v>0</v>
      </c>
      <c r="Q411" t="n">
        <v>2</v>
      </c>
      <c r="R411" s="2" t="inlineStr">
        <is>
          <t>Garnlav
Stuplav</t>
        </is>
      </c>
      <c r="S411">
        <f>HYPERLINK("https://klasma.github.io/Logging_2581/artfynd/A 28246-2025 artfynd.xlsx", "A 28246-2025")</f>
        <v/>
      </c>
      <c r="T411">
        <f>HYPERLINK("https://klasma.github.io/Logging_2581/kartor/A 28246-2025 karta.png", "A 28246-2025")</f>
        <v/>
      </c>
      <c r="V411">
        <f>HYPERLINK("https://klasma.github.io/Logging_2581/klagomål/A 28246-2025 FSC-klagomål.docx", "A 28246-2025")</f>
        <v/>
      </c>
      <c r="W411">
        <f>HYPERLINK("https://klasma.github.io/Logging_2581/klagomålsmail/A 28246-2025 FSC-klagomål mail.docx", "A 28246-2025")</f>
        <v/>
      </c>
      <c r="X411">
        <f>HYPERLINK("https://klasma.github.io/Logging_2581/tillsyn/A 28246-2025 tillsynsbegäran.docx", "A 28246-2025")</f>
        <v/>
      </c>
      <c r="Y411">
        <f>HYPERLINK("https://klasma.github.io/Logging_2581/tillsynsmail/A 28246-2025 tillsynsbegäran mail.docx", "A 28246-2025")</f>
        <v/>
      </c>
    </row>
    <row r="412" ht="15" customHeight="1">
      <c r="A412" t="inlineStr">
        <is>
          <t>A 45032-2023</t>
        </is>
      </c>
      <c r="B412" s="1" t="n">
        <v>45190</v>
      </c>
      <c r="C412" s="1" t="n">
        <v>46046</v>
      </c>
      <c r="D412" t="inlineStr">
        <is>
          <t>NORRBOTTENS LÄN</t>
        </is>
      </c>
      <c r="E412" t="inlineStr">
        <is>
          <t>ARJEPLOG</t>
        </is>
      </c>
      <c r="F412" t="inlineStr">
        <is>
          <t>Övriga statliga verk och myndigheter</t>
        </is>
      </c>
      <c r="G412" t="n">
        <v>6.3</v>
      </c>
      <c r="H412" t="n">
        <v>1</v>
      </c>
      <c r="I412" t="n">
        <v>0</v>
      </c>
      <c r="J412" t="n">
        <v>2</v>
      </c>
      <c r="K412" t="n">
        <v>0</v>
      </c>
      <c r="L412" t="n">
        <v>0</v>
      </c>
      <c r="M412" t="n">
        <v>0</v>
      </c>
      <c r="N412" t="n">
        <v>0</v>
      </c>
      <c r="O412" t="n">
        <v>2</v>
      </c>
      <c r="P412" t="n">
        <v>0</v>
      </c>
      <c r="Q412" t="n">
        <v>2</v>
      </c>
      <c r="R412" s="2" t="inlineStr">
        <is>
          <t>Gammelgransskål
Tretåig hackspett</t>
        </is>
      </c>
      <c r="S412">
        <f>HYPERLINK("https://klasma.github.io/Logging_2506/artfynd/A 45032-2023 artfynd.xlsx", "A 45032-2023")</f>
        <v/>
      </c>
      <c r="T412">
        <f>HYPERLINK("https://klasma.github.io/Logging_2506/kartor/A 45032-2023 karta.png", "A 45032-2023")</f>
        <v/>
      </c>
      <c r="V412">
        <f>HYPERLINK("https://klasma.github.io/Logging_2506/klagomål/A 45032-2023 FSC-klagomål.docx", "A 45032-2023")</f>
        <v/>
      </c>
      <c r="W412">
        <f>HYPERLINK("https://klasma.github.io/Logging_2506/klagomålsmail/A 45032-2023 FSC-klagomål mail.docx", "A 45032-2023")</f>
        <v/>
      </c>
      <c r="X412">
        <f>HYPERLINK("https://klasma.github.io/Logging_2506/tillsyn/A 45032-2023 tillsynsbegäran.docx", "A 45032-2023")</f>
        <v/>
      </c>
      <c r="Y412">
        <f>HYPERLINK("https://klasma.github.io/Logging_2506/tillsynsmail/A 45032-2023 tillsynsbegäran mail.docx", "A 45032-2023")</f>
        <v/>
      </c>
      <c r="Z412">
        <f>HYPERLINK("https://klasma.github.io/Logging_2506/fåglar/A 45032-2023 prioriterade fågelarter.docx", "A 45032-2023")</f>
        <v/>
      </c>
    </row>
    <row r="413" ht="15" customHeight="1">
      <c r="A413" t="inlineStr">
        <is>
          <t>A 28267-2025</t>
        </is>
      </c>
      <c r="B413" s="1" t="n">
        <v>45818.56559027778</v>
      </c>
      <c r="C413" s="1" t="n">
        <v>46046</v>
      </c>
      <c r="D413" t="inlineStr">
        <is>
          <t>NORRBOTTENS LÄN</t>
        </is>
      </c>
      <c r="E413" t="inlineStr">
        <is>
          <t>BODEN</t>
        </is>
      </c>
      <c r="F413" t="inlineStr">
        <is>
          <t>Sveaskog</t>
        </is>
      </c>
      <c r="G413" t="n">
        <v>2.6</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28267-2025 artfynd.xlsx", "A 28267-2025")</f>
        <v/>
      </c>
      <c r="T413">
        <f>HYPERLINK("https://klasma.github.io/Logging_2582/kartor/A 28267-2025 karta.png", "A 28267-2025")</f>
        <v/>
      </c>
      <c r="U413">
        <f>HYPERLINK("https://klasma.github.io/Logging_2582/knärot/A 28267-2025 karta knärot.png", "A 28267-2025")</f>
        <v/>
      </c>
      <c r="V413">
        <f>HYPERLINK("https://klasma.github.io/Logging_2582/klagomål/A 28267-2025 FSC-klagomål.docx", "A 28267-2025")</f>
        <v/>
      </c>
      <c r="W413">
        <f>HYPERLINK("https://klasma.github.io/Logging_2582/klagomålsmail/A 28267-2025 FSC-klagomål mail.docx", "A 28267-2025")</f>
        <v/>
      </c>
      <c r="X413">
        <f>HYPERLINK("https://klasma.github.io/Logging_2582/tillsyn/A 28267-2025 tillsynsbegäran.docx", "A 28267-2025")</f>
        <v/>
      </c>
      <c r="Y413">
        <f>HYPERLINK("https://klasma.github.io/Logging_2582/tillsynsmail/A 28267-2025 tillsynsbegäran mail.docx", "A 28267-2025")</f>
        <v/>
      </c>
    </row>
    <row r="414" ht="15" customHeight="1">
      <c r="A414" t="inlineStr">
        <is>
          <t>A 46152-2021</t>
        </is>
      </c>
      <c r="B414" s="1" t="n">
        <v>44442.42032407408</v>
      </c>
      <c r="C414" s="1" t="n">
        <v>46046</v>
      </c>
      <c r="D414" t="inlineStr">
        <is>
          <t>NORRBOTTENS LÄN</t>
        </is>
      </c>
      <c r="E414" t="inlineStr">
        <is>
          <t>KALIX</t>
        </is>
      </c>
      <c r="F414" t="inlineStr">
        <is>
          <t>Sveaskog</t>
        </is>
      </c>
      <c r="G414" t="n">
        <v>1.8</v>
      </c>
      <c r="H414" t="n">
        <v>1</v>
      </c>
      <c r="I414" t="n">
        <v>0</v>
      </c>
      <c r="J414" t="n">
        <v>2</v>
      </c>
      <c r="K414" t="n">
        <v>0</v>
      </c>
      <c r="L414" t="n">
        <v>0</v>
      </c>
      <c r="M414" t="n">
        <v>0</v>
      </c>
      <c r="N414" t="n">
        <v>0</v>
      </c>
      <c r="O414" t="n">
        <v>2</v>
      </c>
      <c r="P414" t="n">
        <v>0</v>
      </c>
      <c r="Q414" t="n">
        <v>2</v>
      </c>
      <c r="R414" s="2" t="inlineStr">
        <is>
          <t>Garnlav
Tretåig hackspett</t>
        </is>
      </c>
      <c r="S414">
        <f>HYPERLINK("https://klasma.github.io/Logging_2514/artfynd/A 46152-2021 artfynd.xlsx", "A 46152-2021")</f>
        <v/>
      </c>
      <c r="T414">
        <f>HYPERLINK("https://klasma.github.io/Logging_2514/kartor/A 46152-2021 karta.png", "A 46152-2021")</f>
        <v/>
      </c>
      <c r="V414">
        <f>HYPERLINK("https://klasma.github.io/Logging_2514/klagomål/A 46152-2021 FSC-klagomål.docx", "A 46152-2021")</f>
        <v/>
      </c>
      <c r="W414">
        <f>HYPERLINK("https://klasma.github.io/Logging_2514/klagomålsmail/A 46152-2021 FSC-klagomål mail.docx", "A 46152-2021")</f>
        <v/>
      </c>
      <c r="X414">
        <f>HYPERLINK("https://klasma.github.io/Logging_2514/tillsyn/A 46152-2021 tillsynsbegäran.docx", "A 46152-2021")</f>
        <v/>
      </c>
      <c r="Y414">
        <f>HYPERLINK("https://klasma.github.io/Logging_2514/tillsynsmail/A 46152-2021 tillsynsbegäran mail.docx", "A 46152-2021")</f>
        <v/>
      </c>
      <c r="Z414">
        <f>HYPERLINK("https://klasma.github.io/Logging_2514/fåglar/A 46152-2021 prioriterade fågelarter.docx", "A 46152-2021")</f>
        <v/>
      </c>
    </row>
    <row r="415" ht="15" customHeight="1">
      <c r="A415" t="inlineStr">
        <is>
          <t>A 40706-2023</t>
        </is>
      </c>
      <c r="B415" s="1" t="n">
        <v>45170</v>
      </c>
      <c r="C415" s="1" t="n">
        <v>46046</v>
      </c>
      <c r="D415" t="inlineStr">
        <is>
          <t>NORRBOTTENS LÄN</t>
        </is>
      </c>
      <c r="E415" t="inlineStr">
        <is>
          <t>ÖVERKALIX</t>
        </is>
      </c>
      <c r="F415" t="inlineStr">
        <is>
          <t>Sveaskog</t>
        </is>
      </c>
      <c r="G415" t="n">
        <v>7.1</v>
      </c>
      <c r="H415" t="n">
        <v>1</v>
      </c>
      <c r="I415" t="n">
        <v>1</v>
      </c>
      <c r="J415" t="n">
        <v>0</v>
      </c>
      <c r="K415" t="n">
        <v>1</v>
      </c>
      <c r="L415" t="n">
        <v>0</v>
      </c>
      <c r="M415" t="n">
        <v>0</v>
      </c>
      <c r="N415" t="n">
        <v>0</v>
      </c>
      <c r="O415" t="n">
        <v>1</v>
      </c>
      <c r="P415" t="n">
        <v>1</v>
      </c>
      <c r="Q415" t="n">
        <v>2</v>
      </c>
      <c r="R415" s="2" t="inlineStr">
        <is>
          <t>Knärot
Dropptaggsvamp</t>
        </is>
      </c>
      <c r="S415">
        <f>HYPERLINK("https://klasma.github.io/Logging_2513/artfynd/A 40706-2023 artfynd.xlsx", "A 40706-2023")</f>
        <v/>
      </c>
      <c r="T415">
        <f>HYPERLINK("https://klasma.github.io/Logging_2513/kartor/A 40706-2023 karta.png", "A 40706-2023")</f>
        <v/>
      </c>
      <c r="U415">
        <f>HYPERLINK("https://klasma.github.io/Logging_2513/knärot/A 40706-2023 karta knärot.png", "A 40706-2023")</f>
        <v/>
      </c>
      <c r="V415">
        <f>HYPERLINK("https://klasma.github.io/Logging_2513/klagomål/A 40706-2023 FSC-klagomål.docx", "A 40706-2023")</f>
        <v/>
      </c>
      <c r="W415">
        <f>HYPERLINK("https://klasma.github.io/Logging_2513/klagomålsmail/A 40706-2023 FSC-klagomål mail.docx", "A 40706-2023")</f>
        <v/>
      </c>
      <c r="X415">
        <f>HYPERLINK("https://klasma.github.io/Logging_2513/tillsyn/A 40706-2023 tillsynsbegäran.docx", "A 40706-2023")</f>
        <v/>
      </c>
      <c r="Y415">
        <f>HYPERLINK("https://klasma.github.io/Logging_2513/tillsynsmail/A 40706-2023 tillsynsbegäran mail.docx", "A 40706-2023")</f>
        <v/>
      </c>
    </row>
    <row r="416" ht="15" customHeight="1">
      <c r="A416" t="inlineStr">
        <is>
          <t>A 28867-2025</t>
        </is>
      </c>
      <c r="B416" s="1" t="n">
        <v>45820.60171296296</v>
      </c>
      <c r="C416" s="1" t="n">
        <v>46046</v>
      </c>
      <c r="D416" t="inlineStr">
        <is>
          <t>NORRBOTTENS LÄN</t>
        </is>
      </c>
      <c r="E416" t="inlineStr">
        <is>
          <t>BODEN</t>
        </is>
      </c>
      <c r="F416" t="inlineStr">
        <is>
          <t>Sveaskog</t>
        </is>
      </c>
      <c r="G416" t="n">
        <v>8.199999999999999</v>
      </c>
      <c r="H416" t="n">
        <v>2</v>
      </c>
      <c r="I416" t="n">
        <v>0</v>
      </c>
      <c r="J416" t="n">
        <v>0</v>
      </c>
      <c r="K416" t="n">
        <v>1</v>
      </c>
      <c r="L416" t="n">
        <v>0</v>
      </c>
      <c r="M416" t="n">
        <v>0</v>
      </c>
      <c r="N416" t="n">
        <v>0</v>
      </c>
      <c r="O416" t="n">
        <v>1</v>
      </c>
      <c r="P416" t="n">
        <v>1</v>
      </c>
      <c r="Q416" t="n">
        <v>2</v>
      </c>
      <c r="R416" s="2" t="inlineStr">
        <is>
          <t>Knärot
Fläcknycklar</t>
        </is>
      </c>
      <c r="S416">
        <f>HYPERLINK("https://klasma.github.io/Logging_2582/artfynd/A 28867-2025 artfynd.xlsx", "A 28867-2025")</f>
        <v/>
      </c>
      <c r="T416">
        <f>HYPERLINK("https://klasma.github.io/Logging_2582/kartor/A 28867-2025 karta.png", "A 28867-2025")</f>
        <v/>
      </c>
      <c r="U416">
        <f>HYPERLINK("https://klasma.github.io/Logging_2582/knärot/A 28867-2025 karta knärot.png", "A 28867-2025")</f>
        <v/>
      </c>
      <c r="V416">
        <f>HYPERLINK("https://klasma.github.io/Logging_2582/klagomål/A 28867-2025 FSC-klagomål.docx", "A 28867-2025")</f>
        <v/>
      </c>
      <c r="W416">
        <f>HYPERLINK("https://klasma.github.io/Logging_2582/klagomålsmail/A 28867-2025 FSC-klagomål mail.docx", "A 28867-2025")</f>
        <v/>
      </c>
      <c r="X416">
        <f>HYPERLINK("https://klasma.github.io/Logging_2582/tillsyn/A 28867-2025 tillsynsbegäran.docx", "A 28867-2025")</f>
        <v/>
      </c>
      <c r="Y416">
        <f>HYPERLINK("https://klasma.github.io/Logging_2582/tillsynsmail/A 28867-2025 tillsynsbegäran mail.docx", "A 28867-2025")</f>
        <v/>
      </c>
    </row>
    <row r="417" ht="15" customHeight="1">
      <c r="A417" t="inlineStr">
        <is>
          <t>A 28577-2024</t>
        </is>
      </c>
      <c r="B417" s="1" t="n">
        <v>45478</v>
      </c>
      <c r="C417" s="1" t="n">
        <v>46046</v>
      </c>
      <c r="D417" t="inlineStr">
        <is>
          <t>NORRBOTTENS LÄN</t>
        </is>
      </c>
      <c r="E417" t="inlineStr">
        <is>
          <t>ÖVERKALIX</t>
        </is>
      </c>
      <c r="F417" t="inlineStr">
        <is>
          <t>Sveaskog</t>
        </is>
      </c>
      <c r="G417" t="n">
        <v>0.8</v>
      </c>
      <c r="H417" t="n">
        <v>1</v>
      </c>
      <c r="I417" t="n">
        <v>1</v>
      </c>
      <c r="J417" t="n">
        <v>1</v>
      </c>
      <c r="K417" t="n">
        <v>0</v>
      </c>
      <c r="L417" t="n">
        <v>0</v>
      </c>
      <c r="M417" t="n">
        <v>0</v>
      </c>
      <c r="N417" t="n">
        <v>0</v>
      </c>
      <c r="O417" t="n">
        <v>1</v>
      </c>
      <c r="P417" t="n">
        <v>0</v>
      </c>
      <c r="Q417" t="n">
        <v>2</v>
      </c>
      <c r="R417" s="2" t="inlineStr">
        <is>
          <t>Månlåsbräken
Plattlummer</t>
        </is>
      </c>
      <c r="S417">
        <f>HYPERLINK("https://klasma.github.io/Logging_2513/artfynd/A 28577-2024 artfynd.xlsx", "A 28577-2024")</f>
        <v/>
      </c>
      <c r="T417">
        <f>HYPERLINK("https://klasma.github.io/Logging_2513/kartor/A 28577-2024 karta.png", "A 28577-2024")</f>
        <v/>
      </c>
      <c r="V417">
        <f>HYPERLINK("https://klasma.github.io/Logging_2513/klagomål/A 28577-2024 FSC-klagomål.docx", "A 28577-2024")</f>
        <v/>
      </c>
      <c r="W417">
        <f>HYPERLINK("https://klasma.github.io/Logging_2513/klagomålsmail/A 28577-2024 FSC-klagomål mail.docx", "A 28577-2024")</f>
        <v/>
      </c>
      <c r="X417">
        <f>HYPERLINK("https://klasma.github.io/Logging_2513/tillsyn/A 28577-2024 tillsynsbegäran.docx", "A 28577-2024")</f>
        <v/>
      </c>
      <c r="Y417">
        <f>HYPERLINK("https://klasma.github.io/Logging_2513/tillsynsmail/A 28577-2024 tillsynsbegäran mail.docx", "A 28577-2024")</f>
        <v/>
      </c>
    </row>
    <row r="418" ht="15" customHeight="1">
      <c r="A418" t="inlineStr">
        <is>
          <t>A 32818-2024</t>
        </is>
      </c>
      <c r="B418" s="1" t="n">
        <v>45516</v>
      </c>
      <c r="C418" s="1" t="n">
        <v>46046</v>
      </c>
      <c r="D418" t="inlineStr">
        <is>
          <t>NORRBOTTENS LÄN</t>
        </is>
      </c>
      <c r="E418" t="inlineStr">
        <is>
          <t>ÄLVSBYN</t>
        </is>
      </c>
      <c r="F418" t="inlineStr">
        <is>
          <t>Sveaskog</t>
        </is>
      </c>
      <c r="G418" t="n">
        <v>7.6</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32818-2024 artfynd.xlsx", "A 32818-2024")</f>
        <v/>
      </c>
      <c r="T418">
        <f>HYPERLINK("https://klasma.github.io/Logging_2560/kartor/A 32818-2024 karta.png", "A 32818-2024")</f>
        <v/>
      </c>
      <c r="V418">
        <f>HYPERLINK("https://klasma.github.io/Logging_2560/klagomål/A 32818-2024 FSC-klagomål.docx", "A 32818-2024")</f>
        <v/>
      </c>
      <c r="W418">
        <f>HYPERLINK("https://klasma.github.io/Logging_2560/klagomålsmail/A 32818-2024 FSC-klagomål mail.docx", "A 32818-2024")</f>
        <v/>
      </c>
      <c r="X418">
        <f>HYPERLINK("https://klasma.github.io/Logging_2560/tillsyn/A 32818-2024 tillsynsbegäran.docx", "A 32818-2024")</f>
        <v/>
      </c>
      <c r="Y418">
        <f>HYPERLINK("https://klasma.github.io/Logging_2560/tillsynsmail/A 32818-2024 tillsynsbegäran mail.docx", "A 32818-2024")</f>
        <v/>
      </c>
    </row>
    <row r="419" ht="15" customHeight="1">
      <c r="A419" t="inlineStr">
        <is>
          <t>A 5793-2025</t>
        </is>
      </c>
      <c r="B419" s="1" t="n">
        <v>45694</v>
      </c>
      <c r="C419" s="1" t="n">
        <v>46046</v>
      </c>
      <c r="D419" t="inlineStr">
        <is>
          <t>NORRBOTTENS LÄN</t>
        </is>
      </c>
      <c r="E419" t="inlineStr">
        <is>
          <t>GÄLLIVARE</t>
        </is>
      </c>
      <c r="F419" t="inlineStr">
        <is>
          <t>SCA</t>
        </is>
      </c>
      <c r="G419" t="n">
        <v>2.4</v>
      </c>
      <c r="H419" t="n">
        <v>0</v>
      </c>
      <c r="I419" t="n">
        <v>0</v>
      </c>
      <c r="J419" t="n">
        <v>2</v>
      </c>
      <c r="K419" t="n">
        <v>0</v>
      </c>
      <c r="L419" t="n">
        <v>0</v>
      </c>
      <c r="M419" t="n">
        <v>0</v>
      </c>
      <c r="N419" t="n">
        <v>0</v>
      </c>
      <c r="O419" t="n">
        <v>2</v>
      </c>
      <c r="P419" t="n">
        <v>0</v>
      </c>
      <c r="Q419" t="n">
        <v>2</v>
      </c>
      <c r="R419" s="2" t="inlineStr">
        <is>
          <t>Gammelgransskål
Garnlav</t>
        </is>
      </c>
      <c r="S419">
        <f>HYPERLINK("https://klasma.github.io/Logging_2523/artfynd/A 5793-2025 artfynd.xlsx", "A 5793-2025")</f>
        <v/>
      </c>
      <c r="T419">
        <f>HYPERLINK("https://klasma.github.io/Logging_2523/kartor/A 5793-2025 karta.png", "A 5793-2025")</f>
        <v/>
      </c>
      <c r="V419">
        <f>HYPERLINK("https://klasma.github.io/Logging_2523/klagomål/A 5793-2025 FSC-klagomål.docx", "A 5793-2025")</f>
        <v/>
      </c>
      <c r="W419">
        <f>HYPERLINK("https://klasma.github.io/Logging_2523/klagomålsmail/A 5793-2025 FSC-klagomål mail.docx", "A 5793-2025")</f>
        <v/>
      </c>
      <c r="X419">
        <f>HYPERLINK("https://klasma.github.io/Logging_2523/tillsyn/A 5793-2025 tillsynsbegäran.docx", "A 5793-2025")</f>
        <v/>
      </c>
      <c r="Y419">
        <f>HYPERLINK("https://klasma.github.io/Logging_2523/tillsynsmail/A 5793-2025 tillsynsbegäran mail.docx", "A 5793-2025")</f>
        <v/>
      </c>
    </row>
    <row r="420" ht="15" customHeight="1">
      <c r="A420" t="inlineStr">
        <is>
          <t>A 30525-2025</t>
        </is>
      </c>
      <c r="B420" s="1" t="n">
        <v>45831.35403935185</v>
      </c>
      <c r="C420" s="1" t="n">
        <v>46046</v>
      </c>
      <c r="D420" t="inlineStr">
        <is>
          <t>NORRBOTTENS LÄN</t>
        </is>
      </c>
      <c r="E420" t="inlineStr">
        <is>
          <t>ÖVERKALIX</t>
        </is>
      </c>
      <c r="F420" t="inlineStr">
        <is>
          <t>Sveaskog</t>
        </is>
      </c>
      <c r="G420" t="n">
        <v>5.3</v>
      </c>
      <c r="H420" t="n">
        <v>1</v>
      </c>
      <c r="I420" t="n">
        <v>0</v>
      </c>
      <c r="J420" t="n">
        <v>2</v>
      </c>
      <c r="K420" t="n">
        <v>0</v>
      </c>
      <c r="L420" t="n">
        <v>0</v>
      </c>
      <c r="M420" t="n">
        <v>0</v>
      </c>
      <c r="N420" t="n">
        <v>0</v>
      </c>
      <c r="O420" t="n">
        <v>2</v>
      </c>
      <c r="P420" t="n">
        <v>0</v>
      </c>
      <c r="Q420" t="n">
        <v>2</v>
      </c>
      <c r="R420" s="2" t="inlineStr">
        <is>
          <t>Gammelgransskål
Järpe</t>
        </is>
      </c>
      <c r="S420">
        <f>HYPERLINK("https://klasma.github.io/Logging_2513/artfynd/A 30525-2025 artfynd.xlsx", "A 30525-2025")</f>
        <v/>
      </c>
      <c r="T420">
        <f>HYPERLINK("https://klasma.github.io/Logging_2513/kartor/A 30525-2025 karta.png", "A 30525-2025")</f>
        <v/>
      </c>
      <c r="V420">
        <f>HYPERLINK("https://klasma.github.io/Logging_2513/klagomål/A 30525-2025 FSC-klagomål.docx", "A 30525-2025")</f>
        <v/>
      </c>
      <c r="W420">
        <f>HYPERLINK("https://klasma.github.io/Logging_2513/klagomålsmail/A 30525-2025 FSC-klagomål mail.docx", "A 30525-2025")</f>
        <v/>
      </c>
      <c r="X420">
        <f>HYPERLINK("https://klasma.github.io/Logging_2513/tillsyn/A 30525-2025 tillsynsbegäran.docx", "A 30525-2025")</f>
        <v/>
      </c>
      <c r="Y420">
        <f>HYPERLINK("https://klasma.github.io/Logging_2513/tillsynsmail/A 30525-2025 tillsynsbegäran mail.docx", "A 30525-2025")</f>
        <v/>
      </c>
      <c r="Z420">
        <f>HYPERLINK("https://klasma.github.io/Logging_2513/fåglar/A 30525-2025 prioriterade fågelarter.docx", "A 30525-2025")</f>
        <v/>
      </c>
    </row>
    <row r="421" ht="15" customHeight="1">
      <c r="A421" t="inlineStr">
        <is>
          <t>A 31206-2025</t>
        </is>
      </c>
      <c r="B421" s="1" t="n">
        <v>45832.70466435186</v>
      </c>
      <c r="C421" s="1" t="n">
        <v>46046</v>
      </c>
      <c r="D421" t="inlineStr">
        <is>
          <t>NORRBOTTENS LÄN</t>
        </is>
      </c>
      <c r="E421" t="inlineStr">
        <is>
          <t>PAJALA</t>
        </is>
      </c>
      <c r="F421" t="inlineStr">
        <is>
          <t>Sveaskog</t>
        </is>
      </c>
      <c r="G421" t="n">
        <v>3.1</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HYPERLINK("https://klasma.github.io/Logging_2521/artfynd/A 31206-2025 artfynd.xlsx", "A 31206-2025")</f>
        <v/>
      </c>
      <c r="T421">
        <f>HYPERLINK("https://klasma.github.io/Logging_2521/kartor/A 31206-2025 karta.png", "A 31206-2025")</f>
        <v/>
      </c>
      <c r="V421">
        <f>HYPERLINK("https://klasma.github.io/Logging_2521/klagomål/A 31206-2025 FSC-klagomål.docx", "A 31206-2025")</f>
        <v/>
      </c>
      <c r="W421">
        <f>HYPERLINK("https://klasma.github.io/Logging_2521/klagomålsmail/A 31206-2025 FSC-klagomål mail.docx", "A 31206-2025")</f>
        <v/>
      </c>
      <c r="X421">
        <f>HYPERLINK("https://klasma.github.io/Logging_2521/tillsyn/A 31206-2025 tillsynsbegäran.docx", "A 31206-2025")</f>
        <v/>
      </c>
      <c r="Y421">
        <f>HYPERLINK("https://klasma.github.io/Logging_2521/tillsynsmail/A 31206-2025 tillsynsbegäran mail.docx", "A 31206-2025")</f>
        <v/>
      </c>
    </row>
    <row r="422" ht="15" customHeight="1">
      <c r="A422" t="inlineStr">
        <is>
          <t>A 36248-2023</t>
        </is>
      </c>
      <c r="B422" s="1" t="n">
        <v>45150</v>
      </c>
      <c r="C422" s="1" t="n">
        <v>46046</v>
      </c>
      <c r="D422" t="inlineStr">
        <is>
          <t>NORRBOTTENS LÄN</t>
        </is>
      </c>
      <c r="E422" t="inlineStr">
        <is>
          <t>GÄLLIVARE</t>
        </is>
      </c>
      <c r="F422" t="inlineStr">
        <is>
          <t>SCA</t>
        </is>
      </c>
      <c r="G422" t="n">
        <v>6.4</v>
      </c>
      <c r="H422" t="n">
        <v>0</v>
      </c>
      <c r="I422" t="n">
        <v>0</v>
      </c>
      <c r="J422" t="n">
        <v>1</v>
      </c>
      <c r="K422" t="n">
        <v>1</v>
      </c>
      <c r="L422" t="n">
        <v>0</v>
      </c>
      <c r="M422" t="n">
        <v>0</v>
      </c>
      <c r="N422" t="n">
        <v>0</v>
      </c>
      <c r="O422" t="n">
        <v>2</v>
      </c>
      <c r="P422" t="n">
        <v>1</v>
      </c>
      <c r="Q422" t="n">
        <v>2</v>
      </c>
      <c r="R422" s="2" t="inlineStr">
        <is>
          <t>Gräddporing
Nordtagging</t>
        </is>
      </c>
      <c r="S422">
        <f>HYPERLINK("https://klasma.github.io/Logging_2523/artfynd/A 36248-2023 artfynd.xlsx", "A 36248-2023")</f>
        <v/>
      </c>
      <c r="T422">
        <f>HYPERLINK("https://klasma.github.io/Logging_2523/kartor/A 36248-2023 karta.png", "A 36248-2023")</f>
        <v/>
      </c>
      <c r="V422">
        <f>HYPERLINK("https://klasma.github.io/Logging_2523/klagomål/A 36248-2023 FSC-klagomål.docx", "A 36248-2023")</f>
        <v/>
      </c>
      <c r="W422">
        <f>HYPERLINK("https://klasma.github.io/Logging_2523/klagomålsmail/A 36248-2023 FSC-klagomål mail.docx", "A 36248-2023")</f>
        <v/>
      </c>
      <c r="X422">
        <f>HYPERLINK("https://klasma.github.io/Logging_2523/tillsyn/A 36248-2023 tillsynsbegäran.docx", "A 36248-2023")</f>
        <v/>
      </c>
      <c r="Y422">
        <f>HYPERLINK("https://klasma.github.io/Logging_2523/tillsynsmail/A 36248-2023 tillsynsbegäran mail.docx", "A 36248-2023")</f>
        <v/>
      </c>
    </row>
    <row r="423" ht="15" customHeight="1">
      <c r="A423" t="inlineStr">
        <is>
          <t>A 31358-2025</t>
        </is>
      </c>
      <c r="B423" s="1" t="n">
        <v>45833.43407407407</v>
      </c>
      <c r="C423" s="1" t="n">
        <v>46046</v>
      </c>
      <c r="D423" t="inlineStr">
        <is>
          <t>NORRBOTTENS LÄN</t>
        </is>
      </c>
      <c r="E423" t="inlineStr">
        <is>
          <t>BODEN</t>
        </is>
      </c>
      <c r="F423" t="inlineStr">
        <is>
          <t>Sveaskog</t>
        </is>
      </c>
      <c r="G423" t="n">
        <v>9.300000000000001</v>
      </c>
      <c r="H423" t="n">
        <v>0</v>
      </c>
      <c r="I423" t="n">
        <v>0</v>
      </c>
      <c r="J423" t="n">
        <v>2</v>
      </c>
      <c r="K423" t="n">
        <v>0</v>
      </c>
      <c r="L423" t="n">
        <v>0</v>
      </c>
      <c r="M423" t="n">
        <v>0</v>
      </c>
      <c r="N423" t="n">
        <v>0</v>
      </c>
      <c r="O423" t="n">
        <v>2</v>
      </c>
      <c r="P423" t="n">
        <v>0</v>
      </c>
      <c r="Q423" t="n">
        <v>2</v>
      </c>
      <c r="R423" s="2" t="inlineStr">
        <is>
          <t>Gränsticka
Tallticka</t>
        </is>
      </c>
      <c r="S423">
        <f>HYPERLINK("https://klasma.github.io/Logging_2582/artfynd/A 31358-2025 artfynd.xlsx", "A 31358-2025")</f>
        <v/>
      </c>
      <c r="T423">
        <f>HYPERLINK("https://klasma.github.io/Logging_2582/kartor/A 31358-2025 karta.png", "A 31358-2025")</f>
        <v/>
      </c>
      <c r="V423">
        <f>HYPERLINK("https://klasma.github.io/Logging_2582/klagomål/A 31358-2025 FSC-klagomål.docx", "A 31358-2025")</f>
        <v/>
      </c>
      <c r="W423">
        <f>HYPERLINK("https://klasma.github.io/Logging_2582/klagomålsmail/A 31358-2025 FSC-klagomål mail.docx", "A 31358-2025")</f>
        <v/>
      </c>
      <c r="X423">
        <f>HYPERLINK("https://klasma.github.io/Logging_2582/tillsyn/A 31358-2025 tillsynsbegäran.docx", "A 31358-2025")</f>
        <v/>
      </c>
      <c r="Y423">
        <f>HYPERLINK("https://klasma.github.io/Logging_2582/tillsynsmail/A 31358-2025 tillsynsbegäran mail.docx", "A 31358-2025")</f>
        <v/>
      </c>
    </row>
    <row r="424" ht="15" customHeight="1">
      <c r="A424" t="inlineStr">
        <is>
          <t>A 23134-2024</t>
        </is>
      </c>
      <c r="B424" s="1" t="n">
        <v>45450</v>
      </c>
      <c r="C424" s="1" t="n">
        <v>46046</v>
      </c>
      <c r="D424" t="inlineStr">
        <is>
          <t>NORRBOTTENS LÄN</t>
        </is>
      </c>
      <c r="E424" t="inlineStr">
        <is>
          <t>ÄLVSBYN</t>
        </is>
      </c>
      <c r="F424" t="inlineStr">
        <is>
          <t>Sveaskog</t>
        </is>
      </c>
      <c r="G424" t="n">
        <v>27.4</v>
      </c>
      <c r="H424" t="n">
        <v>0</v>
      </c>
      <c r="I424" t="n">
        <v>1</v>
      </c>
      <c r="J424" t="n">
        <v>1</v>
      </c>
      <c r="K424" t="n">
        <v>0</v>
      </c>
      <c r="L424" t="n">
        <v>0</v>
      </c>
      <c r="M424" t="n">
        <v>0</v>
      </c>
      <c r="N424" t="n">
        <v>0</v>
      </c>
      <c r="O424" t="n">
        <v>1</v>
      </c>
      <c r="P424" t="n">
        <v>0</v>
      </c>
      <c r="Q424" t="n">
        <v>2</v>
      </c>
      <c r="R424" s="2" t="inlineStr">
        <is>
          <t>Lunglav
Stuplav</t>
        </is>
      </c>
      <c r="S424">
        <f>HYPERLINK("https://klasma.github.io/Logging_2560/artfynd/A 23134-2024 artfynd.xlsx", "A 23134-2024")</f>
        <v/>
      </c>
      <c r="T424">
        <f>HYPERLINK("https://klasma.github.io/Logging_2560/kartor/A 23134-2024 karta.png", "A 23134-2024")</f>
        <v/>
      </c>
      <c r="V424">
        <f>HYPERLINK("https://klasma.github.io/Logging_2560/klagomål/A 23134-2024 FSC-klagomål.docx", "A 23134-2024")</f>
        <v/>
      </c>
      <c r="W424">
        <f>HYPERLINK("https://klasma.github.io/Logging_2560/klagomålsmail/A 23134-2024 FSC-klagomål mail.docx", "A 23134-2024")</f>
        <v/>
      </c>
      <c r="X424">
        <f>HYPERLINK("https://klasma.github.io/Logging_2560/tillsyn/A 23134-2024 tillsynsbegäran.docx", "A 23134-2024")</f>
        <v/>
      </c>
      <c r="Y424">
        <f>HYPERLINK("https://klasma.github.io/Logging_2560/tillsynsmail/A 23134-2024 tillsynsbegäran mail.docx", "A 23134-2024")</f>
        <v/>
      </c>
    </row>
    <row r="425" ht="15" customHeight="1">
      <c r="A425" t="inlineStr">
        <is>
          <t>A 24923-2022</t>
        </is>
      </c>
      <c r="B425" s="1" t="n">
        <v>44728.61793981482</v>
      </c>
      <c r="C425" s="1" t="n">
        <v>46046</v>
      </c>
      <c r="D425" t="inlineStr">
        <is>
          <t>NORRBOTTENS LÄN</t>
        </is>
      </c>
      <c r="E425" t="inlineStr">
        <is>
          <t>KALIX</t>
        </is>
      </c>
      <c r="F425" t="inlineStr">
        <is>
          <t>Sveaskog</t>
        </is>
      </c>
      <c r="G425" t="n">
        <v>2.9</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24923-2022 artfynd.xlsx", "A 24923-2022")</f>
        <v/>
      </c>
      <c r="T425">
        <f>HYPERLINK("https://klasma.github.io/Logging_2514/kartor/A 24923-2022 karta.png", "A 24923-2022")</f>
        <v/>
      </c>
      <c r="V425">
        <f>HYPERLINK("https://klasma.github.io/Logging_2514/klagomål/A 24923-2022 FSC-klagomål.docx", "A 24923-2022")</f>
        <v/>
      </c>
      <c r="W425">
        <f>HYPERLINK("https://klasma.github.io/Logging_2514/klagomålsmail/A 24923-2022 FSC-klagomål mail.docx", "A 24923-2022")</f>
        <v/>
      </c>
      <c r="X425">
        <f>HYPERLINK("https://klasma.github.io/Logging_2514/tillsyn/A 24923-2022 tillsynsbegäran.docx", "A 24923-2022")</f>
        <v/>
      </c>
      <c r="Y425">
        <f>HYPERLINK("https://klasma.github.io/Logging_2514/tillsynsmail/A 24923-2022 tillsynsbegäran mail.docx", "A 24923-2022")</f>
        <v/>
      </c>
    </row>
    <row r="426" ht="15" customHeight="1">
      <c r="A426" t="inlineStr">
        <is>
          <t>A 24386-2024</t>
        </is>
      </c>
      <c r="B426" s="1" t="n">
        <v>45457</v>
      </c>
      <c r="C426" s="1" t="n">
        <v>46046</v>
      </c>
      <c r="D426" t="inlineStr">
        <is>
          <t>NORRBOTTENS LÄN</t>
        </is>
      </c>
      <c r="E426" t="inlineStr">
        <is>
          <t>ÄLVSBYN</t>
        </is>
      </c>
      <c r="F426" t="inlineStr">
        <is>
          <t>Sveaskog</t>
        </is>
      </c>
      <c r="G426" t="n">
        <v>11</v>
      </c>
      <c r="H426" t="n">
        <v>0</v>
      </c>
      <c r="I426" t="n">
        <v>1</v>
      </c>
      <c r="J426" t="n">
        <v>1</v>
      </c>
      <c r="K426" t="n">
        <v>0</v>
      </c>
      <c r="L426" t="n">
        <v>0</v>
      </c>
      <c r="M426" t="n">
        <v>0</v>
      </c>
      <c r="N426" t="n">
        <v>0</v>
      </c>
      <c r="O426" t="n">
        <v>1</v>
      </c>
      <c r="P426" t="n">
        <v>0</v>
      </c>
      <c r="Q426" t="n">
        <v>2</v>
      </c>
      <c r="R426" s="2" t="inlineStr">
        <is>
          <t>Lunglav
Stuplav</t>
        </is>
      </c>
      <c r="S426">
        <f>HYPERLINK("https://klasma.github.io/Logging_2560/artfynd/A 24386-2024 artfynd.xlsx", "A 24386-2024")</f>
        <v/>
      </c>
      <c r="T426">
        <f>HYPERLINK("https://klasma.github.io/Logging_2560/kartor/A 24386-2024 karta.png", "A 24386-2024")</f>
        <v/>
      </c>
      <c r="V426">
        <f>HYPERLINK("https://klasma.github.io/Logging_2560/klagomål/A 24386-2024 FSC-klagomål.docx", "A 24386-2024")</f>
        <v/>
      </c>
      <c r="W426">
        <f>HYPERLINK("https://klasma.github.io/Logging_2560/klagomålsmail/A 24386-2024 FSC-klagomål mail.docx", "A 24386-2024")</f>
        <v/>
      </c>
      <c r="X426">
        <f>HYPERLINK("https://klasma.github.io/Logging_2560/tillsyn/A 24386-2024 tillsynsbegäran.docx", "A 24386-2024")</f>
        <v/>
      </c>
      <c r="Y426">
        <f>HYPERLINK("https://klasma.github.io/Logging_2560/tillsynsmail/A 24386-2024 tillsynsbegäran mail.docx", "A 24386-2024")</f>
        <v/>
      </c>
    </row>
    <row r="427" ht="15" customHeight="1">
      <c r="A427" t="inlineStr">
        <is>
          <t>A 31704-2025</t>
        </is>
      </c>
      <c r="B427" s="1" t="n">
        <v>45834.41993055555</v>
      </c>
      <c r="C427" s="1" t="n">
        <v>46046</v>
      </c>
      <c r="D427" t="inlineStr">
        <is>
          <t>NORRBOTTENS LÄN</t>
        </is>
      </c>
      <c r="E427" t="inlineStr">
        <is>
          <t>BODEN</t>
        </is>
      </c>
      <c r="F427" t="inlineStr">
        <is>
          <t>Sveaskog</t>
        </is>
      </c>
      <c r="G427" t="n">
        <v>5.2</v>
      </c>
      <c r="H427" t="n">
        <v>2</v>
      </c>
      <c r="I427" t="n">
        <v>0</v>
      </c>
      <c r="J427" t="n">
        <v>1</v>
      </c>
      <c r="K427" t="n">
        <v>0</v>
      </c>
      <c r="L427" t="n">
        <v>0</v>
      </c>
      <c r="M427" t="n">
        <v>0</v>
      </c>
      <c r="N427" t="n">
        <v>0</v>
      </c>
      <c r="O427" t="n">
        <v>1</v>
      </c>
      <c r="P427" t="n">
        <v>0</v>
      </c>
      <c r="Q427" t="n">
        <v>2</v>
      </c>
      <c r="R427" s="2" t="inlineStr">
        <is>
          <t>Talltita
Grönsiska</t>
        </is>
      </c>
      <c r="S427">
        <f>HYPERLINK("https://klasma.github.io/Logging_2582/artfynd/A 31704-2025 artfynd.xlsx", "A 31704-2025")</f>
        <v/>
      </c>
      <c r="T427">
        <f>HYPERLINK("https://klasma.github.io/Logging_2582/kartor/A 31704-2025 karta.png", "A 31704-2025")</f>
        <v/>
      </c>
      <c r="V427">
        <f>HYPERLINK("https://klasma.github.io/Logging_2582/klagomål/A 31704-2025 FSC-klagomål.docx", "A 31704-2025")</f>
        <v/>
      </c>
      <c r="W427">
        <f>HYPERLINK("https://klasma.github.io/Logging_2582/klagomålsmail/A 31704-2025 FSC-klagomål mail.docx", "A 31704-2025")</f>
        <v/>
      </c>
      <c r="X427">
        <f>HYPERLINK("https://klasma.github.io/Logging_2582/tillsyn/A 31704-2025 tillsynsbegäran.docx", "A 31704-2025")</f>
        <v/>
      </c>
      <c r="Y427">
        <f>HYPERLINK("https://klasma.github.io/Logging_2582/tillsynsmail/A 31704-2025 tillsynsbegäran mail.docx", "A 31704-2025")</f>
        <v/>
      </c>
      <c r="Z427">
        <f>HYPERLINK("https://klasma.github.io/Logging_2582/fåglar/A 31704-2025 prioriterade fågelarter.docx", "A 31704-2025")</f>
        <v/>
      </c>
    </row>
    <row r="428" ht="15" customHeight="1">
      <c r="A428" t="inlineStr">
        <is>
          <t>A 59435-2024</t>
        </is>
      </c>
      <c r="B428" s="1" t="n">
        <v>45638.43048611111</v>
      </c>
      <c r="C428" s="1" t="n">
        <v>46046</v>
      </c>
      <c r="D428" t="inlineStr">
        <is>
          <t>NORRBOTTENS LÄN</t>
        </is>
      </c>
      <c r="E428" t="inlineStr">
        <is>
          <t>BODEN</t>
        </is>
      </c>
      <c r="G428" t="n">
        <v>2.1</v>
      </c>
      <c r="H428" t="n">
        <v>1</v>
      </c>
      <c r="I428" t="n">
        <v>2</v>
      </c>
      <c r="J428" t="n">
        <v>0</v>
      </c>
      <c r="K428" t="n">
        <v>0</v>
      </c>
      <c r="L428" t="n">
        <v>0</v>
      </c>
      <c r="M428" t="n">
        <v>0</v>
      </c>
      <c r="N428" t="n">
        <v>0</v>
      </c>
      <c r="O428" t="n">
        <v>0</v>
      </c>
      <c r="P428" t="n">
        <v>0</v>
      </c>
      <c r="Q428" t="n">
        <v>2</v>
      </c>
      <c r="R428" s="2" t="inlineStr">
        <is>
          <t>Lappranunkel
Ögonpyrola</t>
        </is>
      </c>
      <c r="S428">
        <f>HYPERLINK("https://klasma.github.io/Logging_2582/artfynd/A 59435-2024 artfynd.xlsx", "A 59435-2024")</f>
        <v/>
      </c>
      <c r="T428">
        <f>HYPERLINK("https://klasma.github.io/Logging_2582/kartor/A 59435-2024 karta.png", "A 59435-2024")</f>
        <v/>
      </c>
      <c r="V428">
        <f>HYPERLINK("https://klasma.github.io/Logging_2582/klagomål/A 59435-2024 FSC-klagomål.docx", "A 59435-2024")</f>
        <v/>
      </c>
      <c r="W428">
        <f>HYPERLINK("https://klasma.github.io/Logging_2582/klagomålsmail/A 59435-2024 FSC-klagomål mail.docx", "A 59435-2024")</f>
        <v/>
      </c>
      <c r="X428">
        <f>HYPERLINK("https://klasma.github.io/Logging_2582/tillsyn/A 59435-2024 tillsynsbegäran.docx", "A 59435-2024")</f>
        <v/>
      </c>
      <c r="Y428">
        <f>HYPERLINK("https://klasma.github.io/Logging_2582/tillsynsmail/A 59435-2024 tillsynsbegäran mail.docx", "A 59435-2024")</f>
        <v/>
      </c>
    </row>
    <row r="429" ht="15" customHeight="1">
      <c r="A429" t="inlineStr">
        <is>
          <t>A 5728-2025</t>
        </is>
      </c>
      <c r="B429" s="1" t="n">
        <v>45694</v>
      </c>
      <c r="C429" s="1" t="n">
        <v>46046</v>
      </c>
      <c r="D429" t="inlineStr">
        <is>
          <t>NORRBOTTENS LÄN</t>
        </is>
      </c>
      <c r="E429" t="inlineStr">
        <is>
          <t>GÄLLIVARE</t>
        </is>
      </c>
      <c r="F429" t="inlineStr">
        <is>
          <t>SCA</t>
        </is>
      </c>
      <c r="G429" t="n">
        <v>13.1</v>
      </c>
      <c r="H429" t="n">
        <v>0</v>
      </c>
      <c r="I429" t="n">
        <v>0</v>
      </c>
      <c r="J429" t="n">
        <v>2</v>
      </c>
      <c r="K429" t="n">
        <v>0</v>
      </c>
      <c r="L429" t="n">
        <v>0</v>
      </c>
      <c r="M429" t="n">
        <v>0</v>
      </c>
      <c r="N429" t="n">
        <v>0</v>
      </c>
      <c r="O429" t="n">
        <v>2</v>
      </c>
      <c r="P429" t="n">
        <v>0</v>
      </c>
      <c r="Q429" t="n">
        <v>2</v>
      </c>
      <c r="R429" s="2" t="inlineStr">
        <is>
          <t>Garnlav
Rosenticka</t>
        </is>
      </c>
      <c r="S429">
        <f>HYPERLINK("https://klasma.github.io/Logging_2523/artfynd/A 5728-2025 artfynd.xlsx", "A 5728-2025")</f>
        <v/>
      </c>
      <c r="T429">
        <f>HYPERLINK("https://klasma.github.io/Logging_2523/kartor/A 5728-2025 karta.png", "A 5728-2025")</f>
        <v/>
      </c>
      <c r="V429">
        <f>HYPERLINK("https://klasma.github.io/Logging_2523/klagomål/A 5728-2025 FSC-klagomål.docx", "A 5728-2025")</f>
        <v/>
      </c>
      <c r="W429">
        <f>HYPERLINK("https://klasma.github.io/Logging_2523/klagomålsmail/A 5728-2025 FSC-klagomål mail.docx", "A 5728-2025")</f>
        <v/>
      </c>
      <c r="X429">
        <f>HYPERLINK("https://klasma.github.io/Logging_2523/tillsyn/A 5728-2025 tillsynsbegäran.docx", "A 5728-2025")</f>
        <v/>
      </c>
      <c r="Y429">
        <f>HYPERLINK("https://klasma.github.io/Logging_2523/tillsynsmail/A 5728-2025 tillsynsbegäran mail.docx", "A 5728-2025")</f>
        <v/>
      </c>
    </row>
    <row r="430" ht="15" customHeight="1">
      <c r="A430" t="inlineStr">
        <is>
          <t>A 32812-2025</t>
        </is>
      </c>
      <c r="B430" s="1" t="n">
        <v>45839.51643518519</v>
      </c>
      <c r="C430" s="1" t="n">
        <v>46046</v>
      </c>
      <c r="D430" t="inlineStr">
        <is>
          <t>NORRBOTTENS LÄN</t>
        </is>
      </c>
      <c r="E430" t="inlineStr">
        <is>
          <t>ARVIDSJAUR</t>
        </is>
      </c>
      <c r="F430" t="inlineStr">
        <is>
          <t>Sveaskog</t>
        </is>
      </c>
      <c r="G430" t="n">
        <v>29.7</v>
      </c>
      <c r="H430" t="n">
        <v>1</v>
      </c>
      <c r="I430" t="n">
        <v>0</v>
      </c>
      <c r="J430" t="n">
        <v>1</v>
      </c>
      <c r="K430" t="n">
        <v>1</v>
      </c>
      <c r="L430" t="n">
        <v>0</v>
      </c>
      <c r="M430" t="n">
        <v>0</v>
      </c>
      <c r="N430" t="n">
        <v>0</v>
      </c>
      <c r="O430" t="n">
        <v>2</v>
      </c>
      <c r="P430" t="n">
        <v>1</v>
      </c>
      <c r="Q430" t="n">
        <v>2</v>
      </c>
      <c r="R430" s="2" t="inlineStr">
        <is>
          <t>Doftticka
Lunglav</t>
        </is>
      </c>
      <c r="S430">
        <f>HYPERLINK("https://klasma.github.io/Logging_2505/artfynd/A 32812-2025 artfynd.xlsx", "A 32812-2025")</f>
        <v/>
      </c>
      <c r="T430">
        <f>HYPERLINK("https://klasma.github.io/Logging_2505/kartor/A 32812-2025 karta.png", "A 32812-2025")</f>
        <v/>
      </c>
      <c r="V430">
        <f>HYPERLINK("https://klasma.github.io/Logging_2505/klagomål/A 32812-2025 FSC-klagomål.docx", "A 32812-2025")</f>
        <v/>
      </c>
      <c r="W430">
        <f>HYPERLINK("https://klasma.github.io/Logging_2505/klagomålsmail/A 32812-2025 FSC-klagomål mail.docx", "A 32812-2025")</f>
        <v/>
      </c>
      <c r="X430">
        <f>HYPERLINK("https://klasma.github.io/Logging_2505/tillsyn/A 32812-2025 tillsynsbegäran.docx", "A 32812-2025")</f>
        <v/>
      </c>
      <c r="Y430">
        <f>HYPERLINK("https://klasma.github.io/Logging_2505/tillsynsmail/A 32812-2025 tillsynsbegäran mail.docx", "A 32812-2025")</f>
        <v/>
      </c>
    </row>
    <row r="431" ht="15" customHeight="1">
      <c r="A431" t="inlineStr">
        <is>
          <t>A 50237-2022</t>
        </is>
      </c>
      <c r="B431" s="1" t="n">
        <v>44865</v>
      </c>
      <c r="C431" s="1" t="n">
        <v>46046</v>
      </c>
      <c r="D431" t="inlineStr">
        <is>
          <t>NORRBOTTENS LÄN</t>
        </is>
      </c>
      <c r="E431" t="inlineStr">
        <is>
          <t>JOKKMOKK</t>
        </is>
      </c>
      <c r="F431" t="inlineStr">
        <is>
          <t>Sveaskog</t>
        </is>
      </c>
      <c r="G431" t="n">
        <v>13.4</v>
      </c>
      <c r="H431" t="n">
        <v>1</v>
      </c>
      <c r="I431" t="n">
        <v>1</v>
      </c>
      <c r="J431" t="n">
        <v>0</v>
      </c>
      <c r="K431" t="n">
        <v>0</v>
      </c>
      <c r="L431" t="n">
        <v>0</v>
      </c>
      <c r="M431" t="n">
        <v>0</v>
      </c>
      <c r="N431" t="n">
        <v>0</v>
      </c>
      <c r="O431" t="n">
        <v>0</v>
      </c>
      <c r="P431" t="n">
        <v>0</v>
      </c>
      <c r="Q431" t="n">
        <v>2</v>
      </c>
      <c r="R431" s="2" t="inlineStr">
        <is>
          <t>Vedticka
Lavskrika</t>
        </is>
      </c>
      <c r="S431">
        <f>HYPERLINK("https://klasma.github.io/Logging_2510/artfynd/A 50237-2022 artfynd.xlsx", "A 50237-2022")</f>
        <v/>
      </c>
      <c r="T431">
        <f>HYPERLINK("https://klasma.github.io/Logging_2510/kartor/A 50237-2022 karta.png", "A 50237-2022")</f>
        <v/>
      </c>
      <c r="V431">
        <f>HYPERLINK("https://klasma.github.io/Logging_2510/klagomål/A 50237-2022 FSC-klagomål.docx", "A 50237-2022")</f>
        <v/>
      </c>
      <c r="W431">
        <f>HYPERLINK("https://klasma.github.io/Logging_2510/klagomålsmail/A 50237-2022 FSC-klagomål mail.docx", "A 50237-2022")</f>
        <v/>
      </c>
      <c r="X431">
        <f>HYPERLINK("https://klasma.github.io/Logging_2510/tillsyn/A 50237-2022 tillsynsbegäran.docx", "A 50237-2022")</f>
        <v/>
      </c>
      <c r="Y431">
        <f>HYPERLINK("https://klasma.github.io/Logging_2510/tillsynsmail/A 50237-2022 tillsynsbegäran mail.docx", "A 50237-2022")</f>
        <v/>
      </c>
      <c r="Z431">
        <f>HYPERLINK("https://klasma.github.io/Logging_2510/fåglar/A 50237-2022 prioriterade fågelarter.docx", "A 50237-2022")</f>
        <v/>
      </c>
    </row>
    <row r="432" ht="15" customHeight="1">
      <c r="A432" t="inlineStr">
        <is>
          <t>A 19871-2024</t>
        </is>
      </c>
      <c r="B432" s="1" t="n">
        <v>45433</v>
      </c>
      <c r="C432" s="1" t="n">
        <v>46046</v>
      </c>
      <c r="D432" t="inlineStr">
        <is>
          <t>NORRBOTTENS LÄN</t>
        </is>
      </c>
      <c r="E432" t="inlineStr">
        <is>
          <t>LULEÅ</t>
        </is>
      </c>
      <c r="G432" t="n">
        <v>2.3</v>
      </c>
      <c r="H432" t="n">
        <v>1</v>
      </c>
      <c r="I432" t="n">
        <v>1</v>
      </c>
      <c r="J432" t="n">
        <v>1</v>
      </c>
      <c r="K432" t="n">
        <v>0</v>
      </c>
      <c r="L432" t="n">
        <v>0</v>
      </c>
      <c r="M432" t="n">
        <v>0</v>
      </c>
      <c r="N432" t="n">
        <v>0</v>
      </c>
      <c r="O432" t="n">
        <v>1</v>
      </c>
      <c r="P432" t="n">
        <v>0</v>
      </c>
      <c r="Q432" t="n">
        <v>2</v>
      </c>
      <c r="R432" s="2" t="inlineStr">
        <is>
          <t>Spillkråka
Stuplav</t>
        </is>
      </c>
      <c r="S432">
        <f>HYPERLINK("https://klasma.github.io/Logging_2580/artfynd/A 19871-2024 artfynd.xlsx", "A 19871-2024")</f>
        <v/>
      </c>
      <c r="T432">
        <f>HYPERLINK("https://klasma.github.io/Logging_2580/kartor/A 19871-2024 karta.png", "A 19871-2024")</f>
        <v/>
      </c>
      <c r="V432">
        <f>HYPERLINK("https://klasma.github.io/Logging_2580/klagomål/A 19871-2024 FSC-klagomål.docx", "A 19871-2024")</f>
        <v/>
      </c>
      <c r="W432">
        <f>HYPERLINK("https://klasma.github.io/Logging_2580/klagomålsmail/A 19871-2024 FSC-klagomål mail.docx", "A 19871-2024")</f>
        <v/>
      </c>
      <c r="X432">
        <f>HYPERLINK("https://klasma.github.io/Logging_2580/tillsyn/A 19871-2024 tillsynsbegäran.docx", "A 19871-2024")</f>
        <v/>
      </c>
      <c r="Y432">
        <f>HYPERLINK("https://klasma.github.io/Logging_2580/tillsynsmail/A 19871-2024 tillsynsbegäran mail.docx", "A 19871-2024")</f>
        <v/>
      </c>
      <c r="Z432">
        <f>HYPERLINK("https://klasma.github.io/Logging_2580/fåglar/A 19871-2024 prioriterade fågelarter.docx", "A 19871-2024")</f>
        <v/>
      </c>
    </row>
    <row r="433" ht="15" customHeight="1">
      <c r="A433" t="inlineStr">
        <is>
          <t>A 34164-2023</t>
        </is>
      </c>
      <c r="B433" s="1" t="n">
        <v>45137</v>
      </c>
      <c r="C433" s="1" t="n">
        <v>46046</v>
      </c>
      <c r="D433" t="inlineStr">
        <is>
          <t>NORRBOTTENS LÄN</t>
        </is>
      </c>
      <c r="E433" t="inlineStr">
        <is>
          <t>BODEN</t>
        </is>
      </c>
      <c r="F433" t="inlineStr">
        <is>
          <t>SCA</t>
        </is>
      </c>
      <c r="G433" t="n">
        <v>2.2</v>
      </c>
      <c r="H433" t="n">
        <v>1</v>
      </c>
      <c r="I433" t="n">
        <v>0</v>
      </c>
      <c r="J433" t="n">
        <v>2</v>
      </c>
      <c r="K433" t="n">
        <v>0</v>
      </c>
      <c r="L433" t="n">
        <v>0</v>
      </c>
      <c r="M433" t="n">
        <v>0</v>
      </c>
      <c r="N433" t="n">
        <v>0</v>
      </c>
      <c r="O433" t="n">
        <v>2</v>
      </c>
      <c r="P433" t="n">
        <v>0</v>
      </c>
      <c r="Q433" t="n">
        <v>2</v>
      </c>
      <c r="R433" s="2" t="inlineStr">
        <is>
          <t>Garnlav
Tretåig hackspett</t>
        </is>
      </c>
      <c r="S433">
        <f>HYPERLINK("https://klasma.github.io/Logging_2582/artfynd/A 34164-2023 artfynd.xlsx", "A 34164-2023")</f>
        <v/>
      </c>
      <c r="T433">
        <f>HYPERLINK("https://klasma.github.io/Logging_2582/kartor/A 34164-2023 karta.png", "A 34164-2023")</f>
        <v/>
      </c>
      <c r="V433">
        <f>HYPERLINK("https://klasma.github.io/Logging_2582/klagomål/A 34164-2023 FSC-klagomål.docx", "A 34164-2023")</f>
        <v/>
      </c>
      <c r="W433">
        <f>HYPERLINK("https://klasma.github.io/Logging_2582/klagomålsmail/A 34164-2023 FSC-klagomål mail.docx", "A 34164-2023")</f>
        <v/>
      </c>
      <c r="X433">
        <f>HYPERLINK("https://klasma.github.io/Logging_2582/tillsyn/A 34164-2023 tillsynsbegäran.docx", "A 34164-2023")</f>
        <v/>
      </c>
      <c r="Y433">
        <f>HYPERLINK("https://klasma.github.io/Logging_2582/tillsynsmail/A 34164-2023 tillsynsbegäran mail.docx", "A 34164-2023")</f>
        <v/>
      </c>
      <c r="Z433">
        <f>HYPERLINK("https://klasma.github.io/Logging_2582/fåglar/A 34164-2023 prioriterade fågelarter.docx", "A 34164-2023")</f>
        <v/>
      </c>
    </row>
    <row r="434" ht="15" customHeight="1">
      <c r="A434" t="inlineStr">
        <is>
          <t>A 55908-2023</t>
        </is>
      </c>
      <c r="B434" s="1" t="n">
        <v>45239</v>
      </c>
      <c r="C434" s="1" t="n">
        <v>46046</v>
      </c>
      <c r="D434" t="inlineStr">
        <is>
          <t>NORRBOTTENS LÄN</t>
        </is>
      </c>
      <c r="E434" t="inlineStr">
        <is>
          <t>LULEÅ</t>
        </is>
      </c>
      <c r="G434" t="n">
        <v>39.7</v>
      </c>
      <c r="H434" t="n">
        <v>0</v>
      </c>
      <c r="I434" t="n">
        <v>1</v>
      </c>
      <c r="J434" t="n">
        <v>1</v>
      </c>
      <c r="K434" t="n">
        <v>0</v>
      </c>
      <c r="L434" t="n">
        <v>0</v>
      </c>
      <c r="M434" t="n">
        <v>0</v>
      </c>
      <c r="N434" t="n">
        <v>0</v>
      </c>
      <c r="O434" t="n">
        <v>1</v>
      </c>
      <c r="P434" t="n">
        <v>0</v>
      </c>
      <c r="Q434" t="n">
        <v>2</v>
      </c>
      <c r="R434" s="2" t="inlineStr">
        <is>
          <t>Harticka
Gräsull</t>
        </is>
      </c>
      <c r="S434">
        <f>HYPERLINK("https://klasma.github.io/Logging_2580/artfynd/A 55908-2023 artfynd.xlsx", "A 55908-2023")</f>
        <v/>
      </c>
      <c r="T434">
        <f>HYPERLINK("https://klasma.github.io/Logging_2580/kartor/A 55908-2023 karta.png", "A 55908-2023")</f>
        <v/>
      </c>
      <c r="V434">
        <f>HYPERLINK("https://klasma.github.io/Logging_2580/klagomål/A 55908-2023 FSC-klagomål.docx", "A 55908-2023")</f>
        <v/>
      </c>
      <c r="W434">
        <f>HYPERLINK("https://klasma.github.io/Logging_2580/klagomålsmail/A 55908-2023 FSC-klagomål mail.docx", "A 55908-2023")</f>
        <v/>
      </c>
      <c r="X434">
        <f>HYPERLINK("https://klasma.github.io/Logging_2580/tillsyn/A 55908-2023 tillsynsbegäran.docx", "A 55908-2023")</f>
        <v/>
      </c>
      <c r="Y434">
        <f>HYPERLINK("https://klasma.github.io/Logging_2580/tillsynsmail/A 55908-2023 tillsynsbegäran mail.docx", "A 55908-2023")</f>
        <v/>
      </c>
    </row>
    <row r="435" ht="15" customHeight="1">
      <c r="A435" t="inlineStr">
        <is>
          <t>A 34361-2025</t>
        </is>
      </c>
      <c r="B435" s="1" t="n">
        <v>45846.48820601852</v>
      </c>
      <c r="C435" s="1" t="n">
        <v>46046</v>
      </c>
      <c r="D435" t="inlineStr">
        <is>
          <t>NORRBOTTENS LÄN</t>
        </is>
      </c>
      <c r="E435" t="inlineStr">
        <is>
          <t>PITEÅ</t>
        </is>
      </c>
      <c r="F435" t="inlineStr">
        <is>
          <t>Övriga statliga verk och myndigheter</t>
        </is>
      </c>
      <c r="G435" t="n">
        <v>2.7</v>
      </c>
      <c r="H435" t="n">
        <v>2</v>
      </c>
      <c r="I435" t="n">
        <v>0</v>
      </c>
      <c r="J435" t="n">
        <v>1</v>
      </c>
      <c r="K435" t="n">
        <v>0</v>
      </c>
      <c r="L435" t="n">
        <v>0</v>
      </c>
      <c r="M435" t="n">
        <v>0</v>
      </c>
      <c r="N435" t="n">
        <v>0</v>
      </c>
      <c r="O435" t="n">
        <v>1</v>
      </c>
      <c r="P435" t="n">
        <v>0</v>
      </c>
      <c r="Q435" t="n">
        <v>2</v>
      </c>
      <c r="R435" s="2" t="inlineStr">
        <is>
          <t>Spillkråka
Revlummer</t>
        </is>
      </c>
      <c r="S435">
        <f>HYPERLINK("https://klasma.github.io/Logging_2581/artfynd/A 34361-2025 artfynd.xlsx", "A 34361-2025")</f>
        <v/>
      </c>
      <c r="T435">
        <f>HYPERLINK("https://klasma.github.io/Logging_2581/kartor/A 34361-2025 karta.png", "A 34361-2025")</f>
        <v/>
      </c>
      <c r="V435">
        <f>HYPERLINK("https://klasma.github.io/Logging_2581/klagomål/A 34361-2025 FSC-klagomål.docx", "A 34361-2025")</f>
        <v/>
      </c>
      <c r="W435">
        <f>HYPERLINK("https://klasma.github.io/Logging_2581/klagomålsmail/A 34361-2025 FSC-klagomål mail.docx", "A 34361-2025")</f>
        <v/>
      </c>
      <c r="X435">
        <f>HYPERLINK("https://klasma.github.io/Logging_2581/tillsyn/A 34361-2025 tillsynsbegäran.docx", "A 34361-2025")</f>
        <v/>
      </c>
      <c r="Y435">
        <f>HYPERLINK("https://klasma.github.io/Logging_2581/tillsynsmail/A 34361-2025 tillsynsbegäran mail.docx", "A 34361-2025")</f>
        <v/>
      </c>
      <c r="Z435">
        <f>HYPERLINK("https://klasma.github.io/Logging_2581/fåglar/A 34361-2025 prioriterade fågelarter.docx", "A 34361-2025")</f>
        <v/>
      </c>
    </row>
    <row r="436" ht="15" customHeight="1">
      <c r="A436" t="inlineStr">
        <is>
          <t>A 16537-2025</t>
        </is>
      </c>
      <c r="B436" s="1" t="n">
        <v>45751</v>
      </c>
      <c r="C436" s="1" t="n">
        <v>46046</v>
      </c>
      <c r="D436" t="inlineStr">
        <is>
          <t>NORRBOTTENS LÄN</t>
        </is>
      </c>
      <c r="E436" t="inlineStr">
        <is>
          <t>ÖVERTORNEÅ</t>
        </is>
      </c>
      <c r="G436" t="n">
        <v>7.6</v>
      </c>
      <c r="H436" t="n">
        <v>2</v>
      </c>
      <c r="I436" t="n">
        <v>0</v>
      </c>
      <c r="J436" t="n">
        <v>1</v>
      </c>
      <c r="K436" t="n">
        <v>0</v>
      </c>
      <c r="L436" t="n">
        <v>0</v>
      </c>
      <c r="M436" t="n">
        <v>0</v>
      </c>
      <c r="N436" t="n">
        <v>0</v>
      </c>
      <c r="O436" t="n">
        <v>1</v>
      </c>
      <c r="P436" t="n">
        <v>0</v>
      </c>
      <c r="Q436" t="n">
        <v>2</v>
      </c>
      <c r="R436" s="2" t="inlineStr">
        <is>
          <t>Tretåig hackspett
Tjäder</t>
        </is>
      </c>
      <c r="S436">
        <f>HYPERLINK("https://klasma.github.io/Logging_2518/artfynd/A 16537-2025 artfynd.xlsx", "A 16537-2025")</f>
        <v/>
      </c>
      <c r="T436">
        <f>HYPERLINK("https://klasma.github.io/Logging_2518/kartor/A 16537-2025 karta.png", "A 16537-2025")</f>
        <v/>
      </c>
      <c r="V436">
        <f>HYPERLINK("https://klasma.github.io/Logging_2518/klagomål/A 16537-2025 FSC-klagomål.docx", "A 16537-2025")</f>
        <v/>
      </c>
      <c r="W436">
        <f>HYPERLINK("https://klasma.github.io/Logging_2518/klagomålsmail/A 16537-2025 FSC-klagomål mail.docx", "A 16537-2025")</f>
        <v/>
      </c>
      <c r="X436">
        <f>HYPERLINK("https://klasma.github.io/Logging_2518/tillsyn/A 16537-2025 tillsynsbegäran.docx", "A 16537-2025")</f>
        <v/>
      </c>
      <c r="Y436">
        <f>HYPERLINK("https://klasma.github.io/Logging_2518/tillsynsmail/A 16537-2025 tillsynsbegäran mail.docx", "A 16537-2025")</f>
        <v/>
      </c>
      <c r="Z436">
        <f>HYPERLINK("https://klasma.github.io/Logging_2518/fåglar/A 16537-2025 prioriterade fågelarter.docx", "A 16537-2025")</f>
        <v/>
      </c>
    </row>
    <row r="437" ht="15" customHeight="1">
      <c r="A437" t="inlineStr">
        <is>
          <t>A 38570-2024</t>
        </is>
      </c>
      <c r="B437" s="1" t="n">
        <v>45546</v>
      </c>
      <c r="C437" s="1" t="n">
        <v>46046</v>
      </c>
      <c r="D437" t="inlineStr">
        <is>
          <t>NORRBOTTENS LÄN</t>
        </is>
      </c>
      <c r="E437" t="inlineStr">
        <is>
          <t>PITEÅ</t>
        </is>
      </c>
      <c r="G437" t="n">
        <v>13.9</v>
      </c>
      <c r="H437" t="n">
        <v>0</v>
      </c>
      <c r="I437" t="n">
        <v>1</v>
      </c>
      <c r="J437" t="n">
        <v>1</v>
      </c>
      <c r="K437" t="n">
        <v>0</v>
      </c>
      <c r="L437" t="n">
        <v>0</v>
      </c>
      <c r="M437" t="n">
        <v>0</v>
      </c>
      <c r="N437" t="n">
        <v>0</v>
      </c>
      <c r="O437" t="n">
        <v>1</v>
      </c>
      <c r="P437" t="n">
        <v>0</v>
      </c>
      <c r="Q437" t="n">
        <v>2</v>
      </c>
      <c r="R437" s="2" t="inlineStr">
        <is>
          <t>Lunglav
Ögonpyrola</t>
        </is>
      </c>
      <c r="S437">
        <f>HYPERLINK("https://klasma.github.io/Logging_2581/artfynd/A 38570-2024 artfynd.xlsx", "A 38570-2024")</f>
        <v/>
      </c>
      <c r="T437">
        <f>HYPERLINK("https://klasma.github.io/Logging_2581/kartor/A 38570-2024 karta.png", "A 38570-2024")</f>
        <v/>
      </c>
      <c r="V437">
        <f>HYPERLINK("https://klasma.github.io/Logging_2581/klagomål/A 38570-2024 FSC-klagomål.docx", "A 38570-2024")</f>
        <v/>
      </c>
      <c r="W437">
        <f>HYPERLINK("https://klasma.github.io/Logging_2581/klagomålsmail/A 38570-2024 FSC-klagomål mail.docx", "A 38570-2024")</f>
        <v/>
      </c>
      <c r="X437">
        <f>HYPERLINK("https://klasma.github.io/Logging_2581/tillsyn/A 38570-2024 tillsynsbegäran.docx", "A 38570-2024")</f>
        <v/>
      </c>
      <c r="Y437">
        <f>HYPERLINK("https://klasma.github.io/Logging_2581/tillsynsmail/A 38570-2024 tillsynsbegäran mail.docx", "A 38570-2024")</f>
        <v/>
      </c>
    </row>
    <row r="438" ht="15" customHeight="1">
      <c r="A438" t="inlineStr">
        <is>
          <t>A 36803-2023</t>
        </is>
      </c>
      <c r="B438" s="1" t="n">
        <v>45154</v>
      </c>
      <c r="C438" s="1" t="n">
        <v>46046</v>
      </c>
      <c r="D438" t="inlineStr">
        <is>
          <t>NORRBOTTENS LÄN</t>
        </is>
      </c>
      <c r="E438" t="inlineStr">
        <is>
          <t>ÖVERKALIX</t>
        </is>
      </c>
      <c r="G438" t="n">
        <v>3.1</v>
      </c>
      <c r="H438" t="n">
        <v>2</v>
      </c>
      <c r="I438" t="n">
        <v>0</v>
      </c>
      <c r="J438" t="n">
        <v>0</v>
      </c>
      <c r="K438" t="n">
        <v>1</v>
      </c>
      <c r="L438" t="n">
        <v>0</v>
      </c>
      <c r="M438" t="n">
        <v>0</v>
      </c>
      <c r="N438" t="n">
        <v>0</v>
      </c>
      <c r="O438" t="n">
        <v>1</v>
      </c>
      <c r="P438" t="n">
        <v>1</v>
      </c>
      <c r="Q438" t="n">
        <v>2</v>
      </c>
      <c r="R438" s="2" t="inlineStr">
        <is>
          <t>Knärot
Revlummer</t>
        </is>
      </c>
      <c r="S438">
        <f>HYPERLINK("https://klasma.github.io/Logging_2513/artfynd/A 36803-2023 artfynd.xlsx", "A 36803-2023")</f>
        <v/>
      </c>
      <c r="T438">
        <f>HYPERLINK("https://klasma.github.io/Logging_2513/kartor/A 36803-2023 karta.png", "A 36803-2023")</f>
        <v/>
      </c>
      <c r="U438">
        <f>HYPERLINK("https://klasma.github.io/Logging_2513/knärot/A 36803-2023 karta knärot.png", "A 36803-2023")</f>
        <v/>
      </c>
      <c r="V438">
        <f>HYPERLINK("https://klasma.github.io/Logging_2513/klagomål/A 36803-2023 FSC-klagomål.docx", "A 36803-2023")</f>
        <v/>
      </c>
      <c r="W438">
        <f>HYPERLINK("https://klasma.github.io/Logging_2513/klagomålsmail/A 36803-2023 FSC-klagomål mail.docx", "A 36803-2023")</f>
        <v/>
      </c>
      <c r="X438">
        <f>HYPERLINK("https://klasma.github.io/Logging_2513/tillsyn/A 36803-2023 tillsynsbegäran.docx", "A 36803-2023")</f>
        <v/>
      </c>
      <c r="Y438">
        <f>HYPERLINK("https://klasma.github.io/Logging_2513/tillsynsmail/A 36803-2023 tillsynsbegäran mail.docx", "A 36803-2023")</f>
        <v/>
      </c>
    </row>
    <row r="439" ht="15" customHeight="1">
      <c r="A439" t="inlineStr">
        <is>
          <t>A 19275-2025</t>
        </is>
      </c>
      <c r="B439" s="1" t="n">
        <v>45769</v>
      </c>
      <c r="C439" s="1" t="n">
        <v>46046</v>
      </c>
      <c r="D439" t="inlineStr">
        <is>
          <t>NORRBOTTENS LÄN</t>
        </is>
      </c>
      <c r="E439" t="inlineStr">
        <is>
          <t>ÖVERKALIX</t>
        </is>
      </c>
      <c r="F439" t="inlineStr">
        <is>
          <t>Sveaskog</t>
        </is>
      </c>
      <c r="G439" t="n">
        <v>16.3</v>
      </c>
      <c r="H439" t="n">
        <v>2</v>
      </c>
      <c r="I439" t="n">
        <v>1</v>
      </c>
      <c r="J439" t="n">
        <v>0</v>
      </c>
      <c r="K439" t="n">
        <v>1</v>
      </c>
      <c r="L439" t="n">
        <v>0</v>
      </c>
      <c r="M439" t="n">
        <v>0</v>
      </c>
      <c r="N439" t="n">
        <v>0</v>
      </c>
      <c r="O439" t="n">
        <v>1</v>
      </c>
      <c r="P439" t="n">
        <v>1</v>
      </c>
      <c r="Q439" t="n">
        <v>2</v>
      </c>
      <c r="R439" s="2" t="inlineStr">
        <is>
          <t>Knärot
Plattlummer</t>
        </is>
      </c>
      <c r="S439">
        <f>HYPERLINK("https://klasma.github.io/Logging_2513/artfynd/A 19275-2025 artfynd.xlsx", "A 19275-2025")</f>
        <v/>
      </c>
      <c r="T439">
        <f>HYPERLINK("https://klasma.github.io/Logging_2513/kartor/A 19275-2025 karta.png", "A 19275-2025")</f>
        <v/>
      </c>
      <c r="U439">
        <f>HYPERLINK("https://klasma.github.io/Logging_2513/knärot/A 19275-2025 karta knärot.png", "A 19275-2025")</f>
        <v/>
      </c>
      <c r="V439">
        <f>HYPERLINK("https://klasma.github.io/Logging_2513/klagomål/A 19275-2025 FSC-klagomål.docx", "A 19275-2025")</f>
        <v/>
      </c>
      <c r="W439">
        <f>HYPERLINK("https://klasma.github.io/Logging_2513/klagomålsmail/A 19275-2025 FSC-klagomål mail.docx", "A 19275-2025")</f>
        <v/>
      </c>
      <c r="X439">
        <f>HYPERLINK("https://klasma.github.io/Logging_2513/tillsyn/A 19275-2025 tillsynsbegäran.docx", "A 19275-2025")</f>
        <v/>
      </c>
      <c r="Y439">
        <f>HYPERLINK("https://klasma.github.io/Logging_2513/tillsynsmail/A 19275-2025 tillsynsbegäran mail.docx", "A 19275-2025")</f>
        <v/>
      </c>
    </row>
    <row r="440" ht="15" customHeight="1">
      <c r="A440" t="inlineStr">
        <is>
          <t>A 64829-2023</t>
        </is>
      </c>
      <c r="B440" s="1" t="n">
        <v>45281</v>
      </c>
      <c r="C440" s="1" t="n">
        <v>46046</v>
      </c>
      <c r="D440" t="inlineStr">
        <is>
          <t>NORRBOTTENS LÄN</t>
        </is>
      </c>
      <c r="E440" t="inlineStr">
        <is>
          <t>KIRUNA</t>
        </is>
      </c>
      <c r="G440" t="n">
        <v>31.7</v>
      </c>
      <c r="H440" t="n">
        <v>1</v>
      </c>
      <c r="I440" t="n">
        <v>0</v>
      </c>
      <c r="J440" t="n">
        <v>1</v>
      </c>
      <c r="K440" t="n">
        <v>0</v>
      </c>
      <c r="L440" t="n">
        <v>0</v>
      </c>
      <c r="M440" t="n">
        <v>0</v>
      </c>
      <c r="N440" t="n">
        <v>0</v>
      </c>
      <c r="O440" t="n">
        <v>1</v>
      </c>
      <c r="P440" t="n">
        <v>0</v>
      </c>
      <c r="Q440" t="n">
        <v>2</v>
      </c>
      <c r="R440" s="2" t="inlineStr">
        <is>
          <t>Månlåsbräken
Mattlummer</t>
        </is>
      </c>
      <c r="S440">
        <f>HYPERLINK("https://klasma.github.io/Logging_2584/artfynd/A 64829-2023 artfynd.xlsx", "A 64829-2023")</f>
        <v/>
      </c>
      <c r="T440">
        <f>HYPERLINK("https://klasma.github.io/Logging_2584/kartor/A 64829-2023 karta.png", "A 64829-2023")</f>
        <v/>
      </c>
      <c r="V440">
        <f>HYPERLINK("https://klasma.github.io/Logging_2584/klagomål/A 64829-2023 FSC-klagomål.docx", "A 64829-2023")</f>
        <v/>
      </c>
      <c r="W440">
        <f>HYPERLINK("https://klasma.github.io/Logging_2584/klagomålsmail/A 64829-2023 FSC-klagomål mail.docx", "A 64829-2023")</f>
        <v/>
      </c>
      <c r="X440">
        <f>HYPERLINK("https://klasma.github.io/Logging_2584/tillsyn/A 64829-2023 tillsynsbegäran.docx", "A 64829-2023")</f>
        <v/>
      </c>
      <c r="Y440">
        <f>HYPERLINK("https://klasma.github.io/Logging_2584/tillsynsmail/A 64829-2023 tillsynsbegäran mail.docx", "A 64829-2023")</f>
        <v/>
      </c>
    </row>
    <row r="441" ht="15" customHeight="1">
      <c r="A441" t="inlineStr">
        <is>
          <t>A 31829-2023</t>
        </is>
      </c>
      <c r="B441" s="1" t="n">
        <v>45106</v>
      </c>
      <c r="C441" s="1" t="n">
        <v>46046</v>
      </c>
      <c r="D441" t="inlineStr">
        <is>
          <t>NORRBOTTENS LÄN</t>
        </is>
      </c>
      <c r="E441" t="inlineStr">
        <is>
          <t>ÄLVSBYN</t>
        </is>
      </c>
      <c r="F441" t="inlineStr">
        <is>
          <t>Sveaskog</t>
        </is>
      </c>
      <c r="G441" t="n">
        <v>1.9</v>
      </c>
      <c r="H441" t="n">
        <v>2</v>
      </c>
      <c r="I441" t="n">
        <v>0</v>
      </c>
      <c r="J441" t="n">
        <v>1</v>
      </c>
      <c r="K441" t="n">
        <v>0</v>
      </c>
      <c r="L441" t="n">
        <v>0</v>
      </c>
      <c r="M441" t="n">
        <v>0</v>
      </c>
      <c r="N441" t="n">
        <v>0</v>
      </c>
      <c r="O441" t="n">
        <v>1</v>
      </c>
      <c r="P441" t="n">
        <v>0</v>
      </c>
      <c r="Q441" t="n">
        <v>2</v>
      </c>
      <c r="R441" s="2" t="inlineStr">
        <is>
          <t>Järpe
Enkelbeckasin</t>
        </is>
      </c>
      <c r="S441">
        <f>HYPERLINK("https://klasma.github.io/Logging_2560/artfynd/A 31829-2023 artfynd.xlsx", "A 31829-2023")</f>
        <v/>
      </c>
      <c r="T441">
        <f>HYPERLINK("https://klasma.github.io/Logging_2560/kartor/A 31829-2023 karta.png", "A 31829-2023")</f>
        <v/>
      </c>
      <c r="V441">
        <f>HYPERLINK("https://klasma.github.io/Logging_2560/klagomål/A 31829-2023 FSC-klagomål.docx", "A 31829-2023")</f>
        <v/>
      </c>
      <c r="W441">
        <f>HYPERLINK("https://klasma.github.io/Logging_2560/klagomålsmail/A 31829-2023 FSC-klagomål mail.docx", "A 31829-2023")</f>
        <v/>
      </c>
      <c r="X441">
        <f>HYPERLINK("https://klasma.github.io/Logging_2560/tillsyn/A 31829-2023 tillsynsbegäran.docx", "A 31829-2023")</f>
        <v/>
      </c>
      <c r="Y441">
        <f>HYPERLINK("https://klasma.github.io/Logging_2560/tillsynsmail/A 31829-2023 tillsynsbegäran mail.docx", "A 31829-2023")</f>
        <v/>
      </c>
      <c r="Z441">
        <f>HYPERLINK("https://klasma.github.io/Logging_2560/fåglar/A 31829-2023 prioriterade fågelarter.docx", "A 31829-2023")</f>
        <v/>
      </c>
    </row>
    <row r="442" ht="15" customHeight="1">
      <c r="A442" t="inlineStr">
        <is>
          <t>A 67917-2021</t>
        </is>
      </c>
      <c r="B442" s="1" t="n">
        <v>44525</v>
      </c>
      <c r="C442" s="1" t="n">
        <v>46046</v>
      </c>
      <c r="D442" t="inlineStr">
        <is>
          <t>NORRBOTTENS LÄN</t>
        </is>
      </c>
      <c r="E442" t="inlineStr">
        <is>
          <t>PITEÅ</t>
        </is>
      </c>
      <c r="F442" t="inlineStr">
        <is>
          <t>Sveaskog</t>
        </is>
      </c>
      <c r="G442" t="n">
        <v>4.2</v>
      </c>
      <c r="H442" t="n">
        <v>0</v>
      </c>
      <c r="I442" t="n">
        <v>1</v>
      </c>
      <c r="J442" t="n">
        <v>1</v>
      </c>
      <c r="K442" t="n">
        <v>0</v>
      </c>
      <c r="L442" t="n">
        <v>0</v>
      </c>
      <c r="M442" t="n">
        <v>0</v>
      </c>
      <c r="N442" t="n">
        <v>0</v>
      </c>
      <c r="O442" t="n">
        <v>1</v>
      </c>
      <c r="P442" t="n">
        <v>0</v>
      </c>
      <c r="Q442" t="n">
        <v>2</v>
      </c>
      <c r="R442" s="2" t="inlineStr">
        <is>
          <t>Lunglav
Stor aspticka</t>
        </is>
      </c>
      <c r="S442">
        <f>HYPERLINK("https://klasma.github.io/Logging_2581/artfynd/A 67917-2021 artfynd.xlsx", "A 67917-2021")</f>
        <v/>
      </c>
      <c r="T442">
        <f>HYPERLINK("https://klasma.github.io/Logging_2581/kartor/A 67917-2021 karta.png", "A 67917-2021")</f>
        <v/>
      </c>
      <c r="V442">
        <f>HYPERLINK("https://klasma.github.io/Logging_2581/klagomål/A 67917-2021 FSC-klagomål.docx", "A 67917-2021")</f>
        <v/>
      </c>
      <c r="W442">
        <f>HYPERLINK("https://klasma.github.io/Logging_2581/klagomålsmail/A 67917-2021 FSC-klagomål mail.docx", "A 67917-2021")</f>
        <v/>
      </c>
      <c r="X442">
        <f>HYPERLINK("https://klasma.github.io/Logging_2581/tillsyn/A 67917-2021 tillsynsbegäran.docx", "A 67917-2021")</f>
        <v/>
      </c>
      <c r="Y442">
        <f>HYPERLINK("https://klasma.github.io/Logging_2581/tillsynsmail/A 67917-2021 tillsynsbegäran mail.docx", "A 67917-2021")</f>
        <v/>
      </c>
    </row>
    <row r="443" ht="15" customHeight="1">
      <c r="A443" t="inlineStr">
        <is>
          <t>A 52177-2021</t>
        </is>
      </c>
      <c r="B443" s="1" t="n">
        <v>44463</v>
      </c>
      <c r="C443" s="1" t="n">
        <v>46046</v>
      </c>
      <c r="D443" t="inlineStr">
        <is>
          <t>NORRBOTTENS LÄN</t>
        </is>
      </c>
      <c r="E443" t="inlineStr">
        <is>
          <t>ÄLVSBYN</t>
        </is>
      </c>
      <c r="G443" t="n">
        <v>36</v>
      </c>
      <c r="H443" t="n">
        <v>1</v>
      </c>
      <c r="I443" t="n">
        <v>0</v>
      </c>
      <c r="J443" t="n">
        <v>1</v>
      </c>
      <c r="K443" t="n">
        <v>0</v>
      </c>
      <c r="L443" t="n">
        <v>0</v>
      </c>
      <c r="M443" t="n">
        <v>0</v>
      </c>
      <c r="N443" t="n">
        <v>0</v>
      </c>
      <c r="O443" t="n">
        <v>1</v>
      </c>
      <c r="P443" t="n">
        <v>0</v>
      </c>
      <c r="Q443" t="n">
        <v>2</v>
      </c>
      <c r="R443" s="2" t="inlineStr">
        <is>
          <t>Tallticka
Tjäder</t>
        </is>
      </c>
      <c r="S443">
        <f>HYPERLINK("https://klasma.github.io/Logging_2560/artfynd/A 52177-2021 artfynd.xlsx", "A 52177-2021")</f>
        <v/>
      </c>
      <c r="T443">
        <f>HYPERLINK("https://klasma.github.io/Logging_2560/kartor/A 52177-2021 karta.png", "A 52177-2021")</f>
        <v/>
      </c>
      <c r="V443">
        <f>HYPERLINK("https://klasma.github.io/Logging_2560/klagomål/A 52177-2021 FSC-klagomål.docx", "A 52177-2021")</f>
        <v/>
      </c>
      <c r="W443">
        <f>HYPERLINK("https://klasma.github.io/Logging_2560/klagomålsmail/A 52177-2021 FSC-klagomål mail.docx", "A 52177-2021")</f>
        <v/>
      </c>
      <c r="X443">
        <f>HYPERLINK("https://klasma.github.io/Logging_2560/tillsyn/A 52177-2021 tillsynsbegäran.docx", "A 52177-2021")</f>
        <v/>
      </c>
      <c r="Y443">
        <f>HYPERLINK("https://klasma.github.io/Logging_2560/tillsynsmail/A 52177-2021 tillsynsbegäran mail.docx", "A 52177-2021")</f>
        <v/>
      </c>
      <c r="Z443">
        <f>HYPERLINK("https://klasma.github.io/Logging_2560/fåglar/A 52177-2021 prioriterade fågelarter.docx", "A 52177-2021")</f>
        <v/>
      </c>
    </row>
    <row r="444" ht="15" customHeight="1">
      <c r="A444" t="inlineStr">
        <is>
          <t>A 36981-2023</t>
        </is>
      </c>
      <c r="B444" s="1" t="n">
        <v>45154</v>
      </c>
      <c r="C444" s="1" t="n">
        <v>46046</v>
      </c>
      <c r="D444" t="inlineStr">
        <is>
          <t>NORRBOTTENS LÄN</t>
        </is>
      </c>
      <c r="E444" t="inlineStr">
        <is>
          <t>GÄLLIVARE</t>
        </is>
      </c>
      <c r="F444" t="inlineStr">
        <is>
          <t>SCA</t>
        </is>
      </c>
      <c r="G444" t="n">
        <v>18.9</v>
      </c>
      <c r="H444" t="n">
        <v>2</v>
      </c>
      <c r="I444" t="n">
        <v>1</v>
      </c>
      <c r="J444" t="n">
        <v>0</v>
      </c>
      <c r="K444" t="n">
        <v>0</v>
      </c>
      <c r="L444" t="n">
        <v>0</v>
      </c>
      <c r="M444" t="n">
        <v>0</v>
      </c>
      <c r="N444" t="n">
        <v>0</v>
      </c>
      <c r="O444" t="n">
        <v>0</v>
      </c>
      <c r="P444" t="n">
        <v>0</v>
      </c>
      <c r="Q444" t="n">
        <v>2</v>
      </c>
      <c r="R444" s="2" t="inlineStr">
        <is>
          <t>Spindelblomster
Revlummer</t>
        </is>
      </c>
      <c r="S444">
        <f>HYPERLINK("https://klasma.github.io/Logging_2523/artfynd/A 36981-2023 artfynd.xlsx", "A 36981-2023")</f>
        <v/>
      </c>
      <c r="T444">
        <f>HYPERLINK("https://klasma.github.io/Logging_2523/kartor/A 36981-2023 karta.png", "A 36981-2023")</f>
        <v/>
      </c>
      <c r="V444">
        <f>HYPERLINK("https://klasma.github.io/Logging_2523/klagomål/A 36981-2023 FSC-klagomål.docx", "A 36981-2023")</f>
        <v/>
      </c>
      <c r="W444">
        <f>HYPERLINK("https://klasma.github.io/Logging_2523/klagomålsmail/A 36981-2023 FSC-klagomål mail.docx", "A 36981-2023")</f>
        <v/>
      </c>
      <c r="X444">
        <f>HYPERLINK("https://klasma.github.io/Logging_2523/tillsyn/A 36981-2023 tillsynsbegäran.docx", "A 36981-2023")</f>
        <v/>
      </c>
      <c r="Y444">
        <f>HYPERLINK("https://klasma.github.io/Logging_2523/tillsynsmail/A 36981-2023 tillsynsbegäran mail.docx", "A 36981-2023")</f>
        <v/>
      </c>
    </row>
    <row r="445" ht="15" customHeight="1">
      <c r="A445" t="inlineStr">
        <is>
          <t>A 37014-2023</t>
        </is>
      </c>
      <c r="B445" s="1" t="n">
        <v>45155</v>
      </c>
      <c r="C445" s="1" t="n">
        <v>46046</v>
      </c>
      <c r="D445" t="inlineStr">
        <is>
          <t>NORRBOTTENS LÄN</t>
        </is>
      </c>
      <c r="E445" t="inlineStr">
        <is>
          <t>BODEN</t>
        </is>
      </c>
      <c r="F445" t="inlineStr">
        <is>
          <t>Sveaskog</t>
        </is>
      </c>
      <c r="G445" t="n">
        <v>2.4</v>
      </c>
      <c r="H445" t="n">
        <v>1</v>
      </c>
      <c r="I445" t="n">
        <v>0</v>
      </c>
      <c r="J445" t="n">
        <v>2</v>
      </c>
      <c r="K445" t="n">
        <v>0</v>
      </c>
      <c r="L445" t="n">
        <v>0</v>
      </c>
      <c r="M445" t="n">
        <v>0</v>
      </c>
      <c r="N445" t="n">
        <v>0</v>
      </c>
      <c r="O445" t="n">
        <v>2</v>
      </c>
      <c r="P445" t="n">
        <v>0</v>
      </c>
      <c r="Q445" t="n">
        <v>2</v>
      </c>
      <c r="R445" s="2" t="inlineStr">
        <is>
          <t>Garnlav
Talltita</t>
        </is>
      </c>
      <c r="S445">
        <f>HYPERLINK("https://klasma.github.io/Logging_2582/artfynd/A 37014-2023 artfynd.xlsx", "A 37014-2023")</f>
        <v/>
      </c>
      <c r="T445">
        <f>HYPERLINK("https://klasma.github.io/Logging_2582/kartor/A 37014-2023 karta.png", "A 37014-2023")</f>
        <v/>
      </c>
      <c r="V445">
        <f>HYPERLINK("https://klasma.github.io/Logging_2582/klagomål/A 37014-2023 FSC-klagomål.docx", "A 37014-2023")</f>
        <v/>
      </c>
      <c r="W445">
        <f>HYPERLINK("https://klasma.github.io/Logging_2582/klagomålsmail/A 37014-2023 FSC-klagomål mail.docx", "A 37014-2023")</f>
        <v/>
      </c>
      <c r="X445">
        <f>HYPERLINK("https://klasma.github.io/Logging_2582/tillsyn/A 37014-2023 tillsynsbegäran.docx", "A 37014-2023")</f>
        <v/>
      </c>
      <c r="Y445">
        <f>HYPERLINK("https://klasma.github.io/Logging_2582/tillsynsmail/A 37014-2023 tillsynsbegäran mail.docx", "A 37014-2023")</f>
        <v/>
      </c>
      <c r="Z445">
        <f>HYPERLINK("https://klasma.github.io/Logging_2582/fåglar/A 37014-2023 prioriterade fågelarter.docx", "A 37014-2023")</f>
        <v/>
      </c>
    </row>
    <row r="446" ht="15" customHeight="1">
      <c r="A446" t="inlineStr">
        <is>
          <t>A 36908-2025</t>
        </is>
      </c>
      <c r="B446" s="1" t="n">
        <v>45874.49350694445</v>
      </c>
      <c r="C446" s="1" t="n">
        <v>46046</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41087-2024</t>
        </is>
      </c>
      <c r="B447" s="1" t="n">
        <v>45559</v>
      </c>
      <c r="C447" s="1" t="n">
        <v>46046</v>
      </c>
      <c r="D447" t="inlineStr">
        <is>
          <t>NORRBOTTENS LÄN</t>
        </is>
      </c>
      <c r="E447" t="inlineStr">
        <is>
          <t>BODEN</t>
        </is>
      </c>
      <c r="F447" t="inlineStr">
        <is>
          <t>Sveaskog</t>
        </is>
      </c>
      <c r="G447" t="n">
        <v>7.5</v>
      </c>
      <c r="H447" t="n">
        <v>1</v>
      </c>
      <c r="I447" t="n">
        <v>1</v>
      </c>
      <c r="J447" t="n">
        <v>1</v>
      </c>
      <c r="K447" t="n">
        <v>0</v>
      </c>
      <c r="L447" t="n">
        <v>0</v>
      </c>
      <c r="M447" t="n">
        <v>0</v>
      </c>
      <c r="N447" t="n">
        <v>0</v>
      </c>
      <c r="O447" t="n">
        <v>1</v>
      </c>
      <c r="P447" t="n">
        <v>0</v>
      </c>
      <c r="Q447" t="n">
        <v>2</v>
      </c>
      <c r="R447" s="2" t="inlineStr">
        <is>
          <t>Garnlav
Spindelblomster</t>
        </is>
      </c>
      <c r="S447">
        <f>HYPERLINK("https://klasma.github.io/Logging_2582/artfynd/A 41087-2024 artfynd.xlsx", "A 41087-2024")</f>
        <v/>
      </c>
      <c r="T447">
        <f>HYPERLINK("https://klasma.github.io/Logging_2582/kartor/A 41087-2024 karta.png", "A 41087-2024")</f>
        <v/>
      </c>
      <c r="V447">
        <f>HYPERLINK("https://klasma.github.io/Logging_2582/klagomål/A 41087-2024 FSC-klagomål.docx", "A 41087-2024")</f>
        <v/>
      </c>
      <c r="W447">
        <f>HYPERLINK("https://klasma.github.io/Logging_2582/klagomålsmail/A 41087-2024 FSC-klagomål mail.docx", "A 41087-2024")</f>
        <v/>
      </c>
      <c r="X447">
        <f>HYPERLINK("https://klasma.github.io/Logging_2582/tillsyn/A 41087-2024 tillsynsbegäran.docx", "A 41087-2024")</f>
        <v/>
      </c>
      <c r="Y447">
        <f>HYPERLINK("https://klasma.github.io/Logging_2582/tillsynsmail/A 41087-2024 tillsynsbegäran mail.docx", "A 41087-2024")</f>
        <v/>
      </c>
    </row>
    <row r="448" ht="15" customHeight="1">
      <c r="A448" t="inlineStr">
        <is>
          <t>A 56501-2023</t>
        </is>
      </c>
      <c r="B448" s="1" t="n">
        <v>45243.54211805556</v>
      </c>
      <c r="C448" s="1" t="n">
        <v>46046</v>
      </c>
      <c r="D448" t="inlineStr">
        <is>
          <t>NORRBOTTENS LÄN</t>
        </is>
      </c>
      <c r="E448" t="inlineStr">
        <is>
          <t>PITEÅ</t>
        </is>
      </c>
      <c r="F448" t="inlineStr">
        <is>
          <t>Sveaskog</t>
        </is>
      </c>
      <c r="G448" t="n">
        <v>1.1</v>
      </c>
      <c r="H448" t="n">
        <v>0</v>
      </c>
      <c r="I448" t="n">
        <v>1</v>
      </c>
      <c r="J448" t="n">
        <v>1</v>
      </c>
      <c r="K448" t="n">
        <v>0</v>
      </c>
      <c r="L448" t="n">
        <v>0</v>
      </c>
      <c r="M448" t="n">
        <v>0</v>
      </c>
      <c r="N448" t="n">
        <v>0</v>
      </c>
      <c r="O448" t="n">
        <v>1</v>
      </c>
      <c r="P448" t="n">
        <v>0</v>
      </c>
      <c r="Q448" t="n">
        <v>2</v>
      </c>
      <c r="R448" s="2" t="inlineStr">
        <is>
          <t>Granticka
Vedticka</t>
        </is>
      </c>
      <c r="S448">
        <f>HYPERLINK("https://klasma.github.io/Logging_2581/artfynd/A 56501-2023 artfynd.xlsx", "A 56501-2023")</f>
        <v/>
      </c>
      <c r="T448">
        <f>HYPERLINK("https://klasma.github.io/Logging_2581/kartor/A 56501-2023 karta.png", "A 56501-2023")</f>
        <v/>
      </c>
      <c r="V448">
        <f>HYPERLINK("https://klasma.github.io/Logging_2581/klagomål/A 56501-2023 FSC-klagomål.docx", "A 56501-2023")</f>
        <v/>
      </c>
      <c r="W448">
        <f>HYPERLINK("https://klasma.github.io/Logging_2581/klagomålsmail/A 56501-2023 FSC-klagomål mail.docx", "A 56501-2023")</f>
        <v/>
      </c>
      <c r="X448">
        <f>HYPERLINK("https://klasma.github.io/Logging_2581/tillsyn/A 56501-2023 tillsynsbegäran.docx", "A 56501-2023")</f>
        <v/>
      </c>
      <c r="Y448">
        <f>HYPERLINK("https://klasma.github.io/Logging_2581/tillsynsmail/A 56501-2023 tillsynsbegäran mail.docx", "A 56501-2023")</f>
        <v/>
      </c>
    </row>
    <row r="449" ht="15" customHeight="1">
      <c r="A449" t="inlineStr">
        <is>
          <t>A 42233-2022</t>
        </is>
      </c>
      <c r="B449" s="1" t="n">
        <v>44830</v>
      </c>
      <c r="C449" s="1" t="n">
        <v>46046</v>
      </c>
      <c r="D449" t="inlineStr">
        <is>
          <t>NORRBOTTENS LÄN</t>
        </is>
      </c>
      <c r="E449" t="inlineStr">
        <is>
          <t>BODEN</t>
        </is>
      </c>
      <c r="G449" t="n">
        <v>3.6</v>
      </c>
      <c r="H449" t="n">
        <v>2</v>
      </c>
      <c r="I449" t="n">
        <v>0</v>
      </c>
      <c r="J449" t="n">
        <v>1</v>
      </c>
      <c r="K449" t="n">
        <v>0</v>
      </c>
      <c r="L449" t="n">
        <v>0</v>
      </c>
      <c r="M449" t="n">
        <v>0</v>
      </c>
      <c r="N449" t="n">
        <v>0</v>
      </c>
      <c r="O449" t="n">
        <v>1</v>
      </c>
      <c r="P449" t="n">
        <v>0</v>
      </c>
      <c r="Q449" t="n">
        <v>2</v>
      </c>
      <c r="R449" s="2" t="inlineStr">
        <is>
          <t>Svartvit flugsnappare
Enkelbeckasin</t>
        </is>
      </c>
      <c r="S449">
        <f>HYPERLINK("https://klasma.github.io/Logging_2582/artfynd/A 42233-2022 artfynd.xlsx", "A 42233-2022")</f>
        <v/>
      </c>
      <c r="T449">
        <f>HYPERLINK("https://klasma.github.io/Logging_2582/kartor/A 42233-2022 karta.png", "A 42233-2022")</f>
        <v/>
      </c>
      <c r="V449">
        <f>HYPERLINK("https://klasma.github.io/Logging_2582/klagomål/A 42233-2022 FSC-klagomål.docx", "A 42233-2022")</f>
        <v/>
      </c>
      <c r="W449">
        <f>HYPERLINK("https://klasma.github.io/Logging_2582/klagomålsmail/A 42233-2022 FSC-klagomål mail.docx", "A 42233-2022")</f>
        <v/>
      </c>
      <c r="X449">
        <f>HYPERLINK("https://klasma.github.io/Logging_2582/tillsyn/A 42233-2022 tillsynsbegäran.docx", "A 42233-2022")</f>
        <v/>
      </c>
      <c r="Y449">
        <f>HYPERLINK("https://klasma.github.io/Logging_2582/tillsynsmail/A 42233-2022 tillsynsbegäran mail.docx", "A 42233-2022")</f>
        <v/>
      </c>
      <c r="Z449">
        <f>HYPERLINK("https://klasma.github.io/Logging_2582/fåglar/A 42233-2022 prioriterade fågelarter.docx", "A 42233-2022")</f>
        <v/>
      </c>
    </row>
    <row r="450" ht="15" customHeight="1">
      <c r="A450" t="inlineStr">
        <is>
          <t>A 38727-2025</t>
        </is>
      </c>
      <c r="B450" s="1" t="n">
        <v>45887</v>
      </c>
      <c r="C450" s="1" t="n">
        <v>46046</v>
      </c>
      <c r="D450" t="inlineStr">
        <is>
          <t>NORRBOTTENS LÄN</t>
        </is>
      </c>
      <c r="E450" t="inlineStr">
        <is>
          <t>ÄLVSBYN</t>
        </is>
      </c>
      <c r="F450" t="inlineStr">
        <is>
          <t>Sveaskog</t>
        </is>
      </c>
      <c r="G450" t="n">
        <v>3.6</v>
      </c>
      <c r="H450" t="n">
        <v>2</v>
      </c>
      <c r="I450" t="n">
        <v>0</v>
      </c>
      <c r="J450" t="n">
        <v>0</v>
      </c>
      <c r="K450" t="n">
        <v>1</v>
      </c>
      <c r="L450" t="n">
        <v>0</v>
      </c>
      <c r="M450" t="n">
        <v>0</v>
      </c>
      <c r="N450" t="n">
        <v>0</v>
      </c>
      <c r="O450" t="n">
        <v>1</v>
      </c>
      <c r="P450" t="n">
        <v>1</v>
      </c>
      <c r="Q450" t="n">
        <v>2</v>
      </c>
      <c r="R450" s="2" t="inlineStr">
        <is>
          <t>Knärot
Fläcknycklar</t>
        </is>
      </c>
      <c r="S450">
        <f>HYPERLINK("https://klasma.github.io/Logging_2560/artfynd/A 38727-2025 artfynd.xlsx", "A 38727-2025")</f>
        <v/>
      </c>
      <c r="T450">
        <f>HYPERLINK("https://klasma.github.io/Logging_2560/kartor/A 38727-2025 karta.png", "A 38727-2025")</f>
        <v/>
      </c>
      <c r="U450">
        <f>HYPERLINK("https://klasma.github.io/Logging_2560/knärot/A 38727-2025 karta knärot.png", "A 38727-2025")</f>
        <v/>
      </c>
      <c r="V450">
        <f>HYPERLINK("https://klasma.github.io/Logging_2560/klagomål/A 38727-2025 FSC-klagomål.docx", "A 38727-2025")</f>
        <v/>
      </c>
      <c r="W450">
        <f>HYPERLINK("https://klasma.github.io/Logging_2560/klagomålsmail/A 38727-2025 FSC-klagomål mail.docx", "A 38727-2025")</f>
        <v/>
      </c>
      <c r="X450">
        <f>HYPERLINK("https://klasma.github.io/Logging_2560/tillsyn/A 38727-2025 tillsynsbegäran.docx", "A 38727-2025")</f>
        <v/>
      </c>
      <c r="Y450">
        <f>HYPERLINK("https://klasma.github.io/Logging_2560/tillsynsmail/A 38727-2025 tillsynsbegäran mail.docx", "A 38727-2025")</f>
        <v/>
      </c>
    </row>
    <row r="451" ht="15" customHeight="1">
      <c r="A451" t="inlineStr">
        <is>
          <t>A 53264-2023</t>
        </is>
      </c>
      <c r="B451" s="1" t="n">
        <v>45222</v>
      </c>
      <c r="C451" s="1" t="n">
        <v>46046</v>
      </c>
      <c r="D451" t="inlineStr">
        <is>
          <t>NORRBOTTENS LÄN</t>
        </is>
      </c>
      <c r="E451" t="inlineStr">
        <is>
          <t>KIRUNA</t>
        </is>
      </c>
      <c r="G451" t="n">
        <v>100.3</v>
      </c>
      <c r="H451" t="n">
        <v>2</v>
      </c>
      <c r="I451" t="n">
        <v>1</v>
      </c>
      <c r="J451" t="n">
        <v>0</v>
      </c>
      <c r="K451" t="n">
        <v>0</v>
      </c>
      <c r="L451" t="n">
        <v>0</v>
      </c>
      <c r="M451" t="n">
        <v>0</v>
      </c>
      <c r="N451" t="n">
        <v>0</v>
      </c>
      <c r="O451" t="n">
        <v>0</v>
      </c>
      <c r="P451" t="n">
        <v>0</v>
      </c>
      <c r="Q451" t="n">
        <v>2</v>
      </c>
      <c r="R451" s="2" t="inlineStr">
        <is>
          <t>Plattlummer
Revlummer</t>
        </is>
      </c>
      <c r="S451">
        <f>HYPERLINK("https://klasma.github.io/Logging_2584/artfynd/A 53264-2023 artfynd.xlsx", "A 53264-2023")</f>
        <v/>
      </c>
      <c r="T451">
        <f>HYPERLINK("https://klasma.github.io/Logging_2584/kartor/A 53264-2023 karta.png", "A 53264-2023")</f>
        <v/>
      </c>
      <c r="V451">
        <f>HYPERLINK("https://klasma.github.io/Logging_2584/klagomål/A 53264-2023 FSC-klagomål.docx", "A 53264-2023")</f>
        <v/>
      </c>
      <c r="W451">
        <f>HYPERLINK("https://klasma.github.io/Logging_2584/klagomålsmail/A 53264-2023 FSC-klagomål mail.docx", "A 53264-2023")</f>
        <v/>
      </c>
      <c r="X451">
        <f>HYPERLINK("https://klasma.github.io/Logging_2584/tillsyn/A 53264-2023 tillsynsbegäran.docx", "A 53264-2023")</f>
        <v/>
      </c>
      <c r="Y451">
        <f>HYPERLINK("https://klasma.github.io/Logging_2584/tillsynsmail/A 53264-2023 tillsynsbegäran mail.docx", "A 53264-2023")</f>
        <v/>
      </c>
    </row>
    <row r="452" ht="15" customHeight="1">
      <c r="A452" t="inlineStr">
        <is>
          <t>A 31242-2022</t>
        </is>
      </c>
      <c r="B452" s="1" t="n">
        <v>44771</v>
      </c>
      <c r="C452" s="1" t="n">
        <v>46046</v>
      </c>
      <c r="D452" t="inlineStr">
        <is>
          <t>NORRBOTTENS LÄN</t>
        </is>
      </c>
      <c r="E452" t="inlineStr">
        <is>
          <t>PAJALA</t>
        </is>
      </c>
      <c r="G452" t="n">
        <v>21.9</v>
      </c>
      <c r="H452" t="n">
        <v>0</v>
      </c>
      <c r="I452" t="n">
        <v>0</v>
      </c>
      <c r="J452" t="n">
        <v>1</v>
      </c>
      <c r="K452" t="n">
        <v>1</v>
      </c>
      <c r="L452" t="n">
        <v>0</v>
      </c>
      <c r="M452" t="n">
        <v>0</v>
      </c>
      <c r="N452" t="n">
        <v>0</v>
      </c>
      <c r="O452" t="n">
        <v>2</v>
      </c>
      <c r="P452" t="n">
        <v>1</v>
      </c>
      <c r="Q452" t="n">
        <v>2</v>
      </c>
      <c r="R452" s="2" t="inlineStr">
        <is>
          <t>Tallgråticka
Vaddporing</t>
        </is>
      </c>
      <c r="S452">
        <f>HYPERLINK("https://klasma.github.io/Logging_2521/artfynd/A 31242-2022 artfynd.xlsx", "A 31242-2022")</f>
        <v/>
      </c>
      <c r="T452">
        <f>HYPERLINK("https://klasma.github.io/Logging_2521/kartor/A 31242-2022 karta.png", "A 31242-2022")</f>
        <v/>
      </c>
      <c r="V452">
        <f>HYPERLINK("https://klasma.github.io/Logging_2521/klagomål/A 31242-2022 FSC-klagomål.docx", "A 31242-2022")</f>
        <v/>
      </c>
      <c r="W452">
        <f>HYPERLINK("https://klasma.github.io/Logging_2521/klagomålsmail/A 31242-2022 FSC-klagomål mail.docx", "A 31242-2022")</f>
        <v/>
      </c>
      <c r="X452">
        <f>HYPERLINK("https://klasma.github.io/Logging_2521/tillsyn/A 31242-2022 tillsynsbegäran.docx", "A 31242-2022")</f>
        <v/>
      </c>
      <c r="Y452">
        <f>HYPERLINK("https://klasma.github.io/Logging_2521/tillsynsmail/A 31242-2022 tillsynsbegäran mail.docx", "A 31242-2022")</f>
        <v/>
      </c>
    </row>
    <row r="453" ht="15" customHeight="1">
      <c r="A453" t="inlineStr">
        <is>
          <t>A 38607-2025</t>
        </is>
      </c>
      <c r="B453" s="1" t="n">
        <v>45884.53171296296</v>
      </c>
      <c r="C453" s="1" t="n">
        <v>46046</v>
      </c>
      <c r="D453" t="inlineStr">
        <is>
          <t>NORRBOTTENS LÄN</t>
        </is>
      </c>
      <c r="E453" t="inlineStr">
        <is>
          <t>JOKKMOKK</t>
        </is>
      </c>
      <c r="F453" t="inlineStr">
        <is>
          <t>SCA</t>
        </is>
      </c>
      <c r="G453" t="n">
        <v>6.1</v>
      </c>
      <c r="H453" t="n">
        <v>1</v>
      </c>
      <c r="I453" t="n">
        <v>0</v>
      </c>
      <c r="J453" t="n">
        <v>2</v>
      </c>
      <c r="K453" t="n">
        <v>0</v>
      </c>
      <c r="L453" t="n">
        <v>0</v>
      </c>
      <c r="M453" t="n">
        <v>0</v>
      </c>
      <c r="N453" t="n">
        <v>0</v>
      </c>
      <c r="O453" t="n">
        <v>2</v>
      </c>
      <c r="P453" t="n">
        <v>0</v>
      </c>
      <c r="Q453" t="n">
        <v>2</v>
      </c>
      <c r="R453" s="2" t="inlineStr">
        <is>
          <t>Gammelgransskål
Järpe</t>
        </is>
      </c>
      <c r="S453">
        <f>HYPERLINK("https://klasma.github.io/Logging_2510/artfynd/A 38607-2025 artfynd.xlsx", "A 38607-2025")</f>
        <v/>
      </c>
      <c r="T453">
        <f>HYPERLINK("https://klasma.github.io/Logging_2510/kartor/A 38607-2025 karta.png", "A 38607-2025")</f>
        <v/>
      </c>
      <c r="V453">
        <f>HYPERLINK("https://klasma.github.io/Logging_2510/klagomål/A 38607-2025 FSC-klagomål.docx", "A 38607-2025")</f>
        <v/>
      </c>
      <c r="W453">
        <f>HYPERLINK("https://klasma.github.io/Logging_2510/klagomålsmail/A 38607-2025 FSC-klagomål mail.docx", "A 38607-2025")</f>
        <v/>
      </c>
      <c r="X453">
        <f>HYPERLINK("https://klasma.github.io/Logging_2510/tillsyn/A 38607-2025 tillsynsbegäran.docx", "A 38607-2025")</f>
        <v/>
      </c>
      <c r="Y453">
        <f>HYPERLINK("https://klasma.github.io/Logging_2510/tillsynsmail/A 38607-2025 tillsynsbegäran mail.docx", "A 38607-2025")</f>
        <v/>
      </c>
      <c r="Z453">
        <f>HYPERLINK("https://klasma.github.io/Logging_2510/fåglar/A 38607-2025 prioriterade fågelarter.docx", "A 38607-2025")</f>
        <v/>
      </c>
    </row>
    <row r="454" ht="15" customHeight="1">
      <c r="A454" t="inlineStr">
        <is>
          <t>A 11634-2025</t>
        </is>
      </c>
      <c r="B454" s="1" t="n">
        <v>45726</v>
      </c>
      <c r="C454" s="1" t="n">
        <v>46046</v>
      </c>
      <c r="D454" t="inlineStr">
        <is>
          <t>NORRBOTTENS LÄN</t>
        </is>
      </c>
      <c r="E454" t="inlineStr">
        <is>
          <t>ARVIDSJAUR</t>
        </is>
      </c>
      <c r="F454" t="inlineStr">
        <is>
          <t>Allmännings- och besparingsskogar</t>
        </is>
      </c>
      <c r="G454" t="n">
        <v>13.8</v>
      </c>
      <c r="H454" t="n">
        <v>0</v>
      </c>
      <c r="I454" t="n">
        <v>1</v>
      </c>
      <c r="J454" t="n">
        <v>1</v>
      </c>
      <c r="K454" t="n">
        <v>0</v>
      </c>
      <c r="L454" t="n">
        <v>0</v>
      </c>
      <c r="M454" t="n">
        <v>0</v>
      </c>
      <c r="N454" t="n">
        <v>0</v>
      </c>
      <c r="O454" t="n">
        <v>1</v>
      </c>
      <c r="P454" t="n">
        <v>0</v>
      </c>
      <c r="Q454" t="n">
        <v>2</v>
      </c>
      <c r="R454" s="2" t="inlineStr">
        <is>
          <t>Lunglav
Skinnlav</t>
        </is>
      </c>
      <c r="S454">
        <f>HYPERLINK("https://klasma.github.io/Logging_2505/artfynd/A 11634-2025 artfynd.xlsx", "A 11634-2025")</f>
        <v/>
      </c>
      <c r="T454">
        <f>HYPERLINK("https://klasma.github.io/Logging_2505/kartor/A 11634-2025 karta.png", "A 11634-2025")</f>
        <v/>
      </c>
      <c r="V454">
        <f>HYPERLINK("https://klasma.github.io/Logging_2505/klagomål/A 11634-2025 FSC-klagomål.docx", "A 11634-2025")</f>
        <v/>
      </c>
      <c r="W454">
        <f>HYPERLINK("https://klasma.github.io/Logging_2505/klagomålsmail/A 11634-2025 FSC-klagomål mail.docx", "A 11634-2025")</f>
        <v/>
      </c>
      <c r="X454">
        <f>HYPERLINK("https://klasma.github.io/Logging_2505/tillsyn/A 11634-2025 tillsynsbegäran.docx", "A 11634-2025")</f>
        <v/>
      </c>
      <c r="Y454">
        <f>HYPERLINK("https://klasma.github.io/Logging_2505/tillsynsmail/A 11634-2025 tillsynsbegäran mail.docx", "A 11634-2025")</f>
        <v/>
      </c>
    </row>
    <row r="455" ht="15" customHeight="1">
      <c r="A455" t="inlineStr">
        <is>
          <t>A 53163-2024</t>
        </is>
      </c>
      <c r="B455" s="1" t="n">
        <v>45611</v>
      </c>
      <c r="C455" s="1" t="n">
        <v>46046</v>
      </c>
      <c r="D455" t="inlineStr">
        <is>
          <t>NORRBOTTENS LÄN</t>
        </is>
      </c>
      <c r="E455" t="inlineStr">
        <is>
          <t>ARVIDSJAUR</t>
        </is>
      </c>
      <c r="F455" t="inlineStr">
        <is>
          <t>Sveaskog</t>
        </is>
      </c>
      <c r="G455" t="n">
        <v>7.8</v>
      </c>
      <c r="H455" t="n">
        <v>1</v>
      </c>
      <c r="I455" t="n">
        <v>2</v>
      </c>
      <c r="J455" t="n">
        <v>0</v>
      </c>
      <c r="K455" t="n">
        <v>0</v>
      </c>
      <c r="L455" t="n">
        <v>0</v>
      </c>
      <c r="M455" t="n">
        <v>0</v>
      </c>
      <c r="N455" t="n">
        <v>0</v>
      </c>
      <c r="O455" t="n">
        <v>0</v>
      </c>
      <c r="P455" t="n">
        <v>0</v>
      </c>
      <c r="Q455" t="n">
        <v>2</v>
      </c>
      <c r="R455" s="2" t="inlineStr">
        <is>
          <t>Dropptaggsvamp
Plattlummer</t>
        </is>
      </c>
      <c r="S455">
        <f>HYPERLINK("https://klasma.github.io/Logging_2505/artfynd/A 53163-2024 artfynd.xlsx", "A 53163-2024")</f>
        <v/>
      </c>
      <c r="T455">
        <f>HYPERLINK("https://klasma.github.io/Logging_2505/kartor/A 53163-2024 karta.png", "A 53163-2024")</f>
        <v/>
      </c>
      <c r="V455">
        <f>HYPERLINK("https://klasma.github.io/Logging_2505/klagomål/A 53163-2024 FSC-klagomål.docx", "A 53163-2024")</f>
        <v/>
      </c>
      <c r="W455">
        <f>HYPERLINK("https://klasma.github.io/Logging_2505/klagomålsmail/A 53163-2024 FSC-klagomål mail.docx", "A 53163-2024")</f>
        <v/>
      </c>
      <c r="X455">
        <f>HYPERLINK("https://klasma.github.io/Logging_2505/tillsyn/A 53163-2024 tillsynsbegäran.docx", "A 53163-2024")</f>
        <v/>
      </c>
      <c r="Y455">
        <f>HYPERLINK("https://klasma.github.io/Logging_2505/tillsynsmail/A 53163-2024 tillsynsbegäran mail.docx", "A 53163-2024")</f>
        <v/>
      </c>
    </row>
    <row r="456" ht="15" customHeight="1">
      <c r="A456" t="inlineStr">
        <is>
          <t>A 30248-2025</t>
        </is>
      </c>
      <c r="B456" s="1" t="n">
        <v>45827.413125</v>
      </c>
      <c r="C456" s="1" t="n">
        <v>46046</v>
      </c>
      <c r="D456" t="inlineStr">
        <is>
          <t>NORRBOTTENS LÄN</t>
        </is>
      </c>
      <c r="E456" t="inlineStr">
        <is>
          <t>PITEÅ</t>
        </is>
      </c>
      <c r="G456" t="n">
        <v>5.6</v>
      </c>
      <c r="H456" t="n">
        <v>2</v>
      </c>
      <c r="I456" t="n">
        <v>0</v>
      </c>
      <c r="J456" t="n">
        <v>1</v>
      </c>
      <c r="K456" t="n">
        <v>0</v>
      </c>
      <c r="L456" t="n">
        <v>0</v>
      </c>
      <c r="M456" t="n">
        <v>0</v>
      </c>
      <c r="N456" t="n">
        <v>0</v>
      </c>
      <c r="O456" t="n">
        <v>1</v>
      </c>
      <c r="P456" t="n">
        <v>0</v>
      </c>
      <c r="Q456" t="n">
        <v>2</v>
      </c>
      <c r="R456" s="2" t="inlineStr">
        <is>
          <t>Talltita
Kungsfågel</t>
        </is>
      </c>
      <c r="S456">
        <f>HYPERLINK("https://klasma.github.io/Logging_2581/artfynd/A 30248-2025 artfynd.xlsx", "A 30248-2025")</f>
        <v/>
      </c>
      <c r="T456">
        <f>HYPERLINK("https://klasma.github.io/Logging_2581/kartor/A 30248-2025 karta.png", "A 30248-2025")</f>
        <v/>
      </c>
      <c r="V456">
        <f>HYPERLINK("https://klasma.github.io/Logging_2581/klagomål/A 30248-2025 FSC-klagomål.docx", "A 30248-2025")</f>
        <v/>
      </c>
      <c r="W456">
        <f>HYPERLINK("https://klasma.github.io/Logging_2581/klagomålsmail/A 30248-2025 FSC-klagomål mail.docx", "A 30248-2025")</f>
        <v/>
      </c>
      <c r="X456">
        <f>HYPERLINK("https://klasma.github.io/Logging_2581/tillsyn/A 30248-2025 tillsynsbegäran.docx", "A 30248-2025")</f>
        <v/>
      </c>
      <c r="Y456">
        <f>HYPERLINK("https://klasma.github.io/Logging_2581/tillsynsmail/A 30248-2025 tillsynsbegäran mail.docx", "A 30248-2025")</f>
        <v/>
      </c>
      <c r="Z456">
        <f>HYPERLINK("https://klasma.github.io/Logging_2581/fåglar/A 30248-2025 prioriterade fågelarter.docx", "A 30248-2025")</f>
        <v/>
      </c>
    </row>
    <row r="457" ht="15" customHeight="1">
      <c r="A457" t="inlineStr">
        <is>
          <t>A 39968-2025</t>
        </is>
      </c>
      <c r="B457" s="1" t="n">
        <v>45892.6153125</v>
      </c>
      <c r="C457" s="1" t="n">
        <v>46046</v>
      </c>
      <c r="D457" t="inlineStr">
        <is>
          <t>NORRBOTTENS LÄN</t>
        </is>
      </c>
      <c r="E457" t="inlineStr">
        <is>
          <t>GÄLLIVARE</t>
        </is>
      </c>
      <c r="F457" t="inlineStr">
        <is>
          <t>SCA</t>
        </is>
      </c>
      <c r="G457" t="n">
        <v>3.4</v>
      </c>
      <c r="H457" t="n">
        <v>0</v>
      </c>
      <c r="I457" t="n">
        <v>0</v>
      </c>
      <c r="J457" t="n">
        <v>2</v>
      </c>
      <c r="K457" t="n">
        <v>0</v>
      </c>
      <c r="L457" t="n">
        <v>0</v>
      </c>
      <c r="M457" t="n">
        <v>0</v>
      </c>
      <c r="N457" t="n">
        <v>0</v>
      </c>
      <c r="O457" t="n">
        <v>2</v>
      </c>
      <c r="P457" t="n">
        <v>0</v>
      </c>
      <c r="Q457" t="n">
        <v>2</v>
      </c>
      <c r="R457" s="2" t="inlineStr">
        <is>
          <t>Granticka
Violmussling</t>
        </is>
      </c>
      <c r="S457">
        <f>HYPERLINK("https://klasma.github.io/Logging_2523/artfynd/A 39968-2025 artfynd.xlsx", "A 39968-2025")</f>
        <v/>
      </c>
      <c r="T457">
        <f>HYPERLINK("https://klasma.github.io/Logging_2523/kartor/A 39968-2025 karta.png", "A 39968-2025")</f>
        <v/>
      </c>
      <c r="V457">
        <f>HYPERLINK("https://klasma.github.io/Logging_2523/klagomål/A 39968-2025 FSC-klagomål.docx", "A 39968-2025")</f>
        <v/>
      </c>
      <c r="W457">
        <f>HYPERLINK("https://klasma.github.io/Logging_2523/klagomålsmail/A 39968-2025 FSC-klagomål mail.docx", "A 39968-2025")</f>
        <v/>
      </c>
      <c r="X457">
        <f>HYPERLINK("https://klasma.github.io/Logging_2523/tillsyn/A 39968-2025 tillsynsbegäran.docx", "A 39968-2025")</f>
        <v/>
      </c>
      <c r="Y457">
        <f>HYPERLINK("https://klasma.github.io/Logging_2523/tillsynsmail/A 39968-2025 tillsynsbegäran mail.docx", "A 39968-2025")</f>
        <v/>
      </c>
    </row>
    <row r="458" ht="15" customHeight="1">
      <c r="A458" t="inlineStr">
        <is>
          <t>A 45310-2024</t>
        </is>
      </c>
      <c r="B458" s="1" t="n">
        <v>45576</v>
      </c>
      <c r="C458" s="1" t="n">
        <v>46046</v>
      </c>
      <c r="D458" t="inlineStr">
        <is>
          <t>NORRBOTTENS LÄN</t>
        </is>
      </c>
      <c r="E458" t="inlineStr">
        <is>
          <t>ÄLVSBYN</t>
        </is>
      </c>
      <c r="G458" t="n">
        <v>8.199999999999999</v>
      </c>
      <c r="H458" t="n">
        <v>0</v>
      </c>
      <c r="I458" t="n">
        <v>1</v>
      </c>
      <c r="J458" t="n">
        <v>1</v>
      </c>
      <c r="K458" t="n">
        <v>0</v>
      </c>
      <c r="L458" t="n">
        <v>0</v>
      </c>
      <c r="M458" t="n">
        <v>0</v>
      </c>
      <c r="N458" t="n">
        <v>0</v>
      </c>
      <c r="O458" t="n">
        <v>1</v>
      </c>
      <c r="P458" t="n">
        <v>0</v>
      </c>
      <c r="Q458" t="n">
        <v>2</v>
      </c>
      <c r="R458" s="2" t="inlineStr">
        <is>
          <t>Lunglav
Stuplav</t>
        </is>
      </c>
      <c r="S458">
        <f>HYPERLINK("https://klasma.github.io/Logging_2560/artfynd/A 45310-2024 artfynd.xlsx", "A 45310-2024")</f>
        <v/>
      </c>
      <c r="T458">
        <f>HYPERLINK("https://klasma.github.io/Logging_2560/kartor/A 45310-2024 karta.png", "A 45310-2024")</f>
        <v/>
      </c>
      <c r="V458">
        <f>HYPERLINK("https://klasma.github.io/Logging_2560/klagomål/A 45310-2024 FSC-klagomål.docx", "A 45310-2024")</f>
        <v/>
      </c>
      <c r="W458">
        <f>HYPERLINK("https://klasma.github.io/Logging_2560/klagomålsmail/A 45310-2024 FSC-klagomål mail.docx", "A 45310-2024")</f>
        <v/>
      </c>
      <c r="X458">
        <f>HYPERLINK("https://klasma.github.io/Logging_2560/tillsyn/A 45310-2024 tillsynsbegäran.docx", "A 45310-2024")</f>
        <v/>
      </c>
      <c r="Y458">
        <f>HYPERLINK("https://klasma.github.io/Logging_2560/tillsynsmail/A 45310-2024 tillsynsbegäran mail.docx", "A 45310-2024")</f>
        <v/>
      </c>
    </row>
    <row r="459" ht="15" customHeight="1">
      <c r="A459" t="inlineStr">
        <is>
          <t>A 40878-2025</t>
        </is>
      </c>
      <c r="B459" s="1" t="n">
        <v>45897.58552083333</v>
      </c>
      <c r="C459" s="1" t="n">
        <v>46046</v>
      </c>
      <c r="D459" t="inlineStr">
        <is>
          <t>NORRBOTTENS LÄN</t>
        </is>
      </c>
      <c r="E459" t="inlineStr">
        <is>
          <t>PAJALA</t>
        </is>
      </c>
      <c r="F459" t="inlineStr">
        <is>
          <t>Sveaskog</t>
        </is>
      </c>
      <c r="G459" t="n">
        <v>10.7</v>
      </c>
      <c r="H459" t="n">
        <v>0</v>
      </c>
      <c r="I459" t="n">
        <v>1</v>
      </c>
      <c r="J459" t="n">
        <v>1</v>
      </c>
      <c r="K459" t="n">
        <v>0</v>
      </c>
      <c r="L459" t="n">
        <v>0</v>
      </c>
      <c r="M459" t="n">
        <v>0</v>
      </c>
      <c r="N459" t="n">
        <v>0</v>
      </c>
      <c r="O459" t="n">
        <v>1</v>
      </c>
      <c r="P459" t="n">
        <v>0</v>
      </c>
      <c r="Q459" t="n">
        <v>2</v>
      </c>
      <c r="R459" s="2" t="inlineStr">
        <is>
          <t>Garnlav
Stuplav</t>
        </is>
      </c>
      <c r="S459">
        <f>HYPERLINK("https://klasma.github.io/Logging_2521/artfynd/A 40878-2025 artfynd.xlsx", "A 40878-2025")</f>
        <v/>
      </c>
      <c r="T459">
        <f>HYPERLINK("https://klasma.github.io/Logging_2521/kartor/A 40878-2025 karta.png", "A 40878-2025")</f>
        <v/>
      </c>
      <c r="V459">
        <f>HYPERLINK("https://klasma.github.io/Logging_2521/klagomål/A 40878-2025 FSC-klagomål.docx", "A 40878-2025")</f>
        <v/>
      </c>
      <c r="W459">
        <f>HYPERLINK("https://klasma.github.io/Logging_2521/klagomålsmail/A 40878-2025 FSC-klagomål mail.docx", "A 40878-2025")</f>
        <v/>
      </c>
      <c r="X459">
        <f>HYPERLINK("https://klasma.github.io/Logging_2521/tillsyn/A 40878-2025 tillsynsbegäran.docx", "A 40878-2025")</f>
        <v/>
      </c>
      <c r="Y459">
        <f>HYPERLINK("https://klasma.github.io/Logging_2521/tillsynsmail/A 40878-2025 tillsynsbegäran mail.docx", "A 40878-2025")</f>
        <v/>
      </c>
    </row>
    <row r="460" ht="15" customHeight="1">
      <c r="A460" t="inlineStr">
        <is>
          <t>A 41134-2025</t>
        </is>
      </c>
      <c r="B460" s="1" t="n">
        <v>45898.48373842592</v>
      </c>
      <c r="C460" s="1" t="n">
        <v>46046</v>
      </c>
      <c r="D460" t="inlineStr">
        <is>
          <t>NORRBOTTENS LÄN</t>
        </is>
      </c>
      <c r="E460" t="inlineStr">
        <is>
          <t>GÄLLIVARE</t>
        </is>
      </c>
      <c r="F460" t="inlineStr">
        <is>
          <t>Sveaskog</t>
        </is>
      </c>
      <c r="G460" t="n">
        <v>1.6</v>
      </c>
      <c r="H460" t="n">
        <v>1</v>
      </c>
      <c r="I460" t="n">
        <v>1</v>
      </c>
      <c r="J460" t="n">
        <v>0</v>
      </c>
      <c r="K460" t="n">
        <v>1</v>
      </c>
      <c r="L460" t="n">
        <v>0</v>
      </c>
      <c r="M460" t="n">
        <v>0</v>
      </c>
      <c r="N460" t="n">
        <v>0</v>
      </c>
      <c r="O460" t="n">
        <v>1</v>
      </c>
      <c r="P460" t="n">
        <v>1</v>
      </c>
      <c r="Q460" t="n">
        <v>2</v>
      </c>
      <c r="R460" s="2" t="inlineStr">
        <is>
          <t>Doftticka
Bårdlav</t>
        </is>
      </c>
      <c r="S460">
        <f>HYPERLINK("https://klasma.github.io/Logging_2523/artfynd/A 41134-2025 artfynd.xlsx", "A 41134-2025")</f>
        <v/>
      </c>
      <c r="T460">
        <f>HYPERLINK("https://klasma.github.io/Logging_2523/kartor/A 41134-2025 karta.png", "A 41134-2025")</f>
        <v/>
      </c>
      <c r="V460">
        <f>HYPERLINK("https://klasma.github.io/Logging_2523/klagomål/A 41134-2025 FSC-klagomål.docx", "A 41134-2025")</f>
        <v/>
      </c>
      <c r="W460">
        <f>HYPERLINK("https://klasma.github.io/Logging_2523/klagomålsmail/A 41134-2025 FSC-klagomål mail.docx", "A 41134-2025")</f>
        <v/>
      </c>
      <c r="X460">
        <f>HYPERLINK("https://klasma.github.io/Logging_2523/tillsyn/A 41134-2025 tillsynsbegäran.docx", "A 41134-2025")</f>
        <v/>
      </c>
      <c r="Y460">
        <f>HYPERLINK("https://klasma.github.io/Logging_2523/tillsynsmail/A 41134-2025 tillsynsbegäran mail.docx", "A 41134-2025")</f>
        <v/>
      </c>
    </row>
    <row r="461" ht="15" customHeight="1">
      <c r="A461" t="inlineStr">
        <is>
          <t>A 15155-2025</t>
        </is>
      </c>
      <c r="B461" s="1" t="n">
        <v>45744</v>
      </c>
      <c r="C461" s="1" t="n">
        <v>46046</v>
      </c>
      <c r="D461" t="inlineStr">
        <is>
          <t>NORRBOTTENS LÄN</t>
        </is>
      </c>
      <c r="E461" t="inlineStr">
        <is>
          <t>GÄLLIVARE</t>
        </is>
      </c>
      <c r="F461" t="inlineStr">
        <is>
          <t>Sveaskog</t>
        </is>
      </c>
      <c r="G461" t="n">
        <v>1.9</v>
      </c>
      <c r="H461" t="n">
        <v>1</v>
      </c>
      <c r="I461" t="n">
        <v>0</v>
      </c>
      <c r="J461" t="n">
        <v>2</v>
      </c>
      <c r="K461" t="n">
        <v>0</v>
      </c>
      <c r="L461" t="n">
        <v>0</v>
      </c>
      <c r="M461" t="n">
        <v>0</v>
      </c>
      <c r="N461" t="n">
        <v>0</v>
      </c>
      <c r="O461" t="n">
        <v>2</v>
      </c>
      <c r="P461" t="n">
        <v>0</v>
      </c>
      <c r="Q461" t="n">
        <v>2</v>
      </c>
      <c r="R461" s="2" t="inlineStr">
        <is>
          <t>Mospindling
Talltita</t>
        </is>
      </c>
      <c r="S461">
        <f>HYPERLINK("https://klasma.github.io/Logging_2523/artfynd/A 15155-2025 artfynd.xlsx", "A 15155-2025")</f>
        <v/>
      </c>
      <c r="T461">
        <f>HYPERLINK("https://klasma.github.io/Logging_2523/kartor/A 15155-2025 karta.png", "A 15155-2025")</f>
        <v/>
      </c>
      <c r="V461">
        <f>HYPERLINK("https://klasma.github.io/Logging_2523/klagomål/A 15155-2025 FSC-klagomål.docx", "A 15155-2025")</f>
        <v/>
      </c>
      <c r="W461">
        <f>HYPERLINK("https://klasma.github.io/Logging_2523/klagomålsmail/A 15155-2025 FSC-klagomål mail.docx", "A 15155-2025")</f>
        <v/>
      </c>
      <c r="X461">
        <f>HYPERLINK("https://klasma.github.io/Logging_2523/tillsyn/A 15155-2025 tillsynsbegäran.docx", "A 15155-2025")</f>
        <v/>
      </c>
      <c r="Y461">
        <f>HYPERLINK("https://klasma.github.io/Logging_2523/tillsynsmail/A 15155-2025 tillsynsbegäran mail.docx", "A 15155-2025")</f>
        <v/>
      </c>
      <c r="Z461">
        <f>HYPERLINK("https://klasma.github.io/Logging_2523/fåglar/A 15155-2025 prioriterade fågelarter.docx", "A 15155-2025")</f>
        <v/>
      </c>
    </row>
    <row r="462" ht="15" customHeight="1">
      <c r="A462" t="inlineStr">
        <is>
          <t>A 42861-2025</t>
        </is>
      </c>
      <c r="B462" s="1" t="n">
        <v>45908.61506944444</v>
      </c>
      <c r="C462" s="1" t="n">
        <v>46046</v>
      </c>
      <c r="D462" t="inlineStr">
        <is>
          <t>NORRBOTTENS LÄN</t>
        </is>
      </c>
      <c r="E462" t="inlineStr">
        <is>
          <t>ÖVERKALIX</t>
        </is>
      </c>
      <c r="F462" t="inlineStr">
        <is>
          <t>Sveaskog</t>
        </is>
      </c>
      <c r="G462" t="n">
        <v>3.7</v>
      </c>
      <c r="H462" t="n">
        <v>0</v>
      </c>
      <c r="I462" t="n">
        <v>1</v>
      </c>
      <c r="J462" t="n">
        <v>1</v>
      </c>
      <c r="K462" t="n">
        <v>0</v>
      </c>
      <c r="L462" t="n">
        <v>0</v>
      </c>
      <c r="M462" t="n">
        <v>0</v>
      </c>
      <c r="N462" t="n">
        <v>0</v>
      </c>
      <c r="O462" t="n">
        <v>1</v>
      </c>
      <c r="P462" t="n">
        <v>0</v>
      </c>
      <c r="Q462" t="n">
        <v>2</v>
      </c>
      <c r="R462" s="2" t="inlineStr">
        <is>
          <t>Blå taggsvamp
Dropptaggsvamp</t>
        </is>
      </c>
      <c r="S462">
        <f>HYPERLINK("https://klasma.github.io/Logging_2513/artfynd/A 42861-2025 artfynd.xlsx", "A 42861-2025")</f>
        <v/>
      </c>
      <c r="T462">
        <f>HYPERLINK("https://klasma.github.io/Logging_2513/kartor/A 42861-2025 karta.png", "A 42861-2025")</f>
        <v/>
      </c>
      <c r="V462">
        <f>HYPERLINK("https://klasma.github.io/Logging_2513/klagomål/A 42861-2025 FSC-klagomål.docx", "A 42861-2025")</f>
        <v/>
      </c>
      <c r="W462">
        <f>HYPERLINK("https://klasma.github.io/Logging_2513/klagomålsmail/A 42861-2025 FSC-klagomål mail.docx", "A 42861-2025")</f>
        <v/>
      </c>
      <c r="X462">
        <f>HYPERLINK("https://klasma.github.io/Logging_2513/tillsyn/A 42861-2025 tillsynsbegäran.docx", "A 42861-2025")</f>
        <v/>
      </c>
      <c r="Y462">
        <f>HYPERLINK("https://klasma.github.io/Logging_2513/tillsynsmail/A 42861-2025 tillsynsbegäran mail.docx", "A 42861-2025")</f>
        <v/>
      </c>
    </row>
    <row r="463" ht="15" customHeight="1">
      <c r="A463" t="inlineStr">
        <is>
          <t>A 42872-2025</t>
        </is>
      </c>
      <c r="B463" s="1" t="n">
        <v>45908</v>
      </c>
      <c r="C463" s="1" t="n">
        <v>46046</v>
      </c>
      <c r="D463" t="inlineStr">
        <is>
          <t>NORRBOTTENS LÄN</t>
        </is>
      </c>
      <c r="E463" t="inlineStr">
        <is>
          <t>ÖVERKALIX</t>
        </is>
      </c>
      <c r="F463" t="inlineStr">
        <is>
          <t>Sveaskog</t>
        </is>
      </c>
      <c r="G463" t="n">
        <v>13</v>
      </c>
      <c r="H463" t="n">
        <v>0</v>
      </c>
      <c r="I463" t="n">
        <v>1</v>
      </c>
      <c r="J463" t="n">
        <v>1</v>
      </c>
      <c r="K463" t="n">
        <v>0</v>
      </c>
      <c r="L463" t="n">
        <v>0</v>
      </c>
      <c r="M463" t="n">
        <v>0</v>
      </c>
      <c r="N463" t="n">
        <v>0</v>
      </c>
      <c r="O463" t="n">
        <v>1</v>
      </c>
      <c r="P463" t="n">
        <v>0</v>
      </c>
      <c r="Q463" t="n">
        <v>2</v>
      </c>
      <c r="R463" s="2" t="inlineStr">
        <is>
          <t>Blå taggsvamp
Skarp dropptaggsvamp</t>
        </is>
      </c>
      <c r="S463">
        <f>HYPERLINK("https://klasma.github.io/Logging_2513/artfynd/A 42872-2025 artfynd.xlsx", "A 42872-2025")</f>
        <v/>
      </c>
      <c r="T463">
        <f>HYPERLINK("https://klasma.github.io/Logging_2513/kartor/A 42872-2025 karta.png", "A 42872-2025")</f>
        <v/>
      </c>
      <c r="V463">
        <f>HYPERLINK("https://klasma.github.io/Logging_2513/klagomål/A 42872-2025 FSC-klagomål.docx", "A 42872-2025")</f>
        <v/>
      </c>
      <c r="W463">
        <f>HYPERLINK("https://klasma.github.io/Logging_2513/klagomålsmail/A 42872-2025 FSC-klagomål mail.docx", "A 42872-2025")</f>
        <v/>
      </c>
      <c r="X463">
        <f>HYPERLINK("https://klasma.github.io/Logging_2513/tillsyn/A 42872-2025 tillsynsbegäran.docx", "A 42872-2025")</f>
        <v/>
      </c>
      <c r="Y463">
        <f>HYPERLINK("https://klasma.github.io/Logging_2513/tillsynsmail/A 42872-2025 tillsynsbegäran mail.docx", "A 42872-2025")</f>
        <v/>
      </c>
    </row>
    <row r="464" ht="15" customHeight="1">
      <c r="A464" t="inlineStr">
        <is>
          <t>A 43315-2025</t>
        </is>
      </c>
      <c r="B464" s="1" t="n">
        <v>45910.65401620371</v>
      </c>
      <c r="C464" s="1" t="n">
        <v>46046</v>
      </c>
      <c r="D464" t="inlineStr">
        <is>
          <t>NORRBOTTENS LÄN</t>
        </is>
      </c>
      <c r="E464" t="inlineStr">
        <is>
          <t>BODEN</t>
        </is>
      </c>
      <c r="F464" t="inlineStr">
        <is>
          <t>Sveaskog</t>
        </is>
      </c>
      <c r="G464" t="n">
        <v>2</v>
      </c>
      <c r="H464" t="n">
        <v>0</v>
      </c>
      <c r="I464" t="n">
        <v>1</v>
      </c>
      <c r="J464" t="n">
        <v>1</v>
      </c>
      <c r="K464" t="n">
        <v>0</v>
      </c>
      <c r="L464" t="n">
        <v>0</v>
      </c>
      <c r="M464" t="n">
        <v>0</v>
      </c>
      <c r="N464" t="n">
        <v>0</v>
      </c>
      <c r="O464" t="n">
        <v>1</v>
      </c>
      <c r="P464" t="n">
        <v>0</v>
      </c>
      <c r="Q464" t="n">
        <v>2</v>
      </c>
      <c r="R464" s="2" t="inlineStr">
        <is>
          <t>Lunglav
Stuplav</t>
        </is>
      </c>
      <c r="S464">
        <f>HYPERLINK("https://klasma.github.io/Logging_2582/artfynd/A 43315-2025 artfynd.xlsx", "A 43315-2025")</f>
        <v/>
      </c>
      <c r="T464">
        <f>HYPERLINK("https://klasma.github.io/Logging_2582/kartor/A 43315-2025 karta.png", "A 43315-2025")</f>
        <v/>
      </c>
      <c r="V464">
        <f>HYPERLINK("https://klasma.github.io/Logging_2582/klagomål/A 43315-2025 FSC-klagomål.docx", "A 43315-2025")</f>
        <v/>
      </c>
      <c r="W464">
        <f>HYPERLINK("https://klasma.github.io/Logging_2582/klagomålsmail/A 43315-2025 FSC-klagomål mail.docx", "A 43315-2025")</f>
        <v/>
      </c>
      <c r="X464">
        <f>HYPERLINK("https://klasma.github.io/Logging_2582/tillsyn/A 43315-2025 tillsynsbegäran.docx", "A 43315-2025")</f>
        <v/>
      </c>
      <c r="Y464">
        <f>HYPERLINK("https://klasma.github.io/Logging_2582/tillsynsmail/A 43315-2025 tillsynsbegäran mail.docx", "A 43315-2025")</f>
        <v/>
      </c>
    </row>
    <row r="465" ht="15" customHeight="1">
      <c r="A465" t="inlineStr">
        <is>
          <t>A 22906-2023</t>
        </is>
      </c>
      <c r="B465" s="1" t="n">
        <v>45072</v>
      </c>
      <c r="C465" s="1" t="n">
        <v>46046</v>
      </c>
      <c r="D465" t="inlineStr">
        <is>
          <t>NORRBOTTENS LÄN</t>
        </is>
      </c>
      <c r="E465" t="inlineStr">
        <is>
          <t>BODEN</t>
        </is>
      </c>
      <c r="F465" t="inlineStr">
        <is>
          <t>Sveaskog</t>
        </is>
      </c>
      <c r="G465" t="n">
        <v>3.5</v>
      </c>
      <c r="H465" t="n">
        <v>2</v>
      </c>
      <c r="I465" t="n">
        <v>0</v>
      </c>
      <c r="J465" t="n">
        <v>2</v>
      </c>
      <c r="K465" t="n">
        <v>0</v>
      </c>
      <c r="L465" t="n">
        <v>0</v>
      </c>
      <c r="M465" t="n">
        <v>0</v>
      </c>
      <c r="N465" t="n">
        <v>0</v>
      </c>
      <c r="O465" t="n">
        <v>2</v>
      </c>
      <c r="P465" t="n">
        <v>0</v>
      </c>
      <c r="Q465" t="n">
        <v>2</v>
      </c>
      <c r="R465" s="2" t="inlineStr">
        <is>
          <t>Talltita
Utter</t>
        </is>
      </c>
      <c r="S465">
        <f>HYPERLINK("https://klasma.github.io/Logging_2582/artfynd/A 22906-2023 artfynd.xlsx", "A 22906-2023")</f>
        <v/>
      </c>
      <c r="T465">
        <f>HYPERLINK("https://klasma.github.io/Logging_2582/kartor/A 22906-2023 karta.png", "A 22906-2023")</f>
        <v/>
      </c>
      <c r="V465">
        <f>HYPERLINK("https://klasma.github.io/Logging_2582/klagomål/A 22906-2023 FSC-klagomål.docx", "A 22906-2023")</f>
        <v/>
      </c>
      <c r="W465">
        <f>HYPERLINK("https://klasma.github.io/Logging_2582/klagomålsmail/A 22906-2023 FSC-klagomål mail.docx", "A 22906-2023")</f>
        <v/>
      </c>
      <c r="X465">
        <f>HYPERLINK("https://klasma.github.io/Logging_2582/tillsyn/A 22906-2023 tillsynsbegäran.docx", "A 22906-2023")</f>
        <v/>
      </c>
      <c r="Y465">
        <f>HYPERLINK("https://klasma.github.io/Logging_2582/tillsynsmail/A 22906-2023 tillsynsbegäran mail.docx", "A 22906-2023")</f>
        <v/>
      </c>
      <c r="Z465">
        <f>HYPERLINK("https://klasma.github.io/Logging_2582/fåglar/A 22906-2023 prioriterade fågelarter.docx", "A 22906-2023")</f>
        <v/>
      </c>
    </row>
    <row r="466" ht="15" customHeight="1">
      <c r="A466" t="inlineStr">
        <is>
          <t>A 43961-2025</t>
        </is>
      </c>
      <c r="B466" s="1" t="n">
        <v>45915.39149305555</v>
      </c>
      <c r="C466" s="1" t="n">
        <v>46046</v>
      </c>
      <c r="D466" t="inlineStr">
        <is>
          <t>NORRBOTTENS LÄN</t>
        </is>
      </c>
      <c r="E466" t="inlineStr">
        <is>
          <t>LULEÅ</t>
        </is>
      </c>
      <c r="G466" t="n">
        <v>8</v>
      </c>
      <c r="H466" t="n">
        <v>0</v>
      </c>
      <c r="I466" t="n">
        <v>1</v>
      </c>
      <c r="J466" t="n">
        <v>1</v>
      </c>
      <c r="K466" t="n">
        <v>0</v>
      </c>
      <c r="L466" t="n">
        <v>0</v>
      </c>
      <c r="M466" t="n">
        <v>0</v>
      </c>
      <c r="N466" t="n">
        <v>0</v>
      </c>
      <c r="O466" t="n">
        <v>1</v>
      </c>
      <c r="P466" t="n">
        <v>0</v>
      </c>
      <c r="Q466" t="n">
        <v>2</v>
      </c>
      <c r="R466" s="2" t="inlineStr">
        <is>
          <t>Garnlav
Vedticka</t>
        </is>
      </c>
      <c r="S466">
        <f>HYPERLINK("https://klasma.github.io/Logging_2580/artfynd/A 43961-2025 artfynd.xlsx", "A 43961-2025")</f>
        <v/>
      </c>
      <c r="T466">
        <f>HYPERLINK("https://klasma.github.io/Logging_2580/kartor/A 43961-2025 karta.png", "A 43961-2025")</f>
        <v/>
      </c>
      <c r="V466">
        <f>HYPERLINK("https://klasma.github.io/Logging_2580/klagomål/A 43961-2025 FSC-klagomål.docx", "A 43961-2025")</f>
        <v/>
      </c>
      <c r="W466">
        <f>HYPERLINK("https://klasma.github.io/Logging_2580/klagomålsmail/A 43961-2025 FSC-klagomål mail.docx", "A 43961-2025")</f>
        <v/>
      </c>
      <c r="X466">
        <f>HYPERLINK("https://klasma.github.io/Logging_2580/tillsyn/A 43961-2025 tillsynsbegäran.docx", "A 43961-2025")</f>
        <v/>
      </c>
      <c r="Y466">
        <f>HYPERLINK("https://klasma.github.io/Logging_2580/tillsynsmail/A 43961-2025 tillsynsbegäran mail.docx", "A 43961-2025")</f>
        <v/>
      </c>
    </row>
    <row r="467" ht="15" customHeight="1">
      <c r="A467" t="inlineStr">
        <is>
          <t>A 11465-2025</t>
        </is>
      </c>
      <c r="B467" s="1" t="n">
        <v>45726.65811342592</v>
      </c>
      <c r="C467" s="1" t="n">
        <v>46046</v>
      </c>
      <c r="D467" t="inlineStr">
        <is>
          <t>NORRBOTTENS LÄN</t>
        </is>
      </c>
      <c r="E467" t="inlineStr">
        <is>
          <t>PITEÅ</t>
        </is>
      </c>
      <c r="G467" t="n">
        <v>8.6</v>
      </c>
      <c r="H467" t="n">
        <v>2</v>
      </c>
      <c r="I467" t="n">
        <v>0</v>
      </c>
      <c r="J467" t="n">
        <v>2</v>
      </c>
      <c r="K467" t="n">
        <v>0</v>
      </c>
      <c r="L467" t="n">
        <v>0</v>
      </c>
      <c r="M467" t="n">
        <v>0</v>
      </c>
      <c r="N467" t="n">
        <v>0</v>
      </c>
      <c r="O467" t="n">
        <v>2</v>
      </c>
      <c r="P467" t="n">
        <v>0</v>
      </c>
      <c r="Q467" t="n">
        <v>2</v>
      </c>
      <c r="R467" s="2" t="inlineStr">
        <is>
          <t>Svartvit flugsnappare
Talltita</t>
        </is>
      </c>
      <c r="S467">
        <f>HYPERLINK("https://klasma.github.io/Logging_2581/artfynd/A 11465-2025 artfynd.xlsx", "A 11465-2025")</f>
        <v/>
      </c>
      <c r="T467">
        <f>HYPERLINK("https://klasma.github.io/Logging_2581/kartor/A 11465-2025 karta.png", "A 11465-2025")</f>
        <v/>
      </c>
      <c r="V467">
        <f>HYPERLINK("https://klasma.github.io/Logging_2581/klagomål/A 11465-2025 FSC-klagomål.docx", "A 11465-2025")</f>
        <v/>
      </c>
      <c r="W467">
        <f>HYPERLINK("https://klasma.github.io/Logging_2581/klagomålsmail/A 11465-2025 FSC-klagomål mail.docx", "A 11465-2025")</f>
        <v/>
      </c>
      <c r="X467">
        <f>HYPERLINK("https://klasma.github.io/Logging_2581/tillsyn/A 11465-2025 tillsynsbegäran.docx", "A 11465-2025")</f>
        <v/>
      </c>
      <c r="Y467">
        <f>HYPERLINK("https://klasma.github.io/Logging_2581/tillsynsmail/A 11465-2025 tillsynsbegäran mail.docx", "A 11465-2025")</f>
        <v/>
      </c>
      <c r="Z467">
        <f>HYPERLINK("https://klasma.github.io/Logging_2581/fåglar/A 11465-2025 prioriterade fågelarter.docx", "A 11465-2025")</f>
        <v/>
      </c>
    </row>
    <row r="468" ht="15" customHeight="1">
      <c r="A468" t="inlineStr">
        <is>
          <t>A 45580-2025</t>
        </is>
      </c>
      <c r="B468" s="1" t="n">
        <v>45922</v>
      </c>
      <c r="C468" s="1" t="n">
        <v>46046</v>
      </c>
      <c r="D468" t="inlineStr">
        <is>
          <t>NORRBOTTENS LÄN</t>
        </is>
      </c>
      <c r="E468" t="inlineStr">
        <is>
          <t>PITEÅ</t>
        </is>
      </c>
      <c r="F468" t="inlineStr">
        <is>
          <t>Sveaskog</t>
        </is>
      </c>
      <c r="G468" t="n">
        <v>2.8</v>
      </c>
      <c r="H468" t="n">
        <v>0</v>
      </c>
      <c r="I468" t="n">
        <v>1</v>
      </c>
      <c r="J468" t="n">
        <v>1</v>
      </c>
      <c r="K468" t="n">
        <v>0</v>
      </c>
      <c r="L468" t="n">
        <v>0</v>
      </c>
      <c r="M468" t="n">
        <v>0</v>
      </c>
      <c r="N468" t="n">
        <v>0</v>
      </c>
      <c r="O468" t="n">
        <v>1</v>
      </c>
      <c r="P468" t="n">
        <v>0</v>
      </c>
      <c r="Q468" t="n">
        <v>2</v>
      </c>
      <c r="R468" s="2" t="inlineStr">
        <is>
          <t>Koralltaggsvamp
Stuplav</t>
        </is>
      </c>
      <c r="S468">
        <f>HYPERLINK("https://klasma.github.io/Logging_2581/artfynd/A 45580-2025 artfynd.xlsx", "A 45580-2025")</f>
        <v/>
      </c>
      <c r="T468">
        <f>HYPERLINK("https://klasma.github.io/Logging_2581/kartor/A 45580-2025 karta.png", "A 45580-2025")</f>
        <v/>
      </c>
      <c r="V468">
        <f>HYPERLINK("https://klasma.github.io/Logging_2581/klagomål/A 45580-2025 FSC-klagomål.docx", "A 45580-2025")</f>
        <v/>
      </c>
      <c r="W468">
        <f>HYPERLINK("https://klasma.github.io/Logging_2581/klagomålsmail/A 45580-2025 FSC-klagomål mail.docx", "A 45580-2025")</f>
        <v/>
      </c>
      <c r="X468">
        <f>HYPERLINK("https://klasma.github.io/Logging_2581/tillsyn/A 45580-2025 tillsynsbegäran.docx", "A 45580-2025")</f>
        <v/>
      </c>
      <c r="Y468">
        <f>HYPERLINK("https://klasma.github.io/Logging_2581/tillsynsmail/A 45580-2025 tillsynsbegäran mail.docx", "A 45580-2025")</f>
        <v/>
      </c>
    </row>
    <row r="469" ht="15" customHeight="1">
      <c r="A469" t="inlineStr">
        <is>
          <t>A 45577-2025</t>
        </is>
      </c>
      <c r="B469" s="1" t="n">
        <v>45922</v>
      </c>
      <c r="C469" s="1" t="n">
        <v>46046</v>
      </c>
      <c r="D469" t="inlineStr">
        <is>
          <t>NORRBOTTENS LÄN</t>
        </is>
      </c>
      <c r="E469" t="inlineStr">
        <is>
          <t>ÖVERKALIX</t>
        </is>
      </c>
      <c r="F469" t="inlineStr">
        <is>
          <t>Sveaskog</t>
        </is>
      </c>
      <c r="G469" t="n">
        <v>13.7</v>
      </c>
      <c r="H469" t="n">
        <v>0</v>
      </c>
      <c r="I469" t="n">
        <v>1</v>
      </c>
      <c r="J469" t="n">
        <v>1</v>
      </c>
      <c r="K469" t="n">
        <v>0</v>
      </c>
      <c r="L469" t="n">
        <v>0</v>
      </c>
      <c r="M469" t="n">
        <v>0</v>
      </c>
      <c r="N469" t="n">
        <v>0</v>
      </c>
      <c r="O469" t="n">
        <v>1</v>
      </c>
      <c r="P469" t="n">
        <v>0</v>
      </c>
      <c r="Q469" t="n">
        <v>2</v>
      </c>
      <c r="R469" s="2" t="inlineStr">
        <is>
          <t>Blå taggsvamp
Skarp dropptaggsvamp</t>
        </is>
      </c>
      <c r="S469">
        <f>HYPERLINK("https://klasma.github.io/Logging_2513/artfynd/A 45577-2025 artfynd.xlsx", "A 45577-2025")</f>
        <v/>
      </c>
      <c r="T469">
        <f>HYPERLINK("https://klasma.github.io/Logging_2513/kartor/A 45577-2025 karta.png", "A 45577-2025")</f>
        <v/>
      </c>
      <c r="V469">
        <f>HYPERLINK("https://klasma.github.io/Logging_2513/klagomål/A 45577-2025 FSC-klagomål.docx", "A 45577-2025")</f>
        <v/>
      </c>
      <c r="W469">
        <f>HYPERLINK("https://klasma.github.io/Logging_2513/klagomålsmail/A 45577-2025 FSC-klagomål mail.docx", "A 45577-2025")</f>
        <v/>
      </c>
      <c r="X469">
        <f>HYPERLINK("https://klasma.github.io/Logging_2513/tillsyn/A 45577-2025 tillsynsbegäran.docx", "A 45577-2025")</f>
        <v/>
      </c>
      <c r="Y469">
        <f>HYPERLINK("https://klasma.github.io/Logging_2513/tillsynsmail/A 45577-2025 tillsynsbegäran mail.docx", "A 45577-2025")</f>
        <v/>
      </c>
    </row>
    <row r="470" ht="15" customHeight="1">
      <c r="A470" t="inlineStr">
        <is>
          <t>A 45828-2025</t>
        </is>
      </c>
      <c r="B470" s="1" t="n">
        <v>45923.6009375</v>
      </c>
      <c r="C470" s="1" t="n">
        <v>46046</v>
      </c>
      <c r="D470" t="inlineStr">
        <is>
          <t>NORRBOTTENS LÄN</t>
        </is>
      </c>
      <c r="E470" t="inlineStr">
        <is>
          <t>GÄLLIVARE</t>
        </is>
      </c>
      <c r="F470" t="inlineStr">
        <is>
          <t>Sveaskog</t>
        </is>
      </c>
      <c r="G470" t="n">
        <v>9.6</v>
      </c>
      <c r="H470" t="n">
        <v>0</v>
      </c>
      <c r="I470" t="n">
        <v>1</v>
      </c>
      <c r="J470" t="n">
        <v>1</v>
      </c>
      <c r="K470" t="n">
        <v>0</v>
      </c>
      <c r="L470" t="n">
        <v>0</v>
      </c>
      <c r="M470" t="n">
        <v>0</v>
      </c>
      <c r="N470" t="n">
        <v>0</v>
      </c>
      <c r="O470" t="n">
        <v>1</v>
      </c>
      <c r="P470" t="n">
        <v>0</v>
      </c>
      <c r="Q470" t="n">
        <v>2</v>
      </c>
      <c r="R470" s="2" t="inlineStr">
        <is>
          <t>Violmussling
Stuplav</t>
        </is>
      </c>
      <c r="S470">
        <f>HYPERLINK("https://klasma.github.io/Logging_2523/artfynd/A 45828-2025 artfynd.xlsx", "A 45828-2025")</f>
        <v/>
      </c>
      <c r="T470">
        <f>HYPERLINK("https://klasma.github.io/Logging_2523/kartor/A 45828-2025 karta.png", "A 45828-2025")</f>
        <v/>
      </c>
      <c r="U470">
        <f>HYPERLINK("https://klasma.github.io/Logging_2523/knärot/A 45828-2025 karta knärot.png", "A 45828-2025")</f>
        <v/>
      </c>
      <c r="V470">
        <f>HYPERLINK("https://klasma.github.io/Logging_2523/klagomål/A 45828-2025 FSC-klagomål.docx", "A 45828-2025")</f>
        <v/>
      </c>
      <c r="W470">
        <f>HYPERLINK("https://klasma.github.io/Logging_2523/klagomålsmail/A 45828-2025 FSC-klagomål mail.docx", "A 45828-2025")</f>
        <v/>
      </c>
      <c r="X470">
        <f>HYPERLINK("https://klasma.github.io/Logging_2523/tillsyn/A 45828-2025 tillsynsbegäran.docx", "A 45828-2025")</f>
        <v/>
      </c>
      <c r="Y470">
        <f>HYPERLINK("https://klasma.github.io/Logging_2523/tillsynsmail/A 45828-2025 tillsynsbegäran mail.docx", "A 45828-2025")</f>
        <v/>
      </c>
    </row>
    <row r="471" ht="15" customHeight="1">
      <c r="A471" t="inlineStr">
        <is>
          <t>A 45477-2025</t>
        </is>
      </c>
      <c r="B471" s="1" t="n">
        <v>45922.52559027778</v>
      </c>
      <c r="C471" s="1" t="n">
        <v>46046</v>
      </c>
      <c r="D471" t="inlineStr">
        <is>
          <t>NORRBOTTENS LÄN</t>
        </is>
      </c>
      <c r="E471" t="inlineStr">
        <is>
          <t>BODEN</t>
        </is>
      </c>
      <c r="F471" t="inlineStr">
        <is>
          <t>Sveaskog</t>
        </is>
      </c>
      <c r="G471" t="n">
        <v>9.1</v>
      </c>
      <c r="H471" t="n">
        <v>1</v>
      </c>
      <c r="I471" t="n">
        <v>0</v>
      </c>
      <c r="J471" t="n">
        <v>1</v>
      </c>
      <c r="K471" t="n">
        <v>1</v>
      </c>
      <c r="L471" t="n">
        <v>0</v>
      </c>
      <c r="M471" t="n">
        <v>0</v>
      </c>
      <c r="N471" t="n">
        <v>0</v>
      </c>
      <c r="O471" t="n">
        <v>2</v>
      </c>
      <c r="P471" t="n">
        <v>1</v>
      </c>
      <c r="Q471" t="n">
        <v>2</v>
      </c>
      <c r="R471" s="2" t="inlineStr">
        <is>
          <t>Doftticka
Lunglav</t>
        </is>
      </c>
      <c r="S471">
        <f>HYPERLINK("https://klasma.github.io/Logging_2582/artfynd/A 45477-2025 artfynd.xlsx", "A 45477-2025")</f>
        <v/>
      </c>
      <c r="T471">
        <f>HYPERLINK("https://klasma.github.io/Logging_2582/kartor/A 45477-2025 karta.png", "A 45477-2025")</f>
        <v/>
      </c>
      <c r="V471">
        <f>HYPERLINK("https://klasma.github.io/Logging_2582/klagomål/A 45477-2025 FSC-klagomål.docx", "A 45477-2025")</f>
        <v/>
      </c>
      <c r="W471">
        <f>HYPERLINK("https://klasma.github.io/Logging_2582/klagomålsmail/A 45477-2025 FSC-klagomål mail.docx", "A 45477-2025")</f>
        <v/>
      </c>
      <c r="X471">
        <f>HYPERLINK("https://klasma.github.io/Logging_2582/tillsyn/A 45477-2025 tillsynsbegäran.docx", "A 45477-2025")</f>
        <v/>
      </c>
      <c r="Y471">
        <f>HYPERLINK("https://klasma.github.io/Logging_2582/tillsynsmail/A 45477-2025 tillsynsbegäran mail.docx", "A 45477-2025")</f>
        <v/>
      </c>
    </row>
    <row r="472" ht="15" customHeight="1">
      <c r="A472" t="inlineStr">
        <is>
          <t>A 46012-2025</t>
        </is>
      </c>
      <c r="B472" s="1" t="n">
        <v>45924.42099537037</v>
      </c>
      <c r="C472" s="1" t="n">
        <v>46046</v>
      </c>
      <c r="D472" t="inlineStr">
        <is>
          <t>NORRBOTTENS LÄN</t>
        </is>
      </c>
      <c r="E472" t="inlineStr">
        <is>
          <t>PITEÅ</t>
        </is>
      </c>
      <c r="G472" t="n">
        <v>2</v>
      </c>
      <c r="H472" t="n">
        <v>2</v>
      </c>
      <c r="I472" t="n">
        <v>0</v>
      </c>
      <c r="J472" t="n">
        <v>1</v>
      </c>
      <c r="K472" t="n">
        <v>0</v>
      </c>
      <c r="L472" t="n">
        <v>0</v>
      </c>
      <c r="M472" t="n">
        <v>0</v>
      </c>
      <c r="N472" t="n">
        <v>0</v>
      </c>
      <c r="O472" t="n">
        <v>1</v>
      </c>
      <c r="P472" t="n">
        <v>0</v>
      </c>
      <c r="Q472" t="n">
        <v>2</v>
      </c>
      <c r="R472" s="2" t="inlineStr">
        <is>
          <t>Talltita
Kungsfågel</t>
        </is>
      </c>
      <c r="S472">
        <f>HYPERLINK("https://klasma.github.io/Logging_2581/artfynd/A 46012-2025 artfynd.xlsx", "A 46012-2025")</f>
        <v/>
      </c>
      <c r="T472">
        <f>HYPERLINK("https://klasma.github.io/Logging_2581/kartor/A 46012-2025 karta.png", "A 46012-2025")</f>
        <v/>
      </c>
      <c r="V472">
        <f>HYPERLINK("https://klasma.github.io/Logging_2581/klagomål/A 46012-2025 FSC-klagomål.docx", "A 46012-2025")</f>
        <v/>
      </c>
      <c r="W472">
        <f>HYPERLINK("https://klasma.github.io/Logging_2581/klagomålsmail/A 46012-2025 FSC-klagomål mail.docx", "A 46012-2025")</f>
        <v/>
      </c>
      <c r="X472">
        <f>HYPERLINK("https://klasma.github.io/Logging_2581/tillsyn/A 46012-2025 tillsynsbegäran.docx", "A 46012-2025")</f>
        <v/>
      </c>
      <c r="Y472">
        <f>HYPERLINK("https://klasma.github.io/Logging_2581/tillsynsmail/A 46012-2025 tillsynsbegäran mail.docx", "A 46012-2025")</f>
        <v/>
      </c>
      <c r="Z472">
        <f>HYPERLINK("https://klasma.github.io/Logging_2581/fåglar/A 46012-2025 prioriterade fågelarter.docx", "A 46012-2025")</f>
        <v/>
      </c>
    </row>
    <row r="473" ht="15" customHeight="1">
      <c r="A473" t="inlineStr">
        <is>
          <t>A 17292-2022</t>
        </is>
      </c>
      <c r="B473" s="1" t="n">
        <v>44678</v>
      </c>
      <c r="C473" s="1" t="n">
        <v>46046</v>
      </c>
      <c r="D473" t="inlineStr">
        <is>
          <t>NORRBOTTENS LÄN</t>
        </is>
      </c>
      <c r="E473" t="inlineStr">
        <is>
          <t>BODEN</t>
        </is>
      </c>
      <c r="F473" t="inlineStr">
        <is>
          <t>Kyrkan</t>
        </is>
      </c>
      <c r="G473" t="n">
        <v>0.8</v>
      </c>
      <c r="H473" t="n">
        <v>1</v>
      </c>
      <c r="I473" t="n">
        <v>0</v>
      </c>
      <c r="J473" t="n">
        <v>1</v>
      </c>
      <c r="K473" t="n">
        <v>0</v>
      </c>
      <c r="L473" t="n">
        <v>0</v>
      </c>
      <c r="M473" t="n">
        <v>0</v>
      </c>
      <c r="N473" t="n">
        <v>0</v>
      </c>
      <c r="O473" t="n">
        <v>1</v>
      </c>
      <c r="P473" t="n">
        <v>0</v>
      </c>
      <c r="Q473" t="n">
        <v>2</v>
      </c>
      <c r="R473" s="2" t="inlineStr">
        <is>
          <t>Garnlav
Revlummer</t>
        </is>
      </c>
      <c r="S473">
        <f>HYPERLINK("https://klasma.github.io/Logging_2582/artfynd/A 17292-2022 artfynd.xlsx", "A 17292-2022")</f>
        <v/>
      </c>
      <c r="T473">
        <f>HYPERLINK("https://klasma.github.io/Logging_2582/kartor/A 17292-2022 karta.png", "A 17292-2022")</f>
        <v/>
      </c>
      <c r="V473">
        <f>HYPERLINK("https://klasma.github.io/Logging_2582/klagomål/A 17292-2022 FSC-klagomål.docx", "A 17292-2022")</f>
        <v/>
      </c>
      <c r="W473">
        <f>HYPERLINK("https://klasma.github.io/Logging_2582/klagomålsmail/A 17292-2022 FSC-klagomål mail.docx", "A 17292-2022")</f>
        <v/>
      </c>
      <c r="X473">
        <f>HYPERLINK("https://klasma.github.io/Logging_2582/tillsyn/A 17292-2022 tillsynsbegäran.docx", "A 17292-2022")</f>
        <v/>
      </c>
      <c r="Y473">
        <f>HYPERLINK("https://klasma.github.io/Logging_2582/tillsynsmail/A 17292-2022 tillsynsbegäran mail.docx", "A 17292-2022")</f>
        <v/>
      </c>
    </row>
    <row r="474" ht="15" customHeight="1">
      <c r="A474" t="inlineStr">
        <is>
          <t>A 47982-2025</t>
        </is>
      </c>
      <c r="B474" s="1" t="n">
        <v>45932.61603009259</v>
      </c>
      <c r="C474" s="1" t="n">
        <v>46046</v>
      </c>
      <c r="D474" t="inlineStr">
        <is>
          <t>NORRBOTTENS LÄN</t>
        </is>
      </c>
      <c r="E474" t="inlineStr">
        <is>
          <t>ÄLVSBYN</t>
        </is>
      </c>
      <c r="F474" t="inlineStr">
        <is>
          <t>Sveaskog</t>
        </is>
      </c>
      <c r="G474" t="n">
        <v>40.5</v>
      </c>
      <c r="H474" t="n">
        <v>0</v>
      </c>
      <c r="I474" t="n">
        <v>0</v>
      </c>
      <c r="J474" t="n">
        <v>2</v>
      </c>
      <c r="K474" t="n">
        <v>0</v>
      </c>
      <c r="L474" t="n">
        <v>0</v>
      </c>
      <c r="M474" t="n">
        <v>0</v>
      </c>
      <c r="N474" t="n">
        <v>0</v>
      </c>
      <c r="O474" t="n">
        <v>2</v>
      </c>
      <c r="P474" t="n">
        <v>0</v>
      </c>
      <c r="Q474" t="n">
        <v>2</v>
      </c>
      <c r="R474" s="2" t="inlineStr">
        <is>
          <t>Garnlav
Lunglav</t>
        </is>
      </c>
      <c r="S474">
        <f>HYPERLINK("https://klasma.github.io/Logging_2560/artfynd/A 47982-2025 artfynd.xlsx", "A 47982-2025")</f>
        <v/>
      </c>
      <c r="T474">
        <f>HYPERLINK("https://klasma.github.io/Logging_2560/kartor/A 47982-2025 karta.png", "A 47982-2025")</f>
        <v/>
      </c>
      <c r="V474">
        <f>HYPERLINK("https://klasma.github.io/Logging_2560/klagomål/A 47982-2025 FSC-klagomål.docx", "A 47982-2025")</f>
        <v/>
      </c>
      <c r="W474">
        <f>HYPERLINK("https://klasma.github.io/Logging_2560/klagomålsmail/A 47982-2025 FSC-klagomål mail.docx", "A 47982-2025")</f>
        <v/>
      </c>
      <c r="X474">
        <f>HYPERLINK("https://klasma.github.io/Logging_2560/tillsyn/A 47982-2025 tillsynsbegäran.docx", "A 47982-2025")</f>
        <v/>
      </c>
      <c r="Y474">
        <f>HYPERLINK("https://klasma.github.io/Logging_2560/tillsynsmail/A 47982-2025 tillsynsbegäran mail.docx", "A 47982-2025")</f>
        <v/>
      </c>
    </row>
    <row r="475" ht="15" customHeight="1">
      <c r="A475" t="inlineStr">
        <is>
          <t>A 48434-2025</t>
        </is>
      </c>
      <c r="B475" s="1" t="n">
        <v>45935.34494212963</v>
      </c>
      <c r="C475" s="1" t="n">
        <v>46046</v>
      </c>
      <c r="D475" t="inlineStr">
        <is>
          <t>NORRBOTTENS LÄN</t>
        </is>
      </c>
      <c r="E475" t="inlineStr">
        <is>
          <t>PITEÅ</t>
        </is>
      </c>
      <c r="F475" t="inlineStr">
        <is>
          <t>SCA</t>
        </is>
      </c>
      <c r="G475" t="n">
        <v>4.3</v>
      </c>
      <c r="H475" t="n">
        <v>1</v>
      </c>
      <c r="I475" t="n">
        <v>0</v>
      </c>
      <c r="J475" t="n">
        <v>2</v>
      </c>
      <c r="K475" t="n">
        <v>0</v>
      </c>
      <c r="L475" t="n">
        <v>0</v>
      </c>
      <c r="M475" t="n">
        <v>0</v>
      </c>
      <c r="N475" t="n">
        <v>0</v>
      </c>
      <c r="O475" t="n">
        <v>2</v>
      </c>
      <c r="P475" t="n">
        <v>0</v>
      </c>
      <c r="Q475" t="n">
        <v>2</v>
      </c>
      <c r="R475" s="2" t="inlineStr">
        <is>
          <t>Talltita
Ullticka</t>
        </is>
      </c>
      <c r="S475">
        <f>HYPERLINK("https://klasma.github.io/Logging_2581/artfynd/A 48434-2025 artfynd.xlsx", "A 48434-2025")</f>
        <v/>
      </c>
      <c r="T475">
        <f>HYPERLINK("https://klasma.github.io/Logging_2581/kartor/A 48434-2025 karta.png", "A 48434-2025")</f>
        <v/>
      </c>
      <c r="V475">
        <f>HYPERLINK("https://klasma.github.io/Logging_2581/klagomål/A 48434-2025 FSC-klagomål.docx", "A 48434-2025")</f>
        <v/>
      </c>
      <c r="W475">
        <f>HYPERLINK("https://klasma.github.io/Logging_2581/klagomålsmail/A 48434-2025 FSC-klagomål mail.docx", "A 48434-2025")</f>
        <v/>
      </c>
      <c r="X475">
        <f>HYPERLINK("https://klasma.github.io/Logging_2581/tillsyn/A 48434-2025 tillsynsbegäran.docx", "A 48434-2025")</f>
        <v/>
      </c>
      <c r="Y475">
        <f>HYPERLINK("https://klasma.github.io/Logging_2581/tillsynsmail/A 48434-2025 tillsynsbegäran mail.docx", "A 48434-2025")</f>
        <v/>
      </c>
      <c r="Z475">
        <f>HYPERLINK("https://klasma.github.io/Logging_2581/fåglar/A 48434-2025 prioriterade fågelarter.docx", "A 48434-2025")</f>
        <v/>
      </c>
    </row>
    <row r="476" ht="15" customHeight="1">
      <c r="A476" t="inlineStr">
        <is>
          <t>A 49421-2025</t>
        </is>
      </c>
      <c r="B476" s="1" t="n">
        <v>45938.72043981482</v>
      </c>
      <c r="C476" s="1" t="n">
        <v>46046</v>
      </c>
      <c r="D476" t="inlineStr">
        <is>
          <t>NORRBOTTENS LÄN</t>
        </is>
      </c>
      <c r="E476" t="inlineStr">
        <is>
          <t>LULEÅ</t>
        </is>
      </c>
      <c r="G476" t="n">
        <v>2.8</v>
      </c>
      <c r="H476" t="n">
        <v>0</v>
      </c>
      <c r="I476" t="n">
        <v>0</v>
      </c>
      <c r="J476" t="n">
        <v>2</v>
      </c>
      <c r="K476" t="n">
        <v>0</v>
      </c>
      <c r="L476" t="n">
        <v>0</v>
      </c>
      <c r="M476" t="n">
        <v>0</v>
      </c>
      <c r="N476" t="n">
        <v>0</v>
      </c>
      <c r="O476" t="n">
        <v>2</v>
      </c>
      <c r="P476" t="n">
        <v>0</v>
      </c>
      <c r="Q476" t="n">
        <v>2</v>
      </c>
      <c r="R476" s="2" t="inlineStr">
        <is>
          <t>Gammelgransskål
Harticka</t>
        </is>
      </c>
      <c r="S476">
        <f>HYPERLINK("https://klasma.github.io/Logging_2580/artfynd/A 49421-2025 artfynd.xlsx", "A 49421-2025")</f>
        <v/>
      </c>
      <c r="T476">
        <f>HYPERLINK("https://klasma.github.io/Logging_2580/kartor/A 49421-2025 karta.png", "A 49421-2025")</f>
        <v/>
      </c>
      <c r="V476">
        <f>HYPERLINK("https://klasma.github.io/Logging_2580/klagomål/A 49421-2025 FSC-klagomål.docx", "A 49421-2025")</f>
        <v/>
      </c>
      <c r="W476">
        <f>HYPERLINK("https://klasma.github.io/Logging_2580/klagomålsmail/A 49421-2025 FSC-klagomål mail.docx", "A 49421-2025")</f>
        <v/>
      </c>
      <c r="X476">
        <f>HYPERLINK("https://klasma.github.io/Logging_2580/tillsyn/A 49421-2025 tillsynsbegäran.docx", "A 49421-2025")</f>
        <v/>
      </c>
      <c r="Y476">
        <f>HYPERLINK("https://klasma.github.io/Logging_2580/tillsynsmail/A 49421-2025 tillsynsbegäran mail.docx", "A 49421-2025")</f>
        <v/>
      </c>
    </row>
    <row r="477" ht="15" customHeight="1">
      <c r="A477" t="inlineStr">
        <is>
          <t>A 50430-2025</t>
        </is>
      </c>
      <c r="B477" s="1" t="n">
        <v>45944</v>
      </c>
      <c r="C477" s="1" t="n">
        <v>46046</v>
      </c>
      <c r="D477" t="inlineStr">
        <is>
          <t>NORRBOTTENS LÄN</t>
        </is>
      </c>
      <c r="E477" t="inlineStr">
        <is>
          <t>ÄLVSBYN</t>
        </is>
      </c>
      <c r="F477" t="inlineStr">
        <is>
          <t>Sveaskog</t>
        </is>
      </c>
      <c r="G477" t="n">
        <v>5.2</v>
      </c>
      <c r="H477" t="n">
        <v>0</v>
      </c>
      <c r="I477" t="n">
        <v>1</v>
      </c>
      <c r="J477" t="n">
        <v>1</v>
      </c>
      <c r="K477" t="n">
        <v>0</v>
      </c>
      <c r="L477" t="n">
        <v>0</v>
      </c>
      <c r="M477" t="n">
        <v>0</v>
      </c>
      <c r="N477" t="n">
        <v>0</v>
      </c>
      <c r="O477" t="n">
        <v>1</v>
      </c>
      <c r="P477" t="n">
        <v>0</v>
      </c>
      <c r="Q477" t="n">
        <v>2</v>
      </c>
      <c r="R477" s="2" t="inlineStr">
        <is>
          <t>Kolflarnlav
Dropptaggsvamp</t>
        </is>
      </c>
      <c r="S477">
        <f>HYPERLINK("https://klasma.github.io/Logging_2560/artfynd/A 50430-2025 artfynd.xlsx", "A 50430-2025")</f>
        <v/>
      </c>
      <c r="T477">
        <f>HYPERLINK("https://klasma.github.io/Logging_2560/kartor/A 50430-2025 karta.png", "A 50430-2025")</f>
        <v/>
      </c>
      <c r="V477">
        <f>HYPERLINK("https://klasma.github.io/Logging_2560/klagomål/A 50430-2025 FSC-klagomål.docx", "A 50430-2025")</f>
        <v/>
      </c>
      <c r="W477">
        <f>HYPERLINK("https://klasma.github.io/Logging_2560/klagomålsmail/A 50430-2025 FSC-klagomål mail.docx", "A 50430-2025")</f>
        <v/>
      </c>
      <c r="X477">
        <f>HYPERLINK("https://klasma.github.io/Logging_2560/tillsyn/A 50430-2025 tillsynsbegäran.docx", "A 50430-2025")</f>
        <v/>
      </c>
      <c r="Y477">
        <f>HYPERLINK("https://klasma.github.io/Logging_2560/tillsynsmail/A 50430-2025 tillsynsbegäran mail.docx", "A 50430-2025")</f>
        <v/>
      </c>
    </row>
    <row r="478" ht="15" customHeight="1">
      <c r="A478" t="inlineStr">
        <is>
          <t>A 51703-2025</t>
        </is>
      </c>
      <c r="B478" s="1" t="n">
        <v>45951</v>
      </c>
      <c r="C478" s="1" t="n">
        <v>46046</v>
      </c>
      <c r="D478" t="inlineStr">
        <is>
          <t>NORRBOTTENS LÄN</t>
        </is>
      </c>
      <c r="E478" t="inlineStr">
        <is>
          <t>ÄLVSBYN</t>
        </is>
      </c>
      <c r="G478" t="n">
        <v>5</v>
      </c>
      <c r="H478" t="n">
        <v>0</v>
      </c>
      <c r="I478" t="n">
        <v>0</v>
      </c>
      <c r="J478" t="n">
        <v>2</v>
      </c>
      <c r="K478" t="n">
        <v>0</v>
      </c>
      <c r="L478" t="n">
        <v>0</v>
      </c>
      <c r="M478" t="n">
        <v>0</v>
      </c>
      <c r="N478" t="n">
        <v>0</v>
      </c>
      <c r="O478" t="n">
        <v>2</v>
      </c>
      <c r="P478" t="n">
        <v>0</v>
      </c>
      <c r="Q478" t="n">
        <v>2</v>
      </c>
      <c r="R478" s="2" t="inlineStr">
        <is>
          <t>Kolflarnlav
Mörk kolflarnlav</t>
        </is>
      </c>
      <c r="S478">
        <f>HYPERLINK("https://klasma.github.io/Logging_2560/artfynd/A 51703-2025 artfynd.xlsx", "A 51703-2025")</f>
        <v/>
      </c>
      <c r="T478">
        <f>HYPERLINK("https://klasma.github.io/Logging_2560/kartor/A 51703-2025 karta.png", "A 51703-2025")</f>
        <v/>
      </c>
      <c r="V478">
        <f>HYPERLINK("https://klasma.github.io/Logging_2560/klagomål/A 51703-2025 FSC-klagomål.docx", "A 51703-2025")</f>
        <v/>
      </c>
      <c r="W478">
        <f>HYPERLINK("https://klasma.github.io/Logging_2560/klagomålsmail/A 51703-2025 FSC-klagomål mail.docx", "A 51703-2025")</f>
        <v/>
      </c>
      <c r="X478">
        <f>HYPERLINK("https://klasma.github.io/Logging_2560/tillsyn/A 51703-2025 tillsynsbegäran.docx", "A 51703-2025")</f>
        <v/>
      </c>
      <c r="Y478">
        <f>HYPERLINK("https://klasma.github.io/Logging_2560/tillsynsmail/A 51703-2025 tillsynsbegäran mail.docx", "A 51703-2025")</f>
        <v/>
      </c>
    </row>
    <row r="479" ht="15" customHeight="1">
      <c r="A479" t="inlineStr">
        <is>
          <t>A 52205-2025</t>
        </is>
      </c>
      <c r="B479" s="1" t="n">
        <v>45953.40945601852</v>
      </c>
      <c r="C479" s="1" t="n">
        <v>46046</v>
      </c>
      <c r="D479" t="inlineStr">
        <is>
          <t>NORRBOTTENS LÄN</t>
        </is>
      </c>
      <c r="E479" t="inlineStr">
        <is>
          <t>GÄLLIVARE</t>
        </is>
      </c>
      <c r="F479" t="inlineStr">
        <is>
          <t>Sveaskog</t>
        </is>
      </c>
      <c r="G479" t="n">
        <v>22.6</v>
      </c>
      <c r="H479" t="n">
        <v>0</v>
      </c>
      <c r="I479" t="n">
        <v>1</v>
      </c>
      <c r="J479" t="n">
        <v>1</v>
      </c>
      <c r="K479" t="n">
        <v>0</v>
      </c>
      <c r="L479" t="n">
        <v>0</v>
      </c>
      <c r="M479" t="n">
        <v>0</v>
      </c>
      <c r="N479" t="n">
        <v>0</v>
      </c>
      <c r="O479" t="n">
        <v>1</v>
      </c>
      <c r="P479" t="n">
        <v>0</v>
      </c>
      <c r="Q479" t="n">
        <v>2</v>
      </c>
      <c r="R479" s="2" t="inlineStr">
        <is>
          <t>Orange taggsvamp
Dropptaggsvamp</t>
        </is>
      </c>
      <c r="S479">
        <f>HYPERLINK("https://klasma.github.io/Logging_2523/artfynd/A 52205-2025 artfynd.xlsx", "A 52205-2025")</f>
        <v/>
      </c>
      <c r="T479">
        <f>HYPERLINK("https://klasma.github.io/Logging_2523/kartor/A 52205-2025 karta.png", "A 52205-2025")</f>
        <v/>
      </c>
      <c r="V479">
        <f>HYPERLINK("https://klasma.github.io/Logging_2523/klagomål/A 52205-2025 FSC-klagomål.docx", "A 52205-2025")</f>
        <v/>
      </c>
      <c r="W479">
        <f>HYPERLINK("https://klasma.github.io/Logging_2523/klagomålsmail/A 52205-2025 FSC-klagomål mail.docx", "A 52205-2025")</f>
        <v/>
      </c>
      <c r="X479">
        <f>HYPERLINK("https://klasma.github.io/Logging_2523/tillsyn/A 52205-2025 tillsynsbegäran.docx", "A 52205-2025")</f>
        <v/>
      </c>
      <c r="Y479">
        <f>HYPERLINK("https://klasma.github.io/Logging_2523/tillsynsmail/A 52205-2025 tillsynsbegäran mail.docx", "A 52205-2025")</f>
        <v/>
      </c>
    </row>
    <row r="480" ht="15" customHeight="1">
      <c r="A480" t="inlineStr">
        <is>
          <t>A 9306-2025</t>
        </is>
      </c>
      <c r="B480" s="1" t="n">
        <v>45714</v>
      </c>
      <c r="C480" s="1" t="n">
        <v>46046</v>
      </c>
      <c r="D480" t="inlineStr">
        <is>
          <t>NORRBOTTENS LÄN</t>
        </is>
      </c>
      <c r="E480" t="inlineStr">
        <is>
          <t>BODEN</t>
        </is>
      </c>
      <c r="F480" t="inlineStr">
        <is>
          <t>SCA</t>
        </is>
      </c>
      <c r="G480" t="n">
        <v>11.7</v>
      </c>
      <c r="H480" t="n">
        <v>0</v>
      </c>
      <c r="I480" t="n">
        <v>0</v>
      </c>
      <c r="J480" t="n">
        <v>1</v>
      </c>
      <c r="K480" t="n">
        <v>1</v>
      </c>
      <c r="L480" t="n">
        <v>0</v>
      </c>
      <c r="M480" t="n">
        <v>0</v>
      </c>
      <c r="N480" t="n">
        <v>0</v>
      </c>
      <c r="O480" t="n">
        <v>2</v>
      </c>
      <c r="P480" t="n">
        <v>1</v>
      </c>
      <c r="Q480" t="n">
        <v>2</v>
      </c>
      <c r="R480" s="2" t="inlineStr">
        <is>
          <t>Rynkskinn
Lunglav</t>
        </is>
      </c>
      <c r="S480">
        <f>HYPERLINK("https://klasma.github.io/Logging_2582/artfynd/A 9306-2025 artfynd.xlsx", "A 9306-2025")</f>
        <v/>
      </c>
      <c r="T480">
        <f>HYPERLINK("https://klasma.github.io/Logging_2582/kartor/A 9306-2025 karta.png", "A 9306-2025")</f>
        <v/>
      </c>
      <c r="V480">
        <f>HYPERLINK("https://klasma.github.io/Logging_2582/klagomål/A 9306-2025 FSC-klagomål.docx", "A 9306-2025")</f>
        <v/>
      </c>
      <c r="W480">
        <f>HYPERLINK("https://klasma.github.io/Logging_2582/klagomålsmail/A 9306-2025 FSC-klagomål mail.docx", "A 9306-2025")</f>
        <v/>
      </c>
      <c r="X480">
        <f>HYPERLINK("https://klasma.github.io/Logging_2582/tillsyn/A 9306-2025 tillsynsbegäran.docx", "A 9306-2025")</f>
        <v/>
      </c>
      <c r="Y480">
        <f>HYPERLINK("https://klasma.github.io/Logging_2582/tillsynsmail/A 9306-2025 tillsynsbegäran mail.docx", "A 9306-2025")</f>
        <v/>
      </c>
    </row>
    <row r="481" ht="15" customHeight="1">
      <c r="A481" t="inlineStr">
        <is>
          <t>A 52877-2025</t>
        </is>
      </c>
      <c r="B481" s="1" t="n">
        <v>45957.53907407408</v>
      </c>
      <c r="C481" s="1" t="n">
        <v>46046</v>
      </c>
      <c r="D481" t="inlineStr">
        <is>
          <t>NORRBOTTENS LÄN</t>
        </is>
      </c>
      <c r="E481" t="inlineStr">
        <is>
          <t>JOKKMOKK</t>
        </is>
      </c>
      <c r="F481" t="inlineStr">
        <is>
          <t>Sveaskog</t>
        </is>
      </c>
      <c r="G481" t="n">
        <v>26.7</v>
      </c>
      <c r="H481" t="n">
        <v>0</v>
      </c>
      <c r="I481" t="n">
        <v>2</v>
      </c>
      <c r="J481" t="n">
        <v>0</v>
      </c>
      <c r="K481" t="n">
        <v>0</v>
      </c>
      <c r="L481" t="n">
        <v>0</v>
      </c>
      <c r="M481" t="n">
        <v>0</v>
      </c>
      <c r="N481" t="n">
        <v>0</v>
      </c>
      <c r="O481" t="n">
        <v>0</v>
      </c>
      <c r="P481" t="n">
        <v>0</v>
      </c>
      <c r="Q481" t="n">
        <v>2</v>
      </c>
      <c r="R481" s="2" t="inlineStr">
        <is>
          <t>Bollvitmossa
Bårdlav</t>
        </is>
      </c>
      <c r="S481">
        <f>HYPERLINK("https://klasma.github.io/Logging_2510/artfynd/A 52877-2025 artfynd.xlsx", "A 52877-2025")</f>
        <v/>
      </c>
      <c r="T481">
        <f>HYPERLINK("https://klasma.github.io/Logging_2510/kartor/A 52877-2025 karta.png", "A 52877-2025")</f>
        <v/>
      </c>
      <c r="V481">
        <f>HYPERLINK("https://klasma.github.io/Logging_2510/klagomål/A 52877-2025 FSC-klagomål.docx", "A 52877-2025")</f>
        <v/>
      </c>
      <c r="W481">
        <f>HYPERLINK("https://klasma.github.io/Logging_2510/klagomålsmail/A 52877-2025 FSC-klagomål mail.docx", "A 52877-2025")</f>
        <v/>
      </c>
      <c r="X481">
        <f>HYPERLINK("https://klasma.github.io/Logging_2510/tillsyn/A 52877-2025 tillsynsbegäran.docx", "A 52877-2025")</f>
        <v/>
      </c>
      <c r="Y481">
        <f>HYPERLINK("https://klasma.github.io/Logging_2510/tillsynsmail/A 52877-2025 tillsynsbegäran mail.docx", "A 52877-2025")</f>
        <v/>
      </c>
    </row>
    <row r="482" ht="15" customHeight="1">
      <c r="A482" t="inlineStr">
        <is>
          <t>A 54167-2025</t>
        </is>
      </c>
      <c r="B482" s="1" t="n">
        <v>45964</v>
      </c>
      <c r="C482" s="1" t="n">
        <v>46046</v>
      </c>
      <c r="D482" t="inlineStr">
        <is>
          <t>NORRBOTTENS LÄN</t>
        </is>
      </c>
      <c r="E482" t="inlineStr">
        <is>
          <t>BODEN</t>
        </is>
      </c>
      <c r="G482" t="n">
        <v>1.1</v>
      </c>
      <c r="H482" t="n">
        <v>0</v>
      </c>
      <c r="I482" t="n">
        <v>0</v>
      </c>
      <c r="J482" t="n">
        <v>2</v>
      </c>
      <c r="K482" t="n">
        <v>0</v>
      </c>
      <c r="L482" t="n">
        <v>0</v>
      </c>
      <c r="M482" t="n">
        <v>0</v>
      </c>
      <c r="N482" t="n">
        <v>0</v>
      </c>
      <c r="O482" t="n">
        <v>2</v>
      </c>
      <c r="P482" t="n">
        <v>0</v>
      </c>
      <c r="Q482" t="n">
        <v>2</v>
      </c>
      <c r="R482" s="2" t="inlineStr">
        <is>
          <t>Lunglav
Stiftgelélav</t>
        </is>
      </c>
      <c r="S482">
        <f>HYPERLINK("https://klasma.github.io/Logging_2582/artfynd/A 54167-2025 artfynd.xlsx", "A 54167-2025")</f>
        <v/>
      </c>
      <c r="T482">
        <f>HYPERLINK("https://klasma.github.io/Logging_2582/kartor/A 54167-2025 karta.png", "A 54167-2025")</f>
        <v/>
      </c>
      <c r="V482">
        <f>HYPERLINK("https://klasma.github.io/Logging_2582/klagomål/A 54167-2025 FSC-klagomål.docx", "A 54167-2025")</f>
        <v/>
      </c>
      <c r="W482">
        <f>HYPERLINK("https://klasma.github.io/Logging_2582/klagomålsmail/A 54167-2025 FSC-klagomål mail.docx", "A 54167-2025")</f>
        <v/>
      </c>
      <c r="X482">
        <f>HYPERLINK("https://klasma.github.io/Logging_2582/tillsyn/A 54167-2025 tillsynsbegäran.docx", "A 54167-2025")</f>
        <v/>
      </c>
      <c r="Y482">
        <f>HYPERLINK("https://klasma.github.io/Logging_2582/tillsynsmail/A 54167-2025 tillsynsbegäran mail.docx", "A 54167-2025")</f>
        <v/>
      </c>
    </row>
    <row r="483" ht="15" customHeight="1">
      <c r="A483" t="inlineStr">
        <is>
          <t>A 62951-2025</t>
        </is>
      </c>
      <c r="B483" s="1" t="n">
        <v>46009.44835648148</v>
      </c>
      <c r="C483" s="1" t="n">
        <v>46046</v>
      </c>
      <c r="D483" t="inlineStr">
        <is>
          <t>NORRBOTTENS LÄN</t>
        </is>
      </c>
      <c r="E483" t="inlineStr">
        <is>
          <t>ÖVERKALIX</t>
        </is>
      </c>
      <c r="F483" t="inlineStr">
        <is>
          <t>SCA</t>
        </is>
      </c>
      <c r="G483" t="n">
        <v>4.2</v>
      </c>
      <c r="H483" t="n">
        <v>0</v>
      </c>
      <c r="I483" t="n">
        <v>0</v>
      </c>
      <c r="J483" t="n">
        <v>2</v>
      </c>
      <c r="K483" t="n">
        <v>0</v>
      </c>
      <c r="L483" t="n">
        <v>0</v>
      </c>
      <c r="M483" t="n">
        <v>0</v>
      </c>
      <c r="N483" t="n">
        <v>0</v>
      </c>
      <c r="O483" t="n">
        <v>2</v>
      </c>
      <c r="P483" t="n">
        <v>0</v>
      </c>
      <c r="Q483" t="n">
        <v>2</v>
      </c>
      <c r="R483" s="2" t="inlineStr">
        <is>
          <t>Garnlav
Ullticka</t>
        </is>
      </c>
      <c r="S483">
        <f>HYPERLINK("https://klasma.github.io/Logging_2513/artfynd/A 62951-2025 artfynd.xlsx", "A 62951-2025")</f>
        <v/>
      </c>
      <c r="T483">
        <f>HYPERLINK("https://klasma.github.io/Logging_2513/kartor/A 62951-2025 karta.png", "A 62951-2025")</f>
        <v/>
      </c>
      <c r="V483">
        <f>HYPERLINK("https://klasma.github.io/Logging_2513/klagomål/A 62951-2025 FSC-klagomål.docx", "A 62951-2025")</f>
        <v/>
      </c>
      <c r="W483">
        <f>HYPERLINK("https://klasma.github.io/Logging_2513/klagomålsmail/A 62951-2025 FSC-klagomål mail.docx", "A 62951-2025")</f>
        <v/>
      </c>
      <c r="X483">
        <f>HYPERLINK("https://klasma.github.io/Logging_2513/tillsyn/A 62951-2025 tillsynsbegäran.docx", "A 62951-2025")</f>
        <v/>
      </c>
      <c r="Y483">
        <f>HYPERLINK("https://klasma.github.io/Logging_2513/tillsynsmail/A 62951-2025 tillsynsbegäran mail.docx", "A 62951-2025")</f>
        <v/>
      </c>
    </row>
    <row r="484" ht="15" customHeight="1">
      <c r="A484" t="inlineStr">
        <is>
          <t>A 55525-2025</t>
        </is>
      </c>
      <c r="B484" s="1" t="n">
        <v>45971.61633101852</v>
      </c>
      <c r="C484" s="1" t="n">
        <v>46046</v>
      </c>
      <c r="D484" t="inlineStr">
        <is>
          <t>NORRBOTTENS LÄN</t>
        </is>
      </c>
      <c r="E484" t="inlineStr">
        <is>
          <t>JOKKMOKK</t>
        </is>
      </c>
      <c r="F484" t="inlineStr">
        <is>
          <t>Övriga statliga verk och myndigheter</t>
        </is>
      </c>
      <c r="G484" t="n">
        <v>20.3</v>
      </c>
      <c r="H484" t="n">
        <v>0</v>
      </c>
      <c r="I484" t="n">
        <v>0</v>
      </c>
      <c r="J484" t="n">
        <v>2</v>
      </c>
      <c r="K484" t="n">
        <v>0</v>
      </c>
      <c r="L484" t="n">
        <v>0</v>
      </c>
      <c r="M484" t="n">
        <v>0</v>
      </c>
      <c r="N484" t="n">
        <v>0</v>
      </c>
      <c r="O484" t="n">
        <v>2</v>
      </c>
      <c r="P484" t="n">
        <v>0</v>
      </c>
      <c r="Q484" t="n">
        <v>2</v>
      </c>
      <c r="R484" s="2" t="inlineStr">
        <is>
          <t>Blå taggsvamp
Violmussling</t>
        </is>
      </c>
      <c r="S484">
        <f>HYPERLINK("https://klasma.github.io/Logging_2510/artfynd/A 55525-2025 artfynd.xlsx", "A 55525-2025")</f>
        <v/>
      </c>
      <c r="T484">
        <f>HYPERLINK("https://klasma.github.io/Logging_2510/kartor/A 55525-2025 karta.png", "A 55525-2025")</f>
        <v/>
      </c>
      <c r="V484">
        <f>HYPERLINK("https://klasma.github.io/Logging_2510/klagomål/A 55525-2025 FSC-klagomål.docx", "A 55525-2025")</f>
        <v/>
      </c>
      <c r="W484">
        <f>HYPERLINK("https://klasma.github.io/Logging_2510/klagomålsmail/A 55525-2025 FSC-klagomål mail.docx", "A 55525-2025")</f>
        <v/>
      </c>
      <c r="X484">
        <f>HYPERLINK("https://klasma.github.io/Logging_2510/tillsyn/A 55525-2025 tillsynsbegäran.docx", "A 55525-2025")</f>
        <v/>
      </c>
      <c r="Y484">
        <f>HYPERLINK("https://klasma.github.io/Logging_2510/tillsynsmail/A 55525-2025 tillsynsbegäran mail.docx", "A 55525-2025")</f>
        <v/>
      </c>
    </row>
    <row r="485" ht="15" customHeight="1">
      <c r="A485" t="inlineStr">
        <is>
          <t>A 56489-2025</t>
        </is>
      </c>
      <c r="B485" s="1" t="n">
        <v>45975.41206018518</v>
      </c>
      <c r="C485" s="1" t="n">
        <v>46046</v>
      </c>
      <c r="D485" t="inlineStr">
        <is>
          <t>NORRBOTTENS LÄN</t>
        </is>
      </c>
      <c r="E485" t="inlineStr">
        <is>
          <t>ARVIDSJAUR</t>
        </is>
      </c>
      <c r="F485" t="inlineStr">
        <is>
          <t>Sveaskog</t>
        </is>
      </c>
      <c r="G485" t="n">
        <v>13.5</v>
      </c>
      <c r="H485" t="n">
        <v>0</v>
      </c>
      <c r="I485" t="n">
        <v>1</v>
      </c>
      <c r="J485" t="n">
        <v>1</v>
      </c>
      <c r="K485" t="n">
        <v>0</v>
      </c>
      <c r="L485" t="n">
        <v>0</v>
      </c>
      <c r="M485" t="n">
        <v>0</v>
      </c>
      <c r="N485" t="n">
        <v>0</v>
      </c>
      <c r="O485" t="n">
        <v>1</v>
      </c>
      <c r="P485" t="n">
        <v>0</v>
      </c>
      <c r="Q485" t="n">
        <v>2</v>
      </c>
      <c r="R485" s="2" t="inlineStr">
        <is>
          <t>Blå taggsvamp
Dropptaggsvamp</t>
        </is>
      </c>
      <c r="S485">
        <f>HYPERLINK("https://klasma.github.io/Logging_2505/artfynd/A 56489-2025 artfynd.xlsx", "A 56489-2025")</f>
        <v/>
      </c>
      <c r="T485">
        <f>HYPERLINK("https://klasma.github.io/Logging_2505/kartor/A 56489-2025 karta.png", "A 56489-2025")</f>
        <v/>
      </c>
      <c r="V485">
        <f>HYPERLINK("https://klasma.github.io/Logging_2505/klagomål/A 56489-2025 FSC-klagomål.docx", "A 56489-2025")</f>
        <v/>
      </c>
      <c r="W485">
        <f>HYPERLINK("https://klasma.github.io/Logging_2505/klagomålsmail/A 56489-2025 FSC-klagomål mail.docx", "A 56489-2025")</f>
        <v/>
      </c>
      <c r="X485">
        <f>HYPERLINK("https://klasma.github.io/Logging_2505/tillsyn/A 56489-2025 tillsynsbegäran.docx", "A 56489-2025")</f>
        <v/>
      </c>
      <c r="Y485">
        <f>HYPERLINK("https://klasma.github.io/Logging_2505/tillsynsmail/A 56489-2025 tillsynsbegäran mail.docx", "A 56489-2025")</f>
        <v/>
      </c>
    </row>
    <row r="486" ht="15" customHeight="1">
      <c r="A486" t="inlineStr">
        <is>
          <t>A 56185-2025</t>
        </is>
      </c>
      <c r="B486" s="1" t="n">
        <v>45974.41572916666</v>
      </c>
      <c r="C486" s="1" t="n">
        <v>46046</v>
      </c>
      <c r="D486" t="inlineStr">
        <is>
          <t>NORRBOTTENS LÄN</t>
        </is>
      </c>
      <c r="E486" t="inlineStr">
        <is>
          <t>ARVIDSJAUR</t>
        </is>
      </c>
      <c r="F486" t="inlineStr">
        <is>
          <t>Sveaskog</t>
        </is>
      </c>
      <c r="G486" t="n">
        <v>12.4</v>
      </c>
      <c r="H486" t="n">
        <v>0</v>
      </c>
      <c r="I486" t="n">
        <v>0</v>
      </c>
      <c r="J486" t="n">
        <v>1</v>
      </c>
      <c r="K486" t="n">
        <v>1</v>
      </c>
      <c r="L486" t="n">
        <v>0</v>
      </c>
      <c r="M486" t="n">
        <v>0</v>
      </c>
      <c r="N486" t="n">
        <v>0</v>
      </c>
      <c r="O486" t="n">
        <v>2</v>
      </c>
      <c r="P486" t="n">
        <v>1</v>
      </c>
      <c r="Q486" t="n">
        <v>2</v>
      </c>
      <c r="R486" s="2" t="inlineStr">
        <is>
          <t>Smalfotad taggsvamp
Nordtagging</t>
        </is>
      </c>
      <c r="S486">
        <f>HYPERLINK("https://klasma.github.io/Logging_2505/artfynd/A 56185-2025 artfynd.xlsx", "A 56185-2025")</f>
        <v/>
      </c>
      <c r="T486">
        <f>HYPERLINK("https://klasma.github.io/Logging_2505/kartor/A 56185-2025 karta.png", "A 56185-2025")</f>
        <v/>
      </c>
      <c r="V486">
        <f>HYPERLINK("https://klasma.github.io/Logging_2505/klagomål/A 56185-2025 FSC-klagomål.docx", "A 56185-2025")</f>
        <v/>
      </c>
      <c r="W486">
        <f>HYPERLINK("https://klasma.github.io/Logging_2505/klagomålsmail/A 56185-2025 FSC-klagomål mail.docx", "A 56185-2025")</f>
        <v/>
      </c>
      <c r="X486">
        <f>HYPERLINK("https://klasma.github.io/Logging_2505/tillsyn/A 56185-2025 tillsynsbegäran.docx", "A 56185-2025")</f>
        <v/>
      </c>
      <c r="Y486">
        <f>HYPERLINK("https://klasma.github.io/Logging_2505/tillsynsmail/A 56185-2025 tillsynsbegäran mail.docx", "A 56185-2025")</f>
        <v/>
      </c>
    </row>
    <row r="487" ht="15" customHeight="1">
      <c r="A487" t="inlineStr">
        <is>
          <t>A 57809-2025</t>
        </is>
      </c>
      <c r="B487" s="1" t="n">
        <v>45981</v>
      </c>
      <c r="C487" s="1" t="n">
        <v>46046</v>
      </c>
      <c r="D487" t="inlineStr">
        <is>
          <t>NORRBOTTENS LÄN</t>
        </is>
      </c>
      <c r="E487" t="inlineStr">
        <is>
          <t>BODEN</t>
        </is>
      </c>
      <c r="F487" t="inlineStr">
        <is>
          <t>Sveaskog</t>
        </is>
      </c>
      <c r="G487" t="n">
        <v>6.5</v>
      </c>
      <c r="H487" t="n">
        <v>0</v>
      </c>
      <c r="I487" t="n">
        <v>0</v>
      </c>
      <c r="J487" t="n">
        <v>2</v>
      </c>
      <c r="K487" t="n">
        <v>0</v>
      </c>
      <c r="L487" t="n">
        <v>0</v>
      </c>
      <c r="M487" t="n">
        <v>0</v>
      </c>
      <c r="N487" t="n">
        <v>0</v>
      </c>
      <c r="O487" t="n">
        <v>2</v>
      </c>
      <c r="P487" t="n">
        <v>0</v>
      </c>
      <c r="Q487" t="n">
        <v>2</v>
      </c>
      <c r="R487" s="2" t="inlineStr">
        <is>
          <t>Garnlav
Tallticka</t>
        </is>
      </c>
      <c r="S487">
        <f>HYPERLINK("https://klasma.github.io/Logging_2582/artfynd/A 57809-2025 artfynd.xlsx", "A 57809-2025")</f>
        <v/>
      </c>
      <c r="T487">
        <f>HYPERLINK("https://klasma.github.io/Logging_2582/kartor/A 57809-2025 karta.png", "A 57809-2025")</f>
        <v/>
      </c>
      <c r="V487">
        <f>HYPERLINK("https://klasma.github.io/Logging_2582/klagomål/A 57809-2025 FSC-klagomål.docx", "A 57809-2025")</f>
        <v/>
      </c>
      <c r="W487">
        <f>HYPERLINK("https://klasma.github.io/Logging_2582/klagomålsmail/A 57809-2025 FSC-klagomål mail.docx", "A 57809-2025")</f>
        <v/>
      </c>
      <c r="X487">
        <f>HYPERLINK("https://klasma.github.io/Logging_2582/tillsyn/A 57809-2025 tillsynsbegäran.docx", "A 57809-2025")</f>
        <v/>
      </c>
      <c r="Y487">
        <f>HYPERLINK("https://klasma.github.io/Logging_2582/tillsynsmail/A 57809-2025 tillsynsbegäran mail.docx", "A 57809-2025")</f>
        <v/>
      </c>
    </row>
    <row r="488" ht="15" customHeight="1">
      <c r="A488" t="inlineStr">
        <is>
          <t>A 57390-2025</t>
        </is>
      </c>
      <c r="B488" s="1" t="n">
        <v>45980</v>
      </c>
      <c r="C488" s="1" t="n">
        <v>46046</v>
      </c>
      <c r="D488" t="inlineStr">
        <is>
          <t>NORRBOTTENS LÄN</t>
        </is>
      </c>
      <c r="E488" t="inlineStr">
        <is>
          <t>ÄLVSBYN</t>
        </is>
      </c>
      <c r="F488" t="inlineStr">
        <is>
          <t>Sveaskog</t>
        </is>
      </c>
      <c r="G488" t="n">
        <v>3.3</v>
      </c>
      <c r="H488" t="n">
        <v>0</v>
      </c>
      <c r="I488" t="n">
        <v>1</v>
      </c>
      <c r="J488" t="n">
        <v>1</v>
      </c>
      <c r="K488" t="n">
        <v>0</v>
      </c>
      <c r="L488" t="n">
        <v>0</v>
      </c>
      <c r="M488" t="n">
        <v>0</v>
      </c>
      <c r="N488" t="n">
        <v>0</v>
      </c>
      <c r="O488" t="n">
        <v>1</v>
      </c>
      <c r="P488" t="n">
        <v>0</v>
      </c>
      <c r="Q488" t="n">
        <v>2</v>
      </c>
      <c r="R488" s="2" t="inlineStr">
        <is>
          <t>Kolflarnlav
Skarp dropptaggsvamp</t>
        </is>
      </c>
      <c r="S488">
        <f>HYPERLINK("https://klasma.github.io/Logging_2560/artfynd/A 57390-2025 artfynd.xlsx", "A 57390-2025")</f>
        <v/>
      </c>
      <c r="T488">
        <f>HYPERLINK("https://klasma.github.io/Logging_2560/kartor/A 57390-2025 karta.png", "A 57390-2025")</f>
        <v/>
      </c>
      <c r="V488">
        <f>HYPERLINK("https://klasma.github.io/Logging_2560/klagomål/A 57390-2025 FSC-klagomål.docx", "A 57390-2025")</f>
        <v/>
      </c>
      <c r="W488">
        <f>HYPERLINK("https://klasma.github.io/Logging_2560/klagomålsmail/A 57390-2025 FSC-klagomål mail.docx", "A 57390-2025")</f>
        <v/>
      </c>
      <c r="X488">
        <f>HYPERLINK("https://klasma.github.io/Logging_2560/tillsyn/A 57390-2025 tillsynsbegäran.docx", "A 57390-2025")</f>
        <v/>
      </c>
      <c r="Y488">
        <f>HYPERLINK("https://klasma.github.io/Logging_2560/tillsynsmail/A 57390-2025 tillsynsbegäran mail.docx", "A 57390-2025")</f>
        <v/>
      </c>
    </row>
    <row r="489" ht="15" customHeight="1">
      <c r="A489" t="inlineStr">
        <is>
          <t>A 57806-2025</t>
        </is>
      </c>
      <c r="B489" s="1" t="n">
        <v>45981</v>
      </c>
      <c r="C489" s="1" t="n">
        <v>46046</v>
      </c>
      <c r="D489" t="inlineStr">
        <is>
          <t>NORRBOTTENS LÄN</t>
        </is>
      </c>
      <c r="E489" t="inlineStr">
        <is>
          <t>BODEN</t>
        </is>
      </c>
      <c r="F489" t="inlineStr">
        <is>
          <t>Sveaskog</t>
        </is>
      </c>
      <c r="G489" t="n">
        <v>10.4</v>
      </c>
      <c r="H489" t="n">
        <v>0</v>
      </c>
      <c r="I489" t="n">
        <v>1</v>
      </c>
      <c r="J489" t="n">
        <v>1</v>
      </c>
      <c r="K489" t="n">
        <v>0</v>
      </c>
      <c r="L489" t="n">
        <v>0</v>
      </c>
      <c r="M489" t="n">
        <v>0</v>
      </c>
      <c r="N489" t="n">
        <v>0</v>
      </c>
      <c r="O489" t="n">
        <v>1</v>
      </c>
      <c r="P489" t="n">
        <v>0</v>
      </c>
      <c r="Q489" t="n">
        <v>2</v>
      </c>
      <c r="R489" s="2" t="inlineStr">
        <is>
          <t>Dvärgbägarlav
Dropptaggsvamp</t>
        </is>
      </c>
      <c r="S489">
        <f>HYPERLINK("https://klasma.github.io/Logging_2582/artfynd/A 57806-2025 artfynd.xlsx", "A 57806-2025")</f>
        <v/>
      </c>
      <c r="T489">
        <f>HYPERLINK("https://klasma.github.io/Logging_2582/kartor/A 57806-2025 karta.png", "A 57806-2025")</f>
        <v/>
      </c>
      <c r="V489">
        <f>HYPERLINK("https://klasma.github.io/Logging_2582/klagomål/A 57806-2025 FSC-klagomål.docx", "A 57806-2025")</f>
        <v/>
      </c>
      <c r="W489">
        <f>HYPERLINK("https://klasma.github.io/Logging_2582/klagomålsmail/A 57806-2025 FSC-klagomål mail.docx", "A 57806-2025")</f>
        <v/>
      </c>
      <c r="X489">
        <f>HYPERLINK("https://klasma.github.io/Logging_2582/tillsyn/A 57806-2025 tillsynsbegäran.docx", "A 57806-2025")</f>
        <v/>
      </c>
      <c r="Y489">
        <f>HYPERLINK("https://klasma.github.io/Logging_2582/tillsynsmail/A 57806-2025 tillsynsbegäran mail.docx", "A 57806-2025")</f>
        <v/>
      </c>
    </row>
    <row r="490" ht="15" customHeight="1">
      <c r="A490" t="inlineStr">
        <is>
          <t>A 57700-2025</t>
        </is>
      </c>
      <c r="B490" s="1" t="n">
        <v>45981.46185185185</v>
      </c>
      <c r="C490" s="1" t="n">
        <v>46046</v>
      </c>
      <c r="D490" t="inlineStr">
        <is>
          <t>NORRBOTTENS LÄN</t>
        </is>
      </c>
      <c r="E490" t="inlineStr">
        <is>
          <t>JOKKMOKK</t>
        </is>
      </c>
      <c r="F490" t="inlineStr">
        <is>
          <t>Sveaskog</t>
        </is>
      </c>
      <c r="G490" t="n">
        <v>10.8</v>
      </c>
      <c r="H490" t="n">
        <v>0</v>
      </c>
      <c r="I490" t="n">
        <v>0</v>
      </c>
      <c r="J490" t="n">
        <v>2</v>
      </c>
      <c r="K490" t="n">
        <v>0</v>
      </c>
      <c r="L490" t="n">
        <v>0</v>
      </c>
      <c r="M490" t="n">
        <v>0</v>
      </c>
      <c r="N490" t="n">
        <v>0</v>
      </c>
      <c r="O490" t="n">
        <v>2</v>
      </c>
      <c r="P490" t="n">
        <v>0</v>
      </c>
      <c r="Q490" t="n">
        <v>2</v>
      </c>
      <c r="R490" s="2" t="inlineStr">
        <is>
          <t>Motaggsvamp
Orange taggsvamp</t>
        </is>
      </c>
      <c r="S490">
        <f>HYPERLINK("https://klasma.github.io/Logging_2510/artfynd/A 57700-2025 artfynd.xlsx", "A 57700-2025")</f>
        <v/>
      </c>
      <c r="T490">
        <f>HYPERLINK("https://klasma.github.io/Logging_2510/kartor/A 57700-2025 karta.png", "A 57700-2025")</f>
        <v/>
      </c>
      <c r="V490">
        <f>HYPERLINK("https://klasma.github.io/Logging_2510/klagomål/A 57700-2025 FSC-klagomål.docx", "A 57700-2025")</f>
        <v/>
      </c>
      <c r="W490">
        <f>HYPERLINK("https://klasma.github.io/Logging_2510/klagomålsmail/A 57700-2025 FSC-klagomål mail.docx", "A 57700-2025")</f>
        <v/>
      </c>
      <c r="X490">
        <f>HYPERLINK("https://klasma.github.io/Logging_2510/tillsyn/A 57700-2025 tillsynsbegäran.docx", "A 57700-2025")</f>
        <v/>
      </c>
      <c r="Y490">
        <f>HYPERLINK("https://klasma.github.io/Logging_2510/tillsynsmail/A 57700-2025 tillsynsbegäran mail.docx", "A 57700-2025")</f>
        <v/>
      </c>
    </row>
    <row r="491" ht="15" customHeight="1">
      <c r="A491" t="inlineStr">
        <is>
          <t>A 29679-2024</t>
        </is>
      </c>
      <c r="B491" s="1" t="n">
        <v>45484</v>
      </c>
      <c r="C491" s="1" t="n">
        <v>46046</v>
      </c>
      <c r="D491" t="inlineStr">
        <is>
          <t>NORRBOTTENS LÄN</t>
        </is>
      </c>
      <c r="E491" t="inlineStr">
        <is>
          <t>JOKKMOKK</t>
        </is>
      </c>
      <c r="F491" t="inlineStr">
        <is>
          <t>SCA</t>
        </is>
      </c>
      <c r="G491" t="n">
        <v>16.1</v>
      </c>
      <c r="H491" t="n">
        <v>0</v>
      </c>
      <c r="I491" t="n">
        <v>1</v>
      </c>
      <c r="J491" t="n">
        <v>1</v>
      </c>
      <c r="K491" t="n">
        <v>0</v>
      </c>
      <c r="L491" t="n">
        <v>0</v>
      </c>
      <c r="M491" t="n">
        <v>0</v>
      </c>
      <c r="N491" t="n">
        <v>0</v>
      </c>
      <c r="O491" t="n">
        <v>1</v>
      </c>
      <c r="P491" t="n">
        <v>0</v>
      </c>
      <c r="Q491" t="n">
        <v>2</v>
      </c>
      <c r="R491" s="2" t="inlineStr">
        <is>
          <t>Kolflarnlav
Gytterlav</t>
        </is>
      </c>
      <c r="S491">
        <f>HYPERLINK("https://klasma.github.io/Logging_2510/artfynd/A 29679-2024 artfynd.xlsx", "A 29679-2024")</f>
        <v/>
      </c>
      <c r="T491">
        <f>HYPERLINK("https://klasma.github.io/Logging_2510/kartor/A 29679-2024 karta.png", "A 29679-2024")</f>
        <v/>
      </c>
      <c r="V491">
        <f>HYPERLINK("https://klasma.github.io/Logging_2510/klagomål/A 29679-2024 FSC-klagomål.docx", "A 29679-2024")</f>
        <v/>
      </c>
      <c r="W491">
        <f>HYPERLINK("https://klasma.github.io/Logging_2510/klagomålsmail/A 29679-2024 FSC-klagomål mail.docx", "A 29679-2024")</f>
        <v/>
      </c>
      <c r="X491">
        <f>HYPERLINK("https://klasma.github.io/Logging_2510/tillsyn/A 29679-2024 tillsynsbegäran.docx", "A 29679-2024")</f>
        <v/>
      </c>
      <c r="Y491">
        <f>HYPERLINK("https://klasma.github.io/Logging_2510/tillsynsmail/A 29679-2024 tillsynsbegäran mail.docx", "A 29679-2024")</f>
        <v/>
      </c>
    </row>
    <row r="492" ht="15" customHeight="1">
      <c r="A492" t="inlineStr">
        <is>
          <t>A 14184-2025</t>
        </is>
      </c>
      <c r="B492" s="1" t="n">
        <v>45740</v>
      </c>
      <c r="C492" s="1" t="n">
        <v>46046</v>
      </c>
      <c r="D492" t="inlineStr">
        <is>
          <t>NORRBOTTENS LÄN</t>
        </is>
      </c>
      <c r="E492" t="inlineStr">
        <is>
          <t>LULEÅ</t>
        </is>
      </c>
      <c r="G492" t="n">
        <v>9.1</v>
      </c>
      <c r="H492" t="n">
        <v>0</v>
      </c>
      <c r="I492" t="n">
        <v>1</v>
      </c>
      <c r="J492" t="n">
        <v>1</v>
      </c>
      <c r="K492" t="n">
        <v>0</v>
      </c>
      <c r="L492" t="n">
        <v>0</v>
      </c>
      <c r="M492" t="n">
        <v>0</v>
      </c>
      <c r="N492" t="n">
        <v>0</v>
      </c>
      <c r="O492" t="n">
        <v>1</v>
      </c>
      <c r="P492" t="n">
        <v>0</v>
      </c>
      <c r="Q492" t="n">
        <v>2</v>
      </c>
      <c r="R492" s="2" t="inlineStr">
        <is>
          <t>Granticka
Stuplav</t>
        </is>
      </c>
      <c r="S492">
        <f>HYPERLINK("https://klasma.github.io/Logging_2580/artfynd/A 14184-2025 artfynd.xlsx", "A 14184-2025")</f>
        <v/>
      </c>
      <c r="T492">
        <f>HYPERLINK("https://klasma.github.io/Logging_2580/kartor/A 14184-2025 karta.png", "A 14184-2025")</f>
        <v/>
      </c>
      <c r="V492">
        <f>HYPERLINK("https://klasma.github.io/Logging_2580/klagomål/A 14184-2025 FSC-klagomål.docx", "A 14184-2025")</f>
        <v/>
      </c>
      <c r="W492">
        <f>HYPERLINK("https://klasma.github.io/Logging_2580/klagomålsmail/A 14184-2025 FSC-klagomål mail.docx", "A 14184-2025")</f>
        <v/>
      </c>
      <c r="X492">
        <f>HYPERLINK("https://klasma.github.io/Logging_2580/tillsyn/A 14184-2025 tillsynsbegäran.docx", "A 14184-2025")</f>
        <v/>
      </c>
      <c r="Y492">
        <f>HYPERLINK("https://klasma.github.io/Logging_2580/tillsynsmail/A 14184-2025 tillsynsbegäran mail.docx", "A 14184-2025")</f>
        <v/>
      </c>
    </row>
    <row r="493" ht="15" customHeight="1">
      <c r="A493" t="inlineStr">
        <is>
          <t>A 1728-2026</t>
        </is>
      </c>
      <c r="B493" s="1" t="n">
        <v>46034</v>
      </c>
      <c r="C493" s="1" t="n">
        <v>46046</v>
      </c>
      <c r="D493" t="inlineStr">
        <is>
          <t>NORRBOTTENS LÄN</t>
        </is>
      </c>
      <c r="E493" t="inlineStr">
        <is>
          <t>ARVIDSJAUR</t>
        </is>
      </c>
      <c r="F493" t="inlineStr">
        <is>
          <t>Allmännings- och besparingsskogar</t>
        </is>
      </c>
      <c r="G493" t="n">
        <v>17.9</v>
      </c>
      <c r="H493" t="n">
        <v>2</v>
      </c>
      <c r="I493" t="n">
        <v>1</v>
      </c>
      <c r="J493" t="n">
        <v>0</v>
      </c>
      <c r="K493" t="n">
        <v>0</v>
      </c>
      <c r="L493" t="n">
        <v>0</v>
      </c>
      <c r="M493" t="n">
        <v>0</v>
      </c>
      <c r="N493" t="n">
        <v>0</v>
      </c>
      <c r="O493" t="n">
        <v>0</v>
      </c>
      <c r="P493" t="n">
        <v>0</v>
      </c>
      <c r="Q493" t="n">
        <v>2</v>
      </c>
      <c r="R493" s="2" t="inlineStr">
        <is>
          <t>Plattlummer
Gul groddlummer</t>
        </is>
      </c>
      <c r="S493">
        <f>HYPERLINK("https://klasma.github.io/Logging_2505/artfynd/A 1728-2026 artfynd.xlsx", "A 1728-2026")</f>
        <v/>
      </c>
      <c r="T493">
        <f>HYPERLINK("https://klasma.github.io/Logging_2505/kartor/A 1728-2026 karta.png", "A 1728-2026")</f>
        <v/>
      </c>
      <c r="V493">
        <f>HYPERLINK("https://klasma.github.io/Logging_2505/klagomål/A 1728-2026 FSC-klagomål.docx", "A 1728-2026")</f>
        <v/>
      </c>
      <c r="W493">
        <f>HYPERLINK("https://klasma.github.io/Logging_2505/klagomålsmail/A 1728-2026 FSC-klagomål mail.docx", "A 1728-2026")</f>
        <v/>
      </c>
      <c r="X493">
        <f>HYPERLINK("https://klasma.github.io/Logging_2505/tillsyn/A 1728-2026 tillsynsbegäran.docx", "A 1728-2026")</f>
        <v/>
      </c>
      <c r="Y493">
        <f>HYPERLINK("https://klasma.github.io/Logging_2505/tillsynsmail/A 1728-2026 tillsynsbegäran mail.docx", "A 1728-2026")</f>
        <v/>
      </c>
    </row>
    <row r="494" ht="15" customHeight="1">
      <c r="A494" t="inlineStr">
        <is>
          <t>A 1478-2026</t>
        </is>
      </c>
      <c r="B494" s="1" t="n">
        <v>46033</v>
      </c>
      <c r="C494" s="1" t="n">
        <v>46046</v>
      </c>
      <c r="D494" t="inlineStr">
        <is>
          <t>NORRBOTTENS LÄN</t>
        </is>
      </c>
      <c r="E494" t="inlineStr">
        <is>
          <t>ARJEPLOG</t>
        </is>
      </c>
      <c r="F494" t="inlineStr">
        <is>
          <t>Övriga statliga verk och myndigheter</t>
        </is>
      </c>
      <c r="G494" t="n">
        <v>6.2</v>
      </c>
      <c r="H494" t="n">
        <v>1</v>
      </c>
      <c r="I494" t="n">
        <v>0</v>
      </c>
      <c r="J494" t="n">
        <v>2</v>
      </c>
      <c r="K494" t="n">
        <v>0</v>
      </c>
      <c r="L494" t="n">
        <v>0</v>
      </c>
      <c r="M494" t="n">
        <v>0</v>
      </c>
      <c r="N494" t="n">
        <v>0</v>
      </c>
      <c r="O494" t="n">
        <v>2</v>
      </c>
      <c r="P494" t="n">
        <v>0</v>
      </c>
      <c r="Q494" t="n">
        <v>2</v>
      </c>
      <c r="R494" s="2" t="inlineStr">
        <is>
          <t>Gammelgransskål
Tretåig hackspett</t>
        </is>
      </c>
      <c r="S494">
        <f>HYPERLINK("https://klasma.github.io/Logging_2506/artfynd/A 1478-2026 artfynd.xlsx", "A 1478-2026")</f>
        <v/>
      </c>
      <c r="T494">
        <f>HYPERLINK("https://klasma.github.io/Logging_2506/kartor/A 1478-2026 karta.png", "A 1478-2026")</f>
        <v/>
      </c>
      <c r="V494">
        <f>HYPERLINK("https://klasma.github.io/Logging_2506/klagomål/A 1478-2026 FSC-klagomål.docx", "A 1478-2026")</f>
        <v/>
      </c>
      <c r="W494">
        <f>HYPERLINK("https://klasma.github.io/Logging_2506/klagomålsmail/A 1478-2026 FSC-klagomål mail.docx", "A 1478-2026")</f>
        <v/>
      </c>
      <c r="X494">
        <f>HYPERLINK("https://klasma.github.io/Logging_2506/tillsyn/A 1478-2026 tillsynsbegäran.docx", "A 1478-2026")</f>
        <v/>
      </c>
      <c r="Y494">
        <f>HYPERLINK("https://klasma.github.io/Logging_2506/tillsynsmail/A 1478-2026 tillsynsbegäran mail.docx", "A 1478-2026")</f>
        <v/>
      </c>
      <c r="Z494">
        <f>HYPERLINK("https://klasma.github.io/Logging_2506/fåglar/A 1478-2026 prioriterade fågelarter.docx", "A 1478-2026")</f>
        <v/>
      </c>
    </row>
    <row r="495" ht="15" customHeight="1">
      <c r="A495" t="inlineStr">
        <is>
          <t>A 59787-2025</t>
        </is>
      </c>
      <c r="B495" s="1" t="n">
        <v>45992.61405092593</v>
      </c>
      <c r="C495" s="1" t="n">
        <v>46046</v>
      </c>
      <c r="D495" t="inlineStr">
        <is>
          <t>NORRBOTTENS LÄN</t>
        </is>
      </c>
      <c r="E495" t="inlineStr">
        <is>
          <t>JOKKMOKK</t>
        </is>
      </c>
      <c r="F495" t="inlineStr">
        <is>
          <t>Övriga statliga verk och myndigheter</t>
        </is>
      </c>
      <c r="G495" t="n">
        <v>26.4</v>
      </c>
      <c r="H495" t="n">
        <v>1</v>
      </c>
      <c r="I495" t="n">
        <v>1</v>
      </c>
      <c r="J495" t="n">
        <v>1</v>
      </c>
      <c r="K495" t="n">
        <v>0</v>
      </c>
      <c r="L495" t="n">
        <v>0</v>
      </c>
      <c r="M495" t="n">
        <v>0</v>
      </c>
      <c r="N495" t="n">
        <v>0</v>
      </c>
      <c r="O495" t="n">
        <v>1</v>
      </c>
      <c r="P495" t="n">
        <v>0</v>
      </c>
      <c r="Q495" t="n">
        <v>2</v>
      </c>
      <c r="R495" s="2" t="inlineStr">
        <is>
          <t>Dvärgbägarlav
Lappranunkel</t>
        </is>
      </c>
      <c r="S495">
        <f>HYPERLINK("https://klasma.github.io/Logging_2510/artfynd/A 59787-2025 artfynd.xlsx", "A 59787-2025")</f>
        <v/>
      </c>
      <c r="T495">
        <f>HYPERLINK("https://klasma.github.io/Logging_2510/kartor/A 59787-2025 karta.png", "A 59787-2025")</f>
        <v/>
      </c>
      <c r="V495">
        <f>HYPERLINK("https://klasma.github.io/Logging_2510/klagomål/A 59787-2025 FSC-klagomål.docx", "A 59787-2025")</f>
        <v/>
      </c>
      <c r="W495">
        <f>HYPERLINK("https://klasma.github.io/Logging_2510/klagomålsmail/A 59787-2025 FSC-klagomål mail.docx", "A 59787-2025")</f>
        <v/>
      </c>
      <c r="X495">
        <f>HYPERLINK("https://klasma.github.io/Logging_2510/tillsyn/A 59787-2025 tillsynsbegäran.docx", "A 59787-2025")</f>
        <v/>
      </c>
      <c r="Y495">
        <f>HYPERLINK("https://klasma.github.io/Logging_2510/tillsynsmail/A 59787-2025 tillsynsbegäran mail.docx", "A 59787-2025")</f>
        <v/>
      </c>
    </row>
    <row r="496" ht="15" customHeight="1">
      <c r="A496" t="inlineStr">
        <is>
          <t>A 1474-2026</t>
        </is>
      </c>
      <c r="B496" s="1" t="n">
        <v>46033</v>
      </c>
      <c r="C496" s="1" t="n">
        <v>46046</v>
      </c>
      <c r="D496" t="inlineStr">
        <is>
          <t>NORRBOTTENS LÄN</t>
        </is>
      </c>
      <c r="E496" t="inlineStr">
        <is>
          <t>ARJEPLOG</t>
        </is>
      </c>
      <c r="F496" t="inlineStr">
        <is>
          <t>Övriga statliga verk och myndigheter</t>
        </is>
      </c>
      <c r="G496" t="n">
        <v>3.8</v>
      </c>
      <c r="H496" t="n">
        <v>0</v>
      </c>
      <c r="I496" t="n">
        <v>0</v>
      </c>
      <c r="J496" t="n">
        <v>2</v>
      </c>
      <c r="K496" t="n">
        <v>0</v>
      </c>
      <c r="L496" t="n">
        <v>0</v>
      </c>
      <c r="M496" t="n">
        <v>0</v>
      </c>
      <c r="N496" t="n">
        <v>0</v>
      </c>
      <c r="O496" t="n">
        <v>2</v>
      </c>
      <c r="P496" t="n">
        <v>0</v>
      </c>
      <c r="Q496" t="n">
        <v>2</v>
      </c>
      <c r="R496" s="2" t="inlineStr">
        <is>
          <t>Harticka
Ullticka</t>
        </is>
      </c>
      <c r="S496">
        <f>HYPERLINK("https://klasma.github.io/Logging_2506/artfynd/A 1474-2026 artfynd.xlsx", "A 1474-2026")</f>
        <v/>
      </c>
      <c r="T496">
        <f>HYPERLINK("https://klasma.github.io/Logging_2506/kartor/A 1474-2026 karta.png", "A 1474-2026")</f>
        <v/>
      </c>
      <c r="V496">
        <f>HYPERLINK("https://klasma.github.io/Logging_2506/klagomål/A 1474-2026 FSC-klagomål.docx", "A 1474-2026")</f>
        <v/>
      </c>
      <c r="W496">
        <f>HYPERLINK("https://klasma.github.io/Logging_2506/klagomålsmail/A 1474-2026 FSC-klagomål mail.docx", "A 1474-2026")</f>
        <v/>
      </c>
      <c r="X496">
        <f>HYPERLINK("https://klasma.github.io/Logging_2506/tillsyn/A 1474-2026 tillsynsbegäran.docx", "A 1474-2026")</f>
        <v/>
      </c>
      <c r="Y496">
        <f>HYPERLINK("https://klasma.github.io/Logging_2506/tillsynsmail/A 1474-2026 tillsynsbegäran mail.docx", "A 1474-2026")</f>
        <v/>
      </c>
    </row>
    <row r="497" ht="15" customHeight="1">
      <c r="A497" t="inlineStr">
        <is>
          <t>A 32982-2023</t>
        </is>
      </c>
      <c r="B497" s="1" t="n">
        <v>45113</v>
      </c>
      <c r="C497" s="1" t="n">
        <v>46046</v>
      </c>
      <c r="D497" t="inlineStr">
        <is>
          <t>NORRBOTTENS LÄN</t>
        </is>
      </c>
      <c r="E497" t="inlineStr">
        <is>
          <t>JOKKMOKK</t>
        </is>
      </c>
      <c r="F497" t="inlineStr">
        <is>
          <t>Övriga statliga verk och myndigheter</t>
        </is>
      </c>
      <c r="G497" t="n">
        <v>9.9</v>
      </c>
      <c r="H497" t="n">
        <v>0</v>
      </c>
      <c r="I497" t="n">
        <v>1</v>
      </c>
      <c r="J497" t="n">
        <v>1</v>
      </c>
      <c r="K497" t="n">
        <v>0</v>
      </c>
      <c r="L497" t="n">
        <v>0</v>
      </c>
      <c r="M497" t="n">
        <v>0</v>
      </c>
      <c r="N497" t="n">
        <v>0</v>
      </c>
      <c r="O497" t="n">
        <v>1</v>
      </c>
      <c r="P497" t="n">
        <v>0</v>
      </c>
      <c r="Q497" t="n">
        <v>2</v>
      </c>
      <c r="R497" s="2" t="inlineStr">
        <is>
          <t>Vitplätt
Fjällig taggsvamp s.str.</t>
        </is>
      </c>
      <c r="S497">
        <f>HYPERLINK("https://klasma.github.io/Logging_2510/artfynd/A 32982-2023 artfynd.xlsx", "A 32982-2023")</f>
        <v/>
      </c>
      <c r="T497">
        <f>HYPERLINK("https://klasma.github.io/Logging_2510/kartor/A 32982-2023 karta.png", "A 32982-2023")</f>
        <v/>
      </c>
      <c r="V497">
        <f>HYPERLINK("https://klasma.github.io/Logging_2510/klagomål/A 32982-2023 FSC-klagomål.docx", "A 32982-2023")</f>
        <v/>
      </c>
      <c r="W497">
        <f>HYPERLINK("https://klasma.github.io/Logging_2510/klagomålsmail/A 32982-2023 FSC-klagomål mail.docx", "A 32982-2023")</f>
        <v/>
      </c>
      <c r="X497">
        <f>HYPERLINK("https://klasma.github.io/Logging_2510/tillsyn/A 32982-2023 tillsynsbegäran.docx", "A 32982-2023")</f>
        <v/>
      </c>
      <c r="Y497">
        <f>HYPERLINK("https://klasma.github.io/Logging_2510/tillsynsmail/A 32982-2023 tillsynsbegäran mail.docx", "A 32982-2023")</f>
        <v/>
      </c>
    </row>
    <row r="498" ht="15" customHeight="1">
      <c r="A498" t="inlineStr">
        <is>
          <t>A 50085-2021</t>
        </is>
      </c>
      <c r="B498" s="1" t="n">
        <v>44456</v>
      </c>
      <c r="C498" s="1" t="n">
        <v>46046</v>
      </c>
      <c r="D498" t="inlineStr">
        <is>
          <t>NORRBOTTENS LÄN</t>
        </is>
      </c>
      <c r="E498" t="inlineStr">
        <is>
          <t>LULEÅ</t>
        </is>
      </c>
      <c r="F498" t="inlineStr">
        <is>
          <t>Sveaskog</t>
        </is>
      </c>
      <c r="G498" t="n">
        <v>5.1</v>
      </c>
      <c r="H498" t="n">
        <v>0</v>
      </c>
      <c r="I498" t="n">
        <v>0</v>
      </c>
      <c r="J498" t="n">
        <v>1</v>
      </c>
      <c r="K498" t="n">
        <v>0</v>
      </c>
      <c r="L498" t="n">
        <v>0</v>
      </c>
      <c r="M498" t="n">
        <v>0</v>
      </c>
      <c r="N498" t="n">
        <v>0</v>
      </c>
      <c r="O498" t="n">
        <v>1</v>
      </c>
      <c r="P498" t="n">
        <v>0</v>
      </c>
      <c r="Q498" t="n">
        <v>1</v>
      </c>
      <c r="R498" s="2" t="inlineStr">
        <is>
          <t>Granticka</t>
        </is>
      </c>
      <c r="S498">
        <f>HYPERLINK("https://klasma.github.io/Logging_2580/artfynd/A 50085-2021 artfynd.xlsx", "A 50085-2021")</f>
        <v/>
      </c>
      <c r="T498">
        <f>HYPERLINK("https://klasma.github.io/Logging_2580/kartor/A 50085-2021 karta.png", "A 50085-2021")</f>
        <v/>
      </c>
      <c r="V498">
        <f>HYPERLINK("https://klasma.github.io/Logging_2580/klagomål/A 50085-2021 FSC-klagomål.docx", "A 50085-2021")</f>
        <v/>
      </c>
      <c r="W498">
        <f>HYPERLINK("https://klasma.github.io/Logging_2580/klagomålsmail/A 50085-2021 FSC-klagomål mail.docx", "A 50085-2021")</f>
        <v/>
      </c>
      <c r="X498">
        <f>HYPERLINK("https://klasma.github.io/Logging_2580/tillsyn/A 50085-2021 tillsynsbegäran.docx", "A 50085-2021")</f>
        <v/>
      </c>
      <c r="Y498">
        <f>HYPERLINK("https://klasma.github.io/Logging_2580/tillsynsmail/A 50085-2021 tillsynsbegäran mail.docx", "A 50085-2021")</f>
        <v/>
      </c>
    </row>
    <row r="499" ht="15" customHeight="1">
      <c r="A499" t="inlineStr">
        <is>
          <t>A 43092-2021</t>
        </is>
      </c>
      <c r="B499" s="1" t="n">
        <v>44431</v>
      </c>
      <c r="C499" s="1" t="n">
        <v>46046</v>
      </c>
      <c r="D499" t="inlineStr">
        <is>
          <t>NORRBOTTENS LÄN</t>
        </is>
      </c>
      <c r="E499" t="inlineStr">
        <is>
          <t>GÄLLIVARE</t>
        </is>
      </c>
      <c r="G499" t="n">
        <v>0.9</v>
      </c>
      <c r="H499" t="n">
        <v>1</v>
      </c>
      <c r="I499" t="n">
        <v>0</v>
      </c>
      <c r="J499" t="n">
        <v>1</v>
      </c>
      <c r="K499" t="n">
        <v>0</v>
      </c>
      <c r="L499" t="n">
        <v>0</v>
      </c>
      <c r="M499" t="n">
        <v>0</v>
      </c>
      <c r="N499" t="n">
        <v>0</v>
      </c>
      <c r="O499" t="n">
        <v>1</v>
      </c>
      <c r="P499" t="n">
        <v>0</v>
      </c>
      <c r="Q499" t="n">
        <v>1</v>
      </c>
      <c r="R499" s="2" t="inlineStr">
        <is>
          <t>Utter</t>
        </is>
      </c>
      <c r="S499">
        <f>HYPERLINK("https://klasma.github.io/Logging_2523/artfynd/A 43092-2021 artfynd.xlsx", "A 43092-2021")</f>
        <v/>
      </c>
      <c r="T499">
        <f>HYPERLINK("https://klasma.github.io/Logging_2523/kartor/A 43092-2021 karta.png", "A 43092-2021")</f>
        <v/>
      </c>
      <c r="V499">
        <f>HYPERLINK("https://klasma.github.io/Logging_2523/klagomål/A 43092-2021 FSC-klagomål.docx", "A 43092-2021")</f>
        <v/>
      </c>
      <c r="W499">
        <f>HYPERLINK("https://klasma.github.io/Logging_2523/klagomålsmail/A 43092-2021 FSC-klagomål mail.docx", "A 43092-2021")</f>
        <v/>
      </c>
      <c r="X499">
        <f>HYPERLINK("https://klasma.github.io/Logging_2523/tillsyn/A 43092-2021 tillsynsbegäran.docx", "A 43092-2021")</f>
        <v/>
      </c>
      <c r="Y499">
        <f>HYPERLINK("https://klasma.github.io/Logging_2523/tillsynsmail/A 43092-2021 tillsynsbegäran mail.docx", "A 43092-2021")</f>
        <v/>
      </c>
    </row>
    <row r="500" ht="15" customHeight="1">
      <c r="A500" t="inlineStr">
        <is>
          <t>A 13467-2022</t>
        </is>
      </c>
      <c r="B500" s="1" t="n">
        <v>44645</v>
      </c>
      <c r="C500" s="1" t="n">
        <v>46046</v>
      </c>
      <c r="D500" t="inlineStr">
        <is>
          <t>NORRBOTTENS LÄN</t>
        </is>
      </c>
      <c r="E500" t="inlineStr">
        <is>
          <t>ÖVERKALIX</t>
        </is>
      </c>
      <c r="G500" t="n">
        <v>6.8</v>
      </c>
      <c r="H500" t="n">
        <v>1</v>
      </c>
      <c r="I500" t="n">
        <v>0</v>
      </c>
      <c r="J500" t="n">
        <v>1</v>
      </c>
      <c r="K500" t="n">
        <v>0</v>
      </c>
      <c r="L500" t="n">
        <v>0</v>
      </c>
      <c r="M500" t="n">
        <v>0</v>
      </c>
      <c r="N500" t="n">
        <v>0</v>
      </c>
      <c r="O500" t="n">
        <v>1</v>
      </c>
      <c r="P500" t="n">
        <v>0</v>
      </c>
      <c r="Q500" t="n">
        <v>1</v>
      </c>
      <c r="R500" s="2" t="inlineStr">
        <is>
          <t>Järpe</t>
        </is>
      </c>
      <c r="S500">
        <f>HYPERLINK("https://klasma.github.io/Logging_2513/artfynd/A 13467-2022 artfynd.xlsx", "A 13467-2022")</f>
        <v/>
      </c>
      <c r="T500">
        <f>HYPERLINK("https://klasma.github.io/Logging_2513/kartor/A 13467-2022 karta.png", "A 13467-2022")</f>
        <v/>
      </c>
      <c r="V500">
        <f>HYPERLINK("https://klasma.github.io/Logging_2513/klagomål/A 13467-2022 FSC-klagomål.docx", "A 13467-2022")</f>
        <v/>
      </c>
      <c r="W500">
        <f>HYPERLINK("https://klasma.github.io/Logging_2513/klagomålsmail/A 13467-2022 FSC-klagomål mail.docx", "A 13467-2022")</f>
        <v/>
      </c>
      <c r="X500">
        <f>HYPERLINK("https://klasma.github.io/Logging_2513/tillsyn/A 13467-2022 tillsynsbegäran.docx", "A 13467-2022")</f>
        <v/>
      </c>
      <c r="Y500">
        <f>HYPERLINK("https://klasma.github.io/Logging_2513/tillsynsmail/A 13467-2022 tillsynsbegäran mail.docx", "A 13467-2022")</f>
        <v/>
      </c>
      <c r="Z500">
        <f>HYPERLINK("https://klasma.github.io/Logging_2513/fåglar/A 13467-2022 prioriterade fågelarter.docx", "A 13467-2022")</f>
        <v/>
      </c>
    </row>
    <row r="501" ht="15" customHeight="1">
      <c r="A501" t="inlineStr">
        <is>
          <t>A 45017-2021</t>
        </is>
      </c>
      <c r="B501" s="1" t="n">
        <v>44438</v>
      </c>
      <c r="C501" s="1" t="n">
        <v>46046</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34184-2022</t>
        </is>
      </c>
      <c r="B502" s="1" t="n">
        <v>44791.61581018518</v>
      </c>
      <c r="C502" s="1" t="n">
        <v>46046</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47954-2022</t>
        </is>
      </c>
      <c r="B503" s="1" t="n">
        <v>44855</v>
      </c>
      <c r="C503" s="1" t="n">
        <v>46046</v>
      </c>
      <c r="D503" t="inlineStr">
        <is>
          <t>NORRBOTTENS LÄN</t>
        </is>
      </c>
      <c r="E503" t="inlineStr">
        <is>
          <t>ARVIDSJAUR</t>
        </is>
      </c>
      <c r="F503" t="inlineStr">
        <is>
          <t>Sveaskog</t>
        </is>
      </c>
      <c r="G503" t="n">
        <v>3.3</v>
      </c>
      <c r="H503" t="n">
        <v>1</v>
      </c>
      <c r="I503" t="n">
        <v>0</v>
      </c>
      <c r="J503" t="n">
        <v>1</v>
      </c>
      <c r="K503" t="n">
        <v>0</v>
      </c>
      <c r="L503" t="n">
        <v>0</v>
      </c>
      <c r="M503" t="n">
        <v>0</v>
      </c>
      <c r="N503" t="n">
        <v>0</v>
      </c>
      <c r="O503" t="n">
        <v>1</v>
      </c>
      <c r="P503" t="n">
        <v>0</v>
      </c>
      <c r="Q503" t="n">
        <v>1</v>
      </c>
      <c r="R503" s="2" t="inlineStr">
        <is>
          <t>Spillkråka</t>
        </is>
      </c>
      <c r="S503">
        <f>HYPERLINK("https://klasma.github.io/Logging_2505/artfynd/A 47954-2022 artfynd.xlsx", "A 47954-2022")</f>
        <v/>
      </c>
      <c r="T503">
        <f>HYPERLINK("https://klasma.github.io/Logging_2505/kartor/A 47954-2022 karta.png", "A 47954-2022")</f>
        <v/>
      </c>
      <c r="V503">
        <f>HYPERLINK("https://klasma.github.io/Logging_2505/klagomål/A 47954-2022 FSC-klagomål.docx", "A 47954-2022")</f>
        <v/>
      </c>
      <c r="W503">
        <f>HYPERLINK("https://klasma.github.io/Logging_2505/klagomålsmail/A 47954-2022 FSC-klagomål mail.docx", "A 47954-2022")</f>
        <v/>
      </c>
      <c r="X503">
        <f>HYPERLINK("https://klasma.github.io/Logging_2505/tillsyn/A 47954-2022 tillsynsbegäran.docx", "A 47954-2022")</f>
        <v/>
      </c>
      <c r="Y503">
        <f>HYPERLINK("https://klasma.github.io/Logging_2505/tillsynsmail/A 47954-2022 tillsynsbegäran mail.docx", "A 47954-2022")</f>
        <v/>
      </c>
      <c r="Z503">
        <f>HYPERLINK("https://klasma.github.io/Logging_2505/fåglar/A 47954-2022 prioriterade fågelarter.docx", "A 47954-2022")</f>
        <v/>
      </c>
    </row>
    <row r="504" ht="15" customHeight="1">
      <c r="A504" t="inlineStr">
        <is>
          <t>A 19368-2021</t>
        </is>
      </c>
      <c r="B504" s="1" t="n">
        <v>44309</v>
      </c>
      <c r="C504" s="1" t="n">
        <v>46046</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38620-2022</t>
        </is>
      </c>
      <c r="B505" s="1" t="n">
        <v>44813.61173611111</v>
      </c>
      <c r="C505" s="1" t="n">
        <v>46046</v>
      </c>
      <c r="D505" t="inlineStr">
        <is>
          <t>NORRBOTTENS LÄN</t>
        </is>
      </c>
      <c r="E505" t="inlineStr">
        <is>
          <t>ÄLVSBYN</t>
        </is>
      </c>
      <c r="F505" t="inlineStr">
        <is>
          <t>Sveaskog</t>
        </is>
      </c>
      <c r="G505" t="n">
        <v>3.4</v>
      </c>
      <c r="H505" t="n">
        <v>0</v>
      </c>
      <c r="I505" t="n">
        <v>0</v>
      </c>
      <c r="J505" t="n">
        <v>1</v>
      </c>
      <c r="K505" t="n">
        <v>0</v>
      </c>
      <c r="L505" t="n">
        <v>0</v>
      </c>
      <c r="M505" t="n">
        <v>0</v>
      </c>
      <c r="N505" t="n">
        <v>0</v>
      </c>
      <c r="O505" t="n">
        <v>1</v>
      </c>
      <c r="P505" t="n">
        <v>0</v>
      </c>
      <c r="Q505" t="n">
        <v>1</v>
      </c>
      <c r="R505" s="2" t="inlineStr">
        <is>
          <t>Blå taggsvamp</t>
        </is>
      </c>
      <c r="S505">
        <f>HYPERLINK("https://klasma.github.io/Logging_2560/artfynd/A 38620-2022 artfynd.xlsx", "A 38620-2022")</f>
        <v/>
      </c>
      <c r="T505">
        <f>HYPERLINK("https://klasma.github.io/Logging_2560/kartor/A 38620-2022 karta.png", "A 38620-2022")</f>
        <v/>
      </c>
      <c r="V505">
        <f>HYPERLINK("https://klasma.github.io/Logging_2560/klagomål/A 38620-2022 FSC-klagomål.docx", "A 38620-2022")</f>
        <v/>
      </c>
      <c r="W505">
        <f>HYPERLINK("https://klasma.github.io/Logging_2560/klagomålsmail/A 38620-2022 FSC-klagomål mail.docx", "A 38620-2022")</f>
        <v/>
      </c>
      <c r="X505">
        <f>HYPERLINK("https://klasma.github.io/Logging_2560/tillsyn/A 38620-2022 tillsynsbegäran.docx", "A 38620-2022")</f>
        <v/>
      </c>
      <c r="Y505">
        <f>HYPERLINK("https://klasma.github.io/Logging_2560/tillsynsmail/A 38620-2022 tillsynsbegäran mail.docx", "A 38620-2022")</f>
        <v/>
      </c>
    </row>
    <row r="506" ht="15" customHeight="1">
      <c r="A506" t="inlineStr">
        <is>
          <t>A 43055-2022</t>
        </is>
      </c>
      <c r="B506" s="1" t="n">
        <v>44833</v>
      </c>
      <c r="C506" s="1" t="n">
        <v>46046</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1090-2022</t>
        </is>
      </c>
      <c r="B507" s="1" t="n">
        <v>44571</v>
      </c>
      <c r="C507" s="1" t="n">
        <v>46046</v>
      </c>
      <c r="D507" t="inlineStr">
        <is>
          <t>NORRBOTTENS LÄN</t>
        </is>
      </c>
      <c r="E507" t="inlineStr">
        <is>
          <t>ÖVERTORNEÅ</t>
        </is>
      </c>
      <c r="G507" t="n">
        <v>23.1</v>
      </c>
      <c r="H507" t="n">
        <v>0</v>
      </c>
      <c r="I507" t="n">
        <v>1</v>
      </c>
      <c r="J507" t="n">
        <v>0</v>
      </c>
      <c r="K507" t="n">
        <v>0</v>
      </c>
      <c r="L507" t="n">
        <v>0</v>
      </c>
      <c r="M507" t="n">
        <v>0</v>
      </c>
      <c r="N507" t="n">
        <v>0</v>
      </c>
      <c r="O507" t="n">
        <v>0</v>
      </c>
      <c r="P507" t="n">
        <v>0</v>
      </c>
      <c r="Q507" t="n">
        <v>1</v>
      </c>
      <c r="R507" s="2" t="inlineStr">
        <is>
          <t>Grönpyrola</t>
        </is>
      </c>
      <c r="S507">
        <f>HYPERLINK("https://klasma.github.io/Logging_2518/artfynd/A 1090-2022 artfynd.xlsx", "A 1090-2022")</f>
        <v/>
      </c>
      <c r="T507">
        <f>HYPERLINK("https://klasma.github.io/Logging_2518/kartor/A 1090-2022 karta.png", "A 1090-2022")</f>
        <v/>
      </c>
      <c r="V507">
        <f>HYPERLINK("https://klasma.github.io/Logging_2518/klagomål/A 1090-2022 FSC-klagomål.docx", "A 1090-2022")</f>
        <v/>
      </c>
      <c r="W507">
        <f>HYPERLINK("https://klasma.github.io/Logging_2518/klagomålsmail/A 1090-2022 FSC-klagomål mail.docx", "A 1090-2022")</f>
        <v/>
      </c>
      <c r="X507">
        <f>HYPERLINK("https://klasma.github.io/Logging_2518/tillsyn/A 1090-2022 tillsynsbegäran.docx", "A 1090-2022")</f>
        <v/>
      </c>
      <c r="Y507">
        <f>HYPERLINK("https://klasma.github.io/Logging_2518/tillsynsmail/A 1090-2022 tillsynsbegäran mail.docx", "A 1090-2022")</f>
        <v/>
      </c>
    </row>
    <row r="508" ht="15" customHeight="1">
      <c r="A508" t="inlineStr">
        <is>
          <t>A 60797-2021</t>
        </is>
      </c>
      <c r="B508" s="1" t="n">
        <v>44495</v>
      </c>
      <c r="C508" s="1" t="n">
        <v>46046</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45810-2022</t>
        </is>
      </c>
      <c r="B509" s="1" t="n">
        <v>44844</v>
      </c>
      <c r="C509" s="1" t="n">
        <v>46046</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15687-2021</t>
        </is>
      </c>
      <c r="B510" s="1" t="n">
        <v>44286</v>
      </c>
      <c r="C510" s="1" t="n">
        <v>46046</v>
      </c>
      <c r="D510" t="inlineStr">
        <is>
          <t>NORRBOTTENS LÄN</t>
        </is>
      </c>
      <c r="E510" t="inlineStr">
        <is>
          <t>KALIX</t>
        </is>
      </c>
      <c r="G510" t="n">
        <v>3.1</v>
      </c>
      <c r="H510" t="n">
        <v>1</v>
      </c>
      <c r="I510" t="n">
        <v>0</v>
      </c>
      <c r="J510" t="n">
        <v>1</v>
      </c>
      <c r="K510" t="n">
        <v>0</v>
      </c>
      <c r="L510" t="n">
        <v>0</v>
      </c>
      <c r="M510" t="n">
        <v>0</v>
      </c>
      <c r="N510" t="n">
        <v>0</v>
      </c>
      <c r="O510" t="n">
        <v>1</v>
      </c>
      <c r="P510" t="n">
        <v>0</v>
      </c>
      <c r="Q510" t="n">
        <v>1</v>
      </c>
      <c r="R510" s="2" t="inlineStr">
        <is>
          <t>Utter</t>
        </is>
      </c>
      <c r="S510">
        <f>HYPERLINK("https://klasma.github.io/Logging_2514/artfynd/A 15687-2021 artfynd.xlsx", "A 15687-2021")</f>
        <v/>
      </c>
      <c r="T510">
        <f>HYPERLINK("https://klasma.github.io/Logging_2514/kartor/A 15687-2021 karta.png", "A 15687-2021")</f>
        <v/>
      </c>
      <c r="V510">
        <f>HYPERLINK("https://klasma.github.io/Logging_2514/klagomål/A 15687-2021 FSC-klagomål.docx", "A 15687-2021")</f>
        <v/>
      </c>
      <c r="W510">
        <f>HYPERLINK("https://klasma.github.io/Logging_2514/klagomålsmail/A 15687-2021 FSC-klagomål mail.docx", "A 15687-2021")</f>
        <v/>
      </c>
      <c r="X510">
        <f>HYPERLINK("https://klasma.github.io/Logging_2514/tillsyn/A 15687-2021 tillsynsbegäran.docx", "A 15687-2021")</f>
        <v/>
      </c>
      <c r="Y510">
        <f>HYPERLINK("https://klasma.github.io/Logging_2514/tillsynsmail/A 15687-2021 tillsynsbegäran mail.docx", "A 15687-2021")</f>
        <v/>
      </c>
    </row>
    <row r="511" ht="15" customHeight="1">
      <c r="A511" t="inlineStr">
        <is>
          <t>A 16470-2022</t>
        </is>
      </c>
      <c r="B511" s="1" t="n">
        <v>44671</v>
      </c>
      <c r="C511" s="1" t="n">
        <v>46046</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56067-2021</t>
        </is>
      </c>
      <c r="B512" s="1" t="n">
        <v>44477</v>
      </c>
      <c r="C512" s="1" t="n">
        <v>46046</v>
      </c>
      <c r="D512" t="inlineStr">
        <is>
          <t>NORRBOTTENS LÄN</t>
        </is>
      </c>
      <c r="E512" t="inlineStr">
        <is>
          <t>LULEÅ</t>
        </is>
      </c>
      <c r="F512" t="inlineStr">
        <is>
          <t>Sveaskog</t>
        </is>
      </c>
      <c r="G512" t="n">
        <v>1.3</v>
      </c>
      <c r="H512" t="n">
        <v>0</v>
      </c>
      <c r="I512" t="n">
        <v>1</v>
      </c>
      <c r="J512" t="n">
        <v>0</v>
      </c>
      <c r="K512" t="n">
        <v>0</v>
      </c>
      <c r="L512" t="n">
        <v>0</v>
      </c>
      <c r="M512" t="n">
        <v>0</v>
      </c>
      <c r="N512" t="n">
        <v>0</v>
      </c>
      <c r="O512" t="n">
        <v>0</v>
      </c>
      <c r="P512" t="n">
        <v>0</v>
      </c>
      <c r="Q512" t="n">
        <v>1</v>
      </c>
      <c r="R512" s="2" t="inlineStr">
        <is>
          <t>Zontaggsvamp</t>
        </is>
      </c>
      <c r="S512">
        <f>HYPERLINK("https://klasma.github.io/Logging_2580/artfynd/A 56067-2021 artfynd.xlsx", "A 56067-2021")</f>
        <v/>
      </c>
      <c r="T512">
        <f>HYPERLINK("https://klasma.github.io/Logging_2580/kartor/A 56067-2021 karta.png", "A 56067-2021")</f>
        <v/>
      </c>
      <c r="V512">
        <f>HYPERLINK("https://klasma.github.io/Logging_2580/klagomål/A 56067-2021 FSC-klagomål.docx", "A 56067-2021")</f>
        <v/>
      </c>
      <c r="W512">
        <f>HYPERLINK("https://klasma.github.io/Logging_2580/klagomålsmail/A 56067-2021 FSC-klagomål mail.docx", "A 56067-2021")</f>
        <v/>
      </c>
      <c r="X512">
        <f>HYPERLINK("https://klasma.github.io/Logging_2580/tillsyn/A 56067-2021 tillsynsbegäran.docx", "A 56067-2021")</f>
        <v/>
      </c>
      <c r="Y512">
        <f>HYPERLINK("https://klasma.github.io/Logging_2580/tillsynsmail/A 56067-2021 tillsynsbegäran mail.docx", "A 56067-2021")</f>
        <v/>
      </c>
    </row>
    <row r="513" ht="15" customHeight="1">
      <c r="A513" t="inlineStr">
        <is>
          <t>A 13647-2022</t>
        </is>
      </c>
      <c r="B513" s="1" t="n">
        <v>44648</v>
      </c>
      <c r="C513" s="1" t="n">
        <v>46046</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25729-2022</t>
        </is>
      </c>
      <c r="B514" s="1" t="n">
        <v>44733</v>
      </c>
      <c r="C514" s="1" t="n">
        <v>46046</v>
      </c>
      <c r="D514" t="inlineStr">
        <is>
          <t>NORRBOTTENS LÄN</t>
        </is>
      </c>
      <c r="E514" t="inlineStr">
        <is>
          <t>LULEÅ</t>
        </is>
      </c>
      <c r="G514" t="n">
        <v>3.5</v>
      </c>
      <c r="H514" t="n">
        <v>0</v>
      </c>
      <c r="I514" t="n">
        <v>0</v>
      </c>
      <c r="J514" t="n">
        <v>0</v>
      </c>
      <c r="K514" t="n">
        <v>1</v>
      </c>
      <c r="L514" t="n">
        <v>0</v>
      </c>
      <c r="M514" t="n">
        <v>0</v>
      </c>
      <c r="N514" t="n">
        <v>0</v>
      </c>
      <c r="O514" t="n">
        <v>1</v>
      </c>
      <c r="P514" t="n">
        <v>1</v>
      </c>
      <c r="Q514" t="n">
        <v>1</v>
      </c>
      <c r="R514" s="2" t="inlineStr">
        <is>
          <t>Ostticka</t>
        </is>
      </c>
      <c r="S514">
        <f>HYPERLINK("https://klasma.github.io/Logging_2580/artfynd/A 25729-2022 artfynd.xlsx", "A 25729-2022")</f>
        <v/>
      </c>
      <c r="T514">
        <f>HYPERLINK("https://klasma.github.io/Logging_2580/kartor/A 25729-2022 karta.png", "A 25729-2022")</f>
        <v/>
      </c>
      <c r="V514">
        <f>HYPERLINK("https://klasma.github.io/Logging_2580/klagomål/A 25729-2022 FSC-klagomål.docx", "A 25729-2022")</f>
        <v/>
      </c>
      <c r="W514">
        <f>HYPERLINK("https://klasma.github.io/Logging_2580/klagomålsmail/A 25729-2022 FSC-klagomål mail.docx", "A 25729-2022")</f>
        <v/>
      </c>
      <c r="X514">
        <f>HYPERLINK("https://klasma.github.io/Logging_2580/tillsyn/A 25729-2022 tillsynsbegäran.docx", "A 25729-2022")</f>
        <v/>
      </c>
      <c r="Y514">
        <f>HYPERLINK("https://klasma.github.io/Logging_2580/tillsynsmail/A 25729-2022 tillsynsbegäran mail.docx", "A 25729-2022")</f>
        <v/>
      </c>
    </row>
    <row r="515" ht="15" customHeight="1">
      <c r="A515" t="inlineStr">
        <is>
          <t>A 60597-2021</t>
        </is>
      </c>
      <c r="B515" s="1" t="n">
        <v>44496</v>
      </c>
      <c r="C515" s="1" t="n">
        <v>46046</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36594-2021</t>
        </is>
      </c>
      <c r="B516" s="1" t="n">
        <v>44391</v>
      </c>
      <c r="C516" s="1" t="n">
        <v>46046</v>
      </c>
      <c r="D516" t="inlineStr">
        <is>
          <t>NORRBOTTENS LÄN</t>
        </is>
      </c>
      <c r="E516" t="inlineStr">
        <is>
          <t>JOKKMOKK</t>
        </is>
      </c>
      <c r="F516" t="inlineStr">
        <is>
          <t>Sveaskog</t>
        </is>
      </c>
      <c r="G516" t="n">
        <v>5.8</v>
      </c>
      <c r="H516" t="n">
        <v>1</v>
      </c>
      <c r="I516" t="n">
        <v>0</v>
      </c>
      <c r="J516" t="n">
        <v>0</v>
      </c>
      <c r="K516" t="n">
        <v>1</v>
      </c>
      <c r="L516" t="n">
        <v>0</v>
      </c>
      <c r="M516" t="n">
        <v>0</v>
      </c>
      <c r="N516" t="n">
        <v>0</v>
      </c>
      <c r="O516" t="n">
        <v>1</v>
      </c>
      <c r="P516" t="n">
        <v>1</v>
      </c>
      <c r="Q516" t="n">
        <v>1</v>
      </c>
      <c r="R516" s="2" t="inlineStr">
        <is>
          <t>Doftticka</t>
        </is>
      </c>
      <c r="S516">
        <f>HYPERLINK("https://klasma.github.io/Logging_2510/artfynd/A 36594-2021 artfynd.xlsx", "A 36594-2021")</f>
        <v/>
      </c>
      <c r="T516">
        <f>HYPERLINK("https://klasma.github.io/Logging_2510/kartor/A 36594-2021 karta.png", "A 36594-2021")</f>
        <v/>
      </c>
      <c r="V516">
        <f>HYPERLINK("https://klasma.github.io/Logging_2510/klagomål/A 36594-2021 FSC-klagomål.docx", "A 36594-2021")</f>
        <v/>
      </c>
      <c r="W516">
        <f>HYPERLINK("https://klasma.github.io/Logging_2510/klagomålsmail/A 36594-2021 FSC-klagomål mail.docx", "A 36594-2021")</f>
        <v/>
      </c>
      <c r="X516">
        <f>HYPERLINK("https://klasma.github.io/Logging_2510/tillsyn/A 36594-2021 tillsynsbegäran.docx", "A 36594-2021")</f>
        <v/>
      </c>
      <c r="Y516">
        <f>HYPERLINK("https://klasma.github.io/Logging_2510/tillsynsmail/A 36594-2021 tillsynsbegäran mail.docx", "A 36594-2021")</f>
        <v/>
      </c>
    </row>
    <row r="517" ht="15" customHeight="1">
      <c r="A517" t="inlineStr">
        <is>
          <t>A 15137-2022</t>
        </is>
      </c>
      <c r="B517" s="1" t="n">
        <v>44658</v>
      </c>
      <c r="C517" s="1" t="n">
        <v>46046</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44253-2022</t>
        </is>
      </c>
      <c r="B518" s="1" t="n">
        <v>44839.5678125</v>
      </c>
      <c r="C518" s="1" t="n">
        <v>46046</v>
      </c>
      <c r="D518" t="inlineStr">
        <is>
          <t>NORRBOTTENS LÄN</t>
        </is>
      </c>
      <c r="E518" t="inlineStr">
        <is>
          <t>LULEÅ</t>
        </is>
      </c>
      <c r="G518" t="n">
        <v>4.4</v>
      </c>
      <c r="H518" t="n">
        <v>1</v>
      </c>
      <c r="I518" t="n">
        <v>0</v>
      </c>
      <c r="J518" t="n">
        <v>1</v>
      </c>
      <c r="K518" t="n">
        <v>0</v>
      </c>
      <c r="L518" t="n">
        <v>0</v>
      </c>
      <c r="M518" t="n">
        <v>0</v>
      </c>
      <c r="N518" t="n">
        <v>0</v>
      </c>
      <c r="O518" t="n">
        <v>1</v>
      </c>
      <c r="P518" t="n">
        <v>0</v>
      </c>
      <c r="Q518" t="n">
        <v>1</v>
      </c>
      <c r="R518" s="2" t="inlineStr">
        <is>
          <t>Spillkråka</t>
        </is>
      </c>
      <c r="S518">
        <f>HYPERLINK("https://klasma.github.io/Logging_2580/artfynd/A 44253-2022 artfynd.xlsx", "A 44253-2022")</f>
        <v/>
      </c>
      <c r="T518">
        <f>HYPERLINK("https://klasma.github.io/Logging_2580/kartor/A 44253-2022 karta.png", "A 44253-2022")</f>
        <v/>
      </c>
      <c r="V518">
        <f>HYPERLINK("https://klasma.github.io/Logging_2580/klagomål/A 44253-2022 FSC-klagomål.docx", "A 44253-2022")</f>
        <v/>
      </c>
      <c r="W518">
        <f>HYPERLINK("https://klasma.github.io/Logging_2580/klagomålsmail/A 44253-2022 FSC-klagomål mail.docx", "A 44253-2022")</f>
        <v/>
      </c>
      <c r="X518">
        <f>HYPERLINK("https://klasma.github.io/Logging_2580/tillsyn/A 44253-2022 tillsynsbegäran.docx", "A 44253-2022")</f>
        <v/>
      </c>
      <c r="Y518">
        <f>HYPERLINK("https://klasma.github.io/Logging_2580/tillsynsmail/A 44253-2022 tillsynsbegäran mail.docx", "A 44253-2022")</f>
        <v/>
      </c>
      <c r="Z518">
        <f>HYPERLINK("https://klasma.github.io/Logging_2580/fåglar/A 44253-2022 prioriterade fågelarter.docx", "A 44253-2022")</f>
        <v/>
      </c>
    </row>
    <row r="519" ht="15" customHeight="1">
      <c r="A519" t="inlineStr">
        <is>
          <t>A 47030-2021</t>
        </is>
      </c>
      <c r="B519" s="1" t="n">
        <v>44446.60008101852</v>
      </c>
      <c r="C519" s="1" t="n">
        <v>46046</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39884-2021</t>
        </is>
      </c>
      <c r="B520" s="1" t="n">
        <v>44417.69528935185</v>
      </c>
      <c r="C520" s="1" t="n">
        <v>46046</v>
      </c>
      <c r="D520" t="inlineStr">
        <is>
          <t>NORRBOTTENS LÄN</t>
        </is>
      </c>
      <c r="E520" t="inlineStr">
        <is>
          <t>BODEN</t>
        </is>
      </c>
      <c r="G520" t="n">
        <v>5.1</v>
      </c>
      <c r="H520" t="n">
        <v>1</v>
      </c>
      <c r="I520" t="n">
        <v>0</v>
      </c>
      <c r="J520" t="n">
        <v>0</v>
      </c>
      <c r="K520" t="n">
        <v>0</v>
      </c>
      <c r="L520" t="n">
        <v>0</v>
      </c>
      <c r="M520" t="n">
        <v>0</v>
      </c>
      <c r="N520" t="n">
        <v>0</v>
      </c>
      <c r="O520" t="n">
        <v>0</v>
      </c>
      <c r="P520" t="n">
        <v>0</v>
      </c>
      <c r="Q520" t="n">
        <v>1</v>
      </c>
      <c r="R520" s="2" t="inlineStr">
        <is>
          <t>Vanlig padda</t>
        </is>
      </c>
      <c r="S520">
        <f>HYPERLINK("https://klasma.github.io/Logging_2582/artfynd/A 39884-2021 artfynd.xlsx", "A 39884-2021")</f>
        <v/>
      </c>
      <c r="T520">
        <f>HYPERLINK("https://klasma.github.io/Logging_2582/kartor/A 39884-2021 karta.png", "A 39884-2021")</f>
        <v/>
      </c>
      <c r="V520">
        <f>HYPERLINK("https://klasma.github.io/Logging_2582/klagomål/A 39884-2021 FSC-klagomål.docx", "A 39884-2021")</f>
        <v/>
      </c>
      <c r="W520">
        <f>HYPERLINK("https://klasma.github.io/Logging_2582/klagomålsmail/A 39884-2021 FSC-klagomål mail.docx", "A 39884-2021")</f>
        <v/>
      </c>
      <c r="X520">
        <f>HYPERLINK("https://klasma.github.io/Logging_2582/tillsyn/A 39884-2021 tillsynsbegäran.docx", "A 39884-2021")</f>
        <v/>
      </c>
      <c r="Y520">
        <f>HYPERLINK("https://klasma.github.io/Logging_2582/tillsynsmail/A 39884-2021 tillsynsbegäran mail.docx", "A 39884-2021")</f>
        <v/>
      </c>
    </row>
    <row r="521" ht="15" customHeight="1">
      <c r="A521" t="inlineStr">
        <is>
          <t>A 57926-2021</t>
        </is>
      </c>
      <c r="B521" s="1" t="n">
        <v>44487</v>
      </c>
      <c r="C521" s="1" t="n">
        <v>46046</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71289-2021</t>
        </is>
      </c>
      <c r="B522" s="1" t="n">
        <v>44538</v>
      </c>
      <c r="C522" s="1" t="n">
        <v>46046</v>
      </c>
      <c r="D522" t="inlineStr">
        <is>
          <t>NORRBOTTENS LÄN</t>
        </is>
      </c>
      <c r="E522" t="inlineStr">
        <is>
          <t>PITEÅ</t>
        </is>
      </c>
      <c r="G522" t="n">
        <v>3.8</v>
      </c>
      <c r="H522" t="n">
        <v>0</v>
      </c>
      <c r="I522" t="n">
        <v>0</v>
      </c>
      <c r="J522" t="n">
        <v>1</v>
      </c>
      <c r="K522" t="n">
        <v>0</v>
      </c>
      <c r="L522" t="n">
        <v>0</v>
      </c>
      <c r="M522" t="n">
        <v>0</v>
      </c>
      <c r="N522" t="n">
        <v>0</v>
      </c>
      <c r="O522" t="n">
        <v>1</v>
      </c>
      <c r="P522" t="n">
        <v>0</v>
      </c>
      <c r="Q522" t="n">
        <v>1</v>
      </c>
      <c r="R522" s="2" t="inlineStr">
        <is>
          <t>Tallticka</t>
        </is>
      </c>
      <c r="S522">
        <f>HYPERLINK("https://klasma.github.io/Logging_2581/artfynd/A 71289-2021 artfynd.xlsx", "A 71289-2021")</f>
        <v/>
      </c>
      <c r="T522">
        <f>HYPERLINK("https://klasma.github.io/Logging_2581/kartor/A 71289-2021 karta.png", "A 71289-2021")</f>
        <v/>
      </c>
      <c r="V522">
        <f>HYPERLINK("https://klasma.github.io/Logging_2581/klagomål/A 71289-2021 FSC-klagomål.docx", "A 71289-2021")</f>
        <v/>
      </c>
      <c r="W522">
        <f>HYPERLINK("https://klasma.github.io/Logging_2581/klagomålsmail/A 71289-2021 FSC-klagomål mail.docx", "A 71289-2021")</f>
        <v/>
      </c>
      <c r="X522">
        <f>HYPERLINK("https://klasma.github.io/Logging_2581/tillsyn/A 71289-2021 tillsynsbegäran.docx", "A 71289-2021")</f>
        <v/>
      </c>
      <c r="Y522">
        <f>HYPERLINK("https://klasma.github.io/Logging_2581/tillsynsmail/A 71289-2021 tillsynsbegäran mail.docx", "A 71289-2021")</f>
        <v/>
      </c>
    </row>
    <row r="523" ht="15" customHeight="1">
      <c r="A523" t="inlineStr">
        <is>
          <t>A 40779-2021</t>
        </is>
      </c>
      <c r="B523" s="1" t="n">
        <v>44421</v>
      </c>
      <c r="C523" s="1" t="n">
        <v>46046</v>
      </c>
      <c r="D523" t="inlineStr">
        <is>
          <t>NORRBOTTENS LÄN</t>
        </is>
      </c>
      <c r="E523" t="inlineStr">
        <is>
          <t>BODEN</t>
        </is>
      </c>
      <c r="F523" t="inlineStr">
        <is>
          <t>Sveaskog</t>
        </is>
      </c>
      <c r="G523" t="n">
        <v>4.8</v>
      </c>
      <c r="H523" t="n">
        <v>0</v>
      </c>
      <c r="I523" t="n">
        <v>0</v>
      </c>
      <c r="J523" t="n">
        <v>1</v>
      </c>
      <c r="K523" t="n">
        <v>0</v>
      </c>
      <c r="L523" t="n">
        <v>0</v>
      </c>
      <c r="M523" t="n">
        <v>0</v>
      </c>
      <c r="N523" t="n">
        <v>0</v>
      </c>
      <c r="O523" t="n">
        <v>1</v>
      </c>
      <c r="P523" t="n">
        <v>0</v>
      </c>
      <c r="Q523" t="n">
        <v>1</v>
      </c>
      <c r="R523" s="2" t="inlineStr">
        <is>
          <t>Garnlav</t>
        </is>
      </c>
      <c r="S523">
        <f>HYPERLINK("https://klasma.github.io/Logging_2582/artfynd/A 40779-2021 artfynd.xlsx", "A 40779-2021")</f>
        <v/>
      </c>
      <c r="T523">
        <f>HYPERLINK("https://klasma.github.io/Logging_2582/kartor/A 40779-2021 karta.png", "A 40779-2021")</f>
        <v/>
      </c>
      <c r="V523">
        <f>HYPERLINK("https://klasma.github.io/Logging_2582/klagomål/A 40779-2021 FSC-klagomål.docx", "A 40779-2021")</f>
        <v/>
      </c>
      <c r="W523">
        <f>HYPERLINK("https://klasma.github.io/Logging_2582/klagomålsmail/A 40779-2021 FSC-klagomål mail.docx", "A 40779-2021")</f>
        <v/>
      </c>
      <c r="X523">
        <f>HYPERLINK("https://klasma.github.io/Logging_2582/tillsyn/A 40779-2021 tillsynsbegäran.docx", "A 40779-2021")</f>
        <v/>
      </c>
      <c r="Y523">
        <f>HYPERLINK("https://klasma.github.io/Logging_2582/tillsynsmail/A 40779-2021 tillsynsbegäran mail.docx", "A 40779-2021")</f>
        <v/>
      </c>
    </row>
    <row r="524" ht="15" customHeight="1">
      <c r="A524" t="inlineStr">
        <is>
          <t>A 30239-2021</t>
        </is>
      </c>
      <c r="B524" s="1" t="n">
        <v>44363.75064814815</v>
      </c>
      <c r="C524" s="1" t="n">
        <v>46046</v>
      </c>
      <c r="D524" t="inlineStr">
        <is>
          <t>NORRBOTTENS LÄN</t>
        </is>
      </c>
      <c r="E524" t="inlineStr">
        <is>
          <t>PAJALA</t>
        </is>
      </c>
      <c r="F524" t="inlineStr">
        <is>
          <t>Sveaskog</t>
        </is>
      </c>
      <c r="G524" t="n">
        <v>22.8</v>
      </c>
      <c r="H524" t="n">
        <v>0</v>
      </c>
      <c r="I524" t="n">
        <v>0</v>
      </c>
      <c r="J524" t="n">
        <v>0</v>
      </c>
      <c r="K524" t="n">
        <v>1</v>
      </c>
      <c r="L524" t="n">
        <v>0</v>
      </c>
      <c r="M524" t="n">
        <v>0</v>
      </c>
      <c r="N524" t="n">
        <v>0</v>
      </c>
      <c r="O524" t="n">
        <v>1</v>
      </c>
      <c r="P524" t="n">
        <v>1</v>
      </c>
      <c r="Q524" t="n">
        <v>1</v>
      </c>
      <c r="R524" s="2" t="inlineStr">
        <is>
          <t>Gräddporing</t>
        </is>
      </c>
      <c r="S524">
        <f>HYPERLINK("https://klasma.github.io/Logging_2521/artfynd/A 30239-2021 artfynd.xlsx", "A 30239-2021")</f>
        <v/>
      </c>
      <c r="T524">
        <f>HYPERLINK("https://klasma.github.io/Logging_2521/kartor/A 30239-2021 karta.png", "A 30239-2021")</f>
        <v/>
      </c>
      <c r="V524">
        <f>HYPERLINK("https://klasma.github.io/Logging_2521/klagomål/A 30239-2021 FSC-klagomål.docx", "A 30239-2021")</f>
        <v/>
      </c>
      <c r="W524">
        <f>HYPERLINK("https://klasma.github.io/Logging_2521/klagomålsmail/A 30239-2021 FSC-klagomål mail.docx", "A 30239-2021")</f>
        <v/>
      </c>
      <c r="X524">
        <f>HYPERLINK("https://klasma.github.io/Logging_2521/tillsyn/A 30239-2021 tillsynsbegäran.docx", "A 30239-2021")</f>
        <v/>
      </c>
      <c r="Y524">
        <f>HYPERLINK("https://klasma.github.io/Logging_2521/tillsynsmail/A 30239-2021 tillsynsbegäran mail.docx", "A 30239-2021")</f>
        <v/>
      </c>
    </row>
    <row r="525" ht="15" customHeight="1">
      <c r="A525" t="inlineStr">
        <is>
          <t>A 25517-2021</t>
        </is>
      </c>
      <c r="B525" s="1" t="n">
        <v>44342</v>
      </c>
      <c r="C525" s="1" t="n">
        <v>46046</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57994-2021</t>
        </is>
      </c>
      <c r="B526" s="1" t="n">
        <v>44487</v>
      </c>
      <c r="C526" s="1" t="n">
        <v>46046</v>
      </c>
      <c r="D526" t="inlineStr">
        <is>
          <t>NORRBOTTENS LÄN</t>
        </is>
      </c>
      <c r="E526" t="inlineStr">
        <is>
          <t>ARVIDSJAUR</t>
        </is>
      </c>
      <c r="F526" t="inlineStr">
        <is>
          <t>Sveaskog</t>
        </is>
      </c>
      <c r="G526" t="n">
        <v>12.9</v>
      </c>
      <c r="H526" t="n">
        <v>1</v>
      </c>
      <c r="I526" t="n">
        <v>0</v>
      </c>
      <c r="J526" t="n">
        <v>1</v>
      </c>
      <c r="K526" t="n">
        <v>0</v>
      </c>
      <c r="L526" t="n">
        <v>0</v>
      </c>
      <c r="M526" t="n">
        <v>0</v>
      </c>
      <c r="N526" t="n">
        <v>0</v>
      </c>
      <c r="O526" t="n">
        <v>1</v>
      </c>
      <c r="P526" t="n">
        <v>0</v>
      </c>
      <c r="Q526" t="n">
        <v>1</v>
      </c>
      <c r="R526" s="2" t="inlineStr">
        <is>
          <t>Kungsörn</t>
        </is>
      </c>
      <c r="S526">
        <f>HYPERLINK("https://klasma.github.io/Logging_2505/artfynd/A 57994-2021 artfynd.xlsx", "A 57994-2021")</f>
        <v/>
      </c>
      <c r="T526">
        <f>HYPERLINK("https://klasma.github.io/Logging_2505/kartor/A 57994-2021 karta.png", "A 57994-2021")</f>
        <v/>
      </c>
      <c r="V526">
        <f>HYPERLINK("https://klasma.github.io/Logging_2505/klagomål/A 57994-2021 FSC-klagomål.docx", "A 57994-2021")</f>
        <v/>
      </c>
      <c r="W526">
        <f>HYPERLINK("https://klasma.github.io/Logging_2505/klagomålsmail/A 57994-2021 FSC-klagomål mail.docx", "A 57994-2021")</f>
        <v/>
      </c>
      <c r="X526">
        <f>HYPERLINK("https://klasma.github.io/Logging_2505/tillsyn/A 57994-2021 tillsynsbegäran.docx", "A 57994-2021")</f>
        <v/>
      </c>
      <c r="Y526">
        <f>HYPERLINK("https://klasma.github.io/Logging_2505/tillsynsmail/A 57994-2021 tillsynsbegäran mail.docx", "A 57994-2021")</f>
        <v/>
      </c>
      <c r="Z526">
        <f>HYPERLINK("https://klasma.github.io/Logging_2505/fåglar/A 57994-2021 prioriterade fågelarter.docx", "A 57994-2021")</f>
        <v/>
      </c>
    </row>
    <row r="527" ht="15" customHeight="1">
      <c r="A527" t="inlineStr">
        <is>
          <t>A 58201-2021</t>
        </is>
      </c>
      <c r="B527" s="1" t="n">
        <v>44487</v>
      </c>
      <c r="C527" s="1" t="n">
        <v>46046</v>
      </c>
      <c r="D527" t="inlineStr">
        <is>
          <t>NORRBOTTENS LÄN</t>
        </is>
      </c>
      <c r="E527" t="inlineStr">
        <is>
          <t>ÄLVSBYN</t>
        </is>
      </c>
      <c r="F527" t="inlineStr">
        <is>
          <t>Sveaskog</t>
        </is>
      </c>
      <c r="G527" t="n">
        <v>13.4</v>
      </c>
      <c r="H527" t="n">
        <v>1</v>
      </c>
      <c r="I527" t="n">
        <v>0</v>
      </c>
      <c r="J527" t="n">
        <v>0</v>
      </c>
      <c r="K527" t="n">
        <v>1</v>
      </c>
      <c r="L527" t="n">
        <v>0</v>
      </c>
      <c r="M527" t="n">
        <v>0</v>
      </c>
      <c r="N527" t="n">
        <v>0</v>
      </c>
      <c r="O527" t="n">
        <v>1</v>
      </c>
      <c r="P527" t="n">
        <v>1</v>
      </c>
      <c r="Q527" t="n">
        <v>1</v>
      </c>
      <c r="R527" s="2" t="inlineStr">
        <is>
          <t>Lappuggla</t>
        </is>
      </c>
      <c r="S527">
        <f>HYPERLINK("https://klasma.github.io/Logging_2560/artfynd/A 58201-2021 artfynd.xlsx", "A 58201-2021")</f>
        <v/>
      </c>
      <c r="T527">
        <f>HYPERLINK("https://klasma.github.io/Logging_2560/kartor/A 58201-2021 karta.png", "A 58201-2021")</f>
        <v/>
      </c>
      <c r="V527">
        <f>HYPERLINK("https://klasma.github.io/Logging_2560/klagomål/A 58201-2021 FSC-klagomål.docx", "A 58201-2021")</f>
        <v/>
      </c>
      <c r="W527">
        <f>HYPERLINK("https://klasma.github.io/Logging_2560/klagomålsmail/A 58201-2021 FSC-klagomål mail.docx", "A 58201-2021")</f>
        <v/>
      </c>
      <c r="X527">
        <f>HYPERLINK("https://klasma.github.io/Logging_2560/tillsyn/A 58201-2021 tillsynsbegäran.docx", "A 58201-2021")</f>
        <v/>
      </c>
      <c r="Y527">
        <f>HYPERLINK("https://klasma.github.io/Logging_2560/tillsynsmail/A 58201-2021 tillsynsbegäran mail.docx", "A 58201-2021")</f>
        <v/>
      </c>
      <c r="Z527">
        <f>HYPERLINK("https://klasma.github.io/Logging_2560/fåglar/A 58201-2021 prioriterade fågelarter.docx", "A 58201-2021")</f>
        <v/>
      </c>
    </row>
    <row r="528" ht="15" customHeight="1">
      <c r="A528" t="inlineStr">
        <is>
          <t>A 56551-2024</t>
        </is>
      </c>
      <c r="B528" s="1" t="n">
        <v>45625</v>
      </c>
      <c r="C528" s="1" t="n">
        <v>46046</v>
      </c>
      <c r="D528" t="inlineStr">
        <is>
          <t>NORRBOTTENS LÄN</t>
        </is>
      </c>
      <c r="E528" t="inlineStr">
        <is>
          <t>ÄLVSBYN</t>
        </is>
      </c>
      <c r="F528" t="inlineStr">
        <is>
          <t>Sveaskog</t>
        </is>
      </c>
      <c r="G528" t="n">
        <v>4.3</v>
      </c>
      <c r="H528" t="n">
        <v>0</v>
      </c>
      <c r="I528" t="n">
        <v>1</v>
      </c>
      <c r="J528" t="n">
        <v>0</v>
      </c>
      <c r="K528" t="n">
        <v>0</v>
      </c>
      <c r="L528" t="n">
        <v>0</v>
      </c>
      <c r="M528" t="n">
        <v>0</v>
      </c>
      <c r="N528" t="n">
        <v>0</v>
      </c>
      <c r="O528" t="n">
        <v>0</v>
      </c>
      <c r="P528" t="n">
        <v>0</v>
      </c>
      <c r="Q528" t="n">
        <v>1</v>
      </c>
      <c r="R528" s="2" t="inlineStr">
        <is>
          <t>Dropptaggsvamp</t>
        </is>
      </c>
      <c r="S528">
        <f>HYPERLINK("https://klasma.github.io/Logging_2560/artfynd/A 56551-2024 artfynd.xlsx", "A 56551-2024")</f>
        <v/>
      </c>
      <c r="T528">
        <f>HYPERLINK("https://klasma.github.io/Logging_2560/kartor/A 56551-2024 karta.png", "A 56551-2024")</f>
        <v/>
      </c>
      <c r="V528">
        <f>HYPERLINK("https://klasma.github.io/Logging_2560/klagomål/A 56551-2024 FSC-klagomål.docx", "A 56551-2024")</f>
        <v/>
      </c>
      <c r="W528">
        <f>HYPERLINK("https://klasma.github.io/Logging_2560/klagomålsmail/A 56551-2024 FSC-klagomål mail.docx", "A 56551-2024")</f>
        <v/>
      </c>
      <c r="X528">
        <f>HYPERLINK("https://klasma.github.io/Logging_2560/tillsyn/A 56551-2024 tillsynsbegäran.docx", "A 56551-2024")</f>
        <v/>
      </c>
      <c r="Y528">
        <f>HYPERLINK("https://klasma.github.io/Logging_2560/tillsynsmail/A 56551-2024 tillsynsbegäran mail.docx", "A 56551-2024")</f>
        <v/>
      </c>
    </row>
    <row r="529" ht="15" customHeight="1">
      <c r="A529" t="inlineStr">
        <is>
          <t>A 39289-2021</t>
        </is>
      </c>
      <c r="B529" s="1" t="n">
        <v>44413</v>
      </c>
      <c r="C529" s="1" t="n">
        <v>46046</v>
      </c>
      <c r="D529" t="inlineStr">
        <is>
          <t>NORRBOTTENS LÄN</t>
        </is>
      </c>
      <c r="E529" t="inlineStr">
        <is>
          <t>PAJALA</t>
        </is>
      </c>
      <c r="F529" t="inlineStr">
        <is>
          <t>Sveaskog</t>
        </is>
      </c>
      <c r="G529" t="n">
        <v>10.7</v>
      </c>
      <c r="H529" t="n">
        <v>1</v>
      </c>
      <c r="I529" t="n">
        <v>0</v>
      </c>
      <c r="J529" t="n">
        <v>0</v>
      </c>
      <c r="K529" t="n">
        <v>0</v>
      </c>
      <c r="L529" t="n">
        <v>0</v>
      </c>
      <c r="M529" t="n">
        <v>0</v>
      </c>
      <c r="N529" t="n">
        <v>0</v>
      </c>
      <c r="O529" t="n">
        <v>0</v>
      </c>
      <c r="P529" t="n">
        <v>0</v>
      </c>
      <c r="Q529" t="n">
        <v>1</v>
      </c>
      <c r="R529" s="2" t="inlineStr">
        <is>
          <t>Revlummer</t>
        </is>
      </c>
      <c r="S529">
        <f>HYPERLINK("https://klasma.github.io/Logging_2521/artfynd/A 39289-2021 artfynd.xlsx", "A 39289-2021")</f>
        <v/>
      </c>
      <c r="T529">
        <f>HYPERLINK("https://klasma.github.io/Logging_2521/kartor/A 39289-2021 karta.png", "A 39289-2021")</f>
        <v/>
      </c>
      <c r="V529">
        <f>HYPERLINK("https://klasma.github.io/Logging_2521/klagomål/A 39289-2021 FSC-klagomål.docx", "A 39289-2021")</f>
        <v/>
      </c>
      <c r="W529">
        <f>HYPERLINK("https://klasma.github.io/Logging_2521/klagomålsmail/A 39289-2021 FSC-klagomål mail.docx", "A 39289-2021")</f>
        <v/>
      </c>
      <c r="X529">
        <f>HYPERLINK("https://klasma.github.io/Logging_2521/tillsyn/A 39289-2021 tillsynsbegäran.docx", "A 39289-2021")</f>
        <v/>
      </c>
      <c r="Y529">
        <f>HYPERLINK("https://klasma.github.io/Logging_2521/tillsynsmail/A 39289-2021 tillsynsbegäran mail.docx", "A 39289-2021")</f>
        <v/>
      </c>
    </row>
    <row r="530" ht="15" customHeight="1">
      <c r="A530" t="inlineStr">
        <is>
          <t>A 44768-2022</t>
        </is>
      </c>
      <c r="B530" s="1" t="n">
        <v>44840</v>
      </c>
      <c r="C530" s="1" t="n">
        <v>46046</v>
      </c>
      <c r="D530" t="inlineStr">
        <is>
          <t>NORRBOTTENS LÄN</t>
        </is>
      </c>
      <c r="E530" t="inlineStr">
        <is>
          <t>BODEN</t>
        </is>
      </c>
      <c r="F530" t="inlineStr">
        <is>
          <t>SCA</t>
        </is>
      </c>
      <c r="G530" t="n">
        <v>6.1</v>
      </c>
      <c r="H530" t="n">
        <v>0</v>
      </c>
      <c r="I530" t="n">
        <v>0</v>
      </c>
      <c r="J530" t="n">
        <v>1</v>
      </c>
      <c r="K530" t="n">
        <v>0</v>
      </c>
      <c r="L530" t="n">
        <v>0</v>
      </c>
      <c r="M530" t="n">
        <v>0</v>
      </c>
      <c r="N530" t="n">
        <v>0</v>
      </c>
      <c r="O530" t="n">
        <v>1</v>
      </c>
      <c r="P530" t="n">
        <v>0</v>
      </c>
      <c r="Q530" t="n">
        <v>1</v>
      </c>
      <c r="R530" s="2" t="inlineStr">
        <is>
          <t>Motaggsvamp</t>
        </is>
      </c>
      <c r="S530">
        <f>HYPERLINK("https://klasma.github.io/Logging_2582/artfynd/A 44768-2022 artfynd.xlsx", "A 44768-2022")</f>
        <v/>
      </c>
      <c r="T530">
        <f>HYPERLINK("https://klasma.github.io/Logging_2582/kartor/A 44768-2022 karta.png", "A 44768-2022")</f>
        <v/>
      </c>
      <c r="V530">
        <f>HYPERLINK("https://klasma.github.io/Logging_2582/klagomål/A 44768-2022 FSC-klagomål.docx", "A 44768-2022")</f>
        <v/>
      </c>
      <c r="W530">
        <f>HYPERLINK("https://klasma.github.io/Logging_2582/klagomålsmail/A 44768-2022 FSC-klagomål mail.docx", "A 44768-2022")</f>
        <v/>
      </c>
      <c r="X530">
        <f>HYPERLINK("https://klasma.github.io/Logging_2582/tillsyn/A 44768-2022 tillsynsbegäran.docx", "A 44768-2022")</f>
        <v/>
      </c>
      <c r="Y530">
        <f>HYPERLINK("https://klasma.github.io/Logging_2582/tillsynsmail/A 44768-2022 tillsynsbegäran mail.docx", "A 44768-2022")</f>
        <v/>
      </c>
    </row>
    <row r="531" ht="15" customHeight="1">
      <c r="A531" t="inlineStr">
        <is>
          <t>A 2568-2024</t>
        </is>
      </c>
      <c r="B531" s="1" t="n">
        <v>45313.6253125</v>
      </c>
      <c r="C531" s="1" t="n">
        <v>46046</v>
      </c>
      <c r="D531" t="inlineStr">
        <is>
          <t>NORRBOTTENS LÄN</t>
        </is>
      </c>
      <c r="E531" t="inlineStr">
        <is>
          <t>BODEN</t>
        </is>
      </c>
      <c r="G531" t="n">
        <v>1.6</v>
      </c>
      <c r="H531" t="n">
        <v>0</v>
      </c>
      <c r="I531" t="n">
        <v>0</v>
      </c>
      <c r="J531" t="n">
        <v>1</v>
      </c>
      <c r="K531" t="n">
        <v>0</v>
      </c>
      <c r="L531" t="n">
        <v>0</v>
      </c>
      <c r="M531" t="n">
        <v>0</v>
      </c>
      <c r="N531" t="n">
        <v>0</v>
      </c>
      <c r="O531" t="n">
        <v>1</v>
      </c>
      <c r="P531" t="n">
        <v>0</v>
      </c>
      <c r="Q531" t="n">
        <v>1</v>
      </c>
      <c r="R531" s="2" t="inlineStr">
        <is>
          <t>Blå taggsvamp</t>
        </is>
      </c>
      <c r="S531">
        <f>HYPERLINK("https://klasma.github.io/Logging_2582/artfynd/A 2568-2024 artfynd.xlsx", "A 2568-2024")</f>
        <v/>
      </c>
      <c r="T531">
        <f>HYPERLINK("https://klasma.github.io/Logging_2582/kartor/A 2568-2024 karta.png", "A 2568-2024")</f>
        <v/>
      </c>
      <c r="V531">
        <f>HYPERLINK("https://klasma.github.io/Logging_2582/klagomål/A 2568-2024 FSC-klagomål.docx", "A 2568-2024")</f>
        <v/>
      </c>
      <c r="W531">
        <f>HYPERLINK("https://klasma.github.io/Logging_2582/klagomålsmail/A 2568-2024 FSC-klagomål mail.docx", "A 2568-2024")</f>
        <v/>
      </c>
      <c r="X531">
        <f>HYPERLINK("https://klasma.github.io/Logging_2582/tillsyn/A 2568-2024 tillsynsbegäran.docx", "A 2568-2024")</f>
        <v/>
      </c>
      <c r="Y531">
        <f>HYPERLINK("https://klasma.github.io/Logging_2582/tillsynsmail/A 2568-2024 tillsynsbegäran mail.docx", "A 2568-2024")</f>
        <v/>
      </c>
    </row>
    <row r="532" ht="15" customHeight="1">
      <c r="A532" t="inlineStr">
        <is>
          <t>A 30881-2021</t>
        </is>
      </c>
      <c r="B532" s="1" t="n">
        <v>44365</v>
      </c>
      <c r="C532" s="1" t="n">
        <v>46046</v>
      </c>
      <c r="D532" t="inlineStr">
        <is>
          <t>NORRBOTTENS LÄN</t>
        </is>
      </c>
      <c r="E532" t="inlineStr">
        <is>
          <t>BODEN</t>
        </is>
      </c>
      <c r="F532" t="inlineStr">
        <is>
          <t>Sveaskog</t>
        </is>
      </c>
      <c r="G532" t="n">
        <v>1</v>
      </c>
      <c r="H532" t="n">
        <v>0</v>
      </c>
      <c r="I532" t="n">
        <v>0</v>
      </c>
      <c r="J532" t="n">
        <v>0</v>
      </c>
      <c r="K532" t="n">
        <v>1</v>
      </c>
      <c r="L532" t="n">
        <v>0</v>
      </c>
      <c r="M532" t="n">
        <v>0</v>
      </c>
      <c r="N532" t="n">
        <v>0</v>
      </c>
      <c r="O532" t="n">
        <v>1</v>
      </c>
      <c r="P532" t="n">
        <v>1</v>
      </c>
      <c r="Q532" t="n">
        <v>1</v>
      </c>
      <c r="R532" s="2" t="inlineStr">
        <is>
          <t>Tallgråticka</t>
        </is>
      </c>
      <c r="S532">
        <f>HYPERLINK("https://klasma.github.io/Logging_2582/artfynd/A 30881-2021 artfynd.xlsx", "A 30881-2021")</f>
        <v/>
      </c>
      <c r="T532">
        <f>HYPERLINK("https://klasma.github.io/Logging_2582/kartor/A 30881-2021 karta.png", "A 30881-2021")</f>
        <v/>
      </c>
      <c r="V532">
        <f>HYPERLINK("https://klasma.github.io/Logging_2582/klagomål/A 30881-2021 FSC-klagomål.docx", "A 30881-2021")</f>
        <v/>
      </c>
      <c r="W532">
        <f>HYPERLINK("https://klasma.github.io/Logging_2582/klagomålsmail/A 30881-2021 FSC-klagomål mail.docx", "A 30881-2021")</f>
        <v/>
      </c>
      <c r="X532">
        <f>HYPERLINK("https://klasma.github.io/Logging_2582/tillsyn/A 30881-2021 tillsynsbegäran.docx", "A 30881-2021")</f>
        <v/>
      </c>
      <c r="Y532">
        <f>HYPERLINK("https://klasma.github.io/Logging_2582/tillsynsmail/A 30881-2021 tillsynsbegäran mail.docx", "A 30881-2021")</f>
        <v/>
      </c>
    </row>
    <row r="533" ht="15" customHeight="1">
      <c r="A533" t="inlineStr">
        <is>
          <t>A 35037-2022</t>
        </is>
      </c>
      <c r="B533" s="1" t="n">
        <v>44796</v>
      </c>
      <c r="C533" s="1" t="n">
        <v>46046</v>
      </c>
      <c r="D533" t="inlineStr">
        <is>
          <t>NORRBOTTENS LÄN</t>
        </is>
      </c>
      <c r="E533" t="inlineStr">
        <is>
          <t>BODEN</t>
        </is>
      </c>
      <c r="G533" t="n">
        <v>0.6</v>
      </c>
      <c r="H533" t="n">
        <v>1</v>
      </c>
      <c r="I533" t="n">
        <v>0</v>
      </c>
      <c r="J533" t="n">
        <v>1</v>
      </c>
      <c r="K533" t="n">
        <v>0</v>
      </c>
      <c r="L533" t="n">
        <v>0</v>
      </c>
      <c r="M533" t="n">
        <v>0</v>
      </c>
      <c r="N533" t="n">
        <v>0</v>
      </c>
      <c r="O533" t="n">
        <v>1</v>
      </c>
      <c r="P533" t="n">
        <v>0</v>
      </c>
      <c r="Q533" t="n">
        <v>1</v>
      </c>
      <c r="R533" s="2" t="inlineStr">
        <is>
          <t>Rödvingetrast</t>
        </is>
      </c>
      <c r="S533">
        <f>HYPERLINK("https://klasma.github.io/Logging_2582/artfynd/A 35037-2022 artfynd.xlsx", "A 35037-2022")</f>
        <v/>
      </c>
      <c r="T533">
        <f>HYPERLINK("https://klasma.github.io/Logging_2582/kartor/A 35037-2022 karta.png", "A 35037-2022")</f>
        <v/>
      </c>
      <c r="V533">
        <f>HYPERLINK("https://klasma.github.io/Logging_2582/klagomål/A 35037-2022 FSC-klagomål.docx", "A 35037-2022")</f>
        <v/>
      </c>
      <c r="W533">
        <f>HYPERLINK("https://klasma.github.io/Logging_2582/klagomålsmail/A 35037-2022 FSC-klagomål mail.docx", "A 35037-2022")</f>
        <v/>
      </c>
      <c r="X533">
        <f>HYPERLINK("https://klasma.github.io/Logging_2582/tillsyn/A 35037-2022 tillsynsbegäran.docx", "A 35037-2022")</f>
        <v/>
      </c>
      <c r="Y533">
        <f>HYPERLINK("https://klasma.github.io/Logging_2582/tillsynsmail/A 35037-2022 tillsynsbegäran mail.docx", "A 35037-2022")</f>
        <v/>
      </c>
      <c r="Z533">
        <f>HYPERLINK("https://klasma.github.io/Logging_2582/fåglar/A 35037-2022 prioriterade fågelarter.docx", "A 35037-2022")</f>
        <v/>
      </c>
    </row>
    <row r="534" ht="15" customHeight="1">
      <c r="A534" t="inlineStr">
        <is>
          <t>A 48899-2024</t>
        </is>
      </c>
      <c r="B534" s="1" t="n">
        <v>45594</v>
      </c>
      <c r="C534" s="1" t="n">
        <v>46046</v>
      </c>
      <c r="D534" t="inlineStr">
        <is>
          <t>NORRBOTTENS LÄN</t>
        </is>
      </c>
      <c r="E534" t="inlineStr">
        <is>
          <t>BODEN</t>
        </is>
      </c>
      <c r="F534" t="inlineStr">
        <is>
          <t>SCA</t>
        </is>
      </c>
      <c r="G534" t="n">
        <v>18</v>
      </c>
      <c r="H534" t="n">
        <v>1</v>
      </c>
      <c r="I534" t="n">
        <v>0</v>
      </c>
      <c r="J534" t="n">
        <v>0</v>
      </c>
      <c r="K534" t="n">
        <v>0</v>
      </c>
      <c r="L534" t="n">
        <v>0</v>
      </c>
      <c r="M534" t="n">
        <v>0</v>
      </c>
      <c r="N534" t="n">
        <v>0</v>
      </c>
      <c r="O534" t="n">
        <v>0</v>
      </c>
      <c r="P534" t="n">
        <v>0</v>
      </c>
      <c r="Q534" t="n">
        <v>1</v>
      </c>
      <c r="R534" s="2" t="inlineStr">
        <is>
          <t>Fläcknycklar</t>
        </is>
      </c>
      <c r="S534">
        <f>HYPERLINK("https://klasma.github.io/Logging_2582/artfynd/A 48899-2024 artfynd.xlsx", "A 48899-2024")</f>
        <v/>
      </c>
      <c r="T534">
        <f>HYPERLINK("https://klasma.github.io/Logging_2582/kartor/A 48899-2024 karta.png", "A 48899-2024")</f>
        <v/>
      </c>
      <c r="V534">
        <f>HYPERLINK("https://klasma.github.io/Logging_2582/klagomål/A 48899-2024 FSC-klagomål.docx", "A 48899-2024")</f>
        <v/>
      </c>
      <c r="W534">
        <f>HYPERLINK("https://klasma.github.io/Logging_2582/klagomålsmail/A 48899-2024 FSC-klagomål mail.docx", "A 48899-2024")</f>
        <v/>
      </c>
      <c r="X534">
        <f>HYPERLINK("https://klasma.github.io/Logging_2582/tillsyn/A 48899-2024 tillsynsbegäran.docx", "A 48899-2024")</f>
        <v/>
      </c>
      <c r="Y534">
        <f>HYPERLINK("https://klasma.github.io/Logging_2582/tillsynsmail/A 48899-2024 tillsynsbegäran mail.docx", "A 48899-2024")</f>
        <v/>
      </c>
    </row>
    <row r="535" ht="15" customHeight="1">
      <c r="A535" t="inlineStr">
        <is>
          <t>A 43005-2021</t>
        </is>
      </c>
      <c r="B535" s="1" t="n">
        <v>44431</v>
      </c>
      <c r="C535" s="1" t="n">
        <v>46046</v>
      </c>
      <c r="D535" t="inlineStr">
        <is>
          <t>NORRBOTTENS LÄN</t>
        </is>
      </c>
      <c r="E535" t="inlineStr">
        <is>
          <t>ÄLVSBYN</t>
        </is>
      </c>
      <c r="G535" t="n">
        <v>5.5</v>
      </c>
      <c r="H535" t="n">
        <v>0</v>
      </c>
      <c r="I535" t="n">
        <v>0</v>
      </c>
      <c r="J535" t="n">
        <v>1</v>
      </c>
      <c r="K535" t="n">
        <v>0</v>
      </c>
      <c r="L535" t="n">
        <v>0</v>
      </c>
      <c r="M535" t="n">
        <v>0</v>
      </c>
      <c r="N535" t="n">
        <v>0</v>
      </c>
      <c r="O535" t="n">
        <v>1</v>
      </c>
      <c r="P535" t="n">
        <v>0</v>
      </c>
      <c r="Q535" t="n">
        <v>1</v>
      </c>
      <c r="R535" s="2" t="inlineStr">
        <is>
          <t>Tallticka</t>
        </is>
      </c>
      <c r="S535">
        <f>HYPERLINK("https://klasma.github.io/Logging_2560/artfynd/A 43005-2021 artfynd.xlsx", "A 43005-2021")</f>
        <v/>
      </c>
      <c r="T535">
        <f>HYPERLINK("https://klasma.github.io/Logging_2560/kartor/A 43005-2021 karta.png", "A 43005-2021")</f>
        <v/>
      </c>
      <c r="V535">
        <f>HYPERLINK("https://klasma.github.io/Logging_2560/klagomål/A 43005-2021 FSC-klagomål.docx", "A 43005-2021")</f>
        <v/>
      </c>
      <c r="W535">
        <f>HYPERLINK("https://klasma.github.io/Logging_2560/klagomålsmail/A 43005-2021 FSC-klagomål mail.docx", "A 43005-2021")</f>
        <v/>
      </c>
      <c r="X535">
        <f>HYPERLINK("https://klasma.github.io/Logging_2560/tillsyn/A 43005-2021 tillsynsbegäran.docx", "A 43005-2021")</f>
        <v/>
      </c>
      <c r="Y535">
        <f>HYPERLINK("https://klasma.github.io/Logging_2560/tillsynsmail/A 43005-2021 tillsynsbegäran mail.docx", "A 43005-2021")</f>
        <v/>
      </c>
    </row>
    <row r="536" ht="15" customHeight="1">
      <c r="A536" t="inlineStr">
        <is>
          <t>A 18678-2025</t>
        </is>
      </c>
      <c r="B536" s="1" t="n">
        <v>45763.60056712963</v>
      </c>
      <c r="C536" s="1" t="n">
        <v>46046</v>
      </c>
      <c r="D536" t="inlineStr">
        <is>
          <t>NORRBOTTENS LÄN</t>
        </is>
      </c>
      <c r="E536" t="inlineStr">
        <is>
          <t>BODEN</t>
        </is>
      </c>
      <c r="G536" t="n">
        <v>1.6</v>
      </c>
      <c r="H536" t="n">
        <v>0</v>
      </c>
      <c r="I536" t="n">
        <v>0</v>
      </c>
      <c r="J536" t="n">
        <v>1</v>
      </c>
      <c r="K536" t="n">
        <v>0</v>
      </c>
      <c r="L536" t="n">
        <v>0</v>
      </c>
      <c r="M536" t="n">
        <v>0</v>
      </c>
      <c r="N536" t="n">
        <v>0</v>
      </c>
      <c r="O536" t="n">
        <v>1</v>
      </c>
      <c r="P536" t="n">
        <v>0</v>
      </c>
      <c r="Q536" t="n">
        <v>1</v>
      </c>
      <c r="R536" s="2" t="inlineStr">
        <is>
          <t>Garnlav</t>
        </is>
      </c>
      <c r="S536">
        <f>HYPERLINK("https://klasma.github.io/Logging_2582/artfynd/A 18678-2025 artfynd.xlsx", "A 18678-2025")</f>
        <v/>
      </c>
      <c r="T536">
        <f>HYPERLINK("https://klasma.github.io/Logging_2582/kartor/A 18678-2025 karta.png", "A 18678-2025")</f>
        <v/>
      </c>
      <c r="V536">
        <f>HYPERLINK("https://klasma.github.io/Logging_2582/klagomål/A 18678-2025 FSC-klagomål.docx", "A 18678-2025")</f>
        <v/>
      </c>
      <c r="W536">
        <f>HYPERLINK("https://klasma.github.io/Logging_2582/klagomålsmail/A 18678-2025 FSC-klagomål mail.docx", "A 18678-2025")</f>
        <v/>
      </c>
      <c r="X536">
        <f>HYPERLINK("https://klasma.github.io/Logging_2582/tillsyn/A 18678-2025 tillsynsbegäran.docx", "A 18678-2025")</f>
        <v/>
      </c>
      <c r="Y536">
        <f>HYPERLINK("https://klasma.github.io/Logging_2582/tillsynsmail/A 18678-2025 tillsynsbegäran mail.docx", "A 18678-2025")</f>
        <v/>
      </c>
    </row>
    <row r="537" ht="15" customHeight="1">
      <c r="A537" t="inlineStr">
        <is>
          <t>A 45769-2021</t>
        </is>
      </c>
      <c r="B537" s="1" t="n">
        <v>44441</v>
      </c>
      <c r="C537" s="1" t="n">
        <v>46046</v>
      </c>
      <c r="D537" t="inlineStr">
        <is>
          <t>NORRBOTTENS LÄN</t>
        </is>
      </c>
      <c r="E537" t="inlineStr">
        <is>
          <t>ARVIDSJAUR</t>
        </is>
      </c>
      <c r="G537" t="n">
        <v>1.4</v>
      </c>
      <c r="H537" t="n">
        <v>1</v>
      </c>
      <c r="I537" t="n">
        <v>0</v>
      </c>
      <c r="J537" t="n">
        <v>0</v>
      </c>
      <c r="K537" t="n">
        <v>0</v>
      </c>
      <c r="L537" t="n">
        <v>0</v>
      </c>
      <c r="M537" t="n">
        <v>0</v>
      </c>
      <c r="N537" t="n">
        <v>0</v>
      </c>
      <c r="O537" t="n">
        <v>0</v>
      </c>
      <c r="P537" t="n">
        <v>0</v>
      </c>
      <c r="Q537" t="n">
        <v>1</v>
      </c>
      <c r="R537" s="2" t="inlineStr">
        <is>
          <t>Tjäder</t>
        </is>
      </c>
      <c r="S537">
        <f>HYPERLINK("https://klasma.github.io/Logging_2505/artfynd/A 45769-2021 artfynd.xlsx", "A 45769-2021")</f>
        <v/>
      </c>
      <c r="T537">
        <f>HYPERLINK("https://klasma.github.io/Logging_2505/kartor/A 45769-2021 karta.png", "A 45769-2021")</f>
        <v/>
      </c>
      <c r="V537">
        <f>HYPERLINK("https://klasma.github.io/Logging_2505/klagomål/A 45769-2021 FSC-klagomål.docx", "A 45769-2021")</f>
        <v/>
      </c>
      <c r="W537">
        <f>HYPERLINK("https://klasma.github.io/Logging_2505/klagomålsmail/A 45769-2021 FSC-klagomål mail.docx", "A 45769-2021")</f>
        <v/>
      </c>
      <c r="X537">
        <f>HYPERLINK("https://klasma.github.io/Logging_2505/tillsyn/A 45769-2021 tillsynsbegäran.docx", "A 45769-2021")</f>
        <v/>
      </c>
      <c r="Y537">
        <f>HYPERLINK("https://klasma.github.io/Logging_2505/tillsynsmail/A 45769-2021 tillsynsbegäran mail.docx", "A 45769-2021")</f>
        <v/>
      </c>
      <c r="Z537">
        <f>HYPERLINK("https://klasma.github.io/Logging_2505/fåglar/A 45769-2021 prioriterade fågelarter.docx", "A 45769-2021")</f>
        <v/>
      </c>
    </row>
    <row r="538" ht="15" customHeight="1">
      <c r="A538" t="inlineStr">
        <is>
          <t>A 7960-2022</t>
        </is>
      </c>
      <c r="B538" s="1" t="n">
        <v>44608.93856481482</v>
      </c>
      <c r="C538" s="1" t="n">
        <v>46046</v>
      </c>
      <c r="D538" t="inlineStr">
        <is>
          <t>NORRBOTTENS LÄN</t>
        </is>
      </c>
      <c r="E538" t="inlineStr">
        <is>
          <t>PAJALA</t>
        </is>
      </c>
      <c r="F538" t="inlineStr">
        <is>
          <t>SCA</t>
        </is>
      </c>
      <c r="G538" t="n">
        <v>4.9</v>
      </c>
      <c r="H538" t="n">
        <v>0</v>
      </c>
      <c r="I538" t="n">
        <v>0</v>
      </c>
      <c r="J538" t="n">
        <v>1</v>
      </c>
      <c r="K538" t="n">
        <v>0</v>
      </c>
      <c r="L538" t="n">
        <v>0</v>
      </c>
      <c r="M538" t="n">
        <v>0</v>
      </c>
      <c r="N538" t="n">
        <v>0</v>
      </c>
      <c r="O538" t="n">
        <v>1</v>
      </c>
      <c r="P538" t="n">
        <v>0</v>
      </c>
      <c r="Q538" t="n">
        <v>1</v>
      </c>
      <c r="R538" s="2" t="inlineStr">
        <is>
          <t>Gammelgransskål</t>
        </is>
      </c>
      <c r="S538">
        <f>HYPERLINK("https://klasma.github.io/Logging_2521/artfynd/A 7960-2022 artfynd.xlsx", "A 7960-2022")</f>
        <v/>
      </c>
      <c r="T538">
        <f>HYPERLINK("https://klasma.github.io/Logging_2521/kartor/A 7960-2022 karta.png", "A 7960-2022")</f>
        <v/>
      </c>
      <c r="V538">
        <f>HYPERLINK("https://klasma.github.io/Logging_2521/klagomål/A 7960-2022 FSC-klagomål.docx", "A 7960-2022")</f>
        <v/>
      </c>
      <c r="W538">
        <f>HYPERLINK("https://klasma.github.io/Logging_2521/klagomålsmail/A 7960-2022 FSC-klagomål mail.docx", "A 7960-2022")</f>
        <v/>
      </c>
      <c r="X538">
        <f>HYPERLINK("https://klasma.github.io/Logging_2521/tillsyn/A 7960-2022 tillsynsbegäran.docx", "A 7960-2022")</f>
        <v/>
      </c>
      <c r="Y538">
        <f>HYPERLINK("https://klasma.github.io/Logging_2521/tillsynsmail/A 7960-2022 tillsynsbegäran mail.docx", "A 7960-2022")</f>
        <v/>
      </c>
    </row>
    <row r="539" ht="15" customHeight="1">
      <c r="A539" t="inlineStr">
        <is>
          <t>A 47680-2024</t>
        </is>
      </c>
      <c r="B539" s="1" t="n">
        <v>45588.4158912037</v>
      </c>
      <c r="C539" s="1" t="n">
        <v>46046</v>
      </c>
      <c r="D539" t="inlineStr">
        <is>
          <t>NORRBOTTENS LÄN</t>
        </is>
      </c>
      <c r="E539" t="inlineStr">
        <is>
          <t>ÖVERKALIX</t>
        </is>
      </c>
      <c r="F539" t="inlineStr">
        <is>
          <t>Sveaskog</t>
        </is>
      </c>
      <c r="G539" t="n">
        <v>2.1</v>
      </c>
      <c r="H539" t="n">
        <v>0</v>
      </c>
      <c r="I539" t="n">
        <v>0</v>
      </c>
      <c r="J539" t="n">
        <v>1</v>
      </c>
      <c r="K539" t="n">
        <v>0</v>
      </c>
      <c r="L539" t="n">
        <v>0</v>
      </c>
      <c r="M539" t="n">
        <v>0</v>
      </c>
      <c r="N539" t="n">
        <v>0</v>
      </c>
      <c r="O539" t="n">
        <v>1</v>
      </c>
      <c r="P539" t="n">
        <v>0</v>
      </c>
      <c r="Q539" t="n">
        <v>1</v>
      </c>
      <c r="R539" s="2" t="inlineStr">
        <is>
          <t>Blå taggsvamp</t>
        </is>
      </c>
      <c r="S539">
        <f>HYPERLINK("https://klasma.github.io/Logging_2513/artfynd/A 47680-2024 artfynd.xlsx", "A 47680-2024")</f>
        <v/>
      </c>
      <c r="T539">
        <f>HYPERLINK("https://klasma.github.io/Logging_2513/kartor/A 47680-2024 karta.png", "A 47680-2024")</f>
        <v/>
      </c>
      <c r="V539">
        <f>HYPERLINK("https://klasma.github.io/Logging_2513/klagomål/A 47680-2024 FSC-klagomål.docx", "A 47680-2024")</f>
        <v/>
      </c>
      <c r="W539">
        <f>HYPERLINK("https://klasma.github.io/Logging_2513/klagomålsmail/A 47680-2024 FSC-klagomål mail.docx", "A 47680-2024")</f>
        <v/>
      </c>
      <c r="X539">
        <f>HYPERLINK("https://klasma.github.io/Logging_2513/tillsyn/A 47680-2024 tillsynsbegäran.docx", "A 47680-2024")</f>
        <v/>
      </c>
      <c r="Y539">
        <f>HYPERLINK("https://klasma.github.io/Logging_2513/tillsynsmail/A 47680-2024 tillsynsbegäran mail.docx", "A 47680-2024")</f>
        <v/>
      </c>
    </row>
    <row r="540" ht="15" customHeight="1">
      <c r="A540" t="inlineStr">
        <is>
          <t>A 27336-2023</t>
        </is>
      </c>
      <c r="B540" s="1" t="n">
        <v>45096</v>
      </c>
      <c r="C540" s="1" t="n">
        <v>46046</v>
      </c>
      <c r="D540" t="inlineStr">
        <is>
          <t>NORRBOTTENS LÄN</t>
        </is>
      </c>
      <c r="E540" t="inlineStr">
        <is>
          <t>GÄLLIVARE</t>
        </is>
      </c>
      <c r="G540" t="n">
        <v>1.8</v>
      </c>
      <c r="H540" t="n">
        <v>0</v>
      </c>
      <c r="I540" t="n">
        <v>1</v>
      </c>
      <c r="J540" t="n">
        <v>0</v>
      </c>
      <c r="K540" t="n">
        <v>0</v>
      </c>
      <c r="L540" t="n">
        <v>0</v>
      </c>
      <c r="M540" t="n">
        <v>0</v>
      </c>
      <c r="N540" t="n">
        <v>0</v>
      </c>
      <c r="O540" t="n">
        <v>0</v>
      </c>
      <c r="P540" t="n">
        <v>0</v>
      </c>
      <c r="Q540" t="n">
        <v>1</v>
      </c>
      <c r="R540" s="2" t="inlineStr">
        <is>
          <t>Dropptaggsvamp</t>
        </is>
      </c>
      <c r="S540">
        <f>HYPERLINK("https://klasma.github.io/Logging_2523/artfynd/A 27336-2023 artfynd.xlsx", "A 27336-2023")</f>
        <v/>
      </c>
      <c r="T540">
        <f>HYPERLINK("https://klasma.github.io/Logging_2523/kartor/A 27336-2023 karta.png", "A 27336-2023")</f>
        <v/>
      </c>
      <c r="V540">
        <f>HYPERLINK("https://klasma.github.io/Logging_2523/klagomål/A 27336-2023 FSC-klagomål.docx", "A 27336-2023")</f>
        <v/>
      </c>
      <c r="W540">
        <f>HYPERLINK("https://klasma.github.io/Logging_2523/klagomålsmail/A 27336-2023 FSC-klagomål mail.docx", "A 27336-2023")</f>
        <v/>
      </c>
      <c r="X540">
        <f>HYPERLINK("https://klasma.github.io/Logging_2523/tillsyn/A 27336-2023 tillsynsbegäran.docx", "A 27336-2023")</f>
        <v/>
      </c>
      <c r="Y540">
        <f>HYPERLINK("https://klasma.github.io/Logging_2523/tillsynsmail/A 27336-2023 tillsynsbegäran mail.docx", "A 27336-2023")</f>
        <v/>
      </c>
    </row>
    <row r="541" ht="15" customHeight="1">
      <c r="A541" t="inlineStr">
        <is>
          <t>A 34186-2022</t>
        </is>
      </c>
      <c r="B541" s="1" t="n">
        <v>44791.61888888889</v>
      </c>
      <c r="C541" s="1" t="n">
        <v>46046</v>
      </c>
      <c r="D541" t="inlineStr">
        <is>
          <t>NORRBOTTENS LÄN</t>
        </is>
      </c>
      <c r="E541" t="inlineStr">
        <is>
          <t>ÖVERTORNEÅ</t>
        </is>
      </c>
      <c r="F541" t="inlineStr">
        <is>
          <t>Sveaskog</t>
        </is>
      </c>
      <c r="G541" t="n">
        <v>33</v>
      </c>
      <c r="H541" t="n">
        <v>0</v>
      </c>
      <c r="I541" t="n">
        <v>1</v>
      </c>
      <c r="J541" t="n">
        <v>0</v>
      </c>
      <c r="K541" t="n">
        <v>0</v>
      </c>
      <c r="L541" t="n">
        <v>0</v>
      </c>
      <c r="M541" t="n">
        <v>0</v>
      </c>
      <c r="N541" t="n">
        <v>0</v>
      </c>
      <c r="O541" t="n">
        <v>0</v>
      </c>
      <c r="P541" t="n">
        <v>0</v>
      </c>
      <c r="Q541" t="n">
        <v>1</v>
      </c>
      <c r="R541" s="2" t="inlineStr">
        <is>
          <t>Stor aspticka</t>
        </is>
      </c>
      <c r="S541">
        <f>HYPERLINK("https://klasma.github.io/Logging_2518/artfynd/A 34186-2022 artfynd.xlsx", "A 34186-2022")</f>
        <v/>
      </c>
      <c r="T541">
        <f>HYPERLINK("https://klasma.github.io/Logging_2518/kartor/A 34186-2022 karta.png", "A 34186-2022")</f>
        <v/>
      </c>
      <c r="V541">
        <f>HYPERLINK("https://klasma.github.io/Logging_2518/klagomål/A 34186-2022 FSC-klagomål.docx", "A 34186-2022")</f>
        <v/>
      </c>
      <c r="W541">
        <f>HYPERLINK("https://klasma.github.io/Logging_2518/klagomålsmail/A 34186-2022 FSC-klagomål mail.docx", "A 34186-2022")</f>
        <v/>
      </c>
      <c r="X541">
        <f>HYPERLINK("https://klasma.github.io/Logging_2518/tillsyn/A 34186-2022 tillsynsbegäran.docx", "A 34186-2022")</f>
        <v/>
      </c>
      <c r="Y541">
        <f>HYPERLINK("https://klasma.github.io/Logging_2518/tillsynsmail/A 34186-2022 tillsynsbegäran mail.docx", "A 34186-2022")</f>
        <v/>
      </c>
    </row>
    <row r="542" ht="15" customHeight="1">
      <c r="A542" t="inlineStr">
        <is>
          <t>A 44777-2024</t>
        </is>
      </c>
      <c r="B542" s="1" t="n">
        <v>45574</v>
      </c>
      <c r="C542" s="1" t="n">
        <v>46046</v>
      </c>
      <c r="D542" t="inlineStr">
        <is>
          <t>NORRBOTTENS LÄN</t>
        </is>
      </c>
      <c r="E542" t="inlineStr">
        <is>
          <t>PAJALA</t>
        </is>
      </c>
      <c r="F542" t="inlineStr">
        <is>
          <t>Sveaskog</t>
        </is>
      </c>
      <c r="G542" t="n">
        <v>6.3</v>
      </c>
      <c r="H542" t="n">
        <v>0</v>
      </c>
      <c r="I542" t="n">
        <v>0</v>
      </c>
      <c r="J542" t="n">
        <v>1</v>
      </c>
      <c r="K542" t="n">
        <v>0</v>
      </c>
      <c r="L542" t="n">
        <v>0</v>
      </c>
      <c r="M542" t="n">
        <v>0</v>
      </c>
      <c r="N542" t="n">
        <v>0</v>
      </c>
      <c r="O542" t="n">
        <v>1</v>
      </c>
      <c r="P542" t="n">
        <v>0</v>
      </c>
      <c r="Q542" t="n">
        <v>1</v>
      </c>
      <c r="R542" s="2" t="inlineStr">
        <is>
          <t>Garnlav</t>
        </is>
      </c>
      <c r="S542">
        <f>HYPERLINK("https://klasma.github.io/Logging_2521/artfynd/A 44777-2024 artfynd.xlsx", "A 44777-2024")</f>
        <v/>
      </c>
      <c r="T542">
        <f>HYPERLINK("https://klasma.github.io/Logging_2521/kartor/A 44777-2024 karta.png", "A 44777-2024")</f>
        <v/>
      </c>
      <c r="V542">
        <f>HYPERLINK("https://klasma.github.io/Logging_2521/klagomål/A 44777-2024 FSC-klagomål.docx", "A 44777-2024")</f>
        <v/>
      </c>
      <c r="W542">
        <f>HYPERLINK("https://klasma.github.io/Logging_2521/klagomålsmail/A 44777-2024 FSC-klagomål mail.docx", "A 44777-2024")</f>
        <v/>
      </c>
      <c r="X542">
        <f>HYPERLINK("https://klasma.github.io/Logging_2521/tillsyn/A 44777-2024 tillsynsbegäran.docx", "A 44777-2024")</f>
        <v/>
      </c>
      <c r="Y542">
        <f>HYPERLINK("https://klasma.github.io/Logging_2521/tillsynsmail/A 44777-2024 tillsynsbegäran mail.docx", "A 44777-2024")</f>
        <v/>
      </c>
    </row>
    <row r="543" ht="15" customHeight="1">
      <c r="A543" t="inlineStr">
        <is>
          <t>A 7477-2023</t>
        </is>
      </c>
      <c r="B543" s="1" t="n">
        <v>44966</v>
      </c>
      <c r="C543" s="1" t="n">
        <v>46046</v>
      </c>
      <c r="D543" t="inlineStr">
        <is>
          <t>NORRBOTTENS LÄN</t>
        </is>
      </c>
      <c r="E543" t="inlineStr">
        <is>
          <t>ÖVERKALIX</t>
        </is>
      </c>
      <c r="G543" t="n">
        <v>2.6</v>
      </c>
      <c r="H543" t="n">
        <v>0</v>
      </c>
      <c r="I543" t="n">
        <v>1</v>
      </c>
      <c r="J543" t="n">
        <v>0</v>
      </c>
      <c r="K543" t="n">
        <v>0</v>
      </c>
      <c r="L543" t="n">
        <v>0</v>
      </c>
      <c r="M543" t="n">
        <v>0</v>
      </c>
      <c r="N543" t="n">
        <v>0</v>
      </c>
      <c r="O543" t="n">
        <v>0</v>
      </c>
      <c r="P543" t="n">
        <v>0</v>
      </c>
      <c r="Q543" t="n">
        <v>1</v>
      </c>
      <c r="R543" s="2" t="inlineStr">
        <is>
          <t>Skarp dropptaggsvamp</t>
        </is>
      </c>
      <c r="S543">
        <f>HYPERLINK("https://klasma.github.io/Logging_2513/artfynd/A 7477-2023 artfynd.xlsx", "A 7477-2023")</f>
        <v/>
      </c>
      <c r="T543">
        <f>HYPERLINK("https://klasma.github.io/Logging_2513/kartor/A 7477-2023 karta.png", "A 7477-2023")</f>
        <v/>
      </c>
      <c r="V543">
        <f>HYPERLINK("https://klasma.github.io/Logging_2513/klagomål/A 7477-2023 FSC-klagomål.docx", "A 7477-2023")</f>
        <v/>
      </c>
      <c r="W543">
        <f>HYPERLINK("https://klasma.github.io/Logging_2513/klagomålsmail/A 7477-2023 FSC-klagomål mail.docx", "A 7477-2023")</f>
        <v/>
      </c>
      <c r="X543">
        <f>HYPERLINK("https://klasma.github.io/Logging_2513/tillsyn/A 7477-2023 tillsynsbegäran.docx", "A 7477-2023")</f>
        <v/>
      </c>
      <c r="Y543">
        <f>HYPERLINK("https://klasma.github.io/Logging_2513/tillsynsmail/A 7477-2023 tillsynsbegäran mail.docx", "A 7477-2023")</f>
        <v/>
      </c>
    </row>
    <row r="544" ht="15" customHeight="1">
      <c r="A544" t="inlineStr">
        <is>
          <t>A 27927-2023</t>
        </is>
      </c>
      <c r="B544" s="1" t="n">
        <v>45098</v>
      </c>
      <c r="C544" s="1" t="n">
        <v>46046</v>
      </c>
      <c r="D544" t="inlineStr">
        <is>
          <t>NORRBOTTENS LÄN</t>
        </is>
      </c>
      <c r="E544" t="inlineStr">
        <is>
          <t>PITEÅ</t>
        </is>
      </c>
      <c r="F544" t="inlineStr">
        <is>
          <t>Sveaskog</t>
        </is>
      </c>
      <c r="G544" t="n">
        <v>13.7</v>
      </c>
      <c r="H544" t="n">
        <v>0</v>
      </c>
      <c r="I544" t="n">
        <v>0</v>
      </c>
      <c r="J544" t="n">
        <v>1</v>
      </c>
      <c r="K544" t="n">
        <v>0</v>
      </c>
      <c r="L544" t="n">
        <v>0</v>
      </c>
      <c r="M544" t="n">
        <v>0</v>
      </c>
      <c r="N544" t="n">
        <v>0</v>
      </c>
      <c r="O544" t="n">
        <v>1</v>
      </c>
      <c r="P544" t="n">
        <v>0</v>
      </c>
      <c r="Q544" t="n">
        <v>1</v>
      </c>
      <c r="R544" s="2" t="inlineStr">
        <is>
          <t>Garnlav</t>
        </is>
      </c>
      <c r="S544">
        <f>HYPERLINK("https://klasma.github.io/Logging_2581/artfynd/A 27927-2023 artfynd.xlsx", "A 27927-2023")</f>
        <v/>
      </c>
      <c r="T544">
        <f>HYPERLINK("https://klasma.github.io/Logging_2581/kartor/A 27927-2023 karta.png", "A 27927-2023")</f>
        <v/>
      </c>
      <c r="V544">
        <f>HYPERLINK("https://klasma.github.io/Logging_2581/klagomål/A 27927-2023 FSC-klagomål.docx", "A 27927-2023")</f>
        <v/>
      </c>
      <c r="W544">
        <f>HYPERLINK("https://klasma.github.io/Logging_2581/klagomålsmail/A 27927-2023 FSC-klagomål mail.docx", "A 27927-2023")</f>
        <v/>
      </c>
      <c r="X544">
        <f>HYPERLINK("https://klasma.github.io/Logging_2581/tillsyn/A 27927-2023 tillsynsbegäran.docx", "A 27927-2023")</f>
        <v/>
      </c>
      <c r="Y544">
        <f>HYPERLINK("https://klasma.github.io/Logging_2581/tillsynsmail/A 27927-2023 tillsynsbegäran mail.docx", "A 27927-2023")</f>
        <v/>
      </c>
    </row>
    <row r="545" ht="15" customHeight="1">
      <c r="A545" t="inlineStr">
        <is>
          <t>A 42680-2022</t>
        </is>
      </c>
      <c r="B545" s="1" t="n">
        <v>44832.34037037037</v>
      </c>
      <c r="C545" s="1" t="n">
        <v>46046</v>
      </c>
      <c r="D545" t="inlineStr">
        <is>
          <t>NORRBOTTENS LÄN</t>
        </is>
      </c>
      <c r="E545" t="inlineStr">
        <is>
          <t>ÄLVSBYN</t>
        </is>
      </c>
      <c r="F545" t="inlineStr">
        <is>
          <t>Sveaskog</t>
        </is>
      </c>
      <c r="G545" t="n">
        <v>1.7</v>
      </c>
      <c r="H545" t="n">
        <v>0</v>
      </c>
      <c r="I545" t="n">
        <v>0</v>
      </c>
      <c r="J545" t="n">
        <v>1</v>
      </c>
      <c r="K545" t="n">
        <v>0</v>
      </c>
      <c r="L545" t="n">
        <v>0</v>
      </c>
      <c r="M545" t="n">
        <v>0</v>
      </c>
      <c r="N545" t="n">
        <v>0</v>
      </c>
      <c r="O545" t="n">
        <v>1</v>
      </c>
      <c r="P545" t="n">
        <v>0</v>
      </c>
      <c r="Q545" t="n">
        <v>1</v>
      </c>
      <c r="R545" s="2" t="inlineStr">
        <is>
          <t>Lunglav</t>
        </is>
      </c>
      <c r="S545">
        <f>HYPERLINK("https://klasma.github.io/Logging_2560/artfynd/A 42680-2022 artfynd.xlsx", "A 42680-2022")</f>
        <v/>
      </c>
      <c r="T545">
        <f>HYPERLINK("https://klasma.github.io/Logging_2560/kartor/A 42680-2022 karta.png", "A 42680-2022")</f>
        <v/>
      </c>
      <c r="V545">
        <f>HYPERLINK("https://klasma.github.io/Logging_2560/klagomål/A 42680-2022 FSC-klagomål.docx", "A 42680-2022")</f>
        <v/>
      </c>
      <c r="W545">
        <f>HYPERLINK("https://klasma.github.io/Logging_2560/klagomålsmail/A 42680-2022 FSC-klagomål mail.docx", "A 42680-2022")</f>
        <v/>
      </c>
      <c r="X545">
        <f>HYPERLINK("https://klasma.github.io/Logging_2560/tillsyn/A 42680-2022 tillsynsbegäran.docx", "A 42680-2022")</f>
        <v/>
      </c>
      <c r="Y545">
        <f>HYPERLINK("https://klasma.github.io/Logging_2560/tillsynsmail/A 42680-2022 tillsynsbegäran mail.docx", "A 42680-2022")</f>
        <v/>
      </c>
    </row>
    <row r="546" ht="15" customHeight="1">
      <c r="A546" t="inlineStr">
        <is>
          <t>A 43023-2024</t>
        </is>
      </c>
      <c r="B546" s="1" t="n">
        <v>45567</v>
      </c>
      <c r="C546" s="1" t="n">
        <v>46046</v>
      </c>
      <c r="D546" t="inlineStr">
        <is>
          <t>NORRBOTTENS LÄN</t>
        </is>
      </c>
      <c r="E546" t="inlineStr">
        <is>
          <t>JOKKMOKK</t>
        </is>
      </c>
      <c r="F546" t="inlineStr">
        <is>
          <t>Sveaskog</t>
        </is>
      </c>
      <c r="G546" t="n">
        <v>11.1</v>
      </c>
      <c r="H546" t="n">
        <v>0</v>
      </c>
      <c r="I546" t="n">
        <v>1</v>
      </c>
      <c r="J546" t="n">
        <v>0</v>
      </c>
      <c r="K546" t="n">
        <v>0</v>
      </c>
      <c r="L546" t="n">
        <v>0</v>
      </c>
      <c r="M546" t="n">
        <v>0</v>
      </c>
      <c r="N546" t="n">
        <v>0</v>
      </c>
      <c r="O546" t="n">
        <v>0</v>
      </c>
      <c r="P546" t="n">
        <v>0</v>
      </c>
      <c r="Q546" t="n">
        <v>1</v>
      </c>
      <c r="R546" s="2" t="inlineStr">
        <is>
          <t>Skarp dropptaggsvamp</t>
        </is>
      </c>
      <c r="S546">
        <f>HYPERLINK("https://klasma.github.io/Logging_2510/artfynd/A 43023-2024 artfynd.xlsx", "A 43023-2024")</f>
        <v/>
      </c>
      <c r="T546">
        <f>HYPERLINK("https://klasma.github.io/Logging_2510/kartor/A 43023-2024 karta.png", "A 43023-2024")</f>
        <v/>
      </c>
      <c r="V546">
        <f>HYPERLINK("https://klasma.github.io/Logging_2510/klagomål/A 43023-2024 FSC-klagomål.docx", "A 43023-2024")</f>
        <v/>
      </c>
      <c r="W546">
        <f>HYPERLINK("https://klasma.github.io/Logging_2510/klagomålsmail/A 43023-2024 FSC-klagomål mail.docx", "A 43023-2024")</f>
        <v/>
      </c>
      <c r="X546">
        <f>HYPERLINK("https://klasma.github.io/Logging_2510/tillsyn/A 43023-2024 tillsynsbegäran.docx", "A 43023-2024")</f>
        <v/>
      </c>
      <c r="Y546">
        <f>HYPERLINK("https://klasma.github.io/Logging_2510/tillsynsmail/A 43023-2024 tillsynsbegäran mail.docx", "A 43023-2024")</f>
        <v/>
      </c>
    </row>
    <row r="547" ht="15" customHeight="1">
      <c r="A547" t="inlineStr">
        <is>
          <t>A 47018-2024</t>
        </is>
      </c>
      <c r="B547" s="1" t="n">
        <v>45586</v>
      </c>
      <c r="C547" s="1" t="n">
        <v>46046</v>
      </c>
      <c r="D547" t="inlineStr">
        <is>
          <t>NORRBOTTENS LÄN</t>
        </is>
      </c>
      <c r="E547" t="inlineStr">
        <is>
          <t>BODEN</t>
        </is>
      </c>
      <c r="F547" t="inlineStr">
        <is>
          <t>Sveaskog</t>
        </is>
      </c>
      <c r="G547" t="n">
        <v>18.1</v>
      </c>
      <c r="H547" t="n">
        <v>0</v>
      </c>
      <c r="I547" t="n">
        <v>0</v>
      </c>
      <c r="J547" t="n">
        <v>1</v>
      </c>
      <c r="K547" t="n">
        <v>0</v>
      </c>
      <c r="L547" t="n">
        <v>0</v>
      </c>
      <c r="M547" t="n">
        <v>0</v>
      </c>
      <c r="N547" t="n">
        <v>0</v>
      </c>
      <c r="O547" t="n">
        <v>1</v>
      </c>
      <c r="P547" t="n">
        <v>0</v>
      </c>
      <c r="Q547" t="n">
        <v>1</v>
      </c>
      <c r="R547" s="2" t="inlineStr">
        <is>
          <t>Blågrå svartspik</t>
        </is>
      </c>
      <c r="S547">
        <f>HYPERLINK("https://klasma.github.io/Logging_2582/artfynd/A 47018-2024 artfynd.xlsx", "A 47018-2024")</f>
        <v/>
      </c>
      <c r="T547">
        <f>HYPERLINK("https://klasma.github.io/Logging_2582/kartor/A 47018-2024 karta.png", "A 47018-2024")</f>
        <v/>
      </c>
      <c r="V547">
        <f>HYPERLINK("https://klasma.github.io/Logging_2582/klagomål/A 47018-2024 FSC-klagomål.docx", "A 47018-2024")</f>
        <v/>
      </c>
      <c r="W547">
        <f>HYPERLINK("https://klasma.github.io/Logging_2582/klagomålsmail/A 47018-2024 FSC-klagomål mail.docx", "A 47018-2024")</f>
        <v/>
      </c>
      <c r="X547">
        <f>HYPERLINK("https://klasma.github.io/Logging_2582/tillsyn/A 47018-2024 tillsynsbegäran.docx", "A 47018-2024")</f>
        <v/>
      </c>
      <c r="Y547">
        <f>HYPERLINK("https://klasma.github.io/Logging_2582/tillsynsmail/A 47018-2024 tillsynsbegäran mail.docx", "A 47018-2024")</f>
        <v/>
      </c>
    </row>
    <row r="548" ht="15" customHeight="1">
      <c r="A548" t="inlineStr">
        <is>
          <t>A 8985-2024</t>
        </is>
      </c>
      <c r="B548" s="1" t="n">
        <v>45356</v>
      </c>
      <c r="C548" s="1" t="n">
        <v>46046</v>
      </c>
      <c r="D548" t="inlineStr">
        <is>
          <t>NORRBOTTENS LÄN</t>
        </is>
      </c>
      <c r="E548" t="inlineStr">
        <is>
          <t>PAJALA</t>
        </is>
      </c>
      <c r="G548" t="n">
        <v>16.2</v>
      </c>
      <c r="H548" t="n">
        <v>1</v>
      </c>
      <c r="I548" t="n">
        <v>0</v>
      </c>
      <c r="J548" t="n">
        <v>0</v>
      </c>
      <c r="K548" t="n">
        <v>0</v>
      </c>
      <c r="L548" t="n">
        <v>0</v>
      </c>
      <c r="M548" t="n">
        <v>0</v>
      </c>
      <c r="N548" t="n">
        <v>0</v>
      </c>
      <c r="O548" t="n">
        <v>0</v>
      </c>
      <c r="P548" t="n">
        <v>0</v>
      </c>
      <c r="Q548" t="n">
        <v>1</v>
      </c>
      <c r="R548" s="2" t="inlineStr">
        <is>
          <t>Fläcknycklar</t>
        </is>
      </c>
      <c r="S548">
        <f>HYPERLINK("https://klasma.github.io/Logging_2521/artfynd/A 8985-2024 artfynd.xlsx", "A 8985-2024")</f>
        <v/>
      </c>
      <c r="T548">
        <f>HYPERLINK("https://klasma.github.io/Logging_2521/kartor/A 8985-2024 karta.png", "A 8985-2024")</f>
        <v/>
      </c>
      <c r="V548">
        <f>HYPERLINK("https://klasma.github.io/Logging_2521/klagomål/A 8985-2024 FSC-klagomål.docx", "A 8985-2024")</f>
        <v/>
      </c>
      <c r="W548">
        <f>HYPERLINK("https://klasma.github.io/Logging_2521/klagomålsmail/A 8985-2024 FSC-klagomål mail.docx", "A 8985-2024")</f>
        <v/>
      </c>
      <c r="X548">
        <f>HYPERLINK("https://klasma.github.io/Logging_2521/tillsyn/A 8985-2024 tillsynsbegäran.docx", "A 8985-2024")</f>
        <v/>
      </c>
      <c r="Y548">
        <f>HYPERLINK("https://klasma.github.io/Logging_2521/tillsynsmail/A 8985-2024 tillsynsbegäran mail.docx", "A 8985-2024")</f>
        <v/>
      </c>
    </row>
    <row r="549" ht="15" customHeight="1">
      <c r="A549" t="inlineStr">
        <is>
          <t>A 59971-2023</t>
        </is>
      </c>
      <c r="B549" s="1" t="n">
        <v>45254</v>
      </c>
      <c r="C549" s="1" t="n">
        <v>46046</v>
      </c>
      <c r="D549" t="inlineStr">
        <is>
          <t>NORRBOTTENS LÄN</t>
        </is>
      </c>
      <c r="E549" t="inlineStr">
        <is>
          <t>PAJALA</t>
        </is>
      </c>
      <c r="F549" t="inlineStr">
        <is>
          <t>Allmännings- och besparingsskogar</t>
        </is>
      </c>
      <c r="G549" t="n">
        <v>8.300000000000001</v>
      </c>
      <c r="H549" t="n">
        <v>0</v>
      </c>
      <c r="I549" t="n">
        <v>0</v>
      </c>
      <c r="J549" t="n">
        <v>1</v>
      </c>
      <c r="K549" t="n">
        <v>0</v>
      </c>
      <c r="L549" t="n">
        <v>0</v>
      </c>
      <c r="M549" t="n">
        <v>0</v>
      </c>
      <c r="N549" t="n">
        <v>0</v>
      </c>
      <c r="O549" t="n">
        <v>1</v>
      </c>
      <c r="P549" t="n">
        <v>0</v>
      </c>
      <c r="Q549" t="n">
        <v>1</v>
      </c>
      <c r="R549" s="2" t="inlineStr">
        <is>
          <t>Granticka</t>
        </is>
      </c>
      <c r="S549">
        <f>HYPERLINK("https://klasma.github.io/Logging_2521/artfynd/A 59971-2023 artfynd.xlsx", "A 59971-2023")</f>
        <v/>
      </c>
      <c r="T549">
        <f>HYPERLINK("https://klasma.github.io/Logging_2521/kartor/A 59971-2023 karta.png", "A 59971-2023")</f>
        <v/>
      </c>
      <c r="V549">
        <f>HYPERLINK("https://klasma.github.io/Logging_2521/klagomål/A 59971-2023 FSC-klagomål.docx", "A 59971-2023")</f>
        <v/>
      </c>
      <c r="W549">
        <f>HYPERLINK("https://klasma.github.io/Logging_2521/klagomålsmail/A 59971-2023 FSC-klagomål mail.docx", "A 59971-2023")</f>
        <v/>
      </c>
      <c r="X549">
        <f>HYPERLINK("https://klasma.github.io/Logging_2521/tillsyn/A 59971-2023 tillsynsbegäran.docx", "A 59971-2023")</f>
        <v/>
      </c>
      <c r="Y549">
        <f>HYPERLINK("https://klasma.github.io/Logging_2521/tillsynsmail/A 59971-2023 tillsynsbegäran mail.docx", "A 59971-2023")</f>
        <v/>
      </c>
    </row>
    <row r="550" ht="15" customHeight="1">
      <c r="A550" t="inlineStr">
        <is>
          <t>A 18052-2025</t>
        </is>
      </c>
      <c r="B550" s="1" t="n">
        <v>45761</v>
      </c>
      <c r="C550" s="1" t="n">
        <v>46046</v>
      </c>
      <c r="D550" t="inlineStr">
        <is>
          <t>NORRBOTTENS LÄN</t>
        </is>
      </c>
      <c r="E550" t="inlineStr">
        <is>
          <t>PITEÅ</t>
        </is>
      </c>
      <c r="G550" t="n">
        <v>2.3</v>
      </c>
      <c r="H550" t="n">
        <v>0</v>
      </c>
      <c r="I550" t="n">
        <v>0</v>
      </c>
      <c r="J550" t="n">
        <v>1</v>
      </c>
      <c r="K550" t="n">
        <v>0</v>
      </c>
      <c r="L550" t="n">
        <v>0</v>
      </c>
      <c r="M550" t="n">
        <v>0</v>
      </c>
      <c r="N550" t="n">
        <v>0</v>
      </c>
      <c r="O550" t="n">
        <v>1</v>
      </c>
      <c r="P550" t="n">
        <v>0</v>
      </c>
      <c r="Q550" t="n">
        <v>1</v>
      </c>
      <c r="R550" s="2" t="inlineStr">
        <is>
          <t>Tallticka</t>
        </is>
      </c>
      <c r="S550">
        <f>HYPERLINK("https://klasma.github.io/Logging_2581/artfynd/A 18052-2025 artfynd.xlsx", "A 18052-2025")</f>
        <v/>
      </c>
      <c r="T550">
        <f>HYPERLINK("https://klasma.github.io/Logging_2581/kartor/A 18052-2025 karta.png", "A 18052-2025")</f>
        <v/>
      </c>
      <c r="V550">
        <f>HYPERLINK("https://klasma.github.io/Logging_2581/klagomål/A 18052-2025 FSC-klagomål.docx", "A 18052-2025")</f>
        <v/>
      </c>
      <c r="W550">
        <f>HYPERLINK("https://klasma.github.io/Logging_2581/klagomålsmail/A 18052-2025 FSC-klagomål mail.docx", "A 18052-2025")</f>
        <v/>
      </c>
      <c r="X550">
        <f>HYPERLINK("https://klasma.github.io/Logging_2581/tillsyn/A 18052-2025 tillsynsbegäran.docx", "A 18052-2025")</f>
        <v/>
      </c>
      <c r="Y550">
        <f>HYPERLINK("https://klasma.github.io/Logging_2581/tillsynsmail/A 18052-2025 tillsynsbegäran mail.docx", "A 18052-2025")</f>
        <v/>
      </c>
    </row>
    <row r="551" ht="15" customHeight="1">
      <c r="A551" t="inlineStr">
        <is>
          <t>A 45324-2022</t>
        </is>
      </c>
      <c r="B551" s="1" t="n">
        <v>44841</v>
      </c>
      <c r="C551" s="1" t="n">
        <v>46046</v>
      </c>
      <c r="D551" t="inlineStr">
        <is>
          <t>NORRBOTTENS LÄN</t>
        </is>
      </c>
      <c r="E551" t="inlineStr">
        <is>
          <t>ARJEPLOG</t>
        </is>
      </c>
      <c r="G551" t="n">
        <v>23.2</v>
      </c>
      <c r="H551" t="n">
        <v>1</v>
      </c>
      <c r="I551" t="n">
        <v>0</v>
      </c>
      <c r="J551" t="n">
        <v>0</v>
      </c>
      <c r="K551" t="n">
        <v>0</v>
      </c>
      <c r="L551" t="n">
        <v>1</v>
      </c>
      <c r="M551" t="n">
        <v>0</v>
      </c>
      <c r="N551" t="n">
        <v>0</v>
      </c>
      <c r="O551" t="n">
        <v>1</v>
      </c>
      <c r="P551" t="n">
        <v>1</v>
      </c>
      <c r="Q551" t="n">
        <v>1</v>
      </c>
      <c r="R551" s="2" t="inlineStr">
        <is>
          <t>Bergand</t>
        </is>
      </c>
      <c r="S551">
        <f>HYPERLINK("https://klasma.github.io/Logging_2506/artfynd/A 45324-2022 artfynd.xlsx", "A 45324-2022")</f>
        <v/>
      </c>
      <c r="T551">
        <f>HYPERLINK("https://klasma.github.io/Logging_2506/kartor/A 45324-2022 karta.png", "A 45324-2022")</f>
        <v/>
      </c>
      <c r="V551">
        <f>HYPERLINK("https://klasma.github.io/Logging_2506/klagomål/A 45324-2022 FSC-klagomål.docx", "A 45324-2022")</f>
        <v/>
      </c>
      <c r="W551">
        <f>HYPERLINK("https://klasma.github.io/Logging_2506/klagomålsmail/A 45324-2022 FSC-klagomål mail.docx", "A 45324-2022")</f>
        <v/>
      </c>
      <c r="X551">
        <f>HYPERLINK("https://klasma.github.io/Logging_2506/tillsyn/A 45324-2022 tillsynsbegäran.docx", "A 45324-2022")</f>
        <v/>
      </c>
      <c r="Y551">
        <f>HYPERLINK("https://klasma.github.io/Logging_2506/tillsynsmail/A 45324-2022 tillsynsbegäran mail.docx", "A 45324-2022")</f>
        <v/>
      </c>
    </row>
    <row r="552" ht="15" customHeight="1">
      <c r="A552" t="inlineStr">
        <is>
          <t>A 18043-2024</t>
        </is>
      </c>
      <c r="B552" s="1" t="n">
        <v>45420</v>
      </c>
      <c r="C552" s="1" t="n">
        <v>46046</v>
      </c>
      <c r="D552" t="inlineStr">
        <is>
          <t>NORRBOTTENS LÄN</t>
        </is>
      </c>
      <c r="E552" t="inlineStr">
        <is>
          <t>GÄLLIVARE</t>
        </is>
      </c>
      <c r="G552" t="n">
        <v>35.5</v>
      </c>
      <c r="H552" t="n">
        <v>0</v>
      </c>
      <c r="I552" t="n">
        <v>0</v>
      </c>
      <c r="J552" t="n">
        <v>1</v>
      </c>
      <c r="K552" t="n">
        <v>0</v>
      </c>
      <c r="L552" t="n">
        <v>0</v>
      </c>
      <c r="M552" t="n">
        <v>0</v>
      </c>
      <c r="N552" t="n">
        <v>0</v>
      </c>
      <c r="O552" t="n">
        <v>1</v>
      </c>
      <c r="P552" t="n">
        <v>0</v>
      </c>
      <c r="Q552" t="n">
        <v>1</v>
      </c>
      <c r="R552" s="2" t="inlineStr">
        <is>
          <t>Garnlav</t>
        </is>
      </c>
      <c r="S552">
        <f>HYPERLINK("https://klasma.github.io/Logging_2523/artfynd/A 18043-2024 artfynd.xlsx", "A 18043-2024")</f>
        <v/>
      </c>
      <c r="T552">
        <f>HYPERLINK("https://klasma.github.io/Logging_2523/kartor/A 18043-2024 karta.png", "A 18043-2024")</f>
        <v/>
      </c>
      <c r="V552">
        <f>HYPERLINK("https://klasma.github.io/Logging_2523/klagomål/A 18043-2024 FSC-klagomål.docx", "A 18043-2024")</f>
        <v/>
      </c>
      <c r="W552">
        <f>HYPERLINK("https://klasma.github.io/Logging_2523/klagomålsmail/A 18043-2024 FSC-klagomål mail.docx", "A 18043-2024")</f>
        <v/>
      </c>
      <c r="X552">
        <f>HYPERLINK("https://klasma.github.io/Logging_2523/tillsyn/A 18043-2024 tillsynsbegäran.docx", "A 18043-2024")</f>
        <v/>
      </c>
      <c r="Y552">
        <f>HYPERLINK("https://klasma.github.io/Logging_2523/tillsynsmail/A 18043-2024 tillsynsbegäran mail.docx", "A 18043-2024")</f>
        <v/>
      </c>
    </row>
    <row r="553" ht="15" customHeight="1">
      <c r="A553" t="inlineStr">
        <is>
          <t>A 52260-2024</t>
        </is>
      </c>
      <c r="B553" s="1" t="n">
        <v>45608</v>
      </c>
      <c r="C553" s="1" t="n">
        <v>46046</v>
      </c>
      <c r="D553" t="inlineStr">
        <is>
          <t>NORRBOTTENS LÄN</t>
        </is>
      </c>
      <c r="E553" t="inlineStr">
        <is>
          <t>JOKKMOKK</t>
        </is>
      </c>
      <c r="F553" t="inlineStr">
        <is>
          <t>Allmännings- och besparingsskogar</t>
        </is>
      </c>
      <c r="G553" t="n">
        <v>11.6</v>
      </c>
      <c r="H553" t="n">
        <v>0</v>
      </c>
      <c r="I553" t="n">
        <v>0</v>
      </c>
      <c r="J553" t="n">
        <v>1</v>
      </c>
      <c r="K553" t="n">
        <v>0</v>
      </c>
      <c r="L553" t="n">
        <v>0</v>
      </c>
      <c r="M553" t="n">
        <v>0</v>
      </c>
      <c r="N553" t="n">
        <v>0</v>
      </c>
      <c r="O553" t="n">
        <v>1</v>
      </c>
      <c r="P553" t="n">
        <v>0</v>
      </c>
      <c r="Q553" t="n">
        <v>1</v>
      </c>
      <c r="R553" s="2" t="inlineStr">
        <is>
          <t>Tallticka</t>
        </is>
      </c>
      <c r="S553">
        <f>HYPERLINK("https://klasma.github.io/Logging_2510/artfynd/A 52260-2024 artfynd.xlsx", "A 52260-2024")</f>
        <v/>
      </c>
      <c r="T553">
        <f>HYPERLINK("https://klasma.github.io/Logging_2510/kartor/A 52260-2024 karta.png", "A 52260-2024")</f>
        <v/>
      </c>
      <c r="V553">
        <f>HYPERLINK("https://klasma.github.io/Logging_2510/klagomål/A 52260-2024 FSC-klagomål.docx", "A 52260-2024")</f>
        <v/>
      </c>
      <c r="W553">
        <f>HYPERLINK("https://klasma.github.io/Logging_2510/klagomålsmail/A 52260-2024 FSC-klagomål mail.docx", "A 52260-2024")</f>
        <v/>
      </c>
      <c r="X553">
        <f>HYPERLINK("https://klasma.github.io/Logging_2510/tillsyn/A 52260-2024 tillsynsbegäran.docx", "A 52260-2024")</f>
        <v/>
      </c>
      <c r="Y553">
        <f>HYPERLINK("https://klasma.github.io/Logging_2510/tillsynsmail/A 52260-2024 tillsynsbegäran mail.docx", "A 52260-2024")</f>
        <v/>
      </c>
    </row>
    <row r="554" ht="15" customHeight="1">
      <c r="A554" t="inlineStr">
        <is>
          <t>A 30453-2024</t>
        </is>
      </c>
      <c r="B554" s="1" t="n">
        <v>45491.92774305555</v>
      </c>
      <c r="C554" s="1" t="n">
        <v>46046</v>
      </c>
      <c r="D554" t="inlineStr">
        <is>
          <t>NORRBOTTENS LÄN</t>
        </is>
      </c>
      <c r="E554" t="inlineStr">
        <is>
          <t>PITEÅ</t>
        </is>
      </c>
      <c r="G554" t="n">
        <v>2.5</v>
      </c>
      <c r="H554" t="n">
        <v>1</v>
      </c>
      <c r="I554" t="n">
        <v>0</v>
      </c>
      <c r="J554" t="n">
        <v>1</v>
      </c>
      <c r="K554" t="n">
        <v>0</v>
      </c>
      <c r="L554" t="n">
        <v>0</v>
      </c>
      <c r="M554" t="n">
        <v>0</v>
      </c>
      <c r="N554" t="n">
        <v>0</v>
      </c>
      <c r="O554" t="n">
        <v>1</v>
      </c>
      <c r="P554" t="n">
        <v>0</v>
      </c>
      <c r="Q554" t="n">
        <v>1</v>
      </c>
      <c r="R554" s="2" t="inlineStr">
        <is>
          <t>Rödvingetrast</t>
        </is>
      </c>
      <c r="S554">
        <f>HYPERLINK("https://klasma.github.io/Logging_2581/artfynd/A 30453-2024 artfynd.xlsx", "A 30453-2024")</f>
        <v/>
      </c>
      <c r="T554">
        <f>HYPERLINK("https://klasma.github.io/Logging_2581/kartor/A 30453-2024 karta.png", "A 30453-2024")</f>
        <v/>
      </c>
      <c r="V554">
        <f>HYPERLINK("https://klasma.github.io/Logging_2581/klagomål/A 30453-2024 FSC-klagomål.docx", "A 30453-2024")</f>
        <v/>
      </c>
      <c r="W554">
        <f>HYPERLINK("https://klasma.github.io/Logging_2581/klagomålsmail/A 30453-2024 FSC-klagomål mail.docx", "A 30453-2024")</f>
        <v/>
      </c>
      <c r="X554">
        <f>HYPERLINK("https://klasma.github.io/Logging_2581/tillsyn/A 30453-2024 tillsynsbegäran.docx", "A 30453-2024")</f>
        <v/>
      </c>
      <c r="Y554">
        <f>HYPERLINK("https://klasma.github.io/Logging_2581/tillsynsmail/A 30453-2024 tillsynsbegäran mail.docx", "A 30453-2024")</f>
        <v/>
      </c>
      <c r="Z554">
        <f>HYPERLINK("https://klasma.github.io/Logging_2581/fåglar/A 30453-2024 prioriterade fågelarter.docx", "A 30453-2024")</f>
        <v/>
      </c>
    </row>
    <row r="555" ht="15" customHeight="1">
      <c r="A555" t="inlineStr">
        <is>
          <t>A 60509-2021</t>
        </is>
      </c>
      <c r="B555" s="1" t="n">
        <v>44496</v>
      </c>
      <c r="C555" s="1" t="n">
        <v>46046</v>
      </c>
      <c r="D555" t="inlineStr">
        <is>
          <t>NORRBOTTENS LÄN</t>
        </is>
      </c>
      <c r="E555" t="inlineStr">
        <is>
          <t>ÖVERKALIX</t>
        </is>
      </c>
      <c r="F555" t="inlineStr">
        <is>
          <t>Sveaskog</t>
        </is>
      </c>
      <c r="G555" t="n">
        <v>13.5</v>
      </c>
      <c r="H555" t="n">
        <v>0</v>
      </c>
      <c r="I555" t="n">
        <v>1</v>
      </c>
      <c r="J555" t="n">
        <v>0</v>
      </c>
      <c r="K555" t="n">
        <v>0</v>
      </c>
      <c r="L555" t="n">
        <v>0</v>
      </c>
      <c r="M555" t="n">
        <v>0</v>
      </c>
      <c r="N555" t="n">
        <v>0</v>
      </c>
      <c r="O555" t="n">
        <v>0</v>
      </c>
      <c r="P555" t="n">
        <v>0</v>
      </c>
      <c r="Q555" t="n">
        <v>1</v>
      </c>
      <c r="R555" s="2" t="inlineStr">
        <is>
          <t>Stor aspticka</t>
        </is>
      </c>
      <c r="S555">
        <f>HYPERLINK("https://klasma.github.io/Logging_2513/artfynd/A 60509-2021 artfynd.xlsx", "A 60509-2021")</f>
        <v/>
      </c>
      <c r="T555">
        <f>HYPERLINK("https://klasma.github.io/Logging_2513/kartor/A 60509-2021 karta.png", "A 60509-2021")</f>
        <v/>
      </c>
      <c r="V555">
        <f>HYPERLINK("https://klasma.github.io/Logging_2513/klagomål/A 60509-2021 FSC-klagomål.docx", "A 60509-2021")</f>
        <v/>
      </c>
      <c r="W555">
        <f>HYPERLINK("https://klasma.github.io/Logging_2513/klagomålsmail/A 60509-2021 FSC-klagomål mail.docx", "A 60509-2021")</f>
        <v/>
      </c>
      <c r="X555">
        <f>HYPERLINK("https://klasma.github.io/Logging_2513/tillsyn/A 60509-2021 tillsynsbegäran.docx", "A 60509-2021")</f>
        <v/>
      </c>
      <c r="Y555">
        <f>HYPERLINK("https://klasma.github.io/Logging_2513/tillsynsmail/A 60509-2021 tillsynsbegäran mail.docx", "A 60509-2021")</f>
        <v/>
      </c>
    </row>
    <row r="556" ht="15" customHeight="1">
      <c r="A556" t="inlineStr">
        <is>
          <t>A 45386-2024</t>
        </is>
      </c>
      <c r="B556" s="1" t="n">
        <v>45576.53655092593</v>
      </c>
      <c r="C556" s="1" t="n">
        <v>46046</v>
      </c>
      <c r="D556" t="inlineStr">
        <is>
          <t>NORRBOTTENS LÄN</t>
        </is>
      </c>
      <c r="E556" t="inlineStr">
        <is>
          <t>ARVIDSJAUR</t>
        </is>
      </c>
      <c r="F556" t="inlineStr">
        <is>
          <t>Sveaskog</t>
        </is>
      </c>
      <c r="G556" t="n">
        <v>11.9</v>
      </c>
      <c r="H556" t="n">
        <v>0</v>
      </c>
      <c r="I556" t="n">
        <v>1</v>
      </c>
      <c r="J556" t="n">
        <v>0</v>
      </c>
      <c r="K556" t="n">
        <v>0</v>
      </c>
      <c r="L556" t="n">
        <v>0</v>
      </c>
      <c r="M556" t="n">
        <v>0</v>
      </c>
      <c r="N556" t="n">
        <v>0</v>
      </c>
      <c r="O556" t="n">
        <v>0</v>
      </c>
      <c r="P556" t="n">
        <v>0</v>
      </c>
      <c r="Q556" t="n">
        <v>1</v>
      </c>
      <c r="R556" s="2" t="inlineStr">
        <is>
          <t>Dropptaggsvamp</t>
        </is>
      </c>
      <c r="S556">
        <f>HYPERLINK("https://klasma.github.io/Logging_2505/artfynd/A 45386-2024 artfynd.xlsx", "A 45386-2024")</f>
        <v/>
      </c>
      <c r="T556">
        <f>HYPERLINK("https://klasma.github.io/Logging_2505/kartor/A 45386-2024 karta.png", "A 45386-2024")</f>
        <v/>
      </c>
      <c r="V556">
        <f>HYPERLINK("https://klasma.github.io/Logging_2505/klagomål/A 45386-2024 FSC-klagomål.docx", "A 45386-2024")</f>
        <v/>
      </c>
      <c r="W556">
        <f>HYPERLINK("https://klasma.github.io/Logging_2505/klagomålsmail/A 45386-2024 FSC-klagomål mail.docx", "A 45386-2024")</f>
        <v/>
      </c>
      <c r="X556">
        <f>HYPERLINK("https://klasma.github.io/Logging_2505/tillsyn/A 45386-2024 tillsynsbegäran.docx", "A 45386-2024")</f>
        <v/>
      </c>
      <c r="Y556">
        <f>HYPERLINK("https://klasma.github.io/Logging_2505/tillsynsmail/A 45386-2024 tillsynsbegäran mail.docx", "A 45386-2024")</f>
        <v/>
      </c>
    </row>
    <row r="557" ht="15" customHeight="1">
      <c r="A557" t="inlineStr">
        <is>
          <t>A 23790-2025</t>
        </is>
      </c>
      <c r="B557" s="1" t="n">
        <v>45793</v>
      </c>
      <c r="C557" s="1" t="n">
        <v>46046</v>
      </c>
      <c r="D557" t="inlineStr">
        <is>
          <t>NORRBOTTENS LÄN</t>
        </is>
      </c>
      <c r="E557" t="inlineStr">
        <is>
          <t>ÄLVSBYN</t>
        </is>
      </c>
      <c r="F557" t="inlineStr">
        <is>
          <t>Sveaskog</t>
        </is>
      </c>
      <c r="G557" t="n">
        <v>10.8</v>
      </c>
      <c r="H557" t="n">
        <v>0</v>
      </c>
      <c r="I557" t="n">
        <v>0</v>
      </c>
      <c r="J557" t="n">
        <v>1</v>
      </c>
      <c r="K557" t="n">
        <v>0</v>
      </c>
      <c r="L557" t="n">
        <v>0</v>
      </c>
      <c r="M557" t="n">
        <v>0</v>
      </c>
      <c r="N557" t="n">
        <v>0</v>
      </c>
      <c r="O557" t="n">
        <v>1</v>
      </c>
      <c r="P557" t="n">
        <v>0</v>
      </c>
      <c r="Q557" t="n">
        <v>1</v>
      </c>
      <c r="R557" s="2" t="inlineStr">
        <is>
          <t>Vedflamlav</t>
        </is>
      </c>
      <c r="S557">
        <f>HYPERLINK("https://klasma.github.io/Logging_2560/artfynd/A 23790-2025 artfynd.xlsx", "A 23790-2025")</f>
        <v/>
      </c>
      <c r="T557">
        <f>HYPERLINK("https://klasma.github.io/Logging_2560/kartor/A 23790-2025 karta.png", "A 23790-2025")</f>
        <v/>
      </c>
      <c r="V557">
        <f>HYPERLINK("https://klasma.github.io/Logging_2560/klagomål/A 23790-2025 FSC-klagomål.docx", "A 23790-2025")</f>
        <v/>
      </c>
      <c r="W557">
        <f>HYPERLINK("https://klasma.github.io/Logging_2560/klagomålsmail/A 23790-2025 FSC-klagomål mail.docx", "A 23790-2025")</f>
        <v/>
      </c>
      <c r="X557">
        <f>HYPERLINK("https://klasma.github.io/Logging_2560/tillsyn/A 23790-2025 tillsynsbegäran.docx", "A 23790-2025")</f>
        <v/>
      </c>
      <c r="Y557">
        <f>HYPERLINK("https://klasma.github.io/Logging_2560/tillsynsmail/A 23790-2025 tillsynsbegäran mail.docx", "A 23790-2025")</f>
        <v/>
      </c>
    </row>
    <row r="558" ht="15" customHeight="1">
      <c r="A558" t="inlineStr">
        <is>
          <t>A 55788-2024</t>
        </is>
      </c>
      <c r="B558" s="1" t="n">
        <v>45623</v>
      </c>
      <c r="C558" s="1" t="n">
        <v>46046</v>
      </c>
      <c r="D558" t="inlineStr">
        <is>
          <t>NORRBOTTENS LÄN</t>
        </is>
      </c>
      <c r="E558" t="inlineStr">
        <is>
          <t>ÄLVSBYN</t>
        </is>
      </c>
      <c r="F558" t="inlineStr">
        <is>
          <t>Sveaskog</t>
        </is>
      </c>
      <c r="G558" t="n">
        <v>1.7</v>
      </c>
      <c r="H558" t="n">
        <v>0</v>
      </c>
      <c r="I558" t="n">
        <v>0</v>
      </c>
      <c r="J558" t="n">
        <v>1</v>
      </c>
      <c r="K558" t="n">
        <v>0</v>
      </c>
      <c r="L558" t="n">
        <v>0</v>
      </c>
      <c r="M558" t="n">
        <v>0</v>
      </c>
      <c r="N558" t="n">
        <v>0</v>
      </c>
      <c r="O558" t="n">
        <v>1</v>
      </c>
      <c r="P558" t="n">
        <v>0</v>
      </c>
      <c r="Q558" t="n">
        <v>1</v>
      </c>
      <c r="R558" s="2" t="inlineStr">
        <is>
          <t>Orange taggsvamp</t>
        </is>
      </c>
      <c r="S558">
        <f>HYPERLINK("https://klasma.github.io/Logging_2560/artfynd/A 55788-2024 artfynd.xlsx", "A 55788-2024")</f>
        <v/>
      </c>
      <c r="T558">
        <f>HYPERLINK("https://klasma.github.io/Logging_2560/kartor/A 55788-2024 karta.png", "A 55788-2024")</f>
        <v/>
      </c>
      <c r="V558">
        <f>HYPERLINK("https://klasma.github.io/Logging_2560/klagomål/A 55788-2024 FSC-klagomål.docx", "A 55788-2024")</f>
        <v/>
      </c>
      <c r="W558">
        <f>HYPERLINK("https://klasma.github.io/Logging_2560/klagomålsmail/A 55788-2024 FSC-klagomål mail.docx", "A 55788-2024")</f>
        <v/>
      </c>
      <c r="X558">
        <f>HYPERLINK("https://klasma.github.io/Logging_2560/tillsyn/A 55788-2024 tillsynsbegäran.docx", "A 55788-2024")</f>
        <v/>
      </c>
      <c r="Y558">
        <f>HYPERLINK("https://klasma.github.io/Logging_2560/tillsynsmail/A 55788-2024 tillsynsbegäran mail.docx", "A 55788-2024")</f>
        <v/>
      </c>
    </row>
    <row r="559" ht="15" customHeight="1">
      <c r="A559" t="inlineStr">
        <is>
          <t>A 23578-2025</t>
        </is>
      </c>
      <c r="B559" s="1" t="n">
        <v>45792</v>
      </c>
      <c r="C559" s="1" t="n">
        <v>46046</v>
      </c>
      <c r="D559" t="inlineStr">
        <is>
          <t>NORRBOTTENS LÄN</t>
        </is>
      </c>
      <c r="E559" t="inlineStr">
        <is>
          <t>GÄLLIVARE</t>
        </is>
      </c>
      <c r="F559" t="inlineStr">
        <is>
          <t>Allmännings- och besparingsskogar</t>
        </is>
      </c>
      <c r="G559" t="n">
        <v>51.6</v>
      </c>
      <c r="H559" t="n">
        <v>0</v>
      </c>
      <c r="I559" t="n">
        <v>0</v>
      </c>
      <c r="J559" t="n">
        <v>1</v>
      </c>
      <c r="K559" t="n">
        <v>0</v>
      </c>
      <c r="L559" t="n">
        <v>0</v>
      </c>
      <c r="M559" t="n">
        <v>0</v>
      </c>
      <c r="N559" t="n">
        <v>0</v>
      </c>
      <c r="O559" t="n">
        <v>1</v>
      </c>
      <c r="P559" t="n">
        <v>0</v>
      </c>
      <c r="Q559" t="n">
        <v>1</v>
      </c>
      <c r="R559" s="2" t="inlineStr">
        <is>
          <t>Garnlav</t>
        </is>
      </c>
      <c r="S559">
        <f>HYPERLINK("https://klasma.github.io/Logging_2523/artfynd/A 23578-2025 artfynd.xlsx", "A 23578-2025")</f>
        <v/>
      </c>
      <c r="T559">
        <f>HYPERLINK("https://klasma.github.io/Logging_2523/kartor/A 23578-2025 karta.png", "A 23578-2025")</f>
        <v/>
      </c>
      <c r="V559">
        <f>HYPERLINK("https://klasma.github.io/Logging_2523/klagomål/A 23578-2025 FSC-klagomål.docx", "A 23578-2025")</f>
        <v/>
      </c>
      <c r="W559">
        <f>HYPERLINK("https://klasma.github.io/Logging_2523/klagomålsmail/A 23578-2025 FSC-klagomål mail.docx", "A 23578-2025")</f>
        <v/>
      </c>
      <c r="X559">
        <f>HYPERLINK("https://klasma.github.io/Logging_2523/tillsyn/A 23578-2025 tillsynsbegäran.docx", "A 23578-2025")</f>
        <v/>
      </c>
      <c r="Y559">
        <f>HYPERLINK("https://klasma.github.io/Logging_2523/tillsynsmail/A 23578-2025 tillsynsbegäran mail.docx", "A 23578-2025")</f>
        <v/>
      </c>
    </row>
    <row r="560" ht="15" customHeight="1">
      <c r="A560" t="inlineStr">
        <is>
          <t>A 59847-2024</t>
        </is>
      </c>
      <c r="B560" s="1" t="n">
        <v>45639</v>
      </c>
      <c r="C560" s="1" t="n">
        <v>46046</v>
      </c>
      <c r="D560" t="inlineStr">
        <is>
          <t>NORRBOTTENS LÄN</t>
        </is>
      </c>
      <c r="E560" t="inlineStr">
        <is>
          <t>HAPARANDA</t>
        </is>
      </c>
      <c r="G560" t="n">
        <v>10.3</v>
      </c>
      <c r="H560" t="n">
        <v>0</v>
      </c>
      <c r="I560" t="n">
        <v>1</v>
      </c>
      <c r="J560" t="n">
        <v>0</v>
      </c>
      <c r="K560" t="n">
        <v>0</v>
      </c>
      <c r="L560" t="n">
        <v>0</v>
      </c>
      <c r="M560" t="n">
        <v>0</v>
      </c>
      <c r="N560" t="n">
        <v>0</v>
      </c>
      <c r="O560" t="n">
        <v>0</v>
      </c>
      <c r="P560" t="n">
        <v>0</v>
      </c>
      <c r="Q560" t="n">
        <v>1</v>
      </c>
      <c r="R560" s="2" t="inlineStr">
        <is>
          <t>Ögonpyrola</t>
        </is>
      </c>
      <c r="S560">
        <f>HYPERLINK("https://klasma.github.io/Logging_2583/artfynd/A 59847-2024 artfynd.xlsx", "A 59847-2024")</f>
        <v/>
      </c>
      <c r="T560">
        <f>HYPERLINK("https://klasma.github.io/Logging_2583/kartor/A 59847-2024 karta.png", "A 59847-2024")</f>
        <v/>
      </c>
      <c r="V560">
        <f>HYPERLINK("https://klasma.github.io/Logging_2583/klagomål/A 59847-2024 FSC-klagomål.docx", "A 59847-2024")</f>
        <v/>
      </c>
      <c r="W560">
        <f>HYPERLINK("https://klasma.github.io/Logging_2583/klagomålsmail/A 59847-2024 FSC-klagomål mail.docx", "A 59847-2024")</f>
        <v/>
      </c>
      <c r="X560">
        <f>HYPERLINK("https://klasma.github.io/Logging_2583/tillsyn/A 59847-2024 tillsynsbegäran.docx", "A 59847-2024")</f>
        <v/>
      </c>
      <c r="Y560">
        <f>HYPERLINK("https://klasma.github.io/Logging_2583/tillsynsmail/A 59847-2024 tillsynsbegäran mail.docx", "A 59847-2024")</f>
        <v/>
      </c>
    </row>
    <row r="561" ht="15" customHeight="1">
      <c r="A561" t="inlineStr">
        <is>
          <t>A 4561-2023</t>
        </is>
      </c>
      <c r="B561" s="1" t="n">
        <v>44951</v>
      </c>
      <c r="C561" s="1" t="n">
        <v>46046</v>
      </c>
      <c r="D561" t="inlineStr">
        <is>
          <t>NORRBOTTENS LÄN</t>
        </is>
      </c>
      <c r="E561" t="inlineStr">
        <is>
          <t>LULEÅ</t>
        </is>
      </c>
      <c r="G561" t="n">
        <v>4.1</v>
      </c>
      <c r="H561" t="n">
        <v>1</v>
      </c>
      <c r="I561" t="n">
        <v>0</v>
      </c>
      <c r="J561" t="n">
        <v>0</v>
      </c>
      <c r="K561" t="n">
        <v>1</v>
      </c>
      <c r="L561" t="n">
        <v>0</v>
      </c>
      <c r="M561" t="n">
        <v>0</v>
      </c>
      <c r="N561" t="n">
        <v>0</v>
      </c>
      <c r="O561" t="n">
        <v>1</v>
      </c>
      <c r="P561" t="n">
        <v>1</v>
      </c>
      <c r="Q561" t="n">
        <v>1</v>
      </c>
      <c r="R561" s="2" t="inlineStr">
        <is>
          <t>Topplåsbräken</t>
        </is>
      </c>
      <c r="S561">
        <f>HYPERLINK("https://klasma.github.io/Logging_2580/artfynd/A 4561-2023 artfynd.xlsx", "A 4561-2023")</f>
        <v/>
      </c>
      <c r="T561">
        <f>HYPERLINK("https://klasma.github.io/Logging_2580/kartor/A 4561-2023 karta.png", "A 4561-2023")</f>
        <v/>
      </c>
      <c r="V561">
        <f>HYPERLINK("https://klasma.github.io/Logging_2580/klagomål/A 4561-2023 FSC-klagomål.docx", "A 4561-2023")</f>
        <v/>
      </c>
      <c r="W561">
        <f>HYPERLINK("https://klasma.github.io/Logging_2580/klagomålsmail/A 4561-2023 FSC-klagomål mail.docx", "A 4561-2023")</f>
        <v/>
      </c>
      <c r="X561">
        <f>HYPERLINK("https://klasma.github.io/Logging_2580/tillsyn/A 4561-2023 tillsynsbegäran.docx", "A 4561-2023")</f>
        <v/>
      </c>
      <c r="Y561">
        <f>HYPERLINK("https://klasma.github.io/Logging_2580/tillsynsmail/A 4561-2023 tillsynsbegäran mail.docx", "A 4561-2023")</f>
        <v/>
      </c>
    </row>
    <row r="562" ht="15" customHeight="1">
      <c r="A562" t="inlineStr">
        <is>
          <t>A 17740-2023</t>
        </is>
      </c>
      <c r="B562" s="1" t="n">
        <v>45035</v>
      </c>
      <c r="C562" s="1" t="n">
        <v>46046</v>
      </c>
      <c r="D562" t="inlineStr">
        <is>
          <t>NORRBOTTENS LÄN</t>
        </is>
      </c>
      <c r="E562" t="inlineStr">
        <is>
          <t>KIRUNA</t>
        </is>
      </c>
      <c r="F562" t="inlineStr">
        <is>
          <t>Allmännings- och besparingsskogar</t>
        </is>
      </c>
      <c r="G562" t="n">
        <v>20.1</v>
      </c>
      <c r="H562" t="n">
        <v>0</v>
      </c>
      <c r="I562" t="n">
        <v>0</v>
      </c>
      <c r="J562" t="n">
        <v>1</v>
      </c>
      <c r="K562" t="n">
        <v>0</v>
      </c>
      <c r="L562" t="n">
        <v>0</v>
      </c>
      <c r="M562" t="n">
        <v>0</v>
      </c>
      <c r="N562" t="n">
        <v>0</v>
      </c>
      <c r="O562" t="n">
        <v>1</v>
      </c>
      <c r="P562" t="n">
        <v>0</v>
      </c>
      <c r="Q562" t="n">
        <v>1</v>
      </c>
      <c r="R562" s="2" t="inlineStr">
        <is>
          <t>Knottrig blåslav</t>
        </is>
      </c>
      <c r="S562">
        <f>HYPERLINK("https://klasma.github.io/Logging_2584/artfynd/A 17740-2023 artfynd.xlsx", "A 17740-2023")</f>
        <v/>
      </c>
      <c r="T562">
        <f>HYPERLINK("https://klasma.github.io/Logging_2584/kartor/A 17740-2023 karta.png", "A 17740-2023")</f>
        <v/>
      </c>
      <c r="V562">
        <f>HYPERLINK("https://klasma.github.io/Logging_2584/klagomål/A 17740-2023 FSC-klagomål.docx", "A 17740-2023")</f>
        <v/>
      </c>
      <c r="W562">
        <f>HYPERLINK("https://klasma.github.io/Logging_2584/klagomålsmail/A 17740-2023 FSC-klagomål mail.docx", "A 17740-2023")</f>
        <v/>
      </c>
      <c r="X562">
        <f>HYPERLINK("https://klasma.github.io/Logging_2584/tillsyn/A 17740-2023 tillsynsbegäran.docx", "A 17740-2023")</f>
        <v/>
      </c>
      <c r="Y562">
        <f>HYPERLINK("https://klasma.github.io/Logging_2584/tillsynsmail/A 17740-2023 tillsynsbegäran mail.docx", "A 17740-2023")</f>
        <v/>
      </c>
    </row>
    <row r="563" ht="15" customHeight="1">
      <c r="A563" t="inlineStr">
        <is>
          <t>A 16217-2024</t>
        </is>
      </c>
      <c r="B563" s="1" t="n">
        <v>45406.96350694444</v>
      </c>
      <c r="C563" s="1" t="n">
        <v>46046</v>
      </c>
      <c r="D563" t="inlineStr">
        <is>
          <t>NORRBOTTENS LÄN</t>
        </is>
      </c>
      <c r="E563" t="inlineStr">
        <is>
          <t>BODEN</t>
        </is>
      </c>
      <c r="G563" t="n">
        <v>7.2</v>
      </c>
      <c r="H563" t="n">
        <v>1</v>
      </c>
      <c r="I563" t="n">
        <v>0</v>
      </c>
      <c r="J563" t="n">
        <v>1</v>
      </c>
      <c r="K563" t="n">
        <v>0</v>
      </c>
      <c r="L563" t="n">
        <v>0</v>
      </c>
      <c r="M563" t="n">
        <v>0</v>
      </c>
      <c r="N563" t="n">
        <v>0</v>
      </c>
      <c r="O563" t="n">
        <v>1</v>
      </c>
      <c r="P563" t="n">
        <v>0</v>
      </c>
      <c r="Q563" t="n">
        <v>1</v>
      </c>
      <c r="R563" s="2" t="inlineStr">
        <is>
          <t>Videsparv</t>
        </is>
      </c>
      <c r="S563">
        <f>HYPERLINK("https://klasma.github.io/Logging_2582/artfynd/A 16217-2024 artfynd.xlsx", "A 16217-2024")</f>
        <v/>
      </c>
      <c r="T563">
        <f>HYPERLINK("https://klasma.github.io/Logging_2582/kartor/A 16217-2024 karta.png", "A 16217-2024")</f>
        <v/>
      </c>
      <c r="V563">
        <f>HYPERLINK("https://klasma.github.io/Logging_2582/klagomål/A 16217-2024 FSC-klagomål.docx", "A 16217-2024")</f>
        <v/>
      </c>
      <c r="W563">
        <f>HYPERLINK("https://klasma.github.io/Logging_2582/klagomålsmail/A 16217-2024 FSC-klagomål mail.docx", "A 16217-2024")</f>
        <v/>
      </c>
      <c r="X563">
        <f>HYPERLINK("https://klasma.github.io/Logging_2582/tillsyn/A 16217-2024 tillsynsbegäran.docx", "A 16217-2024")</f>
        <v/>
      </c>
      <c r="Y563">
        <f>HYPERLINK("https://klasma.github.io/Logging_2582/tillsynsmail/A 16217-2024 tillsynsbegäran mail.docx", "A 16217-2024")</f>
        <v/>
      </c>
      <c r="Z563">
        <f>HYPERLINK("https://klasma.github.io/Logging_2582/fåglar/A 16217-2024 prioriterade fågelarter.docx", "A 16217-2024")</f>
        <v/>
      </c>
    </row>
    <row r="564" ht="15" customHeight="1">
      <c r="A564" t="inlineStr">
        <is>
          <t>A 28007-2024</t>
        </is>
      </c>
      <c r="B564" s="1" t="n">
        <v>45476.45337962963</v>
      </c>
      <c r="C564" s="1" t="n">
        <v>46046</v>
      </c>
      <c r="D564" t="inlineStr">
        <is>
          <t>NORRBOTTENS LÄN</t>
        </is>
      </c>
      <c r="E564" t="inlineStr">
        <is>
          <t>PAJALA</t>
        </is>
      </c>
      <c r="G564" t="n">
        <v>16.5</v>
      </c>
      <c r="H564" t="n">
        <v>1</v>
      </c>
      <c r="I564" t="n">
        <v>0</v>
      </c>
      <c r="J564" t="n">
        <v>0</v>
      </c>
      <c r="K564" t="n">
        <v>0</v>
      </c>
      <c r="L564" t="n">
        <v>0</v>
      </c>
      <c r="M564" t="n">
        <v>0</v>
      </c>
      <c r="N564" t="n">
        <v>0</v>
      </c>
      <c r="O564" t="n">
        <v>0</v>
      </c>
      <c r="P564" t="n">
        <v>0</v>
      </c>
      <c r="Q564" t="n">
        <v>1</v>
      </c>
      <c r="R564" s="2" t="inlineStr">
        <is>
          <t>Revlummer</t>
        </is>
      </c>
      <c r="S564">
        <f>HYPERLINK("https://klasma.github.io/Logging_2521/artfynd/A 28007-2024 artfynd.xlsx", "A 28007-2024")</f>
        <v/>
      </c>
      <c r="T564">
        <f>HYPERLINK("https://klasma.github.io/Logging_2521/kartor/A 28007-2024 karta.png", "A 28007-2024")</f>
        <v/>
      </c>
      <c r="V564">
        <f>HYPERLINK("https://klasma.github.io/Logging_2521/klagomål/A 28007-2024 FSC-klagomål.docx", "A 28007-2024")</f>
        <v/>
      </c>
      <c r="W564">
        <f>HYPERLINK("https://klasma.github.io/Logging_2521/klagomålsmail/A 28007-2024 FSC-klagomål mail.docx", "A 28007-2024")</f>
        <v/>
      </c>
      <c r="X564">
        <f>HYPERLINK("https://klasma.github.io/Logging_2521/tillsyn/A 28007-2024 tillsynsbegäran.docx", "A 28007-2024")</f>
        <v/>
      </c>
      <c r="Y564">
        <f>HYPERLINK("https://klasma.github.io/Logging_2521/tillsynsmail/A 28007-2024 tillsynsbegäran mail.docx", "A 28007-2024")</f>
        <v/>
      </c>
    </row>
    <row r="565" ht="15" customHeight="1">
      <c r="A565" t="inlineStr">
        <is>
          <t>A 61488-2022</t>
        </is>
      </c>
      <c r="B565" s="1" t="n">
        <v>44910</v>
      </c>
      <c r="C565" s="1" t="n">
        <v>46046</v>
      </c>
      <c r="D565" t="inlineStr">
        <is>
          <t>NORRBOTTENS LÄN</t>
        </is>
      </c>
      <c r="E565" t="inlineStr">
        <is>
          <t>BODEN</t>
        </is>
      </c>
      <c r="F565" t="inlineStr">
        <is>
          <t>Sveaskog</t>
        </is>
      </c>
      <c r="G565" t="n">
        <v>18.6</v>
      </c>
      <c r="H565" t="n">
        <v>1</v>
      </c>
      <c r="I565" t="n">
        <v>0</v>
      </c>
      <c r="J565" t="n">
        <v>0</v>
      </c>
      <c r="K565" t="n">
        <v>0</v>
      </c>
      <c r="L565" t="n">
        <v>0</v>
      </c>
      <c r="M565" t="n">
        <v>0</v>
      </c>
      <c r="N565" t="n">
        <v>0</v>
      </c>
      <c r="O565" t="n">
        <v>0</v>
      </c>
      <c r="P565" t="n">
        <v>0</v>
      </c>
      <c r="Q565" t="n">
        <v>1</v>
      </c>
      <c r="R565" s="2" t="inlineStr">
        <is>
          <t>Lavskrika</t>
        </is>
      </c>
      <c r="S565">
        <f>HYPERLINK("https://klasma.github.io/Logging_2582/artfynd/A 61488-2022 artfynd.xlsx", "A 61488-2022")</f>
        <v/>
      </c>
      <c r="T565">
        <f>HYPERLINK("https://klasma.github.io/Logging_2582/kartor/A 61488-2022 karta.png", "A 61488-2022")</f>
        <v/>
      </c>
      <c r="V565">
        <f>HYPERLINK("https://klasma.github.io/Logging_2582/klagomål/A 61488-2022 FSC-klagomål.docx", "A 61488-2022")</f>
        <v/>
      </c>
      <c r="W565">
        <f>HYPERLINK("https://klasma.github.io/Logging_2582/klagomålsmail/A 61488-2022 FSC-klagomål mail.docx", "A 61488-2022")</f>
        <v/>
      </c>
      <c r="X565">
        <f>HYPERLINK("https://klasma.github.io/Logging_2582/tillsyn/A 61488-2022 tillsynsbegäran.docx", "A 61488-2022")</f>
        <v/>
      </c>
      <c r="Y565">
        <f>HYPERLINK("https://klasma.github.io/Logging_2582/tillsynsmail/A 61488-2022 tillsynsbegäran mail.docx", "A 61488-2022")</f>
        <v/>
      </c>
      <c r="Z565">
        <f>HYPERLINK("https://klasma.github.io/Logging_2582/fåglar/A 61488-2022 prioriterade fågelarter.docx", "A 61488-2022")</f>
        <v/>
      </c>
    </row>
    <row r="566" ht="15" customHeight="1">
      <c r="A566" t="inlineStr">
        <is>
          <t>A 41171-2023</t>
        </is>
      </c>
      <c r="B566" s="1" t="n">
        <v>45174</v>
      </c>
      <c r="C566" s="1" t="n">
        <v>46046</v>
      </c>
      <c r="D566" t="inlineStr">
        <is>
          <t>NORRBOTTENS LÄN</t>
        </is>
      </c>
      <c r="E566" t="inlineStr">
        <is>
          <t>ÖVERKALIX</t>
        </is>
      </c>
      <c r="F566" t="inlineStr">
        <is>
          <t>Sveaskog</t>
        </is>
      </c>
      <c r="G566" t="n">
        <v>17</v>
      </c>
      <c r="H566" t="n">
        <v>0</v>
      </c>
      <c r="I566" t="n">
        <v>0</v>
      </c>
      <c r="J566" t="n">
        <v>1</v>
      </c>
      <c r="K566" t="n">
        <v>0</v>
      </c>
      <c r="L566" t="n">
        <v>0</v>
      </c>
      <c r="M566" t="n">
        <v>0</v>
      </c>
      <c r="N566" t="n">
        <v>0</v>
      </c>
      <c r="O566" t="n">
        <v>1</v>
      </c>
      <c r="P566" t="n">
        <v>0</v>
      </c>
      <c r="Q566" t="n">
        <v>1</v>
      </c>
      <c r="R566" s="2" t="inlineStr">
        <is>
          <t>Lunglav</t>
        </is>
      </c>
      <c r="S566">
        <f>HYPERLINK("https://klasma.github.io/Logging_2513/artfynd/A 41171-2023 artfynd.xlsx", "A 41171-2023")</f>
        <v/>
      </c>
      <c r="T566">
        <f>HYPERLINK("https://klasma.github.io/Logging_2513/kartor/A 41171-2023 karta.png", "A 41171-2023")</f>
        <v/>
      </c>
      <c r="V566">
        <f>HYPERLINK("https://klasma.github.io/Logging_2513/klagomål/A 41171-2023 FSC-klagomål.docx", "A 41171-2023")</f>
        <v/>
      </c>
      <c r="W566">
        <f>HYPERLINK("https://klasma.github.io/Logging_2513/klagomålsmail/A 41171-2023 FSC-klagomål mail.docx", "A 41171-2023")</f>
        <v/>
      </c>
      <c r="X566">
        <f>HYPERLINK("https://klasma.github.io/Logging_2513/tillsyn/A 41171-2023 tillsynsbegäran.docx", "A 41171-2023")</f>
        <v/>
      </c>
      <c r="Y566">
        <f>HYPERLINK("https://klasma.github.io/Logging_2513/tillsynsmail/A 41171-2023 tillsynsbegäran mail.docx", "A 41171-2023")</f>
        <v/>
      </c>
    </row>
    <row r="567" ht="15" customHeight="1">
      <c r="A567" t="inlineStr">
        <is>
          <t>A 11855-2025</t>
        </is>
      </c>
      <c r="B567" s="1" t="n">
        <v>45727</v>
      </c>
      <c r="C567" s="1" t="n">
        <v>46046</v>
      </c>
      <c r="D567" t="inlineStr">
        <is>
          <t>NORRBOTTENS LÄN</t>
        </is>
      </c>
      <c r="E567" t="inlineStr">
        <is>
          <t>LULEÅ</t>
        </is>
      </c>
      <c r="G567" t="n">
        <v>3.9</v>
      </c>
      <c r="H567" t="n">
        <v>0</v>
      </c>
      <c r="I567" t="n">
        <v>0</v>
      </c>
      <c r="J567" t="n">
        <v>1</v>
      </c>
      <c r="K567" t="n">
        <v>0</v>
      </c>
      <c r="L567" t="n">
        <v>0</v>
      </c>
      <c r="M567" t="n">
        <v>0</v>
      </c>
      <c r="N567" t="n">
        <v>0</v>
      </c>
      <c r="O567" t="n">
        <v>1</v>
      </c>
      <c r="P567" t="n">
        <v>0</v>
      </c>
      <c r="Q567" t="n">
        <v>1</v>
      </c>
      <c r="R567" s="2" t="inlineStr">
        <is>
          <t>Violettgrå tagellav</t>
        </is>
      </c>
      <c r="S567">
        <f>HYPERLINK("https://klasma.github.io/Logging_2580/artfynd/A 11855-2025 artfynd.xlsx", "A 11855-2025")</f>
        <v/>
      </c>
      <c r="T567">
        <f>HYPERLINK("https://klasma.github.io/Logging_2580/kartor/A 11855-2025 karta.png", "A 11855-2025")</f>
        <v/>
      </c>
      <c r="V567">
        <f>HYPERLINK("https://klasma.github.io/Logging_2580/klagomål/A 11855-2025 FSC-klagomål.docx", "A 11855-2025")</f>
        <v/>
      </c>
      <c r="W567">
        <f>HYPERLINK("https://klasma.github.io/Logging_2580/klagomålsmail/A 11855-2025 FSC-klagomål mail.docx", "A 11855-2025")</f>
        <v/>
      </c>
      <c r="X567">
        <f>HYPERLINK("https://klasma.github.io/Logging_2580/tillsyn/A 11855-2025 tillsynsbegäran.docx", "A 11855-2025")</f>
        <v/>
      </c>
      <c r="Y567">
        <f>HYPERLINK("https://klasma.github.io/Logging_2580/tillsynsmail/A 11855-2025 tillsynsbegäran mail.docx", "A 11855-2025")</f>
        <v/>
      </c>
    </row>
    <row r="568" ht="15" customHeight="1">
      <c r="A568" t="inlineStr">
        <is>
          <t>A 33834-2024</t>
        </is>
      </c>
      <c r="B568" s="1" t="n">
        <v>45520</v>
      </c>
      <c r="C568" s="1" t="n">
        <v>46046</v>
      </c>
      <c r="D568" t="inlineStr">
        <is>
          <t>NORRBOTTENS LÄN</t>
        </is>
      </c>
      <c r="E568" t="inlineStr">
        <is>
          <t>ÖVERKALIX</t>
        </is>
      </c>
      <c r="F568" t="inlineStr">
        <is>
          <t>Sveaskog</t>
        </is>
      </c>
      <c r="G568" t="n">
        <v>8.300000000000001</v>
      </c>
      <c r="H568" t="n">
        <v>0</v>
      </c>
      <c r="I568" t="n">
        <v>1</v>
      </c>
      <c r="J568" t="n">
        <v>0</v>
      </c>
      <c r="K568" t="n">
        <v>0</v>
      </c>
      <c r="L568" t="n">
        <v>0</v>
      </c>
      <c r="M568" t="n">
        <v>0</v>
      </c>
      <c r="N568" t="n">
        <v>0</v>
      </c>
      <c r="O568" t="n">
        <v>0</v>
      </c>
      <c r="P568" t="n">
        <v>0</v>
      </c>
      <c r="Q568" t="n">
        <v>1</v>
      </c>
      <c r="R568" s="2" t="inlineStr">
        <is>
          <t>Dropptaggsvamp</t>
        </is>
      </c>
      <c r="S568">
        <f>HYPERLINK("https://klasma.github.io/Logging_2513/artfynd/A 33834-2024 artfynd.xlsx", "A 33834-2024")</f>
        <v/>
      </c>
      <c r="T568">
        <f>HYPERLINK("https://klasma.github.io/Logging_2513/kartor/A 33834-2024 karta.png", "A 33834-2024")</f>
        <v/>
      </c>
      <c r="V568">
        <f>HYPERLINK("https://klasma.github.io/Logging_2513/klagomål/A 33834-2024 FSC-klagomål.docx", "A 33834-2024")</f>
        <v/>
      </c>
      <c r="W568">
        <f>HYPERLINK("https://klasma.github.io/Logging_2513/klagomålsmail/A 33834-2024 FSC-klagomål mail.docx", "A 33834-2024")</f>
        <v/>
      </c>
      <c r="X568">
        <f>HYPERLINK("https://klasma.github.io/Logging_2513/tillsyn/A 33834-2024 tillsynsbegäran.docx", "A 33834-2024")</f>
        <v/>
      </c>
      <c r="Y568">
        <f>HYPERLINK("https://klasma.github.io/Logging_2513/tillsynsmail/A 33834-2024 tillsynsbegäran mail.docx", "A 33834-2024")</f>
        <v/>
      </c>
    </row>
    <row r="569" ht="15" customHeight="1">
      <c r="A569" t="inlineStr">
        <is>
          <t>A 55720-2024</t>
        </is>
      </c>
      <c r="B569" s="1" t="n">
        <v>45622.7453125</v>
      </c>
      <c r="C569" s="1" t="n">
        <v>46046</v>
      </c>
      <c r="D569" t="inlineStr">
        <is>
          <t>NORRBOTTENS LÄN</t>
        </is>
      </c>
      <c r="E569" t="inlineStr">
        <is>
          <t>LULEÅ</t>
        </is>
      </c>
      <c r="G569" t="n">
        <v>11.6</v>
      </c>
      <c r="H569" t="n">
        <v>0</v>
      </c>
      <c r="I569" t="n">
        <v>0</v>
      </c>
      <c r="J569" t="n">
        <v>1</v>
      </c>
      <c r="K569" t="n">
        <v>0</v>
      </c>
      <c r="L569" t="n">
        <v>0</v>
      </c>
      <c r="M569" t="n">
        <v>0</v>
      </c>
      <c r="N569" t="n">
        <v>0</v>
      </c>
      <c r="O569" t="n">
        <v>1</v>
      </c>
      <c r="P569" t="n">
        <v>0</v>
      </c>
      <c r="Q569" t="n">
        <v>1</v>
      </c>
      <c r="R569" s="2" t="inlineStr">
        <is>
          <t>Igelkott</t>
        </is>
      </c>
      <c r="S569">
        <f>HYPERLINK("https://klasma.github.io/Logging_2580/artfynd/A 55720-2024 artfynd.xlsx", "A 55720-2024")</f>
        <v/>
      </c>
      <c r="T569">
        <f>HYPERLINK("https://klasma.github.io/Logging_2580/kartor/A 55720-2024 karta.png", "A 55720-2024")</f>
        <v/>
      </c>
      <c r="V569">
        <f>HYPERLINK("https://klasma.github.io/Logging_2580/klagomål/A 55720-2024 FSC-klagomål.docx", "A 55720-2024")</f>
        <v/>
      </c>
      <c r="W569">
        <f>HYPERLINK("https://klasma.github.io/Logging_2580/klagomålsmail/A 55720-2024 FSC-klagomål mail.docx", "A 55720-2024")</f>
        <v/>
      </c>
      <c r="X569">
        <f>HYPERLINK("https://klasma.github.io/Logging_2580/tillsyn/A 55720-2024 tillsynsbegäran.docx", "A 55720-2024")</f>
        <v/>
      </c>
      <c r="Y569">
        <f>HYPERLINK("https://klasma.github.io/Logging_2580/tillsynsmail/A 55720-2024 tillsynsbegäran mail.docx", "A 55720-2024")</f>
        <v/>
      </c>
    </row>
    <row r="570" ht="15" customHeight="1">
      <c r="A570" t="inlineStr">
        <is>
          <t>A 44704-2024</t>
        </is>
      </c>
      <c r="B570" s="1" t="n">
        <v>45574.56923611111</v>
      </c>
      <c r="C570" s="1" t="n">
        <v>46046</v>
      </c>
      <c r="D570" t="inlineStr">
        <is>
          <t>NORRBOTTENS LÄN</t>
        </is>
      </c>
      <c r="E570" t="inlineStr">
        <is>
          <t>PITEÅ</t>
        </is>
      </c>
      <c r="F570" t="inlineStr">
        <is>
          <t>Sveaskog</t>
        </is>
      </c>
      <c r="G570" t="n">
        <v>3.2</v>
      </c>
      <c r="H570" t="n">
        <v>0</v>
      </c>
      <c r="I570" t="n">
        <v>0</v>
      </c>
      <c r="J570" t="n">
        <v>1</v>
      </c>
      <c r="K570" t="n">
        <v>0</v>
      </c>
      <c r="L570" t="n">
        <v>0</v>
      </c>
      <c r="M570" t="n">
        <v>0</v>
      </c>
      <c r="N570" t="n">
        <v>0</v>
      </c>
      <c r="O570" t="n">
        <v>1</v>
      </c>
      <c r="P570" t="n">
        <v>0</v>
      </c>
      <c r="Q570" t="n">
        <v>1</v>
      </c>
      <c r="R570" s="2" t="inlineStr">
        <is>
          <t>Granticka</t>
        </is>
      </c>
      <c r="S570">
        <f>HYPERLINK("https://klasma.github.io/Logging_2581/artfynd/A 44704-2024 artfynd.xlsx", "A 44704-2024")</f>
        <v/>
      </c>
      <c r="T570">
        <f>HYPERLINK("https://klasma.github.io/Logging_2581/kartor/A 44704-2024 karta.png", "A 44704-2024")</f>
        <v/>
      </c>
      <c r="V570">
        <f>HYPERLINK("https://klasma.github.io/Logging_2581/klagomål/A 44704-2024 FSC-klagomål.docx", "A 44704-2024")</f>
        <v/>
      </c>
      <c r="W570">
        <f>HYPERLINK("https://klasma.github.io/Logging_2581/klagomålsmail/A 44704-2024 FSC-klagomål mail.docx", "A 44704-2024")</f>
        <v/>
      </c>
      <c r="X570">
        <f>HYPERLINK("https://klasma.github.io/Logging_2581/tillsyn/A 44704-2024 tillsynsbegäran.docx", "A 44704-2024")</f>
        <v/>
      </c>
      <c r="Y570">
        <f>HYPERLINK("https://klasma.github.io/Logging_2581/tillsynsmail/A 44704-2024 tillsynsbegäran mail.docx", "A 44704-2024")</f>
        <v/>
      </c>
    </row>
    <row r="571" ht="15" customHeight="1">
      <c r="A571" t="inlineStr">
        <is>
          <t>A 36743-2024</t>
        </is>
      </c>
      <c r="B571" s="1" t="n">
        <v>45538</v>
      </c>
      <c r="C571" s="1" t="n">
        <v>46046</v>
      </c>
      <c r="D571" t="inlineStr">
        <is>
          <t>NORRBOTTENS LÄN</t>
        </is>
      </c>
      <c r="E571" t="inlineStr">
        <is>
          <t>BODEN</t>
        </is>
      </c>
      <c r="F571" t="inlineStr">
        <is>
          <t>Sveaskog</t>
        </is>
      </c>
      <c r="G571" t="n">
        <v>1.7</v>
      </c>
      <c r="H571" t="n">
        <v>0</v>
      </c>
      <c r="I571" t="n">
        <v>0</v>
      </c>
      <c r="J571" t="n">
        <v>1</v>
      </c>
      <c r="K571" t="n">
        <v>0</v>
      </c>
      <c r="L571" t="n">
        <v>0</v>
      </c>
      <c r="M571" t="n">
        <v>0</v>
      </c>
      <c r="N571" t="n">
        <v>0</v>
      </c>
      <c r="O571" t="n">
        <v>1</v>
      </c>
      <c r="P571" t="n">
        <v>0</v>
      </c>
      <c r="Q571" t="n">
        <v>1</v>
      </c>
      <c r="R571" s="2" t="inlineStr">
        <is>
          <t>Lunglav</t>
        </is>
      </c>
      <c r="S571">
        <f>HYPERLINK("https://klasma.github.io/Logging_2582/artfynd/A 36743-2024 artfynd.xlsx", "A 36743-2024")</f>
        <v/>
      </c>
      <c r="T571">
        <f>HYPERLINK("https://klasma.github.io/Logging_2582/kartor/A 36743-2024 karta.png", "A 36743-2024")</f>
        <v/>
      </c>
      <c r="V571">
        <f>HYPERLINK("https://klasma.github.io/Logging_2582/klagomål/A 36743-2024 FSC-klagomål.docx", "A 36743-2024")</f>
        <v/>
      </c>
      <c r="W571">
        <f>HYPERLINK("https://klasma.github.io/Logging_2582/klagomålsmail/A 36743-2024 FSC-klagomål mail.docx", "A 36743-2024")</f>
        <v/>
      </c>
      <c r="X571">
        <f>HYPERLINK("https://klasma.github.io/Logging_2582/tillsyn/A 36743-2024 tillsynsbegäran.docx", "A 36743-2024")</f>
        <v/>
      </c>
      <c r="Y571">
        <f>HYPERLINK("https://klasma.github.io/Logging_2582/tillsynsmail/A 36743-2024 tillsynsbegäran mail.docx", "A 36743-2024")</f>
        <v/>
      </c>
    </row>
    <row r="572" ht="15" customHeight="1">
      <c r="A572" t="inlineStr">
        <is>
          <t>A 50121-2024</t>
        </is>
      </c>
      <c r="B572" s="1" t="n">
        <v>45600.42096064815</v>
      </c>
      <c r="C572" s="1" t="n">
        <v>46046</v>
      </c>
      <c r="D572" t="inlineStr">
        <is>
          <t>NORRBOTTENS LÄN</t>
        </is>
      </c>
      <c r="E572" t="inlineStr">
        <is>
          <t>JOKKMOKK</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HYPERLINK("https://klasma.github.io/Logging_2510/artfynd/A 50121-2024 artfynd.xlsx", "A 50121-2024")</f>
        <v/>
      </c>
      <c r="T572">
        <f>HYPERLINK("https://klasma.github.io/Logging_2510/kartor/A 50121-2024 karta.png", "A 50121-2024")</f>
        <v/>
      </c>
      <c r="V572">
        <f>HYPERLINK("https://klasma.github.io/Logging_2510/klagomål/A 50121-2024 FSC-klagomål.docx", "A 50121-2024")</f>
        <v/>
      </c>
      <c r="W572">
        <f>HYPERLINK("https://klasma.github.io/Logging_2510/klagomålsmail/A 50121-2024 FSC-klagomål mail.docx", "A 50121-2024")</f>
        <v/>
      </c>
      <c r="X572">
        <f>HYPERLINK("https://klasma.github.io/Logging_2510/tillsyn/A 50121-2024 tillsynsbegäran.docx", "A 50121-2024")</f>
        <v/>
      </c>
      <c r="Y572">
        <f>HYPERLINK("https://klasma.github.io/Logging_2510/tillsynsmail/A 50121-2024 tillsynsbegäran mail.docx", "A 50121-2024")</f>
        <v/>
      </c>
      <c r="Z572">
        <f>HYPERLINK("https://klasma.github.io/Logging_2510/fåglar/A 50121-2024 prioriterade fågelarter.docx", "A 50121-2024")</f>
        <v/>
      </c>
    </row>
    <row r="573" ht="15" customHeight="1">
      <c r="A573" t="inlineStr">
        <is>
          <t>A 40463-2023</t>
        </is>
      </c>
      <c r="B573" s="1" t="n">
        <v>45170</v>
      </c>
      <c r="C573" s="1" t="n">
        <v>46046</v>
      </c>
      <c r="D573" t="inlineStr">
        <is>
          <t>NORRBOTTENS LÄN</t>
        </is>
      </c>
      <c r="E573" t="inlineStr">
        <is>
          <t>ÄLVSBYN</t>
        </is>
      </c>
      <c r="F573" t="inlineStr">
        <is>
          <t>Sveaskog</t>
        </is>
      </c>
      <c r="G573" t="n">
        <v>5.3</v>
      </c>
      <c r="H573" t="n">
        <v>0</v>
      </c>
      <c r="I573" t="n">
        <v>0</v>
      </c>
      <c r="J573" t="n">
        <v>1</v>
      </c>
      <c r="K573" t="n">
        <v>0</v>
      </c>
      <c r="L573" t="n">
        <v>0</v>
      </c>
      <c r="M573" t="n">
        <v>0</v>
      </c>
      <c r="N573" t="n">
        <v>0</v>
      </c>
      <c r="O573" t="n">
        <v>1</v>
      </c>
      <c r="P573" t="n">
        <v>0</v>
      </c>
      <c r="Q573" t="n">
        <v>1</v>
      </c>
      <c r="R573" s="2" t="inlineStr">
        <is>
          <t>Lunglav</t>
        </is>
      </c>
      <c r="S573">
        <f>HYPERLINK("https://klasma.github.io/Logging_2560/artfynd/A 40463-2023 artfynd.xlsx", "A 40463-2023")</f>
        <v/>
      </c>
      <c r="T573">
        <f>HYPERLINK("https://klasma.github.io/Logging_2560/kartor/A 40463-2023 karta.png", "A 40463-2023")</f>
        <v/>
      </c>
      <c r="V573">
        <f>HYPERLINK("https://klasma.github.io/Logging_2560/klagomål/A 40463-2023 FSC-klagomål.docx", "A 40463-2023")</f>
        <v/>
      </c>
      <c r="W573">
        <f>HYPERLINK("https://klasma.github.io/Logging_2560/klagomålsmail/A 40463-2023 FSC-klagomål mail.docx", "A 40463-2023")</f>
        <v/>
      </c>
      <c r="X573">
        <f>HYPERLINK("https://klasma.github.io/Logging_2560/tillsyn/A 40463-2023 tillsynsbegäran.docx", "A 40463-2023")</f>
        <v/>
      </c>
      <c r="Y573">
        <f>HYPERLINK("https://klasma.github.io/Logging_2560/tillsynsmail/A 40463-2023 tillsynsbegäran mail.docx", "A 40463-2023")</f>
        <v/>
      </c>
    </row>
    <row r="574" ht="15" customHeight="1">
      <c r="A574" t="inlineStr">
        <is>
          <t>A 6527-2021</t>
        </is>
      </c>
      <c r="B574" s="1" t="n">
        <v>44236</v>
      </c>
      <c r="C574" s="1" t="n">
        <v>46046</v>
      </c>
      <c r="D574" t="inlineStr">
        <is>
          <t>NORRBOTTENS LÄN</t>
        </is>
      </c>
      <c r="E574" t="inlineStr">
        <is>
          <t>LULEÅ</t>
        </is>
      </c>
      <c r="G574" t="n">
        <v>19.7</v>
      </c>
      <c r="H574" t="n">
        <v>1</v>
      </c>
      <c r="I574" t="n">
        <v>0</v>
      </c>
      <c r="J574" t="n">
        <v>1</v>
      </c>
      <c r="K574" t="n">
        <v>0</v>
      </c>
      <c r="L574" t="n">
        <v>0</v>
      </c>
      <c r="M574" t="n">
        <v>0</v>
      </c>
      <c r="N574" t="n">
        <v>0</v>
      </c>
      <c r="O574" t="n">
        <v>1</v>
      </c>
      <c r="P574" t="n">
        <v>0</v>
      </c>
      <c r="Q574" t="n">
        <v>1</v>
      </c>
      <c r="R574" s="2" t="inlineStr">
        <is>
          <t>Videsparv</t>
        </is>
      </c>
      <c r="S574">
        <f>HYPERLINK("https://klasma.github.io/Logging_2580/artfynd/A 6527-2021 artfynd.xlsx", "A 6527-2021")</f>
        <v/>
      </c>
      <c r="T574">
        <f>HYPERLINK("https://klasma.github.io/Logging_2580/kartor/A 6527-2021 karta.png", "A 6527-2021")</f>
        <v/>
      </c>
      <c r="V574">
        <f>HYPERLINK("https://klasma.github.io/Logging_2580/klagomål/A 6527-2021 FSC-klagomål.docx", "A 6527-2021")</f>
        <v/>
      </c>
      <c r="W574">
        <f>HYPERLINK("https://klasma.github.io/Logging_2580/klagomålsmail/A 6527-2021 FSC-klagomål mail.docx", "A 6527-2021")</f>
        <v/>
      </c>
      <c r="X574">
        <f>HYPERLINK("https://klasma.github.io/Logging_2580/tillsyn/A 6527-2021 tillsynsbegäran.docx", "A 6527-2021")</f>
        <v/>
      </c>
      <c r="Y574">
        <f>HYPERLINK("https://klasma.github.io/Logging_2580/tillsynsmail/A 6527-2021 tillsynsbegäran mail.docx", "A 6527-2021")</f>
        <v/>
      </c>
      <c r="Z574">
        <f>HYPERLINK("https://klasma.github.io/Logging_2580/fåglar/A 6527-2021 prioriterade fågelarter.docx", "A 6527-2021")</f>
        <v/>
      </c>
    </row>
    <row r="575" ht="15" customHeight="1">
      <c r="A575" t="inlineStr">
        <is>
          <t>A 25700-2025</t>
        </is>
      </c>
      <c r="B575" s="1" t="n">
        <v>45803.66833333333</v>
      </c>
      <c r="C575" s="1" t="n">
        <v>46046</v>
      </c>
      <c r="D575" t="inlineStr">
        <is>
          <t>NORRBOTTENS LÄN</t>
        </is>
      </c>
      <c r="E575" t="inlineStr">
        <is>
          <t>BODEN</t>
        </is>
      </c>
      <c r="F575" t="inlineStr">
        <is>
          <t>Sveaskog</t>
        </is>
      </c>
      <c r="G575" t="n">
        <v>17.3</v>
      </c>
      <c r="H575" t="n">
        <v>0</v>
      </c>
      <c r="I575" t="n">
        <v>0</v>
      </c>
      <c r="J575" t="n">
        <v>1</v>
      </c>
      <c r="K575" t="n">
        <v>0</v>
      </c>
      <c r="L575" t="n">
        <v>0</v>
      </c>
      <c r="M575" t="n">
        <v>0</v>
      </c>
      <c r="N575" t="n">
        <v>0</v>
      </c>
      <c r="O575" t="n">
        <v>1</v>
      </c>
      <c r="P575" t="n">
        <v>0</v>
      </c>
      <c r="Q575" t="n">
        <v>1</v>
      </c>
      <c r="R575" s="2" t="inlineStr">
        <is>
          <t>Lunglav</t>
        </is>
      </c>
      <c r="S575">
        <f>HYPERLINK("https://klasma.github.io/Logging_2582/artfynd/A 25700-2025 artfynd.xlsx", "A 25700-2025")</f>
        <v/>
      </c>
      <c r="T575">
        <f>HYPERLINK("https://klasma.github.io/Logging_2582/kartor/A 25700-2025 karta.png", "A 25700-2025")</f>
        <v/>
      </c>
      <c r="V575">
        <f>HYPERLINK("https://klasma.github.io/Logging_2582/klagomål/A 25700-2025 FSC-klagomål.docx", "A 25700-2025")</f>
        <v/>
      </c>
      <c r="W575">
        <f>HYPERLINK("https://klasma.github.io/Logging_2582/klagomålsmail/A 25700-2025 FSC-klagomål mail.docx", "A 25700-2025")</f>
        <v/>
      </c>
      <c r="X575">
        <f>HYPERLINK("https://klasma.github.io/Logging_2582/tillsyn/A 25700-2025 tillsynsbegäran.docx", "A 25700-2025")</f>
        <v/>
      </c>
      <c r="Y575">
        <f>HYPERLINK("https://klasma.github.io/Logging_2582/tillsynsmail/A 25700-2025 tillsynsbegäran mail.docx", "A 25700-2025")</f>
        <v/>
      </c>
    </row>
    <row r="576" ht="15" customHeight="1">
      <c r="A576" t="inlineStr">
        <is>
          <t>A 32600-2024</t>
        </is>
      </c>
      <c r="B576" s="1" t="n">
        <v>45513</v>
      </c>
      <c r="C576" s="1" t="n">
        <v>46046</v>
      </c>
      <c r="D576" t="inlineStr">
        <is>
          <t>NORRBOTTENS LÄN</t>
        </is>
      </c>
      <c r="E576" t="inlineStr">
        <is>
          <t>BODEN</t>
        </is>
      </c>
      <c r="G576" t="n">
        <v>2.5</v>
      </c>
      <c r="H576" t="n">
        <v>0</v>
      </c>
      <c r="I576" t="n">
        <v>0</v>
      </c>
      <c r="J576" t="n">
        <v>1</v>
      </c>
      <c r="K576" t="n">
        <v>0</v>
      </c>
      <c r="L576" t="n">
        <v>0</v>
      </c>
      <c r="M576" t="n">
        <v>0</v>
      </c>
      <c r="N576" t="n">
        <v>0</v>
      </c>
      <c r="O576" t="n">
        <v>1</v>
      </c>
      <c r="P576" t="n">
        <v>0</v>
      </c>
      <c r="Q576" t="n">
        <v>1</v>
      </c>
      <c r="R576" s="2" t="inlineStr">
        <is>
          <t>Lunglav</t>
        </is>
      </c>
      <c r="S576">
        <f>HYPERLINK("https://klasma.github.io/Logging_2582/artfynd/A 32600-2024 artfynd.xlsx", "A 32600-2024")</f>
        <v/>
      </c>
      <c r="T576">
        <f>HYPERLINK("https://klasma.github.io/Logging_2582/kartor/A 32600-2024 karta.png", "A 32600-2024")</f>
        <v/>
      </c>
      <c r="V576">
        <f>HYPERLINK("https://klasma.github.io/Logging_2582/klagomål/A 32600-2024 FSC-klagomål.docx", "A 32600-2024")</f>
        <v/>
      </c>
      <c r="W576">
        <f>HYPERLINK("https://klasma.github.io/Logging_2582/klagomålsmail/A 32600-2024 FSC-klagomål mail.docx", "A 32600-2024")</f>
        <v/>
      </c>
      <c r="X576">
        <f>HYPERLINK("https://klasma.github.io/Logging_2582/tillsyn/A 32600-2024 tillsynsbegäran.docx", "A 32600-2024")</f>
        <v/>
      </c>
      <c r="Y576">
        <f>HYPERLINK("https://klasma.github.io/Logging_2582/tillsynsmail/A 32600-2024 tillsynsbegäran mail.docx", "A 32600-2024")</f>
        <v/>
      </c>
    </row>
    <row r="577" ht="15" customHeight="1">
      <c r="A577" t="inlineStr">
        <is>
          <t>A 60686-2024</t>
        </is>
      </c>
      <c r="B577" s="1" t="n">
        <v>45644.46938657408</v>
      </c>
      <c r="C577" s="1" t="n">
        <v>46046</v>
      </c>
      <c r="D577" t="inlineStr">
        <is>
          <t>NORRBOTTENS LÄN</t>
        </is>
      </c>
      <c r="E577" t="inlineStr">
        <is>
          <t>PITEÅ</t>
        </is>
      </c>
      <c r="G577" t="n">
        <v>1.3</v>
      </c>
      <c r="H577" t="n">
        <v>0</v>
      </c>
      <c r="I577" t="n">
        <v>1</v>
      </c>
      <c r="J577" t="n">
        <v>0</v>
      </c>
      <c r="K577" t="n">
        <v>0</v>
      </c>
      <c r="L577" t="n">
        <v>0</v>
      </c>
      <c r="M577" t="n">
        <v>0</v>
      </c>
      <c r="N577" t="n">
        <v>0</v>
      </c>
      <c r="O577" t="n">
        <v>0</v>
      </c>
      <c r="P577" t="n">
        <v>0</v>
      </c>
      <c r="Q577" t="n">
        <v>1</v>
      </c>
      <c r="R577" s="2" t="inlineStr">
        <is>
          <t>Norrlandslav</t>
        </is>
      </c>
      <c r="S577">
        <f>HYPERLINK("https://klasma.github.io/Logging_2581/artfynd/A 60686-2024 artfynd.xlsx", "A 60686-2024")</f>
        <v/>
      </c>
      <c r="T577">
        <f>HYPERLINK("https://klasma.github.io/Logging_2581/kartor/A 60686-2024 karta.png", "A 60686-2024")</f>
        <v/>
      </c>
      <c r="V577">
        <f>HYPERLINK("https://klasma.github.io/Logging_2581/klagomål/A 60686-2024 FSC-klagomål.docx", "A 60686-2024")</f>
        <v/>
      </c>
      <c r="W577">
        <f>HYPERLINK("https://klasma.github.io/Logging_2581/klagomålsmail/A 60686-2024 FSC-klagomål mail.docx", "A 60686-2024")</f>
        <v/>
      </c>
      <c r="X577">
        <f>HYPERLINK("https://klasma.github.io/Logging_2581/tillsyn/A 60686-2024 tillsynsbegäran.docx", "A 60686-2024")</f>
        <v/>
      </c>
      <c r="Y577">
        <f>HYPERLINK("https://klasma.github.io/Logging_2581/tillsynsmail/A 60686-2024 tillsynsbegäran mail.docx", "A 60686-2024")</f>
        <v/>
      </c>
    </row>
    <row r="578" ht="15" customHeight="1">
      <c r="A578" t="inlineStr">
        <is>
          <t>A 38333-2024</t>
        </is>
      </c>
      <c r="B578" s="1" t="n">
        <v>45545</v>
      </c>
      <c r="C578" s="1" t="n">
        <v>46046</v>
      </c>
      <c r="D578" t="inlineStr">
        <is>
          <t>NORRBOTTENS LÄN</t>
        </is>
      </c>
      <c r="E578" t="inlineStr">
        <is>
          <t>LULEÅ</t>
        </is>
      </c>
      <c r="F578" t="inlineStr">
        <is>
          <t>Sveaskog</t>
        </is>
      </c>
      <c r="G578" t="n">
        <v>2.9</v>
      </c>
      <c r="H578" t="n">
        <v>1</v>
      </c>
      <c r="I578" t="n">
        <v>0</v>
      </c>
      <c r="J578" t="n">
        <v>0</v>
      </c>
      <c r="K578" t="n">
        <v>1</v>
      </c>
      <c r="L578" t="n">
        <v>0</v>
      </c>
      <c r="M578" t="n">
        <v>0</v>
      </c>
      <c r="N578" t="n">
        <v>0</v>
      </c>
      <c r="O578" t="n">
        <v>1</v>
      </c>
      <c r="P578" t="n">
        <v>1</v>
      </c>
      <c r="Q578" t="n">
        <v>1</v>
      </c>
      <c r="R578" s="2" t="inlineStr">
        <is>
          <t>Knärot</t>
        </is>
      </c>
      <c r="S578">
        <f>HYPERLINK("https://klasma.github.io/Logging_2580/artfynd/A 38333-2024 artfynd.xlsx", "A 38333-2024")</f>
        <v/>
      </c>
      <c r="T578">
        <f>HYPERLINK("https://klasma.github.io/Logging_2580/kartor/A 38333-2024 karta.png", "A 38333-2024")</f>
        <v/>
      </c>
      <c r="U578">
        <f>HYPERLINK("https://klasma.github.io/Logging_2580/knärot/A 38333-2024 karta knärot.png", "A 38333-2024")</f>
        <v/>
      </c>
      <c r="V578">
        <f>HYPERLINK("https://klasma.github.io/Logging_2580/klagomål/A 38333-2024 FSC-klagomål.docx", "A 38333-2024")</f>
        <v/>
      </c>
      <c r="W578">
        <f>HYPERLINK("https://klasma.github.io/Logging_2580/klagomålsmail/A 38333-2024 FSC-klagomål mail.docx", "A 38333-2024")</f>
        <v/>
      </c>
      <c r="X578">
        <f>HYPERLINK("https://klasma.github.io/Logging_2580/tillsyn/A 38333-2024 tillsynsbegäran.docx", "A 38333-2024")</f>
        <v/>
      </c>
      <c r="Y578">
        <f>HYPERLINK("https://klasma.github.io/Logging_2580/tillsynsmail/A 38333-2024 tillsynsbegäran mail.docx", "A 38333-2024")</f>
        <v/>
      </c>
    </row>
    <row r="579" ht="15" customHeight="1">
      <c r="A579" t="inlineStr">
        <is>
          <t>A 52537-2023</t>
        </is>
      </c>
      <c r="B579" s="1" t="n">
        <v>45225</v>
      </c>
      <c r="C579" s="1" t="n">
        <v>46046</v>
      </c>
      <c r="D579" t="inlineStr">
        <is>
          <t>NORRBOTTENS LÄN</t>
        </is>
      </c>
      <c r="E579" t="inlineStr">
        <is>
          <t>JOKKMOKK</t>
        </is>
      </c>
      <c r="F579" t="inlineStr">
        <is>
          <t>Övriga statliga verk och myndigheter</t>
        </is>
      </c>
      <c r="G579" t="n">
        <v>15.3</v>
      </c>
      <c r="H579" t="n">
        <v>0</v>
      </c>
      <c r="I579" t="n">
        <v>0</v>
      </c>
      <c r="J579" t="n">
        <v>1</v>
      </c>
      <c r="K579" t="n">
        <v>0</v>
      </c>
      <c r="L579" t="n">
        <v>0</v>
      </c>
      <c r="M579" t="n">
        <v>0</v>
      </c>
      <c r="N579" t="n">
        <v>0</v>
      </c>
      <c r="O579" t="n">
        <v>1</v>
      </c>
      <c r="P579" t="n">
        <v>0</v>
      </c>
      <c r="Q579" t="n">
        <v>1</v>
      </c>
      <c r="R579" s="2" t="inlineStr">
        <is>
          <t>Reliktbock</t>
        </is>
      </c>
      <c r="S579">
        <f>HYPERLINK("https://klasma.github.io/Logging_2510/artfynd/A 52537-2023 artfynd.xlsx", "A 52537-2023")</f>
        <v/>
      </c>
      <c r="T579">
        <f>HYPERLINK("https://klasma.github.io/Logging_2510/kartor/A 52537-2023 karta.png", "A 52537-2023")</f>
        <v/>
      </c>
      <c r="V579">
        <f>HYPERLINK("https://klasma.github.io/Logging_2510/klagomål/A 52537-2023 FSC-klagomål.docx", "A 52537-2023")</f>
        <v/>
      </c>
      <c r="W579">
        <f>HYPERLINK("https://klasma.github.io/Logging_2510/klagomålsmail/A 52537-2023 FSC-klagomål mail.docx", "A 52537-2023")</f>
        <v/>
      </c>
      <c r="X579">
        <f>HYPERLINK("https://klasma.github.io/Logging_2510/tillsyn/A 52537-2023 tillsynsbegäran.docx", "A 52537-2023")</f>
        <v/>
      </c>
      <c r="Y579">
        <f>HYPERLINK("https://klasma.github.io/Logging_2510/tillsynsmail/A 52537-2023 tillsynsbegäran mail.docx", "A 52537-2023")</f>
        <v/>
      </c>
    </row>
    <row r="580" ht="15" customHeight="1">
      <c r="A580" t="inlineStr">
        <is>
          <t>A 43039-2024</t>
        </is>
      </c>
      <c r="B580" s="1" t="n">
        <v>45567</v>
      </c>
      <c r="C580" s="1" t="n">
        <v>46046</v>
      </c>
      <c r="D580" t="inlineStr">
        <is>
          <t>NORRBOTTENS LÄN</t>
        </is>
      </c>
      <c r="E580" t="inlineStr">
        <is>
          <t>JOKKMOKK</t>
        </is>
      </c>
      <c r="F580" t="inlineStr">
        <is>
          <t>Sveaskog</t>
        </is>
      </c>
      <c r="G580" t="n">
        <v>8.199999999999999</v>
      </c>
      <c r="H580" t="n">
        <v>1</v>
      </c>
      <c r="I580" t="n">
        <v>0</v>
      </c>
      <c r="J580" t="n">
        <v>0</v>
      </c>
      <c r="K580" t="n">
        <v>1</v>
      </c>
      <c r="L580" t="n">
        <v>0</v>
      </c>
      <c r="M580" t="n">
        <v>0</v>
      </c>
      <c r="N580" t="n">
        <v>0</v>
      </c>
      <c r="O580" t="n">
        <v>1</v>
      </c>
      <c r="P580" t="n">
        <v>1</v>
      </c>
      <c r="Q580" t="n">
        <v>1</v>
      </c>
      <c r="R580" s="2" t="inlineStr">
        <is>
          <t>Doftticka</t>
        </is>
      </c>
      <c r="S580">
        <f>HYPERLINK("https://klasma.github.io/Logging_2510/artfynd/A 43039-2024 artfynd.xlsx", "A 43039-2024")</f>
        <v/>
      </c>
      <c r="T580">
        <f>HYPERLINK("https://klasma.github.io/Logging_2510/kartor/A 43039-2024 karta.png", "A 43039-2024")</f>
        <v/>
      </c>
      <c r="V580">
        <f>HYPERLINK("https://klasma.github.io/Logging_2510/klagomål/A 43039-2024 FSC-klagomål.docx", "A 43039-2024")</f>
        <v/>
      </c>
      <c r="W580">
        <f>HYPERLINK("https://klasma.github.io/Logging_2510/klagomålsmail/A 43039-2024 FSC-klagomål mail.docx", "A 43039-2024")</f>
        <v/>
      </c>
      <c r="X580">
        <f>HYPERLINK("https://klasma.github.io/Logging_2510/tillsyn/A 43039-2024 tillsynsbegäran.docx", "A 43039-2024")</f>
        <v/>
      </c>
      <c r="Y580">
        <f>HYPERLINK("https://klasma.github.io/Logging_2510/tillsynsmail/A 43039-2024 tillsynsbegäran mail.docx", "A 43039-2024")</f>
        <v/>
      </c>
    </row>
    <row r="581" ht="15" customHeight="1">
      <c r="A581" t="inlineStr">
        <is>
          <t>A 26305-2025</t>
        </is>
      </c>
      <c r="B581" s="1" t="n">
        <v>45805.64427083333</v>
      </c>
      <c r="C581" s="1" t="n">
        <v>46046</v>
      </c>
      <c r="D581" t="inlineStr">
        <is>
          <t>NORRBOTTENS LÄN</t>
        </is>
      </c>
      <c r="E581" t="inlineStr">
        <is>
          <t>ÖVERKALIX</t>
        </is>
      </c>
      <c r="F581" t="inlineStr">
        <is>
          <t>Sveaskog</t>
        </is>
      </c>
      <c r="G581" t="n">
        <v>5.2</v>
      </c>
      <c r="H581" t="n">
        <v>0</v>
      </c>
      <c r="I581" t="n">
        <v>1</v>
      </c>
      <c r="J581" t="n">
        <v>0</v>
      </c>
      <c r="K581" t="n">
        <v>0</v>
      </c>
      <c r="L581" t="n">
        <v>0</v>
      </c>
      <c r="M581" t="n">
        <v>0</v>
      </c>
      <c r="N581" t="n">
        <v>0</v>
      </c>
      <c r="O581" t="n">
        <v>0</v>
      </c>
      <c r="P581" t="n">
        <v>0</v>
      </c>
      <c r="Q581" t="n">
        <v>1</v>
      </c>
      <c r="R581" s="2" t="inlineStr">
        <is>
          <t>Luddlav</t>
        </is>
      </c>
      <c r="S581">
        <f>HYPERLINK("https://klasma.github.io/Logging_2513/artfynd/A 26305-2025 artfynd.xlsx", "A 26305-2025")</f>
        <v/>
      </c>
      <c r="T581">
        <f>HYPERLINK("https://klasma.github.io/Logging_2513/kartor/A 26305-2025 karta.png", "A 26305-2025")</f>
        <v/>
      </c>
      <c r="V581">
        <f>HYPERLINK("https://klasma.github.io/Logging_2513/klagomål/A 26305-2025 FSC-klagomål.docx", "A 26305-2025")</f>
        <v/>
      </c>
      <c r="W581">
        <f>HYPERLINK("https://klasma.github.io/Logging_2513/klagomålsmail/A 26305-2025 FSC-klagomål mail.docx", "A 26305-2025")</f>
        <v/>
      </c>
      <c r="X581">
        <f>HYPERLINK("https://klasma.github.io/Logging_2513/tillsyn/A 26305-2025 tillsynsbegäran.docx", "A 26305-2025")</f>
        <v/>
      </c>
      <c r="Y581">
        <f>HYPERLINK("https://klasma.github.io/Logging_2513/tillsynsmail/A 26305-2025 tillsynsbegäran mail.docx", "A 26305-2025")</f>
        <v/>
      </c>
    </row>
    <row r="582" ht="15" customHeight="1">
      <c r="A582" t="inlineStr">
        <is>
          <t>A 2031-2025</t>
        </is>
      </c>
      <c r="B582" s="1" t="n">
        <v>45672</v>
      </c>
      <c r="C582" s="1" t="n">
        <v>46046</v>
      </c>
      <c r="D582" t="inlineStr">
        <is>
          <t>NORRBOTTENS LÄN</t>
        </is>
      </c>
      <c r="E582" t="inlineStr">
        <is>
          <t>JOKKMOKK</t>
        </is>
      </c>
      <c r="F582" t="inlineStr">
        <is>
          <t>Övriga statliga verk och myndigheter</t>
        </is>
      </c>
      <c r="G582" t="n">
        <v>7.5</v>
      </c>
      <c r="H582" t="n">
        <v>0</v>
      </c>
      <c r="I582" t="n">
        <v>0</v>
      </c>
      <c r="J582" t="n">
        <v>1</v>
      </c>
      <c r="K582" t="n">
        <v>0</v>
      </c>
      <c r="L582" t="n">
        <v>0</v>
      </c>
      <c r="M582" t="n">
        <v>0</v>
      </c>
      <c r="N582" t="n">
        <v>0</v>
      </c>
      <c r="O582" t="n">
        <v>1</v>
      </c>
      <c r="P582" t="n">
        <v>0</v>
      </c>
      <c r="Q582" t="n">
        <v>1</v>
      </c>
      <c r="R582" s="2" t="inlineStr">
        <is>
          <t>Vitplätt</t>
        </is>
      </c>
      <c r="S582">
        <f>HYPERLINK("https://klasma.github.io/Logging_2510/artfynd/A 2031-2025 artfynd.xlsx", "A 2031-2025")</f>
        <v/>
      </c>
      <c r="T582">
        <f>HYPERLINK("https://klasma.github.io/Logging_2510/kartor/A 2031-2025 karta.png", "A 2031-2025")</f>
        <v/>
      </c>
      <c r="V582">
        <f>HYPERLINK("https://klasma.github.io/Logging_2510/klagomål/A 2031-2025 FSC-klagomål.docx", "A 2031-2025")</f>
        <v/>
      </c>
      <c r="W582">
        <f>HYPERLINK("https://klasma.github.io/Logging_2510/klagomålsmail/A 2031-2025 FSC-klagomål mail.docx", "A 2031-2025")</f>
        <v/>
      </c>
      <c r="X582">
        <f>HYPERLINK("https://klasma.github.io/Logging_2510/tillsyn/A 2031-2025 tillsynsbegäran.docx", "A 2031-2025")</f>
        <v/>
      </c>
      <c r="Y582">
        <f>HYPERLINK("https://klasma.github.io/Logging_2510/tillsynsmail/A 2031-2025 tillsynsbegäran mail.docx", "A 2031-2025")</f>
        <v/>
      </c>
    </row>
    <row r="583" ht="15" customHeight="1">
      <c r="A583" t="inlineStr">
        <is>
          <t>A 4891-2025</t>
        </is>
      </c>
      <c r="B583" s="1" t="n">
        <v>45688</v>
      </c>
      <c r="C583" s="1" t="n">
        <v>46046</v>
      </c>
      <c r="D583" t="inlineStr">
        <is>
          <t>NORRBOTTENS LÄN</t>
        </is>
      </c>
      <c r="E583" t="inlineStr">
        <is>
          <t>GÄLLIVARE</t>
        </is>
      </c>
      <c r="F583" t="inlineStr">
        <is>
          <t>SCA</t>
        </is>
      </c>
      <c r="G583" t="n">
        <v>1.3</v>
      </c>
      <c r="H583" t="n">
        <v>0</v>
      </c>
      <c r="I583" t="n">
        <v>0</v>
      </c>
      <c r="J583" t="n">
        <v>1</v>
      </c>
      <c r="K583" t="n">
        <v>0</v>
      </c>
      <c r="L583" t="n">
        <v>0</v>
      </c>
      <c r="M583" t="n">
        <v>0</v>
      </c>
      <c r="N583" t="n">
        <v>0</v>
      </c>
      <c r="O583" t="n">
        <v>1</v>
      </c>
      <c r="P583" t="n">
        <v>0</v>
      </c>
      <c r="Q583" t="n">
        <v>1</v>
      </c>
      <c r="R583" s="2" t="inlineStr">
        <is>
          <t>Tallticka</t>
        </is>
      </c>
      <c r="S583">
        <f>HYPERLINK("https://klasma.github.io/Logging_2523/artfynd/A 4891-2025 artfynd.xlsx", "A 4891-2025")</f>
        <v/>
      </c>
      <c r="T583">
        <f>HYPERLINK("https://klasma.github.io/Logging_2523/kartor/A 4891-2025 karta.png", "A 4891-2025")</f>
        <v/>
      </c>
      <c r="V583">
        <f>HYPERLINK("https://klasma.github.io/Logging_2523/klagomål/A 4891-2025 FSC-klagomål.docx", "A 4891-2025")</f>
        <v/>
      </c>
      <c r="W583">
        <f>HYPERLINK("https://klasma.github.io/Logging_2523/klagomålsmail/A 4891-2025 FSC-klagomål mail.docx", "A 4891-2025")</f>
        <v/>
      </c>
      <c r="X583">
        <f>HYPERLINK("https://klasma.github.io/Logging_2523/tillsyn/A 4891-2025 tillsynsbegäran.docx", "A 4891-2025")</f>
        <v/>
      </c>
      <c r="Y583">
        <f>HYPERLINK("https://klasma.github.io/Logging_2523/tillsynsmail/A 4891-2025 tillsynsbegäran mail.docx", "A 4891-2025")</f>
        <v/>
      </c>
    </row>
    <row r="584" ht="15" customHeight="1">
      <c r="A584" t="inlineStr">
        <is>
          <t>A 29314-2023</t>
        </is>
      </c>
      <c r="B584" s="1" t="n">
        <v>45105</v>
      </c>
      <c r="C584" s="1" t="n">
        <v>46046</v>
      </c>
      <c r="D584" t="inlineStr">
        <is>
          <t>NORRBOTTENS LÄN</t>
        </is>
      </c>
      <c r="E584" t="inlineStr">
        <is>
          <t>ARVIDSJAUR</t>
        </is>
      </c>
      <c r="G584" t="n">
        <v>1.7</v>
      </c>
      <c r="H584" t="n">
        <v>1</v>
      </c>
      <c r="I584" t="n">
        <v>0</v>
      </c>
      <c r="J584" t="n">
        <v>0</v>
      </c>
      <c r="K584" t="n">
        <v>0</v>
      </c>
      <c r="L584" t="n">
        <v>0</v>
      </c>
      <c r="M584" t="n">
        <v>0</v>
      </c>
      <c r="N584" t="n">
        <v>0</v>
      </c>
      <c r="O584" t="n">
        <v>0</v>
      </c>
      <c r="P584" t="n">
        <v>0</v>
      </c>
      <c r="Q584" t="n">
        <v>1</v>
      </c>
      <c r="R584" s="2" t="inlineStr">
        <is>
          <t>Lavskrika</t>
        </is>
      </c>
      <c r="S584">
        <f>HYPERLINK("https://klasma.github.io/Logging_2505/artfynd/A 29314-2023 artfynd.xlsx", "A 29314-2023")</f>
        <v/>
      </c>
      <c r="T584">
        <f>HYPERLINK("https://klasma.github.io/Logging_2505/kartor/A 29314-2023 karta.png", "A 29314-2023")</f>
        <v/>
      </c>
      <c r="V584">
        <f>HYPERLINK("https://klasma.github.io/Logging_2505/klagomål/A 29314-2023 FSC-klagomål.docx", "A 29314-2023")</f>
        <v/>
      </c>
      <c r="W584">
        <f>HYPERLINK("https://klasma.github.io/Logging_2505/klagomålsmail/A 29314-2023 FSC-klagomål mail.docx", "A 29314-2023")</f>
        <v/>
      </c>
      <c r="X584">
        <f>HYPERLINK("https://klasma.github.io/Logging_2505/tillsyn/A 29314-2023 tillsynsbegäran.docx", "A 29314-2023")</f>
        <v/>
      </c>
      <c r="Y584">
        <f>HYPERLINK("https://klasma.github.io/Logging_2505/tillsynsmail/A 29314-2023 tillsynsbegäran mail.docx", "A 29314-2023")</f>
        <v/>
      </c>
      <c r="Z584">
        <f>HYPERLINK("https://klasma.github.io/Logging_2505/fåglar/A 29314-2023 prioriterade fågelarter.docx", "A 29314-2023")</f>
        <v/>
      </c>
    </row>
    <row r="585" ht="15" customHeight="1">
      <c r="A585" t="inlineStr">
        <is>
          <t>A 28861-2024</t>
        </is>
      </c>
      <c r="B585" s="1" t="n">
        <v>45478</v>
      </c>
      <c r="C585" s="1" t="n">
        <v>46046</v>
      </c>
      <c r="D585" t="inlineStr">
        <is>
          <t>NORRBOTTENS LÄN</t>
        </is>
      </c>
      <c r="E585" t="inlineStr">
        <is>
          <t>PITEÅ</t>
        </is>
      </c>
      <c r="G585" t="n">
        <v>44.7</v>
      </c>
      <c r="H585" t="n">
        <v>1</v>
      </c>
      <c r="I585" t="n">
        <v>0</v>
      </c>
      <c r="J585" t="n">
        <v>1</v>
      </c>
      <c r="K585" t="n">
        <v>0</v>
      </c>
      <c r="L585" t="n">
        <v>0</v>
      </c>
      <c r="M585" t="n">
        <v>0</v>
      </c>
      <c r="N585" t="n">
        <v>0</v>
      </c>
      <c r="O585" t="n">
        <v>1</v>
      </c>
      <c r="P585" t="n">
        <v>0</v>
      </c>
      <c r="Q585" t="n">
        <v>1</v>
      </c>
      <c r="R585" s="2" t="inlineStr">
        <is>
          <t>Svartvit flugsnappare</t>
        </is>
      </c>
      <c r="S585">
        <f>HYPERLINK("https://klasma.github.io/Logging_2581/artfynd/A 28861-2024 artfynd.xlsx", "A 28861-2024")</f>
        <v/>
      </c>
      <c r="T585">
        <f>HYPERLINK("https://klasma.github.io/Logging_2581/kartor/A 28861-2024 karta.png", "A 28861-2024")</f>
        <v/>
      </c>
      <c r="V585">
        <f>HYPERLINK("https://klasma.github.io/Logging_2581/klagomål/A 28861-2024 FSC-klagomål.docx", "A 28861-2024")</f>
        <v/>
      </c>
      <c r="W585">
        <f>HYPERLINK("https://klasma.github.io/Logging_2581/klagomålsmail/A 28861-2024 FSC-klagomål mail.docx", "A 28861-2024")</f>
        <v/>
      </c>
      <c r="X585">
        <f>HYPERLINK("https://klasma.github.io/Logging_2581/tillsyn/A 28861-2024 tillsynsbegäran.docx", "A 28861-2024")</f>
        <v/>
      </c>
      <c r="Y585">
        <f>HYPERLINK("https://klasma.github.io/Logging_2581/tillsynsmail/A 28861-2024 tillsynsbegäran mail.docx", "A 28861-2024")</f>
        <v/>
      </c>
      <c r="Z585">
        <f>HYPERLINK("https://klasma.github.io/Logging_2581/fåglar/A 28861-2024 prioriterade fågelarter.docx", "A 28861-2024")</f>
        <v/>
      </c>
    </row>
    <row r="586" ht="15" customHeight="1">
      <c r="A586" t="inlineStr">
        <is>
          <t>A 26447-2025</t>
        </is>
      </c>
      <c r="B586" s="1" t="n">
        <v>45807.41697916666</v>
      </c>
      <c r="C586" s="1" t="n">
        <v>46046</v>
      </c>
      <c r="D586" t="inlineStr">
        <is>
          <t>NORRBOTTENS LÄN</t>
        </is>
      </c>
      <c r="E586" t="inlineStr">
        <is>
          <t>ÖVERKALIX</t>
        </is>
      </c>
      <c r="F586" t="inlineStr">
        <is>
          <t>Sveaskog</t>
        </is>
      </c>
      <c r="G586" t="n">
        <v>9.800000000000001</v>
      </c>
      <c r="H586" t="n">
        <v>0</v>
      </c>
      <c r="I586" t="n">
        <v>0</v>
      </c>
      <c r="J586" t="n">
        <v>1</v>
      </c>
      <c r="K586" t="n">
        <v>0</v>
      </c>
      <c r="L586" t="n">
        <v>0</v>
      </c>
      <c r="M586" t="n">
        <v>0</v>
      </c>
      <c r="N586" t="n">
        <v>0</v>
      </c>
      <c r="O586" t="n">
        <v>1</v>
      </c>
      <c r="P586" t="n">
        <v>0</v>
      </c>
      <c r="Q586" t="n">
        <v>1</v>
      </c>
      <c r="R586" s="2" t="inlineStr">
        <is>
          <t>Lunglav</t>
        </is>
      </c>
      <c r="S586">
        <f>HYPERLINK("https://klasma.github.io/Logging_2513/artfynd/A 26447-2025 artfynd.xlsx", "A 26447-2025")</f>
        <v/>
      </c>
      <c r="T586">
        <f>HYPERLINK("https://klasma.github.io/Logging_2513/kartor/A 26447-2025 karta.png", "A 26447-2025")</f>
        <v/>
      </c>
      <c r="V586">
        <f>HYPERLINK("https://klasma.github.io/Logging_2513/klagomål/A 26447-2025 FSC-klagomål.docx", "A 26447-2025")</f>
        <v/>
      </c>
      <c r="W586">
        <f>HYPERLINK("https://klasma.github.io/Logging_2513/klagomålsmail/A 26447-2025 FSC-klagomål mail.docx", "A 26447-2025")</f>
        <v/>
      </c>
      <c r="X586">
        <f>HYPERLINK("https://klasma.github.io/Logging_2513/tillsyn/A 26447-2025 tillsynsbegäran.docx", "A 26447-2025")</f>
        <v/>
      </c>
      <c r="Y586">
        <f>HYPERLINK("https://klasma.github.io/Logging_2513/tillsynsmail/A 26447-2025 tillsynsbegäran mail.docx", "A 26447-2025")</f>
        <v/>
      </c>
    </row>
    <row r="587" ht="15" customHeight="1">
      <c r="A587" t="inlineStr">
        <is>
          <t>A 26560-2025</t>
        </is>
      </c>
      <c r="B587" s="1" t="n">
        <v>45807.64883101852</v>
      </c>
      <c r="C587" s="1" t="n">
        <v>46046</v>
      </c>
      <c r="D587" t="inlineStr">
        <is>
          <t>NORRBOTTENS LÄN</t>
        </is>
      </c>
      <c r="E587" t="inlineStr">
        <is>
          <t>ARVIDSJAUR</t>
        </is>
      </c>
      <c r="F587" t="inlineStr">
        <is>
          <t>Sveaskog</t>
        </is>
      </c>
      <c r="G587" t="n">
        <v>21</v>
      </c>
      <c r="H587" t="n">
        <v>0</v>
      </c>
      <c r="I587" t="n">
        <v>0</v>
      </c>
      <c r="J587" t="n">
        <v>1</v>
      </c>
      <c r="K587" t="n">
        <v>0</v>
      </c>
      <c r="L587" t="n">
        <v>0</v>
      </c>
      <c r="M587" t="n">
        <v>0</v>
      </c>
      <c r="N587" t="n">
        <v>0</v>
      </c>
      <c r="O587" t="n">
        <v>1</v>
      </c>
      <c r="P587" t="n">
        <v>0</v>
      </c>
      <c r="Q587" t="n">
        <v>1</v>
      </c>
      <c r="R587" s="2" t="inlineStr">
        <is>
          <t>Blå taggsvamp</t>
        </is>
      </c>
      <c r="S587">
        <f>HYPERLINK("https://klasma.github.io/Logging_2505/artfynd/A 26560-2025 artfynd.xlsx", "A 26560-2025")</f>
        <v/>
      </c>
      <c r="T587">
        <f>HYPERLINK("https://klasma.github.io/Logging_2505/kartor/A 26560-2025 karta.png", "A 26560-2025")</f>
        <v/>
      </c>
      <c r="V587">
        <f>HYPERLINK("https://klasma.github.io/Logging_2505/klagomål/A 26560-2025 FSC-klagomål.docx", "A 26560-2025")</f>
        <v/>
      </c>
      <c r="W587">
        <f>HYPERLINK("https://klasma.github.io/Logging_2505/klagomålsmail/A 26560-2025 FSC-klagomål mail.docx", "A 26560-2025")</f>
        <v/>
      </c>
      <c r="X587">
        <f>HYPERLINK("https://klasma.github.io/Logging_2505/tillsyn/A 26560-2025 tillsynsbegäran.docx", "A 26560-2025")</f>
        <v/>
      </c>
      <c r="Y587">
        <f>HYPERLINK("https://klasma.github.io/Logging_2505/tillsynsmail/A 26560-2025 tillsynsbegäran mail.docx", "A 26560-2025")</f>
        <v/>
      </c>
    </row>
    <row r="588" ht="15" customHeight="1">
      <c r="A588" t="inlineStr">
        <is>
          <t>A 26531-2025</t>
        </is>
      </c>
      <c r="B588" s="1" t="n">
        <v>45807.57163194445</v>
      </c>
      <c r="C588" s="1" t="n">
        <v>46046</v>
      </c>
      <c r="D588" t="inlineStr">
        <is>
          <t>NORRBOTTENS LÄN</t>
        </is>
      </c>
      <c r="E588" t="inlineStr">
        <is>
          <t>PAJALA</t>
        </is>
      </c>
      <c r="F588" t="inlineStr">
        <is>
          <t>Sveaskog</t>
        </is>
      </c>
      <c r="G588" t="n">
        <v>6.6</v>
      </c>
      <c r="H588" t="n">
        <v>0</v>
      </c>
      <c r="I588" t="n">
        <v>0</v>
      </c>
      <c r="J588" t="n">
        <v>1</v>
      </c>
      <c r="K588" t="n">
        <v>0</v>
      </c>
      <c r="L588" t="n">
        <v>0</v>
      </c>
      <c r="M588" t="n">
        <v>0</v>
      </c>
      <c r="N588" t="n">
        <v>0</v>
      </c>
      <c r="O588" t="n">
        <v>1</v>
      </c>
      <c r="P588" t="n">
        <v>0</v>
      </c>
      <c r="Q588" t="n">
        <v>1</v>
      </c>
      <c r="R588" s="2" t="inlineStr">
        <is>
          <t>Ullticka</t>
        </is>
      </c>
      <c r="S588">
        <f>HYPERLINK("https://klasma.github.io/Logging_2521/artfynd/A 26531-2025 artfynd.xlsx", "A 26531-2025")</f>
        <v/>
      </c>
      <c r="T588">
        <f>HYPERLINK("https://klasma.github.io/Logging_2521/kartor/A 26531-2025 karta.png", "A 26531-2025")</f>
        <v/>
      </c>
      <c r="V588">
        <f>HYPERLINK("https://klasma.github.io/Logging_2521/klagomål/A 26531-2025 FSC-klagomål.docx", "A 26531-2025")</f>
        <v/>
      </c>
      <c r="W588">
        <f>HYPERLINK("https://klasma.github.io/Logging_2521/klagomålsmail/A 26531-2025 FSC-klagomål mail.docx", "A 26531-2025")</f>
        <v/>
      </c>
      <c r="X588">
        <f>HYPERLINK("https://klasma.github.io/Logging_2521/tillsyn/A 26531-2025 tillsynsbegäran.docx", "A 26531-2025")</f>
        <v/>
      </c>
      <c r="Y588">
        <f>HYPERLINK("https://klasma.github.io/Logging_2521/tillsynsmail/A 26531-2025 tillsynsbegäran mail.docx", "A 26531-2025")</f>
        <v/>
      </c>
    </row>
    <row r="589" ht="15" customHeight="1">
      <c r="A589" t="inlineStr">
        <is>
          <t>A 68514-2021</t>
        </is>
      </c>
      <c r="B589" s="1" t="n">
        <v>44529</v>
      </c>
      <c r="C589" s="1" t="n">
        <v>46046</v>
      </c>
      <c r="D589" t="inlineStr">
        <is>
          <t>NORRBOTTENS LÄN</t>
        </is>
      </c>
      <c r="E589" t="inlineStr">
        <is>
          <t>BODEN</t>
        </is>
      </c>
      <c r="G589" t="n">
        <v>6.2</v>
      </c>
      <c r="H589" t="n">
        <v>1</v>
      </c>
      <c r="I589" t="n">
        <v>0</v>
      </c>
      <c r="J589" t="n">
        <v>1</v>
      </c>
      <c r="K589" t="n">
        <v>0</v>
      </c>
      <c r="L589" t="n">
        <v>0</v>
      </c>
      <c r="M589" t="n">
        <v>0</v>
      </c>
      <c r="N589" t="n">
        <v>0</v>
      </c>
      <c r="O589" t="n">
        <v>1</v>
      </c>
      <c r="P589" t="n">
        <v>0</v>
      </c>
      <c r="Q589" t="n">
        <v>1</v>
      </c>
      <c r="R589" s="2" t="inlineStr">
        <is>
          <t>Spillkråka</t>
        </is>
      </c>
      <c r="S589">
        <f>HYPERLINK("https://klasma.github.io/Logging_2582/artfynd/A 68514-2021 artfynd.xlsx", "A 68514-2021")</f>
        <v/>
      </c>
      <c r="T589">
        <f>HYPERLINK("https://klasma.github.io/Logging_2582/kartor/A 68514-2021 karta.png", "A 68514-2021")</f>
        <v/>
      </c>
      <c r="U589">
        <f>HYPERLINK("https://klasma.github.io/Logging_2582/knärot/A 68514-2021 karta knärot.png", "A 68514-2021")</f>
        <v/>
      </c>
      <c r="V589">
        <f>HYPERLINK("https://klasma.github.io/Logging_2582/klagomål/A 68514-2021 FSC-klagomål.docx", "A 68514-2021")</f>
        <v/>
      </c>
      <c r="W589">
        <f>HYPERLINK("https://klasma.github.io/Logging_2582/klagomålsmail/A 68514-2021 FSC-klagomål mail.docx", "A 68514-2021")</f>
        <v/>
      </c>
      <c r="X589">
        <f>HYPERLINK("https://klasma.github.io/Logging_2582/tillsyn/A 68514-2021 tillsynsbegäran.docx", "A 68514-2021")</f>
        <v/>
      </c>
      <c r="Y589">
        <f>HYPERLINK("https://klasma.github.io/Logging_2582/tillsynsmail/A 68514-2021 tillsynsbegäran mail.docx", "A 68514-2021")</f>
        <v/>
      </c>
      <c r="Z589">
        <f>HYPERLINK("https://klasma.github.io/Logging_2582/fåglar/A 68514-2021 prioriterade fågelarter.docx", "A 68514-2021")</f>
        <v/>
      </c>
    </row>
    <row r="590" ht="15" customHeight="1">
      <c r="A590" t="inlineStr">
        <is>
          <t>A 25279-2023</t>
        </is>
      </c>
      <c r="B590" s="1" t="n">
        <v>45079</v>
      </c>
      <c r="C590" s="1" t="n">
        <v>46046</v>
      </c>
      <c r="D590" t="inlineStr">
        <is>
          <t>NORRBOTTENS LÄN</t>
        </is>
      </c>
      <c r="E590" t="inlineStr">
        <is>
          <t>ARJEPLOG</t>
        </is>
      </c>
      <c r="F590" t="inlineStr">
        <is>
          <t>Övriga statliga verk och myndigheter</t>
        </is>
      </c>
      <c r="G590" t="n">
        <v>6.9</v>
      </c>
      <c r="H590" t="n">
        <v>1</v>
      </c>
      <c r="I590" t="n">
        <v>1</v>
      </c>
      <c r="J590" t="n">
        <v>0</v>
      </c>
      <c r="K590" t="n">
        <v>0</v>
      </c>
      <c r="L590" t="n">
        <v>0</v>
      </c>
      <c r="M590" t="n">
        <v>0</v>
      </c>
      <c r="N590" t="n">
        <v>0</v>
      </c>
      <c r="O590" t="n">
        <v>0</v>
      </c>
      <c r="P590" t="n">
        <v>0</v>
      </c>
      <c r="Q590" t="n">
        <v>1</v>
      </c>
      <c r="R590" s="2" t="inlineStr">
        <is>
          <t>Plattlummer</t>
        </is>
      </c>
      <c r="S590">
        <f>HYPERLINK("https://klasma.github.io/Logging_2506/artfynd/A 25279-2023 artfynd.xlsx", "A 25279-2023")</f>
        <v/>
      </c>
      <c r="T590">
        <f>HYPERLINK("https://klasma.github.io/Logging_2506/kartor/A 25279-2023 karta.png", "A 25279-2023")</f>
        <v/>
      </c>
      <c r="V590">
        <f>HYPERLINK("https://klasma.github.io/Logging_2506/klagomål/A 25279-2023 FSC-klagomål.docx", "A 25279-2023")</f>
        <v/>
      </c>
      <c r="W590">
        <f>HYPERLINK("https://klasma.github.io/Logging_2506/klagomålsmail/A 25279-2023 FSC-klagomål mail.docx", "A 25279-2023")</f>
        <v/>
      </c>
      <c r="X590">
        <f>HYPERLINK("https://klasma.github.io/Logging_2506/tillsyn/A 25279-2023 tillsynsbegäran.docx", "A 25279-2023")</f>
        <v/>
      </c>
      <c r="Y590">
        <f>HYPERLINK("https://klasma.github.io/Logging_2506/tillsynsmail/A 25279-2023 tillsynsbegäran mail.docx", "A 25279-2023")</f>
        <v/>
      </c>
    </row>
    <row r="591" ht="15" customHeight="1">
      <c r="A591" t="inlineStr">
        <is>
          <t>A 61810-2024</t>
        </is>
      </c>
      <c r="B591" s="1" t="n">
        <v>45649</v>
      </c>
      <c r="C591" s="1" t="n">
        <v>46046</v>
      </c>
      <c r="D591" t="inlineStr">
        <is>
          <t>NORRBOTTENS LÄN</t>
        </is>
      </c>
      <c r="E591" t="inlineStr">
        <is>
          <t>PITEÅ</t>
        </is>
      </c>
      <c r="G591" t="n">
        <v>31.2</v>
      </c>
      <c r="H591" t="n">
        <v>0</v>
      </c>
      <c r="I591" t="n">
        <v>1</v>
      </c>
      <c r="J591" t="n">
        <v>0</v>
      </c>
      <c r="K591" t="n">
        <v>0</v>
      </c>
      <c r="L591" t="n">
        <v>0</v>
      </c>
      <c r="M591" t="n">
        <v>0</v>
      </c>
      <c r="N591" t="n">
        <v>0</v>
      </c>
      <c r="O591" t="n">
        <v>0</v>
      </c>
      <c r="P591" t="n">
        <v>0</v>
      </c>
      <c r="Q591" t="n">
        <v>1</v>
      </c>
      <c r="R591" s="2" t="inlineStr">
        <is>
          <t>Skinnlav</t>
        </is>
      </c>
      <c r="S591">
        <f>HYPERLINK("https://klasma.github.io/Logging_2581/artfynd/A 61810-2024 artfynd.xlsx", "A 61810-2024")</f>
        <v/>
      </c>
      <c r="T591">
        <f>HYPERLINK("https://klasma.github.io/Logging_2581/kartor/A 61810-2024 karta.png", "A 61810-2024")</f>
        <v/>
      </c>
      <c r="V591">
        <f>HYPERLINK("https://klasma.github.io/Logging_2581/klagomål/A 61810-2024 FSC-klagomål.docx", "A 61810-2024")</f>
        <v/>
      </c>
      <c r="W591">
        <f>HYPERLINK("https://klasma.github.io/Logging_2581/klagomålsmail/A 61810-2024 FSC-klagomål mail.docx", "A 61810-2024")</f>
        <v/>
      </c>
      <c r="X591">
        <f>HYPERLINK("https://klasma.github.io/Logging_2581/tillsyn/A 61810-2024 tillsynsbegäran.docx", "A 61810-2024")</f>
        <v/>
      </c>
      <c r="Y591">
        <f>HYPERLINK("https://klasma.github.io/Logging_2581/tillsynsmail/A 61810-2024 tillsynsbegäran mail.docx", "A 61810-2024")</f>
        <v/>
      </c>
    </row>
    <row r="592" ht="15" customHeight="1">
      <c r="A592" t="inlineStr">
        <is>
          <t>A 26872-2025</t>
        </is>
      </c>
      <c r="B592" s="1" t="n">
        <v>45810</v>
      </c>
      <c r="C592" s="1" t="n">
        <v>46046</v>
      </c>
      <c r="D592" t="inlineStr">
        <is>
          <t>NORRBOTTENS LÄN</t>
        </is>
      </c>
      <c r="E592" t="inlineStr">
        <is>
          <t>KALIX</t>
        </is>
      </c>
      <c r="G592" t="n">
        <v>11.5</v>
      </c>
      <c r="H592" t="n">
        <v>0</v>
      </c>
      <c r="I592" t="n">
        <v>0</v>
      </c>
      <c r="J592" t="n">
        <v>1</v>
      </c>
      <c r="K592" t="n">
        <v>0</v>
      </c>
      <c r="L592" t="n">
        <v>0</v>
      </c>
      <c r="M592" t="n">
        <v>0</v>
      </c>
      <c r="N592" t="n">
        <v>0</v>
      </c>
      <c r="O592" t="n">
        <v>1</v>
      </c>
      <c r="P592" t="n">
        <v>0</v>
      </c>
      <c r="Q592" t="n">
        <v>1</v>
      </c>
      <c r="R592" s="2" t="inlineStr">
        <is>
          <t>Violmussling</t>
        </is>
      </c>
      <c r="S592">
        <f>HYPERLINK("https://klasma.github.io/Logging_2514/artfynd/A 26872-2025 artfynd.xlsx", "A 26872-2025")</f>
        <v/>
      </c>
      <c r="T592">
        <f>HYPERLINK("https://klasma.github.io/Logging_2514/kartor/A 26872-2025 karta.png", "A 26872-2025")</f>
        <v/>
      </c>
      <c r="V592">
        <f>HYPERLINK("https://klasma.github.io/Logging_2514/klagomål/A 26872-2025 FSC-klagomål.docx", "A 26872-2025")</f>
        <v/>
      </c>
      <c r="W592">
        <f>HYPERLINK("https://klasma.github.io/Logging_2514/klagomålsmail/A 26872-2025 FSC-klagomål mail.docx", "A 26872-2025")</f>
        <v/>
      </c>
      <c r="X592">
        <f>HYPERLINK("https://klasma.github.io/Logging_2514/tillsyn/A 26872-2025 tillsynsbegäran.docx", "A 26872-2025")</f>
        <v/>
      </c>
      <c r="Y592">
        <f>HYPERLINK("https://klasma.github.io/Logging_2514/tillsynsmail/A 26872-2025 tillsynsbegäran mail.docx", "A 26872-2025")</f>
        <v/>
      </c>
    </row>
    <row r="593" ht="15" customHeight="1">
      <c r="A593" t="inlineStr">
        <is>
          <t>A 26760-2025</t>
        </is>
      </c>
      <c r="B593" s="1" t="n">
        <v>45810.56263888889</v>
      </c>
      <c r="C593" s="1" t="n">
        <v>46046</v>
      </c>
      <c r="D593" t="inlineStr">
        <is>
          <t>NORRBOTTENS LÄN</t>
        </is>
      </c>
      <c r="E593" t="inlineStr">
        <is>
          <t>ÖVERTORNEÅ</t>
        </is>
      </c>
      <c r="G593" t="n">
        <v>6.3</v>
      </c>
      <c r="H593" t="n">
        <v>1</v>
      </c>
      <c r="I593" t="n">
        <v>1</v>
      </c>
      <c r="J593" t="n">
        <v>0</v>
      </c>
      <c r="K593" t="n">
        <v>0</v>
      </c>
      <c r="L593" t="n">
        <v>0</v>
      </c>
      <c r="M593" t="n">
        <v>0</v>
      </c>
      <c r="N593" t="n">
        <v>0</v>
      </c>
      <c r="O593" t="n">
        <v>0</v>
      </c>
      <c r="P593" t="n">
        <v>0</v>
      </c>
      <c r="Q593" t="n">
        <v>1</v>
      </c>
      <c r="R593" s="2" t="inlineStr">
        <is>
          <t>Plattlummer</t>
        </is>
      </c>
      <c r="S593">
        <f>HYPERLINK("https://klasma.github.io/Logging_2518/artfynd/A 26760-2025 artfynd.xlsx", "A 26760-2025")</f>
        <v/>
      </c>
      <c r="T593">
        <f>HYPERLINK("https://klasma.github.io/Logging_2518/kartor/A 26760-2025 karta.png", "A 26760-2025")</f>
        <v/>
      </c>
      <c r="V593">
        <f>HYPERLINK("https://klasma.github.io/Logging_2518/klagomål/A 26760-2025 FSC-klagomål.docx", "A 26760-2025")</f>
        <v/>
      </c>
      <c r="W593">
        <f>HYPERLINK("https://klasma.github.io/Logging_2518/klagomålsmail/A 26760-2025 FSC-klagomål mail.docx", "A 26760-2025")</f>
        <v/>
      </c>
      <c r="X593">
        <f>HYPERLINK("https://klasma.github.io/Logging_2518/tillsyn/A 26760-2025 tillsynsbegäran.docx", "A 26760-2025")</f>
        <v/>
      </c>
      <c r="Y593">
        <f>HYPERLINK("https://klasma.github.io/Logging_2518/tillsynsmail/A 26760-2025 tillsynsbegäran mail.docx", "A 26760-2025")</f>
        <v/>
      </c>
    </row>
    <row r="594" ht="15" customHeight="1">
      <c r="A594" t="inlineStr">
        <is>
          <t>A 27114-2025</t>
        </is>
      </c>
      <c r="B594" s="1" t="n">
        <v>45811.74068287037</v>
      </c>
      <c r="C594" s="1" t="n">
        <v>46046</v>
      </c>
      <c r="D594" t="inlineStr">
        <is>
          <t>NORRBOTTENS LÄN</t>
        </is>
      </c>
      <c r="E594" t="inlineStr">
        <is>
          <t>GÄLLIVARE</t>
        </is>
      </c>
      <c r="F594" t="inlineStr">
        <is>
          <t>Sveaskog</t>
        </is>
      </c>
      <c r="G594" t="n">
        <v>2.4</v>
      </c>
      <c r="H594" t="n">
        <v>0</v>
      </c>
      <c r="I594" t="n">
        <v>1</v>
      </c>
      <c r="J594" t="n">
        <v>0</v>
      </c>
      <c r="K594" t="n">
        <v>0</v>
      </c>
      <c r="L594" t="n">
        <v>0</v>
      </c>
      <c r="M594" t="n">
        <v>0</v>
      </c>
      <c r="N594" t="n">
        <v>0</v>
      </c>
      <c r="O594" t="n">
        <v>0</v>
      </c>
      <c r="P594" t="n">
        <v>0</v>
      </c>
      <c r="Q594" t="n">
        <v>1</v>
      </c>
      <c r="R594" s="2" t="inlineStr">
        <is>
          <t>Dropptaggsvamp</t>
        </is>
      </c>
      <c r="S594">
        <f>HYPERLINK("https://klasma.github.io/Logging_2523/artfynd/A 27114-2025 artfynd.xlsx", "A 27114-2025")</f>
        <v/>
      </c>
      <c r="T594">
        <f>HYPERLINK("https://klasma.github.io/Logging_2523/kartor/A 27114-2025 karta.png", "A 27114-2025")</f>
        <v/>
      </c>
      <c r="V594">
        <f>HYPERLINK("https://klasma.github.io/Logging_2523/klagomål/A 27114-2025 FSC-klagomål.docx", "A 27114-2025")</f>
        <v/>
      </c>
      <c r="W594">
        <f>HYPERLINK("https://klasma.github.io/Logging_2523/klagomålsmail/A 27114-2025 FSC-klagomål mail.docx", "A 27114-2025")</f>
        <v/>
      </c>
      <c r="X594">
        <f>HYPERLINK("https://klasma.github.io/Logging_2523/tillsyn/A 27114-2025 tillsynsbegäran.docx", "A 27114-2025")</f>
        <v/>
      </c>
      <c r="Y594">
        <f>HYPERLINK("https://klasma.github.io/Logging_2523/tillsynsmail/A 27114-2025 tillsynsbegäran mail.docx", "A 27114-2025")</f>
        <v/>
      </c>
    </row>
    <row r="595" ht="15" customHeight="1">
      <c r="A595" t="inlineStr">
        <is>
          <t>A 37532-2022</t>
        </is>
      </c>
      <c r="B595" s="1" t="n">
        <v>44809.62597222222</v>
      </c>
      <c r="C595" s="1" t="n">
        <v>46046</v>
      </c>
      <c r="D595" t="inlineStr">
        <is>
          <t>NORRBOTTENS LÄN</t>
        </is>
      </c>
      <c r="E595" t="inlineStr">
        <is>
          <t>ÖVERKALIX</t>
        </is>
      </c>
      <c r="F595" t="inlineStr">
        <is>
          <t>Sveaskog</t>
        </is>
      </c>
      <c r="G595" t="n">
        <v>2</v>
      </c>
      <c r="H595" t="n">
        <v>0</v>
      </c>
      <c r="I595" t="n">
        <v>0</v>
      </c>
      <c r="J595" t="n">
        <v>1</v>
      </c>
      <c r="K595" t="n">
        <v>0</v>
      </c>
      <c r="L595" t="n">
        <v>0</v>
      </c>
      <c r="M595" t="n">
        <v>0</v>
      </c>
      <c r="N595" t="n">
        <v>0</v>
      </c>
      <c r="O595" t="n">
        <v>1</v>
      </c>
      <c r="P595" t="n">
        <v>0</v>
      </c>
      <c r="Q595" t="n">
        <v>1</v>
      </c>
      <c r="R595" s="2" t="inlineStr">
        <is>
          <t>Blå taggsvamp</t>
        </is>
      </c>
      <c r="S595">
        <f>HYPERLINK("https://klasma.github.io/Logging_2513/artfynd/A 37532-2022 artfynd.xlsx", "A 37532-2022")</f>
        <v/>
      </c>
      <c r="T595">
        <f>HYPERLINK("https://klasma.github.io/Logging_2513/kartor/A 37532-2022 karta.png", "A 37532-2022")</f>
        <v/>
      </c>
      <c r="V595">
        <f>HYPERLINK("https://klasma.github.io/Logging_2513/klagomål/A 37532-2022 FSC-klagomål.docx", "A 37532-2022")</f>
        <v/>
      </c>
      <c r="W595">
        <f>HYPERLINK("https://klasma.github.io/Logging_2513/klagomålsmail/A 37532-2022 FSC-klagomål mail.docx", "A 37532-2022")</f>
        <v/>
      </c>
      <c r="X595">
        <f>HYPERLINK("https://klasma.github.io/Logging_2513/tillsyn/A 37532-2022 tillsynsbegäran.docx", "A 37532-2022")</f>
        <v/>
      </c>
      <c r="Y595">
        <f>HYPERLINK("https://klasma.github.io/Logging_2513/tillsynsmail/A 37532-2022 tillsynsbegäran mail.docx", "A 37532-2022")</f>
        <v/>
      </c>
    </row>
    <row r="596" ht="15" customHeight="1">
      <c r="A596" t="inlineStr">
        <is>
          <t>A 27635-2025</t>
        </is>
      </c>
      <c r="B596" s="1" t="n">
        <v>45813.5737037037</v>
      </c>
      <c r="C596" s="1" t="n">
        <v>46046</v>
      </c>
      <c r="D596" t="inlineStr">
        <is>
          <t>NORRBOTTENS LÄN</t>
        </is>
      </c>
      <c r="E596" t="inlineStr">
        <is>
          <t>PAJALA</t>
        </is>
      </c>
      <c r="F596" t="inlineStr">
        <is>
          <t>Sveaskog</t>
        </is>
      </c>
      <c r="G596" t="n">
        <v>5.7</v>
      </c>
      <c r="H596" t="n">
        <v>0</v>
      </c>
      <c r="I596" t="n">
        <v>1</v>
      </c>
      <c r="J596" t="n">
        <v>0</v>
      </c>
      <c r="K596" t="n">
        <v>0</v>
      </c>
      <c r="L596" t="n">
        <v>0</v>
      </c>
      <c r="M596" t="n">
        <v>0</v>
      </c>
      <c r="N596" t="n">
        <v>0</v>
      </c>
      <c r="O596" t="n">
        <v>0</v>
      </c>
      <c r="P596" t="n">
        <v>0</v>
      </c>
      <c r="Q596" t="n">
        <v>1</v>
      </c>
      <c r="R596" s="2" t="inlineStr">
        <is>
          <t>Rävticka</t>
        </is>
      </c>
      <c r="S596">
        <f>HYPERLINK("https://klasma.github.io/Logging_2521/artfynd/A 27635-2025 artfynd.xlsx", "A 27635-2025")</f>
        <v/>
      </c>
      <c r="T596">
        <f>HYPERLINK("https://klasma.github.io/Logging_2521/kartor/A 27635-2025 karta.png", "A 27635-2025")</f>
        <v/>
      </c>
      <c r="V596">
        <f>HYPERLINK("https://klasma.github.io/Logging_2521/klagomål/A 27635-2025 FSC-klagomål.docx", "A 27635-2025")</f>
        <v/>
      </c>
      <c r="W596">
        <f>HYPERLINK("https://klasma.github.io/Logging_2521/klagomålsmail/A 27635-2025 FSC-klagomål mail.docx", "A 27635-2025")</f>
        <v/>
      </c>
      <c r="X596">
        <f>HYPERLINK("https://klasma.github.io/Logging_2521/tillsyn/A 27635-2025 tillsynsbegäran.docx", "A 27635-2025")</f>
        <v/>
      </c>
      <c r="Y596">
        <f>HYPERLINK("https://klasma.github.io/Logging_2521/tillsynsmail/A 27635-2025 tillsynsbegäran mail.docx", "A 27635-2025")</f>
        <v/>
      </c>
    </row>
    <row r="597" ht="15" customHeight="1">
      <c r="A597" t="inlineStr">
        <is>
          <t>A 41375-2024</t>
        </is>
      </c>
      <c r="B597" s="1" t="n">
        <v>45559</v>
      </c>
      <c r="C597" s="1" t="n">
        <v>46046</v>
      </c>
      <c r="D597" t="inlineStr">
        <is>
          <t>NORRBOTTENS LÄN</t>
        </is>
      </c>
      <c r="E597" t="inlineStr">
        <is>
          <t>ARJEPLOG</t>
        </is>
      </c>
      <c r="F597" t="inlineStr">
        <is>
          <t>Övriga statliga verk och myndigheter</t>
        </is>
      </c>
      <c r="G597" t="n">
        <v>5.9</v>
      </c>
      <c r="H597" t="n">
        <v>1</v>
      </c>
      <c r="I597" t="n">
        <v>1</v>
      </c>
      <c r="J597" t="n">
        <v>0</v>
      </c>
      <c r="K597" t="n">
        <v>0</v>
      </c>
      <c r="L597" t="n">
        <v>0</v>
      </c>
      <c r="M597" t="n">
        <v>0</v>
      </c>
      <c r="N597" t="n">
        <v>0</v>
      </c>
      <c r="O597" t="n">
        <v>0</v>
      </c>
      <c r="P597" t="n">
        <v>0</v>
      </c>
      <c r="Q597" t="n">
        <v>1</v>
      </c>
      <c r="R597" s="2" t="inlineStr">
        <is>
          <t>Korallrot</t>
        </is>
      </c>
      <c r="S597">
        <f>HYPERLINK("https://klasma.github.io/Logging_2506/artfynd/A 41375-2024 artfynd.xlsx", "A 41375-2024")</f>
        <v/>
      </c>
      <c r="T597">
        <f>HYPERLINK("https://klasma.github.io/Logging_2506/kartor/A 41375-2024 karta.png", "A 41375-2024")</f>
        <v/>
      </c>
      <c r="V597">
        <f>HYPERLINK("https://klasma.github.io/Logging_2506/klagomål/A 41375-2024 FSC-klagomål.docx", "A 41375-2024")</f>
        <v/>
      </c>
      <c r="W597">
        <f>HYPERLINK("https://klasma.github.io/Logging_2506/klagomålsmail/A 41375-2024 FSC-klagomål mail.docx", "A 41375-2024")</f>
        <v/>
      </c>
      <c r="X597">
        <f>HYPERLINK("https://klasma.github.io/Logging_2506/tillsyn/A 41375-2024 tillsynsbegäran.docx", "A 41375-2024")</f>
        <v/>
      </c>
      <c r="Y597">
        <f>HYPERLINK("https://klasma.github.io/Logging_2506/tillsynsmail/A 41375-2024 tillsynsbegäran mail.docx", "A 41375-2024")</f>
        <v/>
      </c>
    </row>
    <row r="598" ht="15" customHeight="1">
      <c r="A598" t="inlineStr">
        <is>
          <t>A 46378-2023</t>
        </is>
      </c>
      <c r="B598" s="1" t="n">
        <v>45197</v>
      </c>
      <c r="C598" s="1" t="n">
        <v>46046</v>
      </c>
      <c r="D598" t="inlineStr">
        <is>
          <t>NORRBOTTENS LÄN</t>
        </is>
      </c>
      <c r="E598" t="inlineStr">
        <is>
          <t>ÖVERTORNEÅ</t>
        </is>
      </c>
      <c r="F598" t="inlineStr">
        <is>
          <t>Sveaskog</t>
        </is>
      </c>
      <c r="G598" t="n">
        <v>43.9</v>
      </c>
      <c r="H598" t="n">
        <v>1</v>
      </c>
      <c r="I598" t="n">
        <v>0</v>
      </c>
      <c r="J598" t="n">
        <v>1</v>
      </c>
      <c r="K598" t="n">
        <v>0</v>
      </c>
      <c r="L598" t="n">
        <v>0</v>
      </c>
      <c r="M598" t="n">
        <v>0</v>
      </c>
      <c r="N598" t="n">
        <v>0</v>
      </c>
      <c r="O598" t="n">
        <v>1</v>
      </c>
      <c r="P598" t="n">
        <v>0</v>
      </c>
      <c r="Q598" t="n">
        <v>1</v>
      </c>
      <c r="R598" s="2" t="inlineStr">
        <is>
          <t>Kungsörn</t>
        </is>
      </c>
      <c r="S598">
        <f>HYPERLINK("https://klasma.github.io/Logging_2518/artfynd/A 46378-2023 artfynd.xlsx", "A 46378-2023")</f>
        <v/>
      </c>
      <c r="T598">
        <f>HYPERLINK("https://klasma.github.io/Logging_2518/kartor/A 46378-2023 karta.png", "A 46378-2023")</f>
        <v/>
      </c>
      <c r="V598">
        <f>HYPERLINK("https://klasma.github.io/Logging_2518/klagomål/A 46378-2023 FSC-klagomål.docx", "A 46378-2023")</f>
        <v/>
      </c>
      <c r="W598">
        <f>HYPERLINK("https://klasma.github.io/Logging_2518/klagomålsmail/A 46378-2023 FSC-klagomål mail.docx", "A 46378-2023")</f>
        <v/>
      </c>
      <c r="X598">
        <f>HYPERLINK("https://klasma.github.io/Logging_2518/tillsyn/A 46378-2023 tillsynsbegäran.docx", "A 46378-2023")</f>
        <v/>
      </c>
      <c r="Y598">
        <f>HYPERLINK("https://klasma.github.io/Logging_2518/tillsynsmail/A 46378-2023 tillsynsbegäran mail.docx", "A 46378-2023")</f>
        <v/>
      </c>
      <c r="Z598">
        <f>HYPERLINK("https://klasma.github.io/Logging_2518/fåglar/A 46378-2023 prioriterade fågelarter.docx", "A 46378-2023")</f>
        <v/>
      </c>
    </row>
    <row r="599" ht="15" customHeight="1">
      <c r="A599" t="inlineStr">
        <is>
          <t>A 21102-2024</t>
        </is>
      </c>
      <c r="B599" s="1" t="n">
        <v>45439.95087962963</v>
      </c>
      <c r="C599" s="1" t="n">
        <v>46046</v>
      </c>
      <c r="D599" t="inlineStr">
        <is>
          <t>NORRBOTTENS LÄN</t>
        </is>
      </c>
      <c r="E599" t="inlineStr">
        <is>
          <t>PITEÅ</t>
        </is>
      </c>
      <c r="F599" t="inlineStr">
        <is>
          <t>SCA</t>
        </is>
      </c>
      <c r="G599" t="n">
        <v>1.4</v>
      </c>
      <c r="H599" t="n">
        <v>0</v>
      </c>
      <c r="I599" t="n">
        <v>1</v>
      </c>
      <c r="J599" t="n">
        <v>0</v>
      </c>
      <c r="K599" t="n">
        <v>0</v>
      </c>
      <c r="L599" t="n">
        <v>0</v>
      </c>
      <c r="M599" t="n">
        <v>0</v>
      </c>
      <c r="N599" t="n">
        <v>0</v>
      </c>
      <c r="O599" t="n">
        <v>0</v>
      </c>
      <c r="P599" t="n">
        <v>0</v>
      </c>
      <c r="Q599" t="n">
        <v>1</v>
      </c>
      <c r="R599" s="2" t="inlineStr">
        <is>
          <t>Tibast</t>
        </is>
      </c>
      <c r="S599">
        <f>HYPERLINK("https://klasma.github.io/Logging_2581/artfynd/A 21102-2024 artfynd.xlsx", "A 21102-2024")</f>
        <v/>
      </c>
      <c r="T599">
        <f>HYPERLINK("https://klasma.github.io/Logging_2581/kartor/A 21102-2024 karta.png", "A 21102-2024")</f>
        <v/>
      </c>
      <c r="V599">
        <f>HYPERLINK("https://klasma.github.io/Logging_2581/klagomål/A 21102-2024 FSC-klagomål.docx", "A 21102-2024")</f>
        <v/>
      </c>
      <c r="W599">
        <f>HYPERLINK("https://klasma.github.io/Logging_2581/klagomålsmail/A 21102-2024 FSC-klagomål mail.docx", "A 21102-2024")</f>
        <v/>
      </c>
      <c r="X599">
        <f>HYPERLINK("https://klasma.github.io/Logging_2581/tillsyn/A 21102-2024 tillsynsbegäran.docx", "A 21102-2024")</f>
        <v/>
      </c>
      <c r="Y599">
        <f>HYPERLINK("https://klasma.github.io/Logging_2581/tillsynsmail/A 21102-2024 tillsynsbegäran mail.docx", "A 21102-2024")</f>
        <v/>
      </c>
    </row>
    <row r="600" ht="15" customHeight="1">
      <c r="A600" t="inlineStr">
        <is>
          <t>A 9007-2024</t>
        </is>
      </c>
      <c r="B600" s="1" t="n">
        <v>45356</v>
      </c>
      <c r="C600" s="1" t="n">
        <v>46046</v>
      </c>
      <c r="D600" t="inlineStr">
        <is>
          <t>NORRBOTTENS LÄN</t>
        </is>
      </c>
      <c r="E600" t="inlineStr">
        <is>
          <t>PITEÅ</t>
        </is>
      </c>
      <c r="G600" t="n">
        <v>1.6</v>
      </c>
      <c r="H600" t="n">
        <v>1</v>
      </c>
      <c r="I600" t="n">
        <v>0</v>
      </c>
      <c r="J600" t="n">
        <v>0</v>
      </c>
      <c r="K600" t="n">
        <v>1</v>
      </c>
      <c r="L600" t="n">
        <v>0</v>
      </c>
      <c r="M600" t="n">
        <v>0</v>
      </c>
      <c r="N600" t="n">
        <v>0</v>
      </c>
      <c r="O600" t="n">
        <v>1</v>
      </c>
      <c r="P600" t="n">
        <v>1</v>
      </c>
      <c r="Q600" t="n">
        <v>1</v>
      </c>
      <c r="R600" s="2" t="inlineStr">
        <is>
          <t>Norna</t>
        </is>
      </c>
      <c r="S600">
        <f>HYPERLINK("https://klasma.github.io/Logging_2581/artfynd/A 9007-2024 artfynd.xlsx", "A 9007-2024")</f>
        <v/>
      </c>
      <c r="T600">
        <f>HYPERLINK("https://klasma.github.io/Logging_2581/kartor/A 9007-2024 karta.png", "A 9007-2024")</f>
        <v/>
      </c>
      <c r="V600">
        <f>HYPERLINK("https://klasma.github.io/Logging_2581/klagomål/A 9007-2024 FSC-klagomål.docx", "A 9007-2024")</f>
        <v/>
      </c>
      <c r="W600">
        <f>HYPERLINK("https://klasma.github.io/Logging_2581/klagomålsmail/A 9007-2024 FSC-klagomål mail.docx", "A 9007-2024")</f>
        <v/>
      </c>
      <c r="X600">
        <f>HYPERLINK("https://klasma.github.io/Logging_2581/tillsyn/A 9007-2024 tillsynsbegäran.docx", "A 9007-2024")</f>
        <v/>
      </c>
      <c r="Y600">
        <f>HYPERLINK("https://klasma.github.io/Logging_2581/tillsynsmail/A 9007-2024 tillsynsbegäran mail.docx", "A 9007-2024")</f>
        <v/>
      </c>
    </row>
    <row r="601" ht="15" customHeight="1">
      <c r="A601" t="inlineStr">
        <is>
          <t>A 27825-2025</t>
        </is>
      </c>
      <c r="B601" s="1" t="n">
        <v>45817.3472337963</v>
      </c>
      <c r="C601" s="1" t="n">
        <v>46046</v>
      </c>
      <c r="D601" t="inlineStr">
        <is>
          <t>NORRBOTTENS LÄN</t>
        </is>
      </c>
      <c r="E601" t="inlineStr">
        <is>
          <t>KALIX</t>
        </is>
      </c>
      <c r="G601" t="n">
        <v>3.5</v>
      </c>
      <c r="H601" t="n">
        <v>1</v>
      </c>
      <c r="I601" t="n">
        <v>0</v>
      </c>
      <c r="J601" t="n">
        <v>0</v>
      </c>
      <c r="K601" t="n">
        <v>0</v>
      </c>
      <c r="L601" t="n">
        <v>0</v>
      </c>
      <c r="M601" t="n">
        <v>0</v>
      </c>
      <c r="N601" t="n">
        <v>0</v>
      </c>
      <c r="O601" t="n">
        <v>0</v>
      </c>
      <c r="P601" t="n">
        <v>0</v>
      </c>
      <c r="Q601" t="n">
        <v>1</v>
      </c>
      <c r="R601" s="2" t="inlineStr">
        <is>
          <t>Skogsödla</t>
        </is>
      </c>
      <c r="S601">
        <f>HYPERLINK("https://klasma.github.io/Logging_2514/artfynd/A 27825-2025 artfynd.xlsx", "A 27825-2025")</f>
        <v/>
      </c>
      <c r="T601">
        <f>HYPERLINK("https://klasma.github.io/Logging_2514/kartor/A 27825-2025 karta.png", "A 27825-2025")</f>
        <v/>
      </c>
      <c r="V601">
        <f>HYPERLINK("https://klasma.github.io/Logging_2514/klagomål/A 27825-2025 FSC-klagomål.docx", "A 27825-2025")</f>
        <v/>
      </c>
      <c r="W601">
        <f>HYPERLINK("https://klasma.github.io/Logging_2514/klagomålsmail/A 27825-2025 FSC-klagomål mail.docx", "A 27825-2025")</f>
        <v/>
      </c>
      <c r="X601">
        <f>HYPERLINK("https://klasma.github.io/Logging_2514/tillsyn/A 27825-2025 tillsynsbegäran.docx", "A 27825-2025")</f>
        <v/>
      </c>
      <c r="Y601">
        <f>HYPERLINK("https://klasma.github.io/Logging_2514/tillsynsmail/A 27825-2025 tillsynsbegäran mail.docx", "A 27825-2025")</f>
        <v/>
      </c>
    </row>
    <row r="602" ht="15" customHeight="1">
      <c r="A602" t="inlineStr">
        <is>
          <t>A 55419-2024</t>
        </is>
      </c>
      <c r="B602" s="1" t="n">
        <v>45622</v>
      </c>
      <c r="C602" s="1" t="n">
        <v>46046</v>
      </c>
      <c r="D602" t="inlineStr">
        <is>
          <t>NORRBOTTENS LÄN</t>
        </is>
      </c>
      <c r="E602" t="inlineStr">
        <is>
          <t>ÖVERKALIX</t>
        </is>
      </c>
      <c r="F602" t="inlineStr">
        <is>
          <t>Sveaskog</t>
        </is>
      </c>
      <c r="G602" t="n">
        <v>15.8</v>
      </c>
      <c r="H602" t="n">
        <v>0</v>
      </c>
      <c r="I602" t="n">
        <v>0</v>
      </c>
      <c r="J602" t="n">
        <v>1</v>
      </c>
      <c r="K602" t="n">
        <v>0</v>
      </c>
      <c r="L602" t="n">
        <v>0</v>
      </c>
      <c r="M602" t="n">
        <v>0</v>
      </c>
      <c r="N602" t="n">
        <v>0</v>
      </c>
      <c r="O602" t="n">
        <v>1</v>
      </c>
      <c r="P602" t="n">
        <v>0</v>
      </c>
      <c r="Q602" t="n">
        <v>1</v>
      </c>
      <c r="R602" s="2" t="inlineStr">
        <is>
          <t>Lunglav</t>
        </is>
      </c>
      <c r="S602">
        <f>HYPERLINK("https://klasma.github.io/Logging_2513/artfynd/A 55419-2024 artfynd.xlsx", "A 55419-2024")</f>
        <v/>
      </c>
      <c r="T602">
        <f>HYPERLINK("https://klasma.github.io/Logging_2513/kartor/A 55419-2024 karta.png", "A 55419-2024")</f>
        <v/>
      </c>
      <c r="V602">
        <f>HYPERLINK("https://klasma.github.io/Logging_2513/klagomål/A 55419-2024 FSC-klagomål.docx", "A 55419-2024")</f>
        <v/>
      </c>
      <c r="W602">
        <f>HYPERLINK("https://klasma.github.io/Logging_2513/klagomålsmail/A 55419-2024 FSC-klagomål mail.docx", "A 55419-2024")</f>
        <v/>
      </c>
      <c r="X602">
        <f>HYPERLINK("https://klasma.github.io/Logging_2513/tillsyn/A 55419-2024 tillsynsbegäran.docx", "A 55419-2024")</f>
        <v/>
      </c>
      <c r="Y602">
        <f>HYPERLINK("https://klasma.github.io/Logging_2513/tillsynsmail/A 55419-2024 tillsynsbegäran mail.docx", "A 55419-2024")</f>
        <v/>
      </c>
    </row>
    <row r="603" ht="15" customHeight="1">
      <c r="A603" t="inlineStr">
        <is>
          <t>A 24589-2022</t>
        </is>
      </c>
      <c r="B603" s="1" t="n">
        <v>44727</v>
      </c>
      <c r="C603" s="1" t="n">
        <v>46046</v>
      </c>
      <c r="D603" t="inlineStr">
        <is>
          <t>NORRBOTTENS LÄN</t>
        </is>
      </c>
      <c r="E603" t="inlineStr">
        <is>
          <t>PITEÅ</t>
        </is>
      </c>
      <c r="G603" t="n">
        <v>1.7</v>
      </c>
      <c r="H603" t="n">
        <v>1</v>
      </c>
      <c r="I603" t="n">
        <v>0</v>
      </c>
      <c r="J603" t="n">
        <v>1</v>
      </c>
      <c r="K603" t="n">
        <v>0</v>
      </c>
      <c r="L603" t="n">
        <v>0</v>
      </c>
      <c r="M603" t="n">
        <v>0</v>
      </c>
      <c r="N603" t="n">
        <v>0</v>
      </c>
      <c r="O603" t="n">
        <v>1</v>
      </c>
      <c r="P603" t="n">
        <v>0</v>
      </c>
      <c r="Q603" t="n">
        <v>1</v>
      </c>
      <c r="R603" s="2" t="inlineStr">
        <is>
          <t>Rosenfink</t>
        </is>
      </c>
      <c r="S603">
        <f>HYPERLINK("https://klasma.github.io/Logging_2581/artfynd/A 24589-2022 artfynd.xlsx", "A 24589-2022")</f>
        <v/>
      </c>
      <c r="T603">
        <f>HYPERLINK("https://klasma.github.io/Logging_2581/kartor/A 24589-2022 karta.png", "A 24589-2022")</f>
        <v/>
      </c>
      <c r="V603">
        <f>HYPERLINK("https://klasma.github.io/Logging_2581/klagomål/A 24589-2022 FSC-klagomål.docx", "A 24589-2022")</f>
        <v/>
      </c>
      <c r="W603">
        <f>HYPERLINK("https://klasma.github.io/Logging_2581/klagomålsmail/A 24589-2022 FSC-klagomål mail.docx", "A 24589-2022")</f>
        <v/>
      </c>
      <c r="X603">
        <f>HYPERLINK("https://klasma.github.io/Logging_2581/tillsyn/A 24589-2022 tillsynsbegäran.docx", "A 24589-2022")</f>
        <v/>
      </c>
      <c r="Y603">
        <f>HYPERLINK("https://klasma.github.io/Logging_2581/tillsynsmail/A 24589-2022 tillsynsbegäran mail.docx", "A 24589-2022")</f>
        <v/>
      </c>
      <c r="Z603">
        <f>HYPERLINK("https://klasma.github.io/Logging_2581/fåglar/A 24589-2022 prioriterade fågelarter.docx", "A 24589-2022")</f>
        <v/>
      </c>
    </row>
    <row r="604" ht="15" customHeight="1">
      <c r="A604" t="inlineStr">
        <is>
          <t>A 28854-2025</t>
        </is>
      </c>
      <c r="B604" s="1" t="n">
        <v>45820.58268518518</v>
      </c>
      <c r="C604" s="1" t="n">
        <v>46046</v>
      </c>
      <c r="D604" t="inlineStr">
        <is>
          <t>NORRBOTTENS LÄN</t>
        </is>
      </c>
      <c r="E604" t="inlineStr">
        <is>
          <t>PAJALA</t>
        </is>
      </c>
      <c r="G604" t="n">
        <v>2.5</v>
      </c>
      <c r="H604" t="n">
        <v>0</v>
      </c>
      <c r="I604" t="n">
        <v>1</v>
      </c>
      <c r="J604" t="n">
        <v>0</v>
      </c>
      <c r="K604" t="n">
        <v>0</v>
      </c>
      <c r="L604" t="n">
        <v>0</v>
      </c>
      <c r="M604" t="n">
        <v>0</v>
      </c>
      <c r="N604" t="n">
        <v>0</v>
      </c>
      <c r="O604" t="n">
        <v>0</v>
      </c>
      <c r="P604" t="n">
        <v>0</v>
      </c>
      <c r="Q604" t="n">
        <v>1</v>
      </c>
      <c r="R604" s="2" t="inlineStr">
        <is>
          <t>Bollvitmossa</t>
        </is>
      </c>
      <c r="S604">
        <f>HYPERLINK("https://klasma.github.io/Logging_2521/artfynd/A 28854-2025 artfynd.xlsx", "A 28854-2025")</f>
        <v/>
      </c>
      <c r="T604">
        <f>HYPERLINK("https://klasma.github.io/Logging_2521/kartor/A 28854-2025 karta.png", "A 28854-2025")</f>
        <v/>
      </c>
      <c r="V604">
        <f>HYPERLINK("https://klasma.github.io/Logging_2521/klagomål/A 28854-2025 FSC-klagomål.docx", "A 28854-2025")</f>
        <v/>
      </c>
      <c r="W604">
        <f>HYPERLINK("https://klasma.github.io/Logging_2521/klagomålsmail/A 28854-2025 FSC-klagomål mail.docx", "A 28854-2025")</f>
        <v/>
      </c>
      <c r="X604">
        <f>HYPERLINK("https://klasma.github.io/Logging_2521/tillsyn/A 28854-2025 tillsynsbegäran.docx", "A 28854-2025")</f>
        <v/>
      </c>
      <c r="Y604">
        <f>HYPERLINK("https://klasma.github.io/Logging_2521/tillsynsmail/A 28854-2025 tillsynsbegäran mail.docx", "A 28854-2025")</f>
        <v/>
      </c>
    </row>
    <row r="605" ht="15" customHeight="1">
      <c r="A605" t="inlineStr">
        <is>
          <t>A 29381-2025</t>
        </is>
      </c>
      <c r="B605" s="1" t="n">
        <v>45824.59027777778</v>
      </c>
      <c r="C605" s="1" t="n">
        <v>46046</v>
      </c>
      <c r="D605" t="inlineStr">
        <is>
          <t>NORRBOTTENS LÄN</t>
        </is>
      </c>
      <c r="E605" t="inlineStr">
        <is>
          <t>LULEÅ</t>
        </is>
      </c>
      <c r="G605" t="n">
        <v>1.5</v>
      </c>
      <c r="H605" t="n">
        <v>1</v>
      </c>
      <c r="I605" t="n">
        <v>0</v>
      </c>
      <c r="J605" t="n">
        <v>1</v>
      </c>
      <c r="K605" t="n">
        <v>0</v>
      </c>
      <c r="L605" t="n">
        <v>0</v>
      </c>
      <c r="M605" t="n">
        <v>0</v>
      </c>
      <c r="N605" t="n">
        <v>0</v>
      </c>
      <c r="O605" t="n">
        <v>1</v>
      </c>
      <c r="P605" t="n">
        <v>0</v>
      </c>
      <c r="Q605" t="n">
        <v>1</v>
      </c>
      <c r="R605" s="2" t="inlineStr">
        <is>
          <t>Havsörn</t>
        </is>
      </c>
      <c r="S605">
        <f>HYPERLINK("https://klasma.github.io/Logging_2580/artfynd/A 29381-2025 artfynd.xlsx", "A 29381-2025")</f>
        <v/>
      </c>
      <c r="T605">
        <f>HYPERLINK("https://klasma.github.io/Logging_2580/kartor/A 29381-2025 karta.png", "A 29381-2025")</f>
        <v/>
      </c>
      <c r="V605">
        <f>HYPERLINK("https://klasma.github.io/Logging_2580/klagomål/A 29381-2025 FSC-klagomål.docx", "A 29381-2025")</f>
        <v/>
      </c>
      <c r="W605">
        <f>HYPERLINK("https://klasma.github.io/Logging_2580/klagomålsmail/A 29381-2025 FSC-klagomål mail.docx", "A 29381-2025")</f>
        <v/>
      </c>
      <c r="X605">
        <f>HYPERLINK("https://klasma.github.io/Logging_2580/tillsyn/A 29381-2025 tillsynsbegäran.docx", "A 29381-2025")</f>
        <v/>
      </c>
      <c r="Y605">
        <f>HYPERLINK("https://klasma.github.io/Logging_2580/tillsynsmail/A 29381-2025 tillsynsbegäran mail.docx", "A 29381-2025")</f>
        <v/>
      </c>
      <c r="Z605">
        <f>HYPERLINK("https://klasma.github.io/Logging_2580/fåglar/A 29381-2025 prioriterade fågelarter.docx", "A 29381-2025")</f>
        <v/>
      </c>
    </row>
    <row r="606" ht="15" customHeight="1">
      <c r="A606" t="inlineStr">
        <is>
          <t>A 56518-2024</t>
        </is>
      </c>
      <c r="B606" s="1" t="n">
        <v>45625</v>
      </c>
      <c r="C606" s="1" t="n">
        <v>46046</v>
      </c>
      <c r="D606" t="inlineStr">
        <is>
          <t>NORRBOTTENS LÄN</t>
        </is>
      </c>
      <c r="E606" t="inlineStr">
        <is>
          <t>PITEÅ</t>
        </is>
      </c>
      <c r="G606" t="n">
        <v>2.6</v>
      </c>
      <c r="H606" t="n">
        <v>1</v>
      </c>
      <c r="I606" t="n">
        <v>0</v>
      </c>
      <c r="J606" t="n">
        <v>0</v>
      </c>
      <c r="K606" t="n">
        <v>0</v>
      </c>
      <c r="L606" t="n">
        <v>0</v>
      </c>
      <c r="M606" t="n">
        <v>0</v>
      </c>
      <c r="N606" t="n">
        <v>0</v>
      </c>
      <c r="O606" t="n">
        <v>0</v>
      </c>
      <c r="P606" t="n">
        <v>0</v>
      </c>
      <c r="Q606" t="n">
        <v>1</v>
      </c>
      <c r="R606" s="2" t="inlineStr">
        <is>
          <t>Nattviol</t>
        </is>
      </c>
      <c r="S606">
        <f>HYPERLINK("https://klasma.github.io/Logging_2581/artfynd/A 56518-2024 artfynd.xlsx", "A 56518-2024")</f>
        <v/>
      </c>
      <c r="T606">
        <f>HYPERLINK("https://klasma.github.io/Logging_2581/kartor/A 56518-2024 karta.png", "A 56518-2024")</f>
        <v/>
      </c>
      <c r="V606">
        <f>HYPERLINK("https://klasma.github.io/Logging_2581/klagomål/A 56518-2024 FSC-klagomål.docx", "A 56518-2024")</f>
        <v/>
      </c>
      <c r="W606">
        <f>HYPERLINK("https://klasma.github.io/Logging_2581/klagomålsmail/A 56518-2024 FSC-klagomål mail.docx", "A 56518-2024")</f>
        <v/>
      </c>
      <c r="X606">
        <f>HYPERLINK("https://klasma.github.io/Logging_2581/tillsyn/A 56518-2024 tillsynsbegäran.docx", "A 56518-2024")</f>
        <v/>
      </c>
      <c r="Y606">
        <f>HYPERLINK("https://klasma.github.io/Logging_2581/tillsynsmail/A 56518-2024 tillsynsbegäran mail.docx", "A 56518-2024")</f>
        <v/>
      </c>
    </row>
    <row r="607" ht="15" customHeight="1">
      <c r="A607" t="inlineStr">
        <is>
          <t>A 29859-2025</t>
        </is>
      </c>
      <c r="B607" s="1" t="n">
        <v>45826.34621527778</v>
      </c>
      <c r="C607" s="1" t="n">
        <v>46046</v>
      </c>
      <c r="D607" t="inlineStr">
        <is>
          <t>NORRBOTTENS LÄN</t>
        </is>
      </c>
      <c r="E607" t="inlineStr">
        <is>
          <t>JOKKMOKK</t>
        </is>
      </c>
      <c r="F607" t="inlineStr">
        <is>
          <t>SCA</t>
        </is>
      </c>
      <c r="G607" t="n">
        <v>2.9</v>
      </c>
      <c r="H607" t="n">
        <v>0</v>
      </c>
      <c r="I607" t="n">
        <v>0</v>
      </c>
      <c r="J607" t="n">
        <v>0</v>
      </c>
      <c r="K607" t="n">
        <v>1</v>
      </c>
      <c r="L607" t="n">
        <v>0</v>
      </c>
      <c r="M607" t="n">
        <v>0</v>
      </c>
      <c r="N607" t="n">
        <v>0</v>
      </c>
      <c r="O607" t="n">
        <v>1</v>
      </c>
      <c r="P607" t="n">
        <v>1</v>
      </c>
      <c r="Q607" t="n">
        <v>1</v>
      </c>
      <c r="R607" s="2" t="inlineStr">
        <is>
          <t>Tallgråticka</t>
        </is>
      </c>
      <c r="S607">
        <f>HYPERLINK("https://klasma.github.io/Logging_2510/artfynd/A 29859-2025 artfynd.xlsx", "A 29859-2025")</f>
        <v/>
      </c>
      <c r="T607">
        <f>HYPERLINK("https://klasma.github.io/Logging_2510/kartor/A 29859-2025 karta.png", "A 29859-2025")</f>
        <v/>
      </c>
      <c r="V607">
        <f>HYPERLINK("https://klasma.github.io/Logging_2510/klagomål/A 29859-2025 FSC-klagomål.docx", "A 29859-2025")</f>
        <v/>
      </c>
      <c r="W607">
        <f>HYPERLINK("https://klasma.github.io/Logging_2510/klagomålsmail/A 29859-2025 FSC-klagomål mail.docx", "A 29859-2025")</f>
        <v/>
      </c>
      <c r="X607">
        <f>HYPERLINK("https://klasma.github.io/Logging_2510/tillsyn/A 29859-2025 tillsynsbegäran.docx", "A 29859-2025")</f>
        <v/>
      </c>
      <c r="Y607">
        <f>HYPERLINK("https://klasma.github.io/Logging_2510/tillsynsmail/A 29859-2025 tillsynsbegäran mail.docx", "A 29859-2025")</f>
        <v/>
      </c>
    </row>
    <row r="608" ht="15" customHeight="1">
      <c r="A608" t="inlineStr">
        <is>
          <t>A 38166-2023</t>
        </is>
      </c>
      <c r="B608" s="1" t="n">
        <v>45161</v>
      </c>
      <c r="C608" s="1" t="n">
        <v>46046</v>
      </c>
      <c r="D608" t="inlineStr">
        <is>
          <t>NORRBOTTENS LÄN</t>
        </is>
      </c>
      <c r="E608" t="inlineStr">
        <is>
          <t>ARVIDSJAUR</t>
        </is>
      </c>
      <c r="F608" t="inlineStr">
        <is>
          <t>Sveaskog</t>
        </is>
      </c>
      <c r="G608" t="n">
        <v>8.1</v>
      </c>
      <c r="H608" t="n">
        <v>0</v>
      </c>
      <c r="I608" t="n">
        <v>0</v>
      </c>
      <c r="J608" t="n">
        <v>1</v>
      </c>
      <c r="K608" t="n">
        <v>0</v>
      </c>
      <c r="L608" t="n">
        <v>0</v>
      </c>
      <c r="M608" t="n">
        <v>0</v>
      </c>
      <c r="N608" t="n">
        <v>0</v>
      </c>
      <c r="O608" t="n">
        <v>1</v>
      </c>
      <c r="P608" t="n">
        <v>0</v>
      </c>
      <c r="Q608" t="n">
        <v>1</v>
      </c>
      <c r="R608" s="2" t="inlineStr">
        <is>
          <t>Violmussling</t>
        </is>
      </c>
      <c r="S608">
        <f>HYPERLINK("https://klasma.github.io/Logging_2505/artfynd/A 38166-2023 artfynd.xlsx", "A 38166-2023")</f>
        <v/>
      </c>
      <c r="T608">
        <f>HYPERLINK("https://klasma.github.io/Logging_2505/kartor/A 38166-2023 karta.png", "A 38166-2023")</f>
        <v/>
      </c>
      <c r="V608">
        <f>HYPERLINK("https://klasma.github.io/Logging_2505/klagomål/A 38166-2023 FSC-klagomål.docx", "A 38166-2023")</f>
        <v/>
      </c>
      <c r="W608">
        <f>HYPERLINK("https://klasma.github.io/Logging_2505/klagomålsmail/A 38166-2023 FSC-klagomål mail.docx", "A 38166-2023")</f>
        <v/>
      </c>
      <c r="X608">
        <f>HYPERLINK("https://klasma.github.io/Logging_2505/tillsyn/A 38166-2023 tillsynsbegäran.docx", "A 38166-2023")</f>
        <v/>
      </c>
      <c r="Y608">
        <f>HYPERLINK("https://klasma.github.io/Logging_2505/tillsynsmail/A 38166-2023 tillsynsbegäran mail.docx", "A 38166-2023")</f>
        <v/>
      </c>
    </row>
    <row r="609" ht="15" customHeight="1">
      <c r="A609" t="inlineStr">
        <is>
          <t>A 63800-2023</t>
        </is>
      </c>
      <c r="B609" s="1" t="n">
        <v>45278.42076388889</v>
      </c>
      <c r="C609" s="1" t="n">
        <v>46046</v>
      </c>
      <c r="D609" t="inlineStr">
        <is>
          <t>NORRBOTTENS LÄN</t>
        </is>
      </c>
      <c r="E609" t="inlineStr">
        <is>
          <t>HAPARANDA</t>
        </is>
      </c>
      <c r="G609" t="n">
        <v>5.1</v>
      </c>
      <c r="H609" t="n">
        <v>1</v>
      </c>
      <c r="I609" t="n">
        <v>0</v>
      </c>
      <c r="J609" t="n">
        <v>0</v>
      </c>
      <c r="K609" t="n">
        <v>0</v>
      </c>
      <c r="L609" t="n">
        <v>0</v>
      </c>
      <c r="M609" t="n">
        <v>0</v>
      </c>
      <c r="N609" t="n">
        <v>0</v>
      </c>
      <c r="O609" t="n">
        <v>0</v>
      </c>
      <c r="P609" t="n">
        <v>0</v>
      </c>
      <c r="Q609" t="n">
        <v>1</v>
      </c>
      <c r="R609" s="2" t="inlineStr">
        <is>
          <t>Trana</t>
        </is>
      </c>
      <c r="S609">
        <f>HYPERLINK("https://klasma.github.io/Logging_2583/artfynd/A 63800-2023 artfynd.xlsx", "A 63800-2023")</f>
        <v/>
      </c>
      <c r="T609">
        <f>HYPERLINK("https://klasma.github.io/Logging_2583/kartor/A 63800-2023 karta.png", "A 63800-2023")</f>
        <v/>
      </c>
      <c r="V609">
        <f>HYPERLINK("https://klasma.github.io/Logging_2583/klagomål/A 63800-2023 FSC-klagomål.docx", "A 63800-2023")</f>
        <v/>
      </c>
      <c r="W609">
        <f>HYPERLINK("https://klasma.github.io/Logging_2583/klagomålsmail/A 63800-2023 FSC-klagomål mail.docx", "A 63800-2023")</f>
        <v/>
      </c>
      <c r="X609">
        <f>HYPERLINK("https://klasma.github.io/Logging_2583/tillsyn/A 63800-2023 tillsynsbegäran.docx", "A 63800-2023")</f>
        <v/>
      </c>
      <c r="Y609">
        <f>HYPERLINK("https://klasma.github.io/Logging_2583/tillsynsmail/A 63800-2023 tillsynsbegäran mail.docx", "A 63800-2023")</f>
        <v/>
      </c>
      <c r="Z609">
        <f>HYPERLINK("https://klasma.github.io/Logging_2583/fåglar/A 63800-2023 prioriterade fågelarter.docx", "A 63800-2023")</f>
        <v/>
      </c>
    </row>
    <row r="610" ht="15" customHeight="1">
      <c r="A610" t="inlineStr">
        <is>
          <t>A 61219-2024</t>
        </is>
      </c>
      <c r="B610" s="1" t="n">
        <v>45645</v>
      </c>
      <c r="C610" s="1" t="n">
        <v>46046</v>
      </c>
      <c r="D610" t="inlineStr">
        <is>
          <t>NORRBOTTENS LÄN</t>
        </is>
      </c>
      <c r="E610" t="inlineStr">
        <is>
          <t>BODEN</t>
        </is>
      </c>
      <c r="F610" t="inlineStr">
        <is>
          <t>Sveaskog</t>
        </is>
      </c>
      <c r="G610" t="n">
        <v>1.5</v>
      </c>
      <c r="H610" t="n">
        <v>0</v>
      </c>
      <c r="I610" t="n">
        <v>0</v>
      </c>
      <c r="J610" t="n">
        <v>1</v>
      </c>
      <c r="K610" t="n">
        <v>0</v>
      </c>
      <c r="L610" t="n">
        <v>0</v>
      </c>
      <c r="M610" t="n">
        <v>0</v>
      </c>
      <c r="N610" t="n">
        <v>0</v>
      </c>
      <c r="O610" t="n">
        <v>1</v>
      </c>
      <c r="P610" t="n">
        <v>0</v>
      </c>
      <c r="Q610" t="n">
        <v>1</v>
      </c>
      <c r="R610" s="2" t="inlineStr">
        <is>
          <t>Tallticka</t>
        </is>
      </c>
      <c r="S610">
        <f>HYPERLINK("https://klasma.github.io/Logging_2582/artfynd/A 61219-2024 artfynd.xlsx", "A 61219-2024")</f>
        <v/>
      </c>
      <c r="T610">
        <f>HYPERLINK("https://klasma.github.io/Logging_2582/kartor/A 61219-2024 karta.png", "A 61219-2024")</f>
        <v/>
      </c>
      <c r="V610">
        <f>HYPERLINK("https://klasma.github.io/Logging_2582/klagomål/A 61219-2024 FSC-klagomål.docx", "A 61219-2024")</f>
        <v/>
      </c>
      <c r="W610">
        <f>HYPERLINK("https://klasma.github.io/Logging_2582/klagomålsmail/A 61219-2024 FSC-klagomål mail.docx", "A 61219-2024")</f>
        <v/>
      </c>
      <c r="X610">
        <f>HYPERLINK("https://klasma.github.io/Logging_2582/tillsyn/A 61219-2024 tillsynsbegäran.docx", "A 61219-2024")</f>
        <v/>
      </c>
      <c r="Y610">
        <f>HYPERLINK("https://klasma.github.io/Logging_2582/tillsynsmail/A 61219-2024 tillsynsbegäran mail.docx", "A 61219-2024")</f>
        <v/>
      </c>
    </row>
    <row r="611" ht="15" customHeight="1">
      <c r="A611" t="inlineStr">
        <is>
          <t>A 30532-2025</t>
        </is>
      </c>
      <c r="B611" s="1" t="n">
        <v>45831.36143518519</v>
      </c>
      <c r="C611" s="1" t="n">
        <v>46046</v>
      </c>
      <c r="D611" t="inlineStr">
        <is>
          <t>NORRBOTTENS LÄN</t>
        </is>
      </c>
      <c r="E611" t="inlineStr">
        <is>
          <t>ÖVERKALIX</t>
        </is>
      </c>
      <c r="F611" t="inlineStr">
        <is>
          <t>Sveaskog</t>
        </is>
      </c>
      <c r="G611" t="n">
        <v>6</v>
      </c>
      <c r="H611" t="n">
        <v>0</v>
      </c>
      <c r="I611" t="n">
        <v>0</v>
      </c>
      <c r="J611" t="n">
        <v>1</v>
      </c>
      <c r="K611" t="n">
        <v>0</v>
      </c>
      <c r="L611" t="n">
        <v>0</v>
      </c>
      <c r="M611" t="n">
        <v>0</v>
      </c>
      <c r="N611" t="n">
        <v>0</v>
      </c>
      <c r="O611" t="n">
        <v>1</v>
      </c>
      <c r="P611" t="n">
        <v>0</v>
      </c>
      <c r="Q611" t="n">
        <v>1</v>
      </c>
      <c r="R611" s="2" t="inlineStr">
        <is>
          <t>Garnlav</t>
        </is>
      </c>
      <c r="S611">
        <f>HYPERLINK("https://klasma.github.io/Logging_2513/artfynd/A 30532-2025 artfynd.xlsx", "A 30532-2025")</f>
        <v/>
      </c>
      <c r="T611">
        <f>HYPERLINK("https://klasma.github.io/Logging_2513/kartor/A 30532-2025 karta.png", "A 30532-2025")</f>
        <v/>
      </c>
      <c r="V611">
        <f>HYPERLINK("https://klasma.github.io/Logging_2513/klagomål/A 30532-2025 FSC-klagomål.docx", "A 30532-2025")</f>
        <v/>
      </c>
      <c r="W611">
        <f>HYPERLINK("https://klasma.github.io/Logging_2513/klagomålsmail/A 30532-2025 FSC-klagomål mail.docx", "A 30532-2025")</f>
        <v/>
      </c>
      <c r="X611">
        <f>HYPERLINK("https://klasma.github.io/Logging_2513/tillsyn/A 30532-2025 tillsynsbegäran.docx", "A 30532-2025")</f>
        <v/>
      </c>
      <c r="Y611">
        <f>HYPERLINK("https://klasma.github.io/Logging_2513/tillsynsmail/A 30532-2025 tillsynsbegäran mail.docx", "A 30532-2025")</f>
        <v/>
      </c>
    </row>
    <row r="612" ht="15" customHeight="1">
      <c r="A612" t="inlineStr">
        <is>
          <t>A 30784-2025</t>
        </is>
      </c>
      <c r="B612" s="1" t="n">
        <v>45831.62631944445</v>
      </c>
      <c r="C612" s="1" t="n">
        <v>46046</v>
      </c>
      <c r="D612" t="inlineStr">
        <is>
          <t>NORRBOTTENS LÄN</t>
        </is>
      </c>
      <c r="E612" t="inlineStr">
        <is>
          <t>ÖVERTORNEÅ</t>
        </is>
      </c>
      <c r="F612" t="inlineStr">
        <is>
          <t>Sveaskog</t>
        </is>
      </c>
      <c r="G612" t="n">
        <v>12.4</v>
      </c>
      <c r="H612" t="n">
        <v>1</v>
      </c>
      <c r="I612" t="n">
        <v>0</v>
      </c>
      <c r="J612" t="n">
        <v>0</v>
      </c>
      <c r="K612" t="n">
        <v>0</v>
      </c>
      <c r="L612" t="n">
        <v>0</v>
      </c>
      <c r="M612" t="n">
        <v>0</v>
      </c>
      <c r="N612" t="n">
        <v>0</v>
      </c>
      <c r="O612" t="n">
        <v>0</v>
      </c>
      <c r="P612" t="n">
        <v>0</v>
      </c>
      <c r="Q612" t="n">
        <v>1</v>
      </c>
      <c r="R612" s="2" t="inlineStr">
        <is>
          <t>Fläcknycklar</t>
        </is>
      </c>
      <c r="S612">
        <f>HYPERLINK("https://klasma.github.io/Logging_2518/artfynd/A 30784-2025 artfynd.xlsx", "A 30784-2025")</f>
        <v/>
      </c>
      <c r="T612">
        <f>HYPERLINK("https://klasma.github.io/Logging_2518/kartor/A 30784-2025 karta.png", "A 30784-2025")</f>
        <v/>
      </c>
      <c r="V612">
        <f>HYPERLINK("https://klasma.github.io/Logging_2518/klagomål/A 30784-2025 FSC-klagomål.docx", "A 30784-2025")</f>
        <v/>
      </c>
      <c r="W612">
        <f>HYPERLINK("https://klasma.github.io/Logging_2518/klagomålsmail/A 30784-2025 FSC-klagomål mail.docx", "A 30784-2025")</f>
        <v/>
      </c>
      <c r="X612">
        <f>HYPERLINK("https://klasma.github.io/Logging_2518/tillsyn/A 30784-2025 tillsynsbegäran.docx", "A 30784-2025")</f>
        <v/>
      </c>
      <c r="Y612">
        <f>HYPERLINK("https://klasma.github.io/Logging_2518/tillsynsmail/A 30784-2025 tillsynsbegäran mail.docx", "A 30784-2025")</f>
        <v/>
      </c>
    </row>
    <row r="613" ht="15" customHeight="1">
      <c r="A613" t="inlineStr">
        <is>
          <t>A 30602-2025</t>
        </is>
      </c>
      <c r="B613" s="1" t="n">
        <v>45831.45141203704</v>
      </c>
      <c r="C613" s="1" t="n">
        <v>46046</v>
      </c>
      <c r="D613" t="inlineStr">
        <is>
          <t>NORRBOTTENS LÄN</t>
        </is>
      </c>
      <c r="E613" t="inlineStr">
        <is>
          <t>PITEÅ</t>
        </is>
      </c>
      <c r="F613" t="inlineStr">
        <is>
          <t>Sveaskog</t>
        </is>
      </c>
      <c r="G613" t="n">
        <v>7.8</v>
      </c>
      <c r="H613" t="n">
        <v>0</v>
      </c>
      <c r="I613" t="n">
        <v>0</v>
      </c>
      <c r="J613" t="n">
        <v>1</v>
      </c>
      <c r="K613" t="n">
        <v>0</v>
      </c>
      <c r="L613" t="n">
        <v>0</v>
      </c>
      <c r="M613" t="n">
        <v>0</v>
      </c>
      <c r="N613" t="n">
        <v>0</v>
      </c>
      <c r="O613" t="n">
        <v>1</v>
      </c>
      <c r="P613" t="n">
        <v>0</v>
      </c>
      <c r="Q613" t="n">
        <v>1</v>
      </c>
      <c r="R613" s="2" t="inlineStr">
        <is>
          <t>Lunglav</t>
        </is>
      </c>
      <c r="S613">
        <f>HYPERLINK("https://klasma.github.io/Logging_2581/artfynd/A 30602-2025 artfynd.xlsx", "A 30602-2025")</f>
        <v/>
      </c>
      <c r="T613">
        <f>HYPERLINK("https://klasma.github.io/Logging_2581/kartor/A 30602-2025 karta.png", "A 30602-2025")</f>
        <v/>
      </c>
      <c r="V613">
        <f>HYPERLINK("https://klasma.github.io/Logging_2581/klagomål/A 30602-2025 FSC-klagomål.docx", "A 30602-2025")</f>
        <v/>
      </c>
      <c r="W613">
        <f>HYPERLINK("https://klasma.github.io/Logging_2581/klagomålsmail/A 30602-2025 FSC-klagomål mail.docx", "A 30602-2025")</f>
        <v/>
      </c>
      <c r="X613">
        <f>HYPERLINK("https://klasma.github.io/Logging_2581/tillsyn/A 30602-2025 tillsynsbegäran.docx", "A 30602-2025")</f>
        <v/>
      </c>
      <c r="Y613">
        <f>HYPERLINK("https://klasma.github.io/Logging_2581/tillsynsmail/A 30602-2025 tillsynsbegäran mail.docx", "A 30602-2025")</f>
        <v/>
      </c>
    </row>
    <row r="614" ht="15" customHeight="1">
      <c r="A614" t="inlineStr">
        <is>
          <t>A 72480-2021</t>
        </is>
      </c>
      <c r="B614" s="1" t="n">
        <v>44545</v>
      </c>
      <c r="C614" s="1" t="n">
        <v>46046</v>
      </c>
      <c r="D614" t="inlineStr">
        <is>
          <t>NORRBOTTENS LÄN</t>
        </is>
      </c>
      <c r="E614" t="inlineStr">
        <is>
          <t>JOKKMOKK</t>
        </is>
      </c>
      <c r="G614" t="n">
        <v>8.800000000000001</v>
      </c>
      <c r="H614" t="n">
        <v>0</v>
      </c>
      <c r="I614" t="n">
        <v>0</v>
      </c>
      <c r="J614" t="n">
        <v>1</v>
      </c>
      <c r="K614" t="n">
        <v>0</v>
      </c>
      <c r="L614" t="n">
        <v>0</v>
      </c>
      <c r="M614" t="n">
        <v>0</v>
      </c>
      <c r="N614" t="n">
        <v>0</v>
      </c>
      <c r="O614" t="n">
        <v>1</v>
      </c>
      <c r="P614" t="n">
        <v>0</v>
      </c>
      <c r="Q614" t="n">
        <v>1</v>
      </c>
      <c r="R614" s="2" t="inlineStr">
        <is>
          <t>Dvärgbägarlav</t>
        </is>
      </c>
      <c r="S614">
        <f>HYPERLINK("https://klasma.github.io/Logging_2510/artfynd/A 72480-2021 artfynd.xlsx", "A 72480-2021")</f>
        <v/>
      </c>
      <c r="T614">
        <f>HYPERLINK("https://klasma.github.io/Logging_2510/kartor/A 72480-2021 karta.png", "A 72480-2021")</f>
        <v/>
      </c>
      <c r="V614">
        <f>HYPERLINK("https://klasma.github.io/Logging_2510/klagomål/A 72480-2021 FSC-klagomål.docx", "A 72480-2021")</f>
        <v/>
      </c>
      <c r="W614">
        <f>HYPERLINK("https://klasma.github.io/Logging_2510/klagomålsmail/A 72480-2021 FSC-klagomål mail.docx", "A 72480-2021")</f>
        <v/>
      </c>
      <c r="X614">
        <f>HYPERLINK("https://klasma.github.io/Logging_2510/tillsyn/A 72480-2021 tillsynsbegäran.docx", "A 72480-2021")</f>
        <v/>
      </c>
      <c r="Y614">
        <f>HYPERLINK("https://klasma.github.io/Logging_2510/tillsynsmail/A 72480-2021 tillsynsbegäran mail.docx", "A 72480-2021")</f>
        <v/>
      </c>
    </row>
    <row r="615" ht="15" customHeight="1">
      <c r="A615" t="inlineStr">
        <is>
          <t>A 60585-2024</t>
        </is>
      </c>
      <c r="B615" s="1" t="n">
        <v>45644</v>
      </c>
      <c r="C615" s="1" t="n">
        <v>46046</v>
      </c>
      <c r="D615" t="inlineStr">
        <is>
          <t>NORRBOTTENS LÄN</t>
        </is>
      </c>
      <c r="E615" t="inlineStr">
        <is>
          <t>LULEÅ</t>
        </is>
      </c>
      <c r="G615" t="n">
        <v>9.699999999999999</v>
      </c>
      <c r="H615" t="n">
        <v>1</v>
      </c>
      <c r="I615" t="n">
        <v>0</v>
      </c>
      <c r="J615" t="n">
        <v>0</v>
      </c>
      <c r="K615" t="n">
        <v>0</v>
      </c>
      <c r="L615" t="n">
        <v>0</v>
      </c>
      <c r="M615" t="n">
        <v>0</v>
      </c>
      <c r="N615" t="n">
        <v>0</v>
      </c>
      <c r="O615" t="n">
        <v>0</v>
      </c>
      <c r="P615" t="n">
        <v>0</v>
      </c>
      <c r="Q615" t="n">
        <v>1</v>
      </c>
      <c r="R615" s="2" t="inlineStr">
        <is>
          <t>Skogsödla</t>
        </is>
      </c>
      <c r="S615">
        <f>HYPERLINK("https://klasma.github.io/Logging_2580/artfynd/A 60585-2024 artfynd.xlsx", "A 60585-2024")</f>
        <v/>
      </c>
      <c r="T615">
        <f>HYPERLINK("https://klasma.github.io/Logging_2580/kartor/A 60585-2024 karta.png", "A 60585-2024")</f>
        <v/>
      </c>
      <c r="V615">
        <f>HYPERLINK("https://klasma.github.io/Logging_2580/klagomål/A 60585-2024 FSC-klagomål.docx", "A 60585-2024")</f>
        <v/>
      </c>
      <c r="W615">
        <f>HYPERLINK("https://klasma.github.io/Logging_2580/klagomålsmail/A 60585-2024 FSC-klagomål mail.docx", "A 60585-2024")</f>
        <v/>
      </c>
      <c r="X615">
        <f>HYPERLINK("https://klasma.github.io/Logging_2580/tillsyn/A 60585-2024 tillsynsbegäran.docx", "A 60585-2024")</f>
        <v/>
      </c>
      <c r="Y615">
        <f>HYPERLINK("https://klasma.github.io/Logging_2580/tillsynsmail/A 60585-2024 tillsynsbegäran mail.docx", "A 60585-2024")</f>
        <v/>
      </c>
    </row>
    <row r="616" ht="15" customHeight="1">
      <c r="A616" t="inlineStr">
        <is>
          <t>A 47700-2022</t>
        </is>
      </c>
      <c r="B616" s="1" t="n">
        <v>44854</v>
      </c>
      <c r="C616" s="1" t="n">
        <v>46046</v>
      </c>
      <c r="D616" t="inlineStr">
        <is>
          <t>NORRBOTTENS LÄN</t>
        </is>
      </c>
      <c r="E616" t="inlineStr">
        <is>
          <t>PAJALA</t>
        </is>
      </c>
      <c r="F616" t="inlineStr">
        <is>
          <t>Sveaskog</t>
        </is>
      </c>
      <c r="G616" t="n">
        <v>2.9</v>
      </c>
      <c r="H616" t="n">
        <v>0</v>
      </c>
      <c r="I616" t="n">
        <v>0</v>
      </c>
      <c r="J616" t="n">
        <v>1</v>
      </c>
      <c r="K616" t="n">
        <v>0</v>
      </c>
      <c r="L616" t="n">
        <v>0</v>
      </c>
      <c r="M616" t="n">
        <v>0</v>
      </c>
      <c r="N616" t="n">
        <v>0</v>
      </c>
      <c r="O616" t="n">
        <v>1</v>
      </c>
      <c r="P616" t="n">
        <v>0</v>
      </c>
      <c r="Q616" t="n">
        <v>1</v>
      </c>
      <c r="R616" s="2" t="inlineStr">
        <is>
          <t>Garnlav</t>
        </is>
      </c>
      <c r="S616">
        <f>HYPERLINK("https://klasma.github.io/Logging_2521/artfynd/A 47700-2022 artfynd.xlsx", "A 47700-2022")</f>
        <v/>
      </c>
      <c r="T616">
        <f>HYPERLINK("https://klasma.github.io/Logging_2521/kartor/A 47700-2022 karta.png", "A 47700-2022")</f>
        <v/>
      </c>
      <c r="V616">
        <f>HYPERLINK("https://klasma.github.io/Logging_2521/klagomål/A 47700-2022 FSC-klagomål.docx", "A 47700-2022")</f>
        <v/>
      </c>
      <c r="W616">
        <f>HYPERLINK("https://klasma.github.io/Logging_2521/klagomålsmail/A 47700-2022 FSC-klagomål mail.docx", "A 47700-2022")</f>
        <v/>
      </c>
      <c r="X616">
        <f>HYPERLINK("https://klasma.github.io/Logging_2521/tillsyn/A 47700-2022 tillsynsbegäran.docx", "A 47700-2022")</f>
        <v/>
      </c>
      <c r="Y616">
        <f>HYPERLINK("https://klasma.github.io/Logging_2521/tillsynsmail/A 47700-2022 tillsynsbegäran mail.docx", "A 47700-2022")</f>
        <v/>
      </c>
    </row>
    <row r="617" ht="15" customHeight="1">
      <c r="A617" t="inlineStr">
        <is>
          <t>A 30868-2025</t>
        </is>
      </c>
      <c r="B617" s="1" t="n">
        <v>45832.32988425926</v>
      </c>
      <c r="C617" s="1" t="n">
        <v>46046</v>
      </c>
      <c r="D617" t="inlineStr">
        <is>
          <t>NORRBOTTENS LÄN</t>
        </is>
      </c>
      <c r="E617" t="inlineStr">
        <is>
          <t>PITEÅ</t>
        </is>
      </c>
      <c r="F617" t="inlineStr">
        <is>
          <t>Sveaskog</t>
        </is>
      </c>
      <c r="G617" t="n">
        <v>20</v>
      </c>
      <c r="H617" t="n">
        <v>0</v>
      </c>
      <c r="I617" t="n">
        <v>0</v>
      </c>
      <c r="J617" t="n">
        <v>1</v>
      </c>
      <c r="K617" t="n">
        <v>0</v>
      </c>
      <c r="L617" t="n">
        <v>0</v>
      </c>
      <c r="M617" t="n">
        <v>0</v>
      </c>
      <c r="N617" t="n">
        <v>0</v>
      </c>
      <c r="O617" t="n">
        <v>1</v>
      </c>
      <c r="P617" t="n">
        <v>0</v>
      </c>
      <c r="Q617" t="n">
        <v>1</v>
      </c>
      <c r="R617" s="2" t="inlineStr">
        <is>
          <t>Lunglav</t>
        </is>
      </c>
      <c r="S617">
        <f>HYPERLINK("https://klasma.github.io/Logging_2581/artfynd/A 30868-2025 artfynd.xlsx", "A 30868-2025")</f>
        <v/>
      </c>
      <c r="T617">
        <f>HYPERLINK("https://klasma.github.io/Logging_2581/kartor/A 30868-2025 karta.png", "A 30868-2025")</f>
        <v/>
      </c>
      <c r="V617">
        <f>HYPERLINK("https://klasma.github.io/Logging_2581/klagomål/A 30868-2025 FSC-klagomål.docx", "A 30868-2025")</f>
        <v/>
      </c>
      <c r="W617">
        <f>HYPERLINK("https://klasma.github.io/Logging_2581/klagomålsmail/A 30868-2025 FSC-klagomål mail.docx", "A 30868-2025")</f>
        <v/>
      </c>
      <c r="X617">
        <f>HYPERLINK("https://klasma.github.io/Logging_2581/tillsyn/A 30868-2025 tillsynsbegäran.docx", "A 30868-2025")</f>
        <v/>
      </c>
      <c r="Y617">
        <f>HYPERLINK("https://klasma.github.io/Logging_2581/tillsynsmail/A 30868-2025 tillsynsbegäran mail.docx", "A 30868-2025")</f>
        <v/>
      </c>
    </row>
    <row r="618" ht="15" customHeight="1">
      <c r="A618" t="inlineStr">
        <is>
          <t>A 31204-2025</t>
        </is>
      </c>
      <c r="B618" s="1" t="n">
        <v>45832.7002199074</v>
      </c>
      <c r="C618" s="1" t="n">
        <v>46046</v>
      </c>
      <c r="D618" t="inlineStr">
        <is>
          <t>NORRBOTTENS LÄN</t>
        </is>
      </c>
      <c r="E618" t="inlineStr">
        <is>
          <t>PAJALA</t>
        </is>
      </c>
      <c r="F618" t="inlineStr">
        <is>
          <t>Sveaskog</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HYPERLINK("https://klasma.github.io/Logging_2521/artfynd/A 31204-2025 artfynd.xlsx", "A 31204-2025")</f>
        <v/>
      </c>
      <c r="T618">
        <f>HYPERLINK("https://klasma.github.io/Logging_2521/kartor/A 31204-2025 karta.png", "A 31204-2025")</f>
        <v/>
      </c>
      <c r="V618">
        <f>HYPERLINK("https://klasma.github.io/Logging_2521/klagomål/A 31204-2025 FSC-klagomål.docx", "A 31204-2025")</f>
        <v/>
      </c>
      <c r="W618">
        <f>HYPERLINK("https://klasma.github.io/Logging_2521/klagomålsmail/A 31204-2025 FSC-klagomål mail.docx", "A 31204-2025")</f>
        <v/>
      </c>
      <c r="X618">
        <f>HYPERLINK("https://klasma.github.io/Logging_2521/tillsyn/A 31204-2025 tillsynsbegäran.docx", "A 31204-2025")</f>
        <v/>
      </c>
      <c r="Y618">
        <f>HYPERLINK("https://klasma.github.io/Logging_2521/tillsynsmail/A 31204-2025 tillsynsbegäran mail.docx", "A 31204-2025")</f>
        <v/>
      </c>
    </row>
    <row r="619" ht="15" customHeight="1">
      <c r="A619" t="inlineStr">
        <is>
          <t>A 31487-2025</t>
        </is>
      </c>
      <c r="B619" s="1" t="n">
        <v>45833.57443287037</v>
      </c>
      <c r="C619" s="1" t="n">
        <v>46046</v>
      </c>
      <c r="D619" t="inlineStr">
        <is>
          <t>NORRBOTTENS LÄN</t>
        </is>
      </c>
      <c r="E619" t="inlineStr">
        <is>
          <t>BODEN</t>
        </is>
      </c>
      <c r="F619" t="inlineStr">
        <is>
          <t>Övriga Aktiebolag</t>
        </is>
      </c>
      <c r="G619" t="n">
        <v>9.800000000000001</v>
      </c>
      <c r="H619" t="n">
        <v>1</v>
      </c>
      <c r="I619" t="n">
        <v>1</v>
      </c>
      <c r="J619" t="n">
        <v>0</v>
      </c>
      <c r="K619" t="n">
        <v>0</v>
      </c>
      <c r="L619" t="n">
        <v>0</v>
      </c>
      <c r="M619" t="n">
        <v>0</v>
      </c>
      <c r="N619" t="n">
        <v>0</v>
      </c>
      <c r="O619" t="n">
        <v>0</v>
      </c>
      <c r="P619" t="n">
        <v>0</v>
      </c>
      <c r="Q619" t="n">
        <v>1</v>
      </c>
      <c r="R619" s="2" t="inlineStr">
        <is>
          <t>Plattlummer</t>
        </is>
      </c>
      <c r="S619">
        <f>HYPERLINK("https://klasma.github.io/Logging_2582/artfynd/A 31487-2025 artfynd.xlsx", "A 31487-2025")</f>
        <v/>
      </c>
      <c r="T619">
        <f>HYPERLINK("https://klasma.github.io/Logging_2582/kartor/A 31487-2025 karta.png", "A 31487-2025")</f>
        <v/>
      </c>
      <c r="V619">
        <f>HYPERLINK("https://klasma.github.io/Logging_2582/klagomål/A 31487-2025 FSC-klagomål.docx", "A 31487-2025")</f>
        <v/>
      </c>
      <c r="W619">
        <f>HYPERLINK("https://klasma.github.io/Logging_2582/klagomålsmail/A 31487-2025 FSC-klagomål mail.docx", "A 31487-2025")</f>
        <v/>
      </c>
      <c r="X619">
        <f>HYPERLINK("https://klasma.github.io/Logging_2582/tillsyn/A 31487-2025 tillsynsbegäran.docx", "A 31487-2025")</f>
        <v/>
      </c>
      <c r="Y619">
        <f>HYPERLINK("https://klasma.github.io/Logging_2582/tillsynsmail/A 31487-2025 tillsynsbegäran mail.docx", "A 31487-2025")</f>
        <v/>
      </c>
    </row>
    <row r="620" ht="15" customHeight="1">
      <c r="A620" t="inlineStr">
        <is>
          <t>A 32148-2025</t>
        </is>
      </c>
      <c r="B620" s="1" t="n">
        <v>45835.52969907408</v>
      </c>
      <c r="C620" s="1" t="n">
        <v>46046</v>
      </c>
      <c r="D620" t="inlineStr">
        <is>
          <t>NORRBOTTENS LÄN</t>
        </is>
      </c>
      <c r="E620" t="inlineStr">
        <is>
          <t>LULEÅ</t>
        </is>
      </c>
      <c r="F620" t="inlineStr">
        <is>
          <t>Sveaskog</t>
        </is>
      </c>
      <c r="G620" t="n">
        <v>2.2</v>
      </c>
      <c r="H620" t="n">
        <v>0</v>
      </c>
      <c r="I620" t="n">
        <v>0</v>
      </c>
      <c r="J620" t="n">
        <v>1</v>
      </c>
      <c r="K620" t="n">
        <v>0</v>
      </c>
      <c r="L620" t="n">
        <v>0</v>
      </c>
      <c r="M620" t="n">
        <v>0</v>
      </c>
      <c r="N620" t="n">
        <v>0</v>
      </c>
      <c r="O620" t="n">
        <v>1</v>
      </c>
      <c r="P620" t="n">
        <v>0</v>
      </c>
      <c r="Q620" t="n">
        <v>1</v>
      </c>
      <c r="R620" s="2" t="inlineStr">
        <is>
          <t>Tallticka</t>
        </is>
      </c>
      <c r="S620">
        <f>HYPERLINK("https://klasma.github.io/Logging_2580/artfynd/A 32148-2025 artfynd.xlsx", "A 32148-2025")</f>
        <v/>
      </c>
      <c r="T620">
        <f>HYPERLINK("https://klasma.github.io/Logging_2580/kartor/A 32148-2025 karta.png", "A 32148-2025")</f>
        <v/>
      </c>
      <c r="V620">
        <f>HYPERLINK("https://klasma.github.io/Logging_2580/klagomål/A 32148-2025 FSC-klagomål.docx", "A 32148-2025")</f>
        <v/>
      </c>
      <c r="W620">
        <f>HYPERLINK("https://klasma.github.io/Logging_2580/klagomålsmail/A 32148-2025 FSC-klagomål mail.docx", "A 32148-2025")</f>
        <v/>
      </c>
      <c r="X620">
        <f>HYPERLINK("https://klasma.github.io/Logging_2580/tillsyn/A 32148-2025 tillsynsbegäran.docx", "A 32148-2025")</f>
        <v/>
      </c>
      <c r="Y620">
        <f>HYPERLINK("https://klasma.github.io/Logging_2580/tillsynsmail/A 32148-2025 tillsynsbegäran mail.docx", "A 32148-2025")</f>
        <v/>
      </c>
    </row>
    <row r="621" ht="15" customHeight="1">
      <c r="A621" t="inlineStr">
        <is>
          <t>A 31651-2025</t>
        </is>
      </c>
      <c r="B621" s="1" t="n">
        <v>45834.34667824074</v>
      </c>
      <c r="C621" s="1" t="n">
        <v>46046</v>
      </c>
      <c r="D621" t="inlineStr">
        <is>
          <t>NORRBOTTENS LÄN</t>
        </is>
      </c>
      <c r="E621" t="inlineStr">
        <is>
          <t>GÄLLIVARE</t>
        </is>
      </c>
      <c r="F621" t="inlineStr">
        <is>
          <t>SCA</t>
        </is>
      </c>
      <c r="G621" t="n">
        <v>4.4</v>
      </c>
      <c r="H621" t="n">
        <v>0</v>
      </c>
      <c r="I621" t="n">
        <v>0</v>
      </c>
      <c r="J621" t="n">
        <v>1</v>
      </c>
      <c r="K621" t="n">
        <v>0</v>
      </c>
      <c r="L621" t="n">
        <v>0</v>
      </c>
      <c r="M621" t="n">
        <v>0</v>
      </c>
      <c r="N621" t="n">
        <v>0</v>
      </c>
      <c r="O621" t="n">
        <v>1</v>
      </c>
      <c r="P621" t="n">
        <v>0</v>
      </c>
      <c r="Q621" t="n">
        <v>1</v>
      </c>
      <c r="R621" s="2" t="inlineStr">
        <is>
          <t>Talltaggsvamp</t>
        </is>
      </c>
      <c r="S621">
        <f>HYPERLINK("https://klasma.github.io/Logging_2523/artfynd/A 31651-2025 artfynd.xlsx", "A 31651-2025")</f>
        <v/>
      </c>
      <c r="T621">
        <f>HYPERLINK("https://klasma.github.io/Logging_2523/kartor/A 31651-2025 karta.png", "A 31651-2025")</f>
        <v/>
      </c>
      <c r="V621">
        <f>HYPERLINK("https://klasma.github.io/Logging_2523/klagomål/A 31651-2025 FSC-klagomål.docx", "A 31651-2025")</f>
        <v/>
      </c>
      <c r="W621">
        <f>HYPERLINK("https://klasma.github.io/Logging_2523/klagomålsmail/A 31651-2025 FSC-klagomål mail.docx", "A 31651-2025")</f>
        <v/>
      </c>
      <c r="X621">
        <f>HYPERLINK("https://klasma.github.io/Logging_2523/tillsyn/A 31651-2025 tillsynsbegäran.docx", "A 31651-2025")</f>
        <v/>
      </c>
      <c r="Y621">
        <f>HYPERLINK("https://klasma.github.io/Logging_2523/tillsynsmail/A 31651-2025 tillsynsbegäran mail.docx", "A 31651-2025")</f>
        <v/>
      </c>
    </row>
    <row r="622" ht="15" customHeight="1">
      <c r="A622" t="inlineStr">
        <is>
          <t>A 32277-2025</t>
        </is>
      </c>
      <c r="B622" s="1" t="n">
        <v>45835.66175925926</v>
      </c>
      <c r="C622" s="1" t="n">
        <v>46046</v>
      </c>
      <c r="D622" t="inlineStr">
        <is>
          <t>NORRBOTTENS LÄN</t>
        </is>
      </c>
      <c r="E622" t="inlineStr">
        <is>
          <t>ÖVERKALIX</t>
        </is>
      </c>
      <c r="F622" t="inlineStr">
        <is>
          <t>Sveaskog</t>
        </is>
      </c>
      <c r="G622" t="n">
        <v>9.699999999999999</v>
      </c>
      <c r="H622" t="n">
        <v>1</v>
      </c>
      <c r="I622" t="n">
        <v>1</v>
      </c>
      <c r="J622" t="n">
        <v>0</v>
      </c>
      <c r="K622" t="n">
        <v>0</v>
      </c>
      <c r="L622" t="n">
        <v>0</v>
      </c>
      <c r="M622" t="n">
        <v>0</v>
      </c>
      <c r="N622" t="n">
        <v>0</v>
      </c>
      <c r="O622" t="n">
        <v>0</v>
      </c>
      <c r="P622" t="n">
        <v>0</v>
      </c>
      <c r="Q622" t="n">
        <v>1</v>
      </c>
      <c r="R622" s="2" t="inlineStr">
        <is>
          <t>Plattlummer</t>
        </is>
      </c>
      <c r="S622">
        <f>HYPERLINK("https://klasma.github.io/Logging_2513/artfynd/A 32277-2025 artfynd.xlsx", "A 32277-2025")</f>
        <v/>
      </c>
      <c r="T622">
        <f>HYPERLINK("https://klasma.github.io/Logging_2513/kartor/A 32277-2025 karta.png", "A 32277-2025")</f>
        <v/>
      </c>
      <c r="V622">
        <f>HYPERLINK("https://klasma.github.io/Logging_2513/klagomål/A 32277-2025 FSC-klagomål.docx", "A 32277-2025")</f>
        <v/>
      </c>
      <c r="W622">
        <f>HYPERLINK("https://klasma.github.io/Logging_2513/klagomålsmail/A 32277-2025 FSC-klagomål mail.docx", "A 32277-2025")</f>
        <v/>
      </c>
      <c r="X622">
        <f>HYPERLINK("https://klasma.github.io/Logging_2513/tillsyn/A 32277-2025 tillsynsbegäran.docx", "A 32277-2025")</f>
        <v/>
      </c>
      <c r="Y622">
        <f>HYPERLINK("https://klasma.github.io/Logging_2513/tillsynsmail/A 32277-2025 tillsynsbegäran mail.docx", "A 32277-2025")</f>
        <v/>
      </c>
    </row>
    <row r="623" ht="15" customHeight="1">
      <c r="A623" t="inlineStr">
        <is>
          <t>A 31900-2025</t>
        </is>
      </c>
      <c r="B623" s="1" t="n">
        <v>45834</v>
      </c>
      <c r="C623" s="1" t="n">
        <v>46046</v>
      </c>
      <c r="D623" t="inlineStr">
        <is>
          <t>NORRBOTTENS LÄN</t>
        </is>
      </c>
      <c r="E623" t="inlineStr">
        <is>
          <t>LULEÅ</t>
        </is>
      </c>
      <c r="G623" t="n">
        <v>1.9</v>
      </c>
      <c r="H623" t="n">
        <v>0</v>
      </c>
      <c r="I623" t="n">
        <v>1</v>
      </c>
      <c r="J623" t="n">
        <v>0</v>
      </c>
      <c r="K623" t="n">
        <v>0</v>
      </c>
      <c r="L623" t="n">
        <v>0</v>
      </c>
      <c r="M623" t="n">
        <v>0</v>
      </c>
      <c r="N623" t="n">
        <v>0</v>
      </c>
      <c r="O623" t="n">
        <v>0</v>
      </c>
      <c r="P623" t="n">
        <v>0</v>
      </c>
      <c r="Q623" t="n">
        <v>1</v>
      </c>
      <c r="R623" s="2" t="inlineStr">
        <is>
          <t>Strutbräken</t>
        </is>
      </c>
      <c r="S623">
        <f>HYPERLINK("https://klasma.github.io/Logging_2580/artfynd/A 31900-2025 artfynd.xlsx", "A 31900-2025")</f>
        <v/>
      </c>
      <c r="T623">
        <f>HYPERLINK("https://klasma.github.io/Logging_2580/kartor/A 31900-2025 karta.png", "A 31900-2025")</f>
        <v/>
      </c>
      <c r="V623">
        <f>HYPERLINK("https://klasma.github.io/Logging_2580/klagomål/A 31900-2025 FSC-klagomål.docx", "A 31900-2025")</f>
        <v/>
      </c>
      <c r="W623">
        <f>HYPERLINK("https://klasma.github.io/Logging_2580/klagomålsmail/A 31900-2025 FSC-klagomål mail.docx", "A 31900-2025")</f>
        <v/>
      </c>
      <c r="X623">
        <f>HYPERLINK("https://klasma.github.io/Logging_2580/tillsyn/A 31900-2025 tillsynsbegäran.docx", "A 31900-2025")</f>
        <v/>
      </c>
      <c r="Y623">
        <f>HYPERLINK("https://klasma.github.io/Logging_2580/tillsynsmail/A 31900-2025 tillsynsbegäran mail.docx", "A 31900-2025")</f>
        <v/>
      </c>
    </row>
    <row r="624" ht="15" customHeight="1">
      <c r="A624" t="inlineStr">
        <is>
          <t>A 53142-2024</t>
        </is>
      </c>
      <c r="B624" s="1" t="n">
        <v>45611</v>
      </c>
      <c r="C624" s="1" t="n">
        <v>46046</v>
      </c>
      <c r="D624" t="inlineStr">
        <is>
          <t>NORRBOTTENS LÄN</t>
        </is>
      </c>
      <c r="E624" t="inlineStr">
        <is>
          <t>BODEN</t>
        </is>
      </c>
      <c r="F624" t="inlineStr">
        <is>
          <t>Sveaskog</t>
        </is>
      </c>
      <c r="G624" t="n">
        <v>6.6</v>
      </c>
      <c r="H624" t="n">
        <v>1</v>
      </c>
      <c r="I624" t="n">
        <v>0</v>
      </c>
      <c r="J624" t="n">
        <v>0</v>
      </c>
      <c r="K624" t="n">
        <v>1</v>
      </c>
      <c r="L624" t="n">
        <v>0</v>
      </c>
      <c r="M624" t="n">
        <v>0</v>
      </c>
      <c r="N624" t="n">
        <v>0</v>
      </c>
      <c r="O624" t="n">
        <v>1</v>
      </c>
      <c r="P624" t="n">
        <v>1</v>
      </c>
      <c r="Q624" t="n">
        <v>1</v>
      </c>
      <c r="R624" s="2" t="inlineStr">
        <is>
          <t>Doftticka</t>
        </is>
      </c>
      <c r="S624">
        <f>HYPERLINK("https://klasma.github.io/Logging_2582/artfynd/A 53142-2024 artfynd.xlsx", "A 53142-2024")</f>
        <v/>
      </c>
      <c r="T624">
        <f>HYPERLINK("https://klasma.github.io/Logging_2582/kartor/A 53142-2024 karta.png", "A 53142-2024")</f>
        <v/>
      </c>
      <c r="V624">
        <f>HYPERLINK("https://klasma.github.io/Logging_2582/klagomål/A 53142-2024 FSC-klagomål.docx", "A 53142-2024")</f>
        <v/>
      </c>
      <c r="W624">
        <f>HYPERLINK("https://klasma.github.io/Logging_2582/klagomålsmail/A 53142-2024 FSC-klagomål mail.docx", "A 53142-2024")</f>
        <v/>
      </c>
      <c r="X624">
        <f>HYPERLINK("https://klasma.github.io/Logging_2582/tillsyn/A 53142-2024 tillsynsbegäran.docx", "A 53142-2024")</f>
        <v/>
      </c>
      <c r="Y624">
        <f>HYPERLINK("https://klasma.github.io/Logging_2582/tillsynsmail/A 53142-2024 tillsynsbegäran mail.docx", "A 53142-2024")</f>
        <v/>
      </c>
    </row>
    <row r="625" ht="15" customHeight="1">
      <c r="A625" t="inlineStr">
        <is>
          <t>A 32669-2025</t>
        </is>
      </c>
      <c r="B625" s="1" t="n">
        <v>45838.69793981482</v>
      </c>
      <c r="C625" s="1" t="n">
        <v>46046</v>
      </c>
      <c r="D625" t="inlineStr">
        <is>
          <t>NORRBOTTENS LÄN</t>
        </is>
      </c>
      <c r="E625" t="inlineStr">
        <is>
          <t>JOKKMOKK</t>
        </is>
      </c>
      <c r="F625" t="inlineStr">
        <is>
          <t>Sveaskog</t>
        </is>
      </c>
      <c r="G625" t="n">
        <v>14.6</v>
      </c>
      <c r="H625" t="n">
        <v>1</v>
      </c>
      <c r="I625" t="n">
        <v>1</v>
      </c>
      <c r="J625" t="n">
        <v>0</v>
      </c>
      <c r="K625" t="n">
        <v>0</v>
      </c>
      <c r="L625" t="n">
        <v>0</v>
      </c>
      <c r="M625" t="n">
        <v>0</v>
      </c>
      <c r="N625" t="n">
        <v>0</v>
      </c>
      <c r="O625" t="n">
        <v>0</v>
      </c>
      <c r="P625" t="n">
        <v>0</v>
      </c>
      <c r="Q625" t="n">
        <v>1</v>
      </c>
      <c r="R625" s="2" t="inlineStr">
        <is>
          <t>Plattlummer</t>
        </is>
      </c>
      <c r="S625">
        <f>HYPERLINK("https://klasma.github.io/Logging_2510/artfynd/A 32669-2025 artfynd.xlsx", "A 32669-2025")</f>
        <v/>
      </c>
      <c r="T625">
        <f>HYPERLINK("https://klasma.github.io/Logging_2510/kartor/A 32669-2025 karta.png", "A 32669-2025")</f>
        <v/>
      </c>
      <c r="V625">
        <f>HYPERLINK("https://klasma.github.io/Logging_2510/klagomål/A 32669-2025 FSC-klagomål.docx", "A 32669-2025")</f>
        <v/>
      </c>
      <c r="W625">
        <f>HYPERLINK("https://klasma.github.io/Logging_2510/klagomålsmail/A 32669-2025 FSC-klagomål mail.docx", "A 32669-2025")</f>
        <v/>
      </c>
      <c r="X625">
        <f>HYPERLINK("https://klasma.github.io/Logging_2510/tillsyn/A 32669-2025 tillsynsbegäran.docx", "A 32669-2025")</f>
        <v/>
      </c>
      <c r="Y625">
        <f>HYPERLINK("https://klasma.github.io/Logging_2510/tillsynsmail/A 32669-2025 tillsynsbegäran mail.docx", "A 32669-2025")</f>
        <v/>
      </c>
    </row>
    <row r="626" ht="15" customHeight="1">
      <c r="A626" t="inlineStr">
        <is>
          <t>A 32407-2025</t>
        </is>
      </c>
      <c r="B626" s="1" t="n">
        <v>45838</v>
      </c>
      <c r="C626" s="1" t="n">
        <v>46046</v>
      </c>
      <c r="D626" t="inlineStr">
        <is>
          <t>NORRBOTTENS LÄN</t>
        </is>
      </c>
      <c r="E626" t="inlineStr">
        <is>
          <t>ÖVERKALIX</t>
        </is>
      </c>
      <c r="F626" t="inlineStr">
        <is>
          <t>Sveaskog</t>
        </is>
      </c>
      <c r="G626" t="n">
        <v>10.6</v>
      </c>
      <c r="H626" t="n">
        <v>1</v>
      </c>
      <c r="I626" t="n">
        <v>0</v>
      </c>
      <c r="J626" t="n">
        <v>0</v>
      </c>
      <c r="K626" t="n">
        <v>1</v>
      </c>
      <c r="L626" t="n">
        <v>0</v>
      </c>
      <c r="M626" t="n">
        <v>0</v>
      </c>
      <c r="N626" t="n">
        <v>0</v>
      </c>
      <c r="O626" t="n">
        <v>1</v>
      </c>
      <c r="P626" t="n">
        <v>1</v>
      </c>
      <c r="Q626" t="n">
        <v>1</v>
      </c>
      <c r="R626" s="2" t="inlineStr">
        <is>
          <t>Knärot</t>
        </is>
      </c>
      <c r="S626">
        <f>HYPERLINK("https://klasma.github.io/Logging_2513/artfynd/A 32407-2025 artfynd.xlsx", "A 32407-2025")</f>
        <v/>
      </c>
      <c r="T626">
        <f>HYPERLINK("https://klasma.github.io/Logging_2513/kartor/A 32407-2025 karta.png", "A 32407-2025")</f>
        <v/>
      </c>
      <c r="U626">
        <f>HYPERLINK("https://klasma.github.io/Logging_2513/knärot/A 32407-2025 karta knärot.png", "A 32407-2025")</f>
        <v/>
      </c>
      <c r="V626">
        <f>HYPERLINK("https://klasma.github.io/Logging_2513/klagomål/A 32407-2025 FSC-klagomål.docx", "A 32407-2025")</f>
        <v/>
      </c>
      <c r="W626">
        <f>HYPERLINK("https://klasma.github.io/Logging_2513/klagomålsmail/A 32407-2025 FSC-klagomål mail.docx", "A 32407-2025")</f>
        <v/>
      </c>
      <c r="X626">
        <f>HYPERLINK("https://klasma.github.io/Logging_2513/tillsyn/A 32407-2025 tillsynsbegäran.docx", "A 32407-2025")</f>
        <v/>
      </c>
      <c r="Y626">
        <f>HYPERLINK("https://klasma.github.io/Logging_2513/tillsynsmail/A 32407-2025 tillsynsbegäran mail.docx", "A 32407-2025")</f>
        <v/>
      </c>
    </row>
    <row r="627" ht="15" customHeight="1">
      <c r="A627" t="inlineStr">
        <is>
          <t>A 20466-2025</t>
        </is>
      </c>
      <c r="B627" s="1" t="n">
        <v>45775</v>
      </c>
      <c r="C627" s="1" t="n">
        <v>46046</v>
      </c>
      <c r="D627" t="inlineStr">
        <is>
          <t>NORRBOTTENS LÄN</t>
        </is>
      </c>
      <c r="E627" t="inlineStr">
        <is>
          <t>ÄLVSBYN</t>
        </is>
      </c>
      <c r="G627" t="n">
        <v>1.6</v>
      </c>
      <c r="H627" t="n">
        <v>0</v>
      </c>
      <c r="I627" t="n">
        <v>0</v>
      </c>
      <c r="J627" t="n">
        <v>1</v>
      </c>
      <c r="K627" t="n">
        <v>0</v>
      </c>
      <c r="L627" t="n">
        <v>0</v>
      </c>
      <c r="M627" t="n">
        <v>0</v>
      </c>
      <c r="N627" t="n">
        <v>0</v>
      </c>
      <c r="O627" t="n">
        <v>1</v>
      </c>
      <c r="P627" t="n">
        <v>0</v>
      </c>
      <c r="Q627" t="n">
        <v>1</v>
      </c>
      <c r="R627" s="2" t="inlineStr">
        <is>
          <t>Kolflarnlav</t>
        </is>
      </c>
      <c r="S627">
        <f>HYPERLINK("https://klasma.github.io/Logging_2560/artfynd/A 20466-2025 artfynd.xlsx", "A 20466-2025")</f>
        <v/>
      </c>
      <c r="T627">
        <f>HYPERLINK("https://klasma.github.io/Logging_2560/kartor/A 20466-2025 karta.png", "A 20466-2025")</f>
        <v/>
      </c>
      <c r="V627">
        <f>HYPERLINK("https://klasma.github.io/Logging_2560/klagomål/A 20466-2025 FSC-klagomål.docx", "A 20466-2025")</f>
        <v/>
      </c>
      <c r="W627">
        <f>HYPERLINK("https://klasma.github.io/Logging_2560/klagomålsmail/A 20466-2025 FSC-klagomål mail.docx", "A 20466-2025")</f>
        <v/>
      </c>
      <c r="X627">
        <f>HYPERLINK("https://klasma.github.io/Logging_2560/tillsyn/A 20466-2025 tillsynsbegäran.docx", "A 20466-2025")</f>
        <v/>
      </c>
      <c r="Y627">
        <f>HYPERLINK("https://klasma.github.io/Logging_2560/tillsynsmail/A 20466-2025 tillsynsbegäran mail.docx", "A 20466-2025")</f>
        <v/>
      </c>
    </row>
    <row r="628" ht="15" customHeight="1">
      <c r="A628" t="inlineStr">
        <is>
          <t>A 51641-2022</t>
        </is>
      </c>
      <c r="B628" s="1" t="n">
        <v>44867</v>
      </c>
      <c r="C628" s="1" t="n">
        <v>46046</v>
      </c>
      <c r="D628" t="inlineStr">
        <is>
          <t>NORRBOTTENS LÄN</t>
        </is>
      </c>
      <c r="E628" t="inlineStr">
        <is>
          <t>LULEÅ</t>
        </is>
      </c>
      <c r="G628" t="n">
        <v>5.7</v>
      </c>
      <c r="H628" t="n">
        <v>0</v>
      </c>
      <c r="I628" t="n">
        <v>0</v>
      </c>
      <c r="J628" t="n">
        <v>1</v>
      </c>
      <c r="K628" t="n">
        <v>0</v>
      </c>
      <c r="L628" t="n">
        <v>0</v>
      </c>
      <c r="M628" t="n">
        <v>0</v>
      </c>
      <c r="N628" t="n">
        <v>0</v>
      </c>
      <c r="O628" t="n">
        <v>1</v>
      </c>
      <c r="P628" t="n">
        <v>0</v>
      </c>
      <c r="Q628" t="n">
        <v>1</v>
      </c>
      <c r="R628" s="2" t="inlineStr">
        <is>
          <t>Granticka</t>
        </is>
      </c>
      <c r="S628">
        <f>HYPERLINK("https://klasma.github.io/Logging_2580/artfynd/A 51641-2022 artfynd.xlsx", "A 51641-2022")</f>
        <v/>
      </c>
      <c r="T628">
        <f>HYPERLINK("https://klasma.github.io/Logging_2580/kartor/A 51641-2022 karta.png", "A 51641-2022")</f>
        <v/>
      </c>
      <c r="V628">
        <f>HYPERLINK("https://klasma.github.io/Logging_2580/klagomål/A 51641-2022 FSC-klagomål.docx", "A 51641-2022")</f>
        <v/>
      </c>
      <c r="W628">
        <f>HYPERLINK("https://klasma.github.io/Logging_2580/klagomålsmail/A 51641-2022 FSC-klagomål mail.docx", "A 51641-2022")</f>
        <v/>
      </c>
      <c r="X628">
        <f>HYPERLINK("https://klasma.github.io/Logging_2580/tillsyn/A 51641-2022 tillsynsbegäran.docx", "A 51641-2022")</f>
        <v/>
      </c>
      <c r="Y628">
        <f>HYPERLINK("https://klasma.github.io/Logging_2580/tillsynsmail/A 51641-2022 tillsynsbegäran mail.docx", "A 51641-2022")</f>
        <v/>
      </c>
    </row>
    <row r="629" ht="15" customHeight="1">
      <c r="A629" t="inlineStr">
        <is>
          <t>A 6275-2024</t>
        </is>
      </c>
      <c r="B629" s="1" t="n">
        <v>45337.95472222222</v>
      </c>
      <c r="C629" s="1" t="n">
        <v>46046</v>
      </c>
      <c r="D629" t="inlineStr">
        <is>
          <t>NORRBOTTENS LÄN</t>
        </is>
      </c>
      <c r="E629" t="inlineStr">
        <is>
          <t>ÄLVSBYN</t>
        </is>
      </c>
      <c r="F629" t="inlineStr">
        <is>
          <t>SCA</t>
        </is>
      </c>
      <c r="G629" t="n">
        <v>2.4</v>
      </c>
      <c r="H629" t="n">
        <v>0</v>
      </c>
      <c r="I629" t="n">
        <v>0</v>
      </c>
      <c r="J629" t="n">
        <v>1</v>
      </c>
      <c r="K629" t="n">
        <v>0</v>
      </c>
      <c r="L629" t="n">
        <v>0</v>
      </c>
      <c r="M629" t="n">
        <v>0</v>
      </c>
      <c r="N629" t="n">
        <v>0</v>
      </c>
      <c r="O629" t="n">
        <v>1</v>
      </c>
      <c r="P629" t="n">
        <v>0</v>
      </c>
      <c r="Q629" t="n">
        <v>1</v>
      </c>
      <c r="R629" s="2" t="inlineStr">
        <is>
          <t>Granticka</t>
        </is>
      </c>
      <c r="S629">
        <f>HYPERLINK("https://klasma.github.io/Logging_2560/artfynd/A 6275-2024 artfynd.xlsx", "A 6275-2024")</f>
        <v/>
      </c>
      <c r="T629">
        <f>HYPERLINK("https://klasma.github.io/Logging_2560/kartor/A 6275-2024 karta.png", "A 6275-2024")</f>
        <v/>
      </c>
      <c r="V629">
        <f>HYPERLINK("https://klasma.github.io/Logging_2560/klagomål/A 6275-2024 FSC-klagomål.docx", "A 6275-2024")</f>
        <v/>
      </c>
      <c r="W629">
        <f>HYPERLINK("https://klasma.github.io/Logging_2560/klagomålsmail/A 6275-2024 FSC-klagomål mail.docx", "A 6275-2024")</f>
        <v/>
      </c>
      <c r="X629">
        <f>HYPERLINK("https://klasma.github.io/Logging_2560/tillsyn/A 6275-2024 tillsynsbegäran.docx", "A 6275-2024")</f>
        <v/>
      </c>
      <c r="Y629">
        <f>HYPERLINK("https://klasma.github.io/Logging_2560/tillsynsmail/A 6275-2024 tillsynsbegäran mail.docx", "A 6275-2024")</f>
        <v/>
      </c>
    </row>
    <row r="630" ht="15" customHeight="1">
      <c r="A630" t="inlineStr">
        <is>
          <t>A 40466-2023</t>
        </is>
      </c>
      <c r="B630" s="1" t="n">
        <v>45170</v>
      </c>
      <c r="C630" s="1" t="n">
        <v>46046</v>
      </c>
      <c r="D630" t="inlineStr">
        <is>
          <t>NORRBOTTENS LÄN</t>
        </is>
      </c>
      <c r="E630" t="inlineStr">
        <is>
          <t>JOKKMOKK</t>
        </is>
      </c>
      <c r="F630" t="inlineStr">
        <is>
          <t>Sveaskog</t>
        </is>
      </c>
      <c r="G630" t="n">
        <v>1.5</v>
      </c>
      <c r="H630" t="n">
        <v>0</v>
      </c>
      <c r="I630" t="n">
        <v>0</v>
      </c>
      <c r="J630" t="n">
        <v>1</v>
      </c>
      <c r="K630" t="n">
        <v>0</v>
      </c>
      <c r="L630" t="n">
        <v>0</v>
      </c>
      <c r="M630" t="n">
        <v>0</v>
      </c>
      <c r="N630" t="n">
        <v>0</v>
      </c>
      <c r="O630" t="n">
        <v>1</v>
      </c>
      <c r="P630" t="n">
        <v>0</v>
      </c>
      <c r="Q630" t="n">
        <v>1</v>
      </c>
      <c r="R630" s="2" t="inlineStr">
        <is>
          <t>Motaggsvamp</t>
        </is>
      </c>
      <c r="S630">
        <f>HYPERLINK("https://klasma.github.io/Logging_2510/artfynd/A 40466-2023 artfynd.xlsx", "A 40466-2023")</f>
        <v/>
      </c>
      <c r="T630">
        <f>HYPERLINK("https://klasma.github.io/Logging_2510/kartor/A 40466-2023 karta.png", "A 40466-2023")</f>
        <v/>
      </c>
      <c r="V630">
        <f>HYPERLINK("https://klasma.github.io/Logging_2510/klagomål/A 40466-2023 FSC-klagomål.docx", "A 40466-2023")</f>
        <v/>
      </c>
      <c r="W630">
        <f>HYPERLINK("https://klasma.github.io/Logging_2510/klagomålsmail/A 40466-2023 FSC-klagomål mail.docx", "A 40466-2023")</f>
        <v/>
      </c>
      <c r="X630">
        <f>HYPERLINK("https://klasma.github.io/Logging_2510/tillsyn/A 40466-2023 tillsynsbegäran.docx", "A 40466-2023")</f>
        <v/>
      </c>
      <c r="Y630">
        <f>HYPERLINK("https://klasma.github.io/Logging_2510/tillsynsmail/A 40466-2023 tillsynsbegäran mail.docx", "A 40466-2023")</f>
        <v/>
      </c>
    </row>
    <row r="631" ht="15" customHeight="1">
      <c r="A631" t="inlineStr">
        <is>
          <t>A 33514-2025</t>
        </is>
      </c>
      <c r="B631" s="1" t="n">
        <v>45841.52672453703</v>
      </c>
      <c r="C631" s="1" t="n">
        <v>46046</v>
      </c>
      <c r="D631" t="inlineStr">
        <is>
          <t>NORRBOTTENS LÄN</t>
        </is>
      </c>
      <c r="E631" t="inlineStr">
        <is>
          <t>LULEÅ</t>
        </is>
      </c>
      <c r="G631" t="n">
        <v>10</v>
      </c>
      <c r="H631" t="n">
        <v>1</v>
      </c>
      <c r="I631" t="n">
        <v>0</v>
      </c>
      <c r="J631" t="n">
        <v>0</v>
      </c>
      <c r="K631" t="n">
        <v>0</v>
      </c>
      <c r="L631" t="n">
        <v>0</v>
      </c>
      <c r="M631" t="n">
        <v>0</v>
      </c>
      <c r="N631" t="n">
        <v>0</v>
      </c>
      <c r="O631" t="n">
        <v>0</v>
      </c>
      <c r="P631" t="n">
        <v>0</v>
      </c>
      <c r="Q631" t="n">
        <v>1</v>
      </c>
      <c r="R631" s="2" t="inlineStr">
        <is>
          <t>Huggorm</t>
        </is>
      </c>
      <c r="S631">
        <f>HYPERLINK("https://klasma.github.io/Logging_2580/artfynd/A 33514-2025 artfynd.xlsx", "A 33514-2025")</f>
        <v/>
      </c>
      <c r="T631">
        <f>HYPERLINK("https://klasma.github.io/Logging_2580/kartor/A 33514-2025 karta.png", "A 33514-2025")</f>
        <v/>
      </c>
      <c r="V631">
        <f>HYPERLINK("https://klasma.github.io/Logging_2580/klagomål/A 33514-2025 FSC-klagomål.docx", "A 33514-2025")</f>
        <v/>
      </c>
      <c r="W631">
        <f>HYPERLINK("https://klasma.github.io/Logging_2580/klagomålsmail/A 33514-2025 FSC-klagomål mail.docx", "A 33514-2025")</f>
        <v/>
      </c>
      <c r="X631">
        <f>HYPERLINK("https://klasma.github.io/Logging_2580/tillsyn/A 33514-2025 tillsynsbegäran.docx", "A 33514-2025")</f>
        <v/>
      </c>
      <c r="Y631">
        <f>HYPERLINK("https://klasma.github.io/Logging_2580/tillsynsmail/A 33514-2025 tillsynsbegäran mail.docx", "A 33514-2025")</f>
        <v/>
      </c>
    </row>
    <row r="632" ht="15" customHeight="1">
      <c r="A632" t="inlineStr">
        <is>
          <t>A 53801-2024</t>
        </is>
      </c>
      <c r="B632" s="1" t="n">
        <v>45615</v>
      </c>
      <c r="C632" s="1" t="n">
        <v>46046</v>
      </c>
      <c r="D632" t="inlineStr">
        <is>
          <t>NORRBOTTENS LÄN</t>
        </is>
      </c>
      <c r="E632" t="inlineStr">
        <is>
          <t>GÄLLIVARE</t>
        </is>
      </c>
      <c r="G632" t="n">
        <v>3.1</v>
      </c>
      <c r="H632" t="n">
        <v>1</v>
      </c>
      <c r="I632" t="n">
        <v>0</v>
      </c>
      <c r="J632" t="n">
        <v>0</v>
      </c>
      <c r="K632" t="n">
        <v>0</v>
      </c>
      <c r="L632" t="n">
        <v>0</v>
      </c>
      <c r="M632" t="n">
        <v>0</v>
      </c>
      <c r="N632" t="n">
        <v>0</v>
      </c>
      <c r="O632" t="n">
        <v>0</v>
      </c>
      <c r="P632" t="n">
        <v>0</v>
      </c>
      <c r="Q632" t="n">
        <v>1</v>
      </c>
      <c r="R632" s="2" t="inlineStr">
        <is>
          <t>Revlummer</t>
        </is>
      </c>
      <c r="S632">
        <f>HYPERLINK("https://klasma.github.io/Logging_2523/artfynd/A 53801-2024 artfynd.xlsx", "A 53801-2024")</f>
        <v/>
      </c>
      <c r="T632">
        <f>HYPERLINK("https://klasma.github.io/Logging_2523/kartor/A 53801-2024 karta.png", "A 53801-2024")</f>
        <v/>
      </c>
      <c r="V632">
        <f>HYPERLINK("https://klasma.github.io/Logging_2523/klagomål/A 53801-2024 FSC-klagomål.docx", "A 53801-2024")</f>
        <v/>
      </c>
      <c r="W632">
        <f>HYPERLINK("https://klasma.github.io/Logging_2523/klagomålsmail/A 53801-2024 FSC-klagomål mail.docx", "A 53801-2024")</f>
        <v/>
      </c>
      <c r="X632">
        <f>HYPERLINK("https://klasma.github.io/Logging_2523/tillsyn/A 53801-2024 tillsynsbegäran.docx", "A 53801-2024")</f>
        <v/>
      </c>
      <c r="Y632">
        <f>HYPERLINK("https://klasma.github.io/Logging_2523/tillsynsmail/A 53801-2024 tillsynsbegäran mail.docx", "A 53801-2024")</f>
        <v/>
      </c>
    </row>
    <row r="633" ht="15" customHeight="1">
      <c r="A633" t="inlineStr">
        <is>
          <t>A 33234-2025</t>
        </is>
      </c>
      <c r="B633" s="1" t="n">
        <v>45840.64365740741</v>
      </c>
      <c r="C633" s="1" t="n">
        <v>46046</v>
      </c>
      <c r="D633" t="inlineStr">
        <is>
          <t>NORRBOTTENS LÄN</t>
        </is>
      </c>
      <c r="E633" t="inlineStr">
        <is>
          <t>ÄLVSBYN</t>
        </is>
      </c>
      <c r="F633" t="inlineStr">
        <is>
          <t>Sveaskog</t>
        </is>
      </c>
      <c r="G633" t="n">
        <v>30.8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33234-2025 artfynd.xlsx", "A 33234-2025")</f>
        <v/>
      </c>
      <c r="T633">
        <f>HYPERLINK("https://klasma.github.io/Logging_2560/kartor/A 33234-2025 karta.png", "A 33234-2025")</f>
        <v/>
      </c>
      <c r="V633">
        <f>HYPERLINK("https://klasma.github.io/Logging_2560/klagomål/A 33234-2025 FSC-klagomål.docx", "A 33234-2025")</f>
        <v/>
      </c>
      <c r="W633">
        <f>HYPERLINK("https://klasma.github.io/Logging_2560/klagomålsmail/A 33234-2025 FSC-klagomål mail.docx", "A 33234-2025")</f>
        <v/>
      </c>
      <c r="X633">
        <f>HYPERLINK("https://klasma.github.io/Logging_2560/tillsyn/A 33234-2025 tillsynsbegäran.docx", "A 33234-2025")</f>
        <v/>
      </c>
      <c r="Y633">
        <f>HYPERLINK("https://klasma.github.io/Logging_2560/tillsynsmail/A 33234-2025 tillsynsbegäran mail.docx", "A 33234-2025")</f>
        <v/>
      </c>
      <c r="Z633">
        <f>HYPERLINK("https://klasma.github.io/Logging_2560/fåglar/A 33234-2025 prioriterade fågelarter.docx", "A 33234-2025")</f>
        <v/>
      </c>
    </row>
    <row r="634" ht="15" customHeight="1">
      <c r="A634" t="inlineStr">
        <is>
          <t>A 54539-2024</t>
        </is>
      </c>
      <c r="B634" s="1" t="n">
        <v>45617</v>
      </c>
      <c r="C634" s="1" t="n">
        <v>46046</v>
      </c>
      <c r="D634" t="inlineStr">
        <is>
          <t>NORRBOTTENS LÄN</t>
        </is>
      </c>
      <c r="E634" t="inlineStr">
        <is>
          <t>ARVIDSJAUR</t>
        </is>
      </c>
      <c r="F634" t="inlineStr">
        <is>
          <t>Sveaskog</t>
        </is>
      </c>
      <c r="G634" t="n">
        <v>22.1</v>
      </c>
      <c r="H634" t="n">
        <v>0</v>
      </c>
      <c r="I634" t="n">
        <v>0</v>
      </c>
      <c r="J634" t="n">
        <v>1</v>
      </c>
      <c r="K634" t="n">
        <v>0</v>
      </c>
      <c r="L634" t="n">
        <v>0</v>
      </c>
      <c r="M634" t="n">
        <v>0</v>
      </c>
      <c r="N634" t="n">
        <v>0</v>
      </c>
      <c r="O634" t="n">
        <v>1</v>
      </c>
      <c r="P634" t="n">
        <v>0</v>
      </c>
      <c r="Q634" t="n">
        <v>1</v>
      </c>
      <c r="R634" s="2" t="inlineStr">
        <is>
          <t>Vaddporing</t>
        </is>
      </c>
      <c r="S634">
        <f>HYPERLINK("https://klasma.github.io/Logging_2505/artfynd/A 54539-2024 artfynd.xlsx", "A 54539-2024")</f>
        <v/>
      </c>
      <c r="T634">
        <f>HYPERLINK("https://klasma.github.io/Logging_2505/kartor/A 54539-2024 karta.png", "A 54539-2024")</f>
        <v/>
      </c>
      <c r="V634">
        <f>HYPERLINK("https://klasma.github.io/Logging_2505/klagomål/A 54539-2024 FSC-klagomål.docx", "A 54539-2024")</f>
        <v/>
      </c>
      <c r="W634">
        <f>HYPERLINK("https://klasma.github.io/Logging_2505/klagomålsmail/A 54539-2024 FSC-klagomål mail.docx", "A 54539-2024")</f>
        <v/>
      </c>
      <c r="X634">
        <f>HYPERLINK("https://klasma.github.io/Logging_2505/tillsyn/A 54539-2024 tillsynsbegäran.docx", "A 54539-2024")</f>
        <v/>
      </c>
      <c r="Y634">
        <f>HYPERLINK("https://klasma.github.io/Logging_2505/tillsynsmail/A 54539-2024 tillsynsbegäran mail.docx", "A 54539-2024")</f>
        <v/>
      </c>
    </row>
    <row r="635" ht="15" customHeight="1">
      <c r="A635" t="inlineStr">
        <is>
          <t>A 57535-2021</t>
        </is>
      </c>
      <c r="B635" s="1" t="n">
        <v>44483</v>
      </c>
      <c r="C635" s="1" t="n">
        <v>46046</v>
      </c>
      <c r="D635" t="inlineStr">
        <is>
          <t>NORRBOTTENS LÄN</t>
        </is>
      </c>
      <c r="E635" t="inlineStr">
        <is>
          <t>GÄLLIVARE</t>
        </is>
      </c>
      <c r="G635" t="n">
        <v>20.6</v>
      </c>
      <c r="H635" t="n">
        <v>1</v>
      </c>
      <c r="I635" t="n">
        <v>0</v>
      </c>
      <c r="J635" t="n">
        <v>0</v>
      </c>
      <c r="K635" t="n">
        <v>0</v>
      </c>
      <c r="L635" t="n">
        <v>0</v>
      </c>
      <c r="M635" t="n">
        <v>0</v>
      </c>
      <c r="N635" t="n">
        <v>0</v>
      </c>
      <c r="O635" t="n">
        <v>0</v>
      </c>
      <c r="P635" t="n">
        <v>0</v>
      </c>
      <c r="Q635" t="n">
        <v>1</v>
      </c>
      <c r="R635" s="2" t="inlineStr">
        <is>
          <t>Revlummer</t>
        </is>
      </c>
      <c r="S635">
        <f>HYPERLINK("https://klasma.github.io/Logging_2523/artfynd/A 57535-2021 artfynd.xlsx", "A 57535-2021")</f>
        <v/>
      </c>
      <c r="T635">
        <f>HYPERLINK("https://klasma.github.io/Logging_2523/kartor/A 57535-2021 karta.png", "A 57535-2021")</f>
        <v/>
      </c>
      <c r="V635">
        <f>HYPERLINK("https://klasma.github.io/Logging_2523/klagomål/A 57535-2021 FSC-klagomål.docx", "A 57535-2021")</f>
        <v/>
      </c>
      <c r="W635">
        <f>HYPERLINK("https://klasma.github.io/Logging_2523/klagomålsmail/A 57535-2021 FSC-klagomål mail.docx", "A 57535-2021")</f>
        <v/>
      </c>
      <c r="X635">
        <f>HYPERLINK("https://klasma.github.io/Logging_2523/tillsyn/A 57535-2021 tillsynsbegäran.docx", "A 57535-2021")</f>
        <v/>
      </c>
      <c r="Y635">
        <f>HYPERLINK("https://klasma.github.io/Logging_2523/tillsynsmail/A 57535-2021 tillsynsbegäran mail.docx", "A 57535-2021")</f>
        <v/>
      </c>
    </row>
    <row r="636" ht="15" customHeight="1">
      <c r="A636" t="inlineStr">
        <is>
          <t>A 34135-2025</t>
        </is>
      </c>
      <c r="B636" s="1" t="n">
        <v>45845.5409375</v>
      </c>
      <c r="C636" s="1" t="n">
        <v>46046</v>
      </c>
      <c r="D636" t="inlineStr">
        <is>
          <t>NORRBOTTENS LÄN</t>
        </is>
      </c>
      <c r="E636" t="inlineStr">
        <is>
          <t>JOKKMOKK</t>
        </is>
      </c>
      <c r="G636" t="n">
        <v>4.8</v>
      </c>
      <c r="H636" t="n">
        <v>0</v>
      </c>
      <c r="I636" t="n">
        <v>0</v>
      </c>
      <c r="J636" t="n">
        <v>1</v>
      </c>
      <c r="K636" t="n">
        <v>0</v>
      </c>
      <c r="L636" t="n">
        <v>0</v>
      </c>
      <c r="M636" t="n">
        <v>0</v>
      </c>
      <c r="N636" t="n">
        <v>0</v>
      </c>
      <c r="O636" t="n">
        <v>1</v>
      </c>
      <c r="P636" t="n">
        <v>0</v>
      </c>
      <c r="Q636" t="n">
        <v>1</v>
      </c>
      <c r="R636" s="2" t="inlineStr">
        <is>
          <t>Svart taggsvamp</t>
        </is>
      </c>
      <c r="S636">
        <f>HYPERLINK("https://klasma.github.io/Logging_2510/artfynd/A 34135-2025 artfynd.xlsx", "A 34135-2025")</f>
        <v/>
      </c>
      <c r="T636">
        <f>HYPERLINK("https://klasma.github.io/Logging_2510/kartor/A 34135-2025 karta.png", "A 34135-2025")</f>
        <v/>
      </c>
      <c r="V636">
        <f>HYPERLINK("https://klasma.github.io/Logging_2510/klagomål/A 34135-2025 FSC-klagomål.docx", "A 34135-2025")</f>
        <v/>
      </c>
      <c r="W636">
        <f>HYPERLINK("https://klasma.github.io/Logging_2510/klagomålsmail/A 34135-2025 FSC-klagomål mail.docx", "A 34135-2025")</f>
        <v/>
      </c>
      <c r="X636">
        <f>HYPERLINK("https://klasma.github.io/Logging_2510/tillsyn/A 34135-2025 tillsynsbegäran.docx", "A 34135-2025")</f>
        <v/>
      </c>
      <c r="Y636">
        <f>HYPERLINK("https://klasma.github.io/Logging_2510/tillsynsmail/A 34135-2025 tillsynsbegäran mail.docx", "A 34135-2025")</f>
        <v/>
      </c>
    </row>
    <row r="637" ht="15" customHeight="1">
      <c r="A637" t="inlineStr">
        <is>
          <t>A 48368-2024</t>
        </is>
      </c>
      <c r="B637" s="1" t="n">
        <v>45590.57829861111</v>
      </c>
      <c r="C637" s="1" t="n">
        <v>46046</v>
      </c>
      <c r="D637" t="inlineStr">
        <is>
          <t>NORRBOTTENS LÄN</t>
        </is>
      </c>
      <c r="E637" t="inlineStr">
        <is>
          <t>ARVIDSJAUR</t>
        </is>
      </c>
      <c r="F637" t="inlineStr">
        <is>
          <t>Sveaskog</t>
        </is>
      </c>
      <c r="G637" t="n">
        <v>7.2</v>
      </c>
      <c r="H637" t="n">
        <v>0</v>
      </c>
      <c r="I637" t="n">
        <v>0</v>
      </c>
      <c r="J637" t="n">
        <v>1</v>
      </c>
      <c r="K637" t="n">
        <v>0</v>
      </c>
      <c r="L637" t="n">
        <v>0</v>
      </c>
      <c r="M637" t="n">
        <v>0</v>
      </c>
      <c r="N637" t="n">
        <v>0</v>
      </c>
      <c r="O637" t="n">
        <v>1</v>
      </c>
      <c r="P637" t="n">
        <v>0</v>
      </c>
      <c r="Q637" t="n">
        <v>1</v>
      </c>
      <c r="R637" s="2" t="inlineStr">
        <is>
          <t>Orange taggsvamp</t>
        </is>
      </c>
      <c r="S637">
        <f>HYPERLINK("https://klasma.github.io/Logging_2505/artfynd/A 48368-2024 artfynd.xlsx", "A 48368-2024")</f>
        <v/>
      </c>
      <c r="T637">
        <f>HYPERLINK("https://klasma.github.io/Logging_2505/kartor/A 48368-2024 karta.png", "A 48368-2024")</f>
        <v/>
      </c>
      <c r="V637">
        <f>HYPERLINK("https://klasma.github.io/Logging_2505/klagomål/A 48368-2024 FSC-klagomål.docx", "A 48368-2024")</f>
        <v/>
      </c>
      <c r="W637">
        <f>HYPERLINK("https://klasma.github.io/Logging_2505/klagomålsmail/A 48368-2024 FSC-klagomål mail.docx", "A 48368-2024")</f>
        <v/>
      </c>
      <c r="X637">
        <f>HYPERLINK("https://klasma.github.io/Logging_2505/tillsyn/A 48368-2024 tillsynsbegäran.docx", "A 48368-2024")</f>
        <v/>
      </c>
      <c r="Y637">
        <f>HYPERLINK("https://klasma.github.io/Logging_2505/tillsynsmail/A 48368-2024 tillsynsbegäran mail.docx", "A 48368-2024")</f>
        <v/>
      </c>
    </row>
    <row r="638" ht="15" customHeight="1">
      <c r="A638" t="inlineStr">
        <is>
          <t>A 52268-2023</t>
        </is>
      </c>
      <c r="B638" s="1" t="n">
        <v>45224.54791666667</v>
      </c>
      <c r="C638" s="1" t="n">
        <v>46046</v>
      </c>
      <c r="D638" t="inlineStr">
        <is>
          <t>NORRBOTTENS LÄN</t>
        </is>
      </c>
      <c r="E638" t="inlineStr">
        <is>
          <t>PITEÅ</t>
        </is>
      </c>
      <c r="G638" t="n">
        <v>4</v>
      </c>
      <c r="H638" t="n">
        <v>1</v>
      </c>
      <c r="I638" t="n">
        <v>0</v>
      </c>
      <c r="J638" t="n">
        <v>0</v>
      </c>
      <c r="K638" t="n">
        <v>0</v>
      </c>
      <c r="L638" t="n">
        <v>0</v>
      </c>
      <c r="M638" t="n">
        <v>0</v>
      </c>
      <c r="N638" t="n">
        <v>0</v>
      </c>
      <c r="O638" t="n">
        <v>0</v>
      </c>
      <c r="P638" t="n">
        <v>0</v>
      </c>
      <c r="Q638" t="n">
        <v>1</v>
      </c>
      <c r="R638" s="2" t="inlineStr">
        <is>
          <t>Revlummer</t>
        </is>
      </c>
      <c r="S638">
        <f>HYPERLINK("https://klasma.github.io/Logging_2581/artfynd/A 52268-2023 artfynd.xlsx", "A 52268-2023")</f>
        <v/>
      </c>
      <c r="T638">
        <f>HYPERLINK("https://klasma.github.io/Logging_2581/kartor/A 52268-2023 karta.png", "A 52268-2023")</f>
        <v/>
      </c>
      <c r="V638">
        <f>HYPERLINK("https://klasma.github.io/Logging_2581/klagomål/A 52268-2023 FSC-klagomål.docx", "A 52268-2023")</f>
        <v/>
      </c>
      <c r="W638">
        <f>HYPERLINK("https://klasma.github.io/Logging_2581/klagomålsmail/A 52268-2023 FSC-klagomål mail.docx", "A 52268-2023")</f>
        <v/>
      </c>
      <c r="X638">
        <f>HYPERLINK("https://klasma.github.io/Logging_2581/tillsyn/A 52268-2023 tillsynsbegäran.docx", "A 52268-2023")</f>
        <v/>
      </c>
      <c r="Y638">
        <f>HYPERLINK("https://klasma.github.io/Logging_2581/tillsynsmail/A 52268-2023 tillsynsbegäran mail.docx", "A 52268-2023")</f>
        <v/>
      </c>
    </row>
    <row r="639" ht="15" customHeight="1">
      <c r="A639" t="inlineStr">
        <is>
          <t>A 34325-2025</t>
        </is>
      </c>
      <c r="B639" s="1" t="n">
        <v>45846.4328587963</v>
      </c>
      <c r="C639" s="1" t="n">
        <v>46046</v>
      </c>
      <c r="D639" t="inlineStr">
        <is>
          <t>NORRBOTTENS LÄN</t>
        </is>
      </c>
      <c r="E639" t="inlineStr">
        <is>
          <t>ÖVERTORNEÅ</t>
        </is>
      </c>
      <c r="F639" t="inlineStr">
        <is>
          <t>Sveaskog</t>
        </is>
      </c>
      <c r="G639" t="n">
        <v>3.8</v>
      </c>
      <c r="H639" t="n">
        <v>1</v>
      </c>
      <c r="I639" t="n">
        <v>0</v>
      </c>
      <c r="J639" t="n">
        <v>0</v>
      </c>
      <c r="K639" t="n">
        <v>0</v>
      </c>
      <c r="L639" t="n">
        <v>0</v>
      </c>
      <c r="M639" t="n">
        <v>0</v>
      </c>
      <c r="N639" t="n">
        <v>0</v>
      </c>
      <c r="O639" t="n">
        <v>0</v>
      </c>
      <c r="P639" t="n">
        <v>0</v>
      </c>
      <c r="Q639" t="n">
        <v>1</v>
      </c>
      <c r="R639" s="2" t="inlineStr">
        <is>
          <t>Fläcknycklar</t>
        </is>
      </c>
      <c r="S639">
        <f>HYPERLINK("https://klasma.github.io/Logging_2518/artfynd/A 34325-2025 artfynd.xlsx", "A 34325-2025")</f>
        <v/>
      </c>
      <c r="T639">
        <f>HYPERLINK("https://klasma.github.io/Logging_2518/kartor/A 34325-2025 karta.png", "A 34325-2025")</f>
        <v/>
      </c>
      <c r="V639">
        <f>HYPERLINK("https://klasma.github.io/Logging_2518/klagomål/A 34325-2025 FSC-klagomål.docx", "A 34325-2025")</f>
        <v/>
      </c>
      <c r="W639">
        <f>HYPERLINK("https://klasma.github.io/Logging_2518/klagomålsmail/A 34325-2025 FSC-klagomål mail.docx", "A 34325-2025")</f>
        <v/>
      </c>
      <c r="X639">
        <f>HYPERLINK("https://klasma.github.io/Logging_2518/tillsyn/A 34325-2025 tillsynsbegäran.docx", "A 34325-2025")</f>
        <v/>
      </c>
      <c r="Y639">
        <f>HYPERLINK("https://klasma.github.io/Logging_2518/tillsynsmail/A 34325-2025 tillsynsbegäran mail.docx", "A 34325-2025")</f>
        <v/>
      </c>
    </row>
    <row r="640" ht="15" customHeight="1">
      <c r="A640" t="inlineStr">
        <is>
          <t>A 34329-2025</t>
        </is>
      </c>
      <c r="B640" s="1" t="n">
        <v>45846.44512731482</v>
      </c>
      <c r="C640" s="1" t="n">
        <v>46046</v>
      </c>
      <c r="D640" t="inlineStr">
        <is>
          <t>NORRBOTTENS LÄN</t>
        </is>
      </c>
      <c r="E640" t="inlineStr">
        <is>
          <t>PITEÅ</t>
        </is>
      </c>
      <c r="F640" t="inlineStr">
        <is>
          <t>Övriga statliga verk och myndigheter</t>
        </is>
      </c>
      <c r="G640" t="n">
        <v>2.4</v>
      </c>
      <c r="H640" t="n">
        <v>1</v>
      </c>
      <c r="I640" t="n">
        <v>0</v>
      </c>
      <c r="J640" t="n">
        <v>1</v>
      </c>
      <c r="K640" t="n">
        <v>0</v>
      </c>
      <c r="L640" t="n">
        <v>0</v>
      </c>
      <c r="M640" t="n">
        <v>0</v>
      </c>
      <c r="N640" t="n">
        <v>0</v>
      </c>
      <c r="O640" t="n">
        <v>1</v>
      </c>
      <c r="P640" t="n">
        <v>0</v>
      </c>
      <c r="Q640" t="n">
        <v>1</v>
      </c>
      <c r="R640" s="2" t="inlineStr">
        <is>
          <t>Spillkråka</t>
        </is>
      </c>
      <c r="S640">
        <f>HYPERLINK("https://klasma.github.io/Logging_2581/artfynd/A 34329-2025 artfynd.xlsx", "A 34329-2025")</f>
        <v/>
      </c>
      <c r="T640">
        <f>HYPERLINK("https://klasma.github.io/Logging_2581/kartor/A 34329-2025 karta.png", "A 34329-2025")</f>
        <v/>
      </c>
      <c r="V640">
        <f>HYPERLINK("https://klasma.github.io/Logging_2581/klagomål/A 34329-2025 FSC-klagomål.docx", "A 34329-2025")</f>
        <v/>
      </c>
      <c r="W640">
        <f>HYPERLINK("https://klasma.github.io/Logging_2581/klagomålsmail/A 34329-2025 FSC-klagomål mail.docx", "A 34329-2025")</f>
        <v/>
      </c>
      <c r="X640">
        <f>HYPERLINK("https://klasma.github.io/Logging_2581/tillsyn/A 34329-2025 tillsynsbegäran.docx", "A 34329-2025")</f>
        <v/>
      </c>
      <c r="Y640">
        <f>HYPERLINK("https://klasma.github.io/Logging_2581/tillsynsmail/A 34329-2025 tillsynsbegäran mail.docx", "A 34329-2025")</f>
        <v/>
      </c>
      <c r="Z640">
        <f>HYPERLINK("https://klasma.github.io/Logging_2581/fåglar/A 34329-2025 prioriterade fågelarter.docx", "A 34329-2025")</f>
        <v/>
      </c>
    </row>
    <row r="641" ht="15" customHeight="1">
      <c r="A641" t="inlineStr">
        <is>
          <t>A 50607-2024</t>
        </is>
      </c>
      <c r="B641" s="1" t="n">
        <v>45601</v>
      </c>
      <c r="C641" s="1" t="n">
        <v>46046</v>
      </c>
      <c r="D641" t="inlineStr">
        <is>
          <t>NORRBOTTENS LÄN</t>
        </is>
      </c>
      <c r="E641" t="inlineStr">
        <is>
          <t>ARVIDSJAUR</t>
        </is>
      </c>
      <c r="G641" t="n">
        <v>10</v>
      </c>
      <c r="H641" t="n">
        <v>1</v>
      </c>
      <c r="I641" t="n">
        <v>0</v>
      </c>
      <c r="J641" t="n">
        <v>0</v>
      </c>
      <c r="K641" t="n">
        <v>0</v>
      </c>
      <c r="L641" t="n">
        <v>0</v>
      </c>
      <c r="M641" t="n">
        <v>0</v>
      </c>
      <c r="N641" t="n">
        <v>0</v>
      </c>
      <c r="O641" t="n">
        <v>0</v>
      </c>
      <c r="P641" t="n">
        <v>0</v>
      </c>
      <c r="Q641" t="n">
        <v>1</v>
      </c>
      <c r="R641" s="2" t="inlineStr">
        <is>
          <t>Kungsfågel</t>
        </is>
      </c>
      <c r="S641">
        <f>HYPERLINK("https://klasma.github.io/Logging_2505/artfynd/A 50607-2024 artfynd.xlsx", "A 50607-2024")</f>
        <v/>
      </c>
      <c r="T641">
        <f>HYPERLINK("https://klasma.github.io/Logging_2505/kartor/A 50607-2024 karta.png", "A 50607-2024")</f>
        <v/>
      </c>
      <c r="V641">
        <f>HYPERLINK("https://klasma.github.io/Logging_2505/klagomål/A 50607-2024 FSC-klagomål.docx", "A 50607-2024")</f>
        <v/>
      </c>
      <c r="W641">
        <f>HYPERLINK("https://klasma.github.io/Logging_2505/klagomålsmail/A 50607-2024 FSC-klagomål mail.docx", "A 50607-2024")</f>
        <v/>
      </c>
      <c r="X641">
        <f>HYPERLINK("https://klasma.github.io/Logging_2505/tillsyn/A 50607-2024 tillsynsbegäran.docx", "A 50607-2024")</f>
        <v/>
      </c>
      <c r="Y641">
        <f>HYPERLINK("https://klasma.github.io/Logging_2505/tillsynsmail/A 50607-2024 tillsynsbegäran mail.docx", "A 50607-2024")</f>
        <v/>
      </c>
      <c r="Z641">
        <f>HYPERLINK("https://klasma.github.io/Logging_2505/fåglar/A 50607-2024 prioriterade fågelarter.docx", "A 50607-2024")</f>
        <v/>
      </c>
    </row>
    <row r="642" ht="15" customHeight="1">
      <c r="A642" t="inlineStr">
        <is>
          <t>A 34921-2025</t>
        </is>
      </c>
      <c r="B642" s="1" t="n">
        <v>45849.55521990741</v>
      </c>
      <c r="C642" s="1" t="n">
        <v>46046</v>
      </c>
      <c r="D642" t="inlineStr">
        <is>
          <t>NORRBOTTENS LÄN</t>
        </is>
      </c>
      <c r="E642" t="inlineStr">
        <is>
          <t>ÖVERKALIX</t>
        </is>
      </c>
      <c r="F642" t="inlineStr">
        <is>
          <t>Sveaskog</t>
        </is>
      </c>
      <c r="G642" t="n">
        <v>16.4</v>
      </c>
      <c r="H642" t="n">
        <v>0</v>
      </c>
      <c r="I642" t="n">
        <v>0</v>
      </c>
      <c r="J642" t="n">
        <v>1</v>
      </c>
      <c r="K642" t="n">
        <v>0</v>
      </c>
      <c r="L642" t="n">
        <v>0</v>
      </c>
      <c r="M642" t="n">
        <v>0</v>
      </c>
      <c r="N642" t="n">
        <v>0</v>
      </c>
      <c r="O642" t="n">
        <v>1</v>
      </c>
      <c r="P642" t="n">
        <v>0</v>
      </c>
      <c r="Q642" t="n">
        <v>1</v>
      </c>
      <c r="R642" s="2" t="inlineStr">
        <is>
          <t>Lunglav</t>
        </is>
      </c>
      <c r="S642">
        <f>HYPERLINK("https://klasma.github.io/Logging_2513/artfynd/A 34921-2025 artfynd.xlsx", "A 34921-2025")</f>
        <v/>
      </c>
      <c r="T642">
        <f>HYPERLINK("https://klasma.github.io/Logging_2513/kartor/A 34921-2025 karta.png", "A 34921-2025")</f>
        <v/>
      </c>
      <c r="V642">
        <f>HYPERLINK("https://klasma.github.io/Logging_2513/klagomål/A 34921-2025 FSC-klagomål.docx", "A 34921-2025")</f>
        <v/>
      </c>
      <c r="W642">
        <f>HYPERLINK("https://klasma.github.io/Logging_2513/klagomålsmail/A 34921-2025 FSC-klagomål mail.docx", "A 34921-2025")</f>
        <v/>
      </c>
      <c r="X642">
        <f>HYPERLINK("https://klasma.github.io/Logging_2513/tillsyn/A 34921-2025 tillsynsbegäran.docx", "A 34921-2025")</f>
        <v/>
      </c>
      <c r="Y642">
        <f>HYPERLINK("https://klasma.github.io/Logging_2513/tillsynsmail/A 34921-2025 tillsynsbegäran mail.docx", "A 34921-2025")</f>
        <v/>
      </c>
    </row>
    <row r="643" ht="15" customHeight="1">
      <c r="A643" t="inlineStr">
        <is>
          <t>A 34696-2025</t>
        </is>
      </c>
      <c r="B643" s="1" t="n">
        <v>45848.4612037037</v>
      </c>
      <c r="C643" s="1" t="n">
        <v>46046</v>
      </c>
      <c r="D643" t="inlineStr">
        <is>
          <t>NORRBOTTENS LÄN</t>
        </is>
      </c>
      <c r="E643" t="inlineStr">
        <is>
          <t>BODEN</t>
        </is>
      </c>
      <c r="F643" t="inlineStr">
        <is>
          <t>Sveaskog</t>
        </is>
      </c>
      <c r="G643" t="n">
        <v>10.5</v>
      </c>
      <c r="H643" t="n">
        <v>1</v>
      </c>
      <c r="I643" t="n">
        <v>0</v>
      </c>
      <c r="J643" t="n">
        <v>0</v>
      </c>
      <c r="K643" t="n">
        <v>1</v>
      </c>
      <c r="L643" t="n">
        <v>0</v>
      </c>
      <c r="M643" t="n">
        <v>0</v>
      </c>
      <c r="N643" t="n">
        <v>0</v>
      </c>
      <c r="O643" t="n">
        <v>1</v>
      </c>
      <c r="P643" t="n">
        <v>1</v>
      </c>
      <c r="Q643" t="n">
        <v>1</v>
      </c>
      <c r="R643" s="2" t="inlineStr">
        <is>
          <t>Knärot</t>
        </is>
      </c>
      <c r="S643">
        <f>HYPERLINK("https://klasma.github.io/Logging_2582/artfynd/A 34696-2025 artfynd.xlsx", "A 34696-2025")</f>
        <v/>
      </c>
      <c r="T643">
        <f>HYPERLINK("https://klasma.github.io/Logging_2582/kartor/A 34696-2025 karta.png", "A 34696-2025")</f>
        <v/>
      </c>
      <c r="U643">
        <f>HYPERLINK("https://klasma.github.io/Logging_2582/knärot/A 34696-2025 karta knärot.png", "A 34696-2025")</f>
        <v/>
      </c>
      <c r="V643">
        <f>HYPERLINK("https://klasma.github.io/Logging_2582/klagomål/A 34696-2025 FSC-klagomål.docx", "A 34696-2025")</f>
        <v/>
      </c>
      <c r="W643">
        <f>HYPERLINK("https://klasma.github.io/Logging_2582/klagomålsmail/A 34696-2025 FSC-klagomål mail.docx", "A 34696-2025")</f>
        <v/>
      </c>
      <c r="X643">
        <f>HYPERLINK("https://klasma.github.io/Logging_2582/tillsyn/A 34696-2025 tillsynsbegäran.docx", "A 34696-2025")</f>
        <v/>
      </c>
      <c r="Y643">
        <f>HYPERLINK("https://klasma.github.io/Logging_2582/tillsynsmail/A 34696-2025 tillsynsbegäran mail.docx", "A 34696-2025")</f>
        <v/>
      </c>
    </row>
    <row r="644" ht="15" customHeight="1">
      <c r="A644" t="inlineStr">
        <is>
          <t>A 20562-2025</t>
        </is>
      </c>
      <c r="B644" s="1" t="n">
        <v>45775.65873842593</v>
      </c>
      <c r="C644" s="1" t="n">
        <v>46046</v>
      </c>
      <c r="D644" t="inlineStr">
        <is>
          <t>NORRBOTTENS LÄN</t>
        </is>
      </c>
      <c r="E644" t="inlineStr">
        <is>
          <t>PITEÅ</t>
        </is>
      </c>
      <c r="F644" t="inlineStr">
        <is>
          <t>Sveaskog</t>
        </is>
      </c>
      <c r="G644" t="n">
        <v>3.2</v>
      </c>
      <c r="H644" t="n">
        <v>0</v>
      </c>
      <c r="I644" t="n">
        <v>0</v>
      </c>
      <c r="J644" t="n">
        <v>1</v>
      </c>
      <c r="K644" t="n">
        <v>0</v>
      </c>
      <c r="L644" t="n">
        <v>0</v>
      </c>
      <c r="M644" t="n">
        <v>0</v>
      </c>
      <c r="N644" t="n">
        <v>0</v>
      </c>
      <c r="O644" t="n">
        <v>1</v>
      </c>
      <c r="P644" t="n">
        <v>0</v>
      </c>
      <c r="Q644" t="n">
        <v>1</v>
      </c>
      <c r="R644" s="2" t="inlineStr">
        <is>
          <t>Violmussling</t>
        </is>
      </c>
      <c r="S644">
        <f>HYPERLINK("https://klasma.github.io/Logging_2581/artfynd/A 20562-2025 artfynd.xlsx", "A 20562-2025")</f>
        <v/>
      </c>
      <c r="T644">
        <f>HYPERLINK("https://klasma.github.io/Logging_2581/kartor/A 20562-2025 karta.png", "A 20562-2025")</f>
        <v/>
      </c>
      <c r="V644">
        <f>HYPERLINK("https://klasma.github.io/Logging_2581/klagomål/A 20562-2025 FSC-klagomål.docx", "A 20562-2025")</f>
        <v/>
      </c>
      <c r="W644">
        <f>HYPERLINK("https://klasma.github.io/Logging_2581/klagomålsmail/A 20562-2025 FSC-klagomål mail.docx", "A 20562-2025")</f>
        <v/>
      </c>
      <c r="X644">
        <f>HYPERLINK("https://klasma.github.io/Logging_2581/tillsyn/A 20562-2025 tillsynsbegäran.docx", "A 20562-2025")</f>
        <v/>
      </c>
      <c r="Y644">
        <f>HYPERLINK("https://klasma.github.io/Logging_2581/tillsynsmail/A 20562-2025 tillsynsbegäran mail.docx", "A 20562-2025")</f>
        <v/>
      </c>
    </row>
    <row r="645" ht="15" customHeight="1">
      <c r="A645" t="inlineStr">
        <is>
          <t>A 48418-2023</t>
        </is>
      </c>
      <c r="B645" s="1" t="n">
        <v>45205</v>
      </c>
      <c r="C645" s="1" t="n">
        <v>46046</v>
      </c>
      <c r="D645" t="inlineStr">
        <is>
          <t>NORRBOTTENS LÄN</t>
        </is>
      </c>
      <c r="E645" t="inlineStr">
        <is>
          <t>BODEN</t>
        </is>
      </c>
      <c r="F645" t="inlineStr">
        <is>
          <t>SCA</t>
        </is>
      </c>
      <c r="G645" t="n">
        <v>3.6</v>
      </c>
      <c r="H645" t="n">
        <v>1</v>
      </c>
      <c r="I645" t="n">
        <v>0</v>
      </c>
      <c r="J645" t="n">
        <v>1</v>
      </c>
      <c r="K645" t="n">
        <v>0</v>
      </c>
      <c r="L645" t="n">
        <v>0</v>
      </c>
      <c r="M645" t="n">
        <v>0</v>
      </c>
      <c r="N645" t="n">
        <v>0</v>
      </c>
      <c r="O645" t="n">
        <v>1</v>
      </c>
      <c r="P645" t="n">
        <v>0</v>
      </c>
      <c r="Q645" t="n">
        <v>1</v>
      </c>
      <c r="R645" s="2" t="inlineStr">
        <is>
          <t>Duvhök</t>
        </is>
      </c>
      <c r="S645">
        <f>HYPERLINK("https://klasma.github.io/Logging_2582/artfynd/A 48418-2023 artfynd.xlsx", "A 48418-2023")</f>
        <v/>
      </c>
      <c r="T645">
        <f>HYPERLINK("https://klasma.github.io/Logging_2582/kartor/A 48418-2023 karta.png", "A 48418-2023")</f>
        <v/>
      </c>
      <c r="V645">
        <f>HYPERLINK("https://klasma.github.io/Logging_2582/klagomål/A 48418-2023 FSC-klagomål.docx", "A 48418-2023")</f>
        <v/>
      </c>
      <c r="W645">
        <f>HYPERLINK("https://klasma.github.io/Logging_2582/klagomålsmail/A 48418-2023 FSC-klagomål mail.docx", "A 48418-2023")</f>
        <v/>
      </c>
      <c r="X645">
        <f>HYPERLINK("https://klasma.github.io/Logging_2582/tillsyn/A 48418-2023 tillsynsbegäran.docx", "A 48418-2023")</f>
        <v/>
      </c>
      <c r="Y645">
        <f>HYPERLINK("https://klasma.github.io/Logging_2582/tillsynsmail/A 48418-2023 tillsynsbegäran mail.docx", "A 48418-2023")</f>
        <v/>
      </c>
      <c r="Z645">
        <f>HYPERLINK("https://klasma.github.io/Logging_2582/fåglar/A 48418-2023 prioriterade fågelarter.docx", "A 48418-2023")</f>
        <v/>
      </c>
    </row>
    <row r="646" ht="15" customHeight="1">
      <c r="A646" t="inlineStr">
        <is>
          <t>A 34544-2025</t>
        </is>
      </c>
      <c r="B646" s="1" t="n">
        <v>45847</v>
      </c>
      <c r="C646" s="1" t="n">
        <v>46046</v>
      </c>
      <c r="D646" t="inlineStr">
        <is>
          <t>NORRBOTTENS LÄN</t>
        </is>
      </c>
      <c r="E646" t="inlineStr">
        <is>
          <t>ÄLVSBYN</t>
        </is>
      </c>
      <c r="F646" t="inlineStr">
        <is>
          <t>Sveaskog</t>
        </is>
      </c>
      <c r="G646" t="n">
        <v>1.2</v>
      </c>
      <c r="H646" t="n">
        <v>0</v>
      </c>
      <c r="I646" t="n">
        <v>1</v>
      </c>
      <c r="J646" t="n">
        <v>0</v>
      </c>
      <c r="K646" t="n">
        <v>0</v>
      </c>
      <c r="L646" t="n">
        <v>0</v>
      </c>
      <c r="M646" t="n">
        <v>0</v>
      </c>
      <c r="N646" t="n">
        <v>0</v>
      </c>
      <c r="O646" t="n">
        <v>0</v>
      </c>
      <c r="P646" t="n">
        <v>0</v>
      </c>
      <c r="Q646" t="n">
        <v>1</v>
      </c>
      <c r="R646" s="2" t="inlineStr">
        <is>
          <t>Dropptaggsvamp</t>
        </is>
      </c>
      <c r="S646">
        <f>HYPERLINK("https://klasma.github.io/Logging_2560/artfynd/A 34544-2025 artfynd.xlsx", "A 34544-2025")</f>
        <v/>
      </c>
      <c r="T646">
        <f>HYPERLINK("https://klasma.github.io/Logging_2560/kartor/A 34544-2025 karta.png", "A 34544-2025")</f>
        <v/>
      </c>
      <c r="V646">
        <f>HYPERLINK("https://klasma.github.io/Logging_2560/klagomål/A 34544-2025 FSC-klagomål.docx", "A 34544-2025")</f>
        <v/>
      </c>
      <c r="W646">
        <f>HYPERLINK("https://klasma.github.io/Logging_2560/klagomålsmail/A 34544-2025 FSC-klagomål mail.docx", "A 34544-2025")</f>
        <v/>
      </c>
      <c r="X646">
        <f>HYPERLINK("https://klasma.github.io/Logging_2560/tillsyn/A 34544-2025 tillsynsbegäran.docx", "A 34544-2025")</f>
        <v/>
      </c>
      <c r="Y646">
        <f>HYPERLINK("https://klasma.github.io/Logging_2560/tillsynsmail/A 34544-2025 tillsynsbegäran mail.docx", "A 34544-2025")</f>
        <v/>
      </c>
    </row>
    <row r="647" ht="15" customHeight="1">
      <c r="A647" t="inlineStr">
        <is>
          <t>A 34848-2025</t>
        </is>
      </c>
      <c r="B647" s="1" t="n">
        <v>45849.4200462963</v>
      </c>
      <c r="C647" s="1" t="n">
        <v>46046</v>
      </c>
      <c r="D647" t="inlineStr">
        <is>
          <t>NORRBOTTENS LÄN</t>
        </is>
      </c>
      <c r="E647" t="inlineStr">
        <is>
          <t>GÄLLIVARE</t>
        </is>
      </c>
      <c r="F647" t="inlineStr">
        <is>
          <t>Sveaskog</t>
        </is>
      </c>
      <c r="G647" t="n">
        <v>7.5</v>
      </c>
      <c r="H647" t="n">
        <v>0</v>
      </c>
      <c r="I647" t="n">
        <v>0</v>
      </c>
      <c r="J647" t="n">
        <v>1</v>
      </c>
      <c r="K647" t="n">
        <v>0</v>
      </c>
      <c r="L647" t="n">
        <v>0</v>
      </c>
      <c r="M647" t="n">
        <v>0</v>
      </c>
      <c r="N647" t="n">
        <v>0</v>
      </c>
      <c r="O647" t="n">
        <v>1</v>
      </c>
      <c r="P647" t="n">
        <v>0</v>
      </c>
      <c r="Q647" t="n">
        <v>1</v>
      </c>
      <c r="R647" s="2" t="inlineStr">
        <is>
          <t>Kolflarnlav</t>
        </is>
      </c>
      <c r="S647">
        <f>HYPERLINK("https://klasma.github.io/Logging_2523/artfynd/A 34848-2025 artfynd.xlsx", "A 34848-2025")</f>
        <v/>
      </c>
      <c r="T647">
        <f>HYPERLINK("https://klasma.github.io/Logging_2523/kartor/A 34848-2025 karta.png", "A 34848-2025")</f>
        <v/>
      </c>
      <c r="V647">
        <f>HYPERLINK("https://klasma.github.io/Logging_2523/klagomål/A 34848-2025 FSC-klagomål.docx", "A 34848-2025")</f>
        <v/>
      </c>
      <c r="W647">
        <f>HYPERLINK("https://klasma.github.io/Logging_2523/klagomålsmail/A 34848-2025 FSC-klagomål mail.docx", "A 34848-2025")</f>
        <v/>
      </c>
      <c r="X647">
        <f>HYPERLINK("https://klasma.github.io/Logging_2523/tillsyn/A 34848-2025 tillsynsbegäran.docx", "A 34848-2025")</f>
        <v/>
      </c>
      <c r="Y647">
        <f>HYPERLINK("https://klasma.github.io/Logging_2523/tillsynsmail/A 34848-2025 tillsynsbegäran mail.docx", "A 34848-2025")</f>
        <v/>
      </c>
    </row>
    <row r="648" ht="15" customHeight="1">
      <c r="A648" t="inlineStr">
        <is>
          <t>A 59466-2023</t>
        </is>
      </c>
      <c r="B648" s="1" t="n">
        <v>45254.4122337963</v>
      </c>
      <c r="C648" s="1" t="n">
        <v>46046</v>
      </c>
      <c r="D648" t="inlineStr">
        <is>
          <t>NORRBOTTENS LÄN</t>
        </is>
      </c>
      <c r="E648" t="inlineStr">
        <is>
          <t>LULEÅ</t>
        </is>
      </c>
      <c r="F648" t="inlineStr">
        <is>
          <t>Sveaskog</t>
        </is>
      </c>
      <c r="G648" t="n">
        <v>0.4</v>
      </c>
      <c r="H648" t="n">
        <v>0</v>
      </c>
      <c r="I648" t="n">
        <v>0</v>
      </c>
      <c r="J648" t="n">
        <v>1</v>
      </c>
      <c r="K648" t="n">
        <v>0</v>
      </c>
      <c r="L648" t="n">
        <v>0</v>
      </c>
      <c r="M648" t="n">
        <v>0</v>
      </c>
      <c r="N648" t="n">
        <v>0</v>
      </c>
      <c r="O648" t="n">
        <v>1</v>
      </c>
      <c r="P648" t="n">
        <v>0</v>
      </c>
      <c r="Q648" t="n">
        <v>1</v>
      </c>
      <c r="R648" s="2" t="inlineStr">
        <is>
          <t>Motaggsvamp</t>
        </is>
      </c>
      <c r="S648">
        <f>HYPERLINK("https://klasma.github.io/Logging_2580/artfynd/A 59466-2023 artfynd.xlsx", "A 59466-2023")</f>
        <v/>
      </c>
      <c r="T648">
        <f>HYPERLINK("https://klasma.github.io/Logging_2580/kartor/A 59466-2023 karta.png", "A 59466-2023")</f>
        <v/>
      </c>
      <c r="V648">
        <f>HYPERLINK("https://klasma.github.io/Logging_2580/klagomål/A 59466-2023 FSC-klagomål.docx", "A 59466-2023")</f>
        <v/>
      </c>
      <c r="W648">
        <f>HYPERLINK("https://klasma.github.io/Logging_2580/klagomålsmail/A 59466-2023 FSC-klagomål mail.docx", "A 59466-2023")</f>
        <v/>
      </c>
      <c r="X648">
        <f>HYPERLINK("https://klasma.github.io/Logging_2580/tillsyn/A 59466-2023 tillsynsbegäran.docx", "A 59466-2023")</f>
        <v/>
      </c>
      <c r="Y648">
        <f>HYPERLINK("https://klasma.github.io/Logging_2580/tillsynsmail/A 59466-2023 tillsynsbegäran mail.docx", "A 59466-2023")</f>
        <v/>
      </c>
    </row>
    <row r="649" ht="15" customHeight="1">
      <c r="A649" t="inlineStr">
        <is>
          <t>A 35260-2024</t>
        </is>
      </c>
      <c r="B649" s="1" t="n">
        <v>45530</v>
      </c>
      <c r="C649" s="1" t="n">
        <v>46046</v>
      </c>
      <c r="D649" t="inlineStr">
        <is>
          <t>NORRBOTTENS LÄN</t>
        </is>
      </c>
      <c r="E649" t="inlineStr">
        <is>
          <t>PAJALA</t>
        </is>
      </c>
      <c r="F649" t="inlineStr">
        <is>
          <t>Allmännings- och besparingsskogar</t>
        </is>
      </c>
      <c r="G649" t="n">
        <v>32.7</v>
      </c>
      <c r="H649" t="n">
        <v>0</v>
      </c>
      <c r="I649" t="n">
        <v>0</v>
      </c>
      <c r="J649" t="n">
        <v>1</v>
      </c>
      <c r="K649" t="n">
        <v>0</v>
      </c>
      <c r="L649" t="n">
        <v>0</v>
      </c>
      <c r="M649" t="n">
        <v>0</v>
      </c>
      <c r="N649" t="n">
        <v>0</v>
      </c>
      <c r="O649" t="n">
        <v>1</v>
      </c>
      <c r="P649" t="n">
        <v>0</v>
      </c>
      <c r="Q649" t="n">
        <v>1</v>
      </c>
      <c r="R649" s="2" t="inlineStr">
        <is>
          <t>Garnlav</t>
        </is>
      </c>
      <c r="S649">
        <f>HYPERLINK("https://klasma.github.io/Logging_2521/artfynd/A 35260-2024 artfynd.xlsx", "A 35260-2024")</f>
        <v/>
      </c>
      <c r="T649">
        <f>HYPERLINK("https://klasma.github.io/Logging_2521/kartor/A 35260-2024 karta.png", "A 35260-2024")</f>
        <v/>
      </c>
      <c r="V649">
        <f>HYPERLINK("https://klasma.github.io/Logging_2521/klagomål/A 35260-2024 FSC-klagomål.docx", "A 35260-2024")</f>
        <v/>
      </c>
      <c r="W649">
        <f>HYPERLINK("https://klasma.github.io/Logging_2521/klagomålsmail/A 35260-2024 FSC-klagomål mail.docx", "A 35260-2024")</f>
        <v/>
      </c>
      <c r="X649">
        <f>HYPERLINK("https://klasma.github.io/Logging_2521/tillsyn/A 35260-2024 tillsynsbegäran.docx", "A 35260-2024")</f>
        <v/>
      </c>
      <c r="Y649">
        <f>HYPERLINK("https://klasma.github.io/Logging_2521/tillsynsmail/A 35260-2024 tillsynsbegäran mail.docx", "A 35260-2024")</f>
        <v/>
      </c>
    </row>
    <row r="650" ht="15" customHeight="1">
      <c r="A650" t="inlineStr">
        <is>
          <t>A 37309-2024</t>
        </is>
      </c>
      <c r="B650" s="1" t="n">
        <v>45540</v>
      </c>
      <c r="C650" s="1" t="n">
        <v>46046</v>
      </c>
      <c r="D650" t="inlineStr">
        <is>
          <t>NORRBOTTENS LÄN</t>
        </is>
      </c>
      <c r="E650" t="inlineStr">
        <is>
          <t>ÖVERKALIX</t>
        </is>
      </c>
      <c r="F650" t="inlineStr">
        <is>
          <t>Sveaskog</t>
        </is>
      </c>
      <c r="G650" t="n">
        <v>10.4</v>
      </c>
      <c r="H650" t="n">
        <v>0</v>
      </c>
      <c r="I650" t="n">
        <v>0</v>
      </c>
      <c r="J650" t="n">
        <v>1</v>
      </c>
      <c r="K650" t="n">
        <v>0</v>
      </c>
      <c r="L650" t="n">
        <v>0</v>
      </c>
      <c r="M650" t="n">
        <v>0</v>
      </c>
      <c r="N650" t="n">
        <v>0</v>
      </c>
      <c r="O650" t="n">
        <v>1</v>
      </c>
      <c r="P650" t="n">
        <v>0</v>
      </c>
      <c r="Q650" t="n">
        <v>1</v>
      </c>
      <c r="R650" s="2" t="inlineStr">
        <is>
          <t>Lunglav</t>
        </is>
      </c>
      <c r="S650">
        <f>HYPERLINK("https://klasma.github.io/Logging_2513/artfynd/A 37309-2024 artfynd.xlsx", "A 37309-2024")</f>
        <v/>
      </c>
      <c r="T650">
        <f>HYPERLINK("https://klasma.github.io/Logging_2513/kartor/A 37309-2024 karta.png", "A 37309-2024")</f>
        <v/>
      </c>
      <c r="U650">
        <f>HYPERLINK("https://klasma.github.io/Logging_2513/knärot/A 37309-2024 karta knärot.png", "A 37309-2024")</f>
        <v/>
      </c>
      <c r="V650">
        <f>HYPERLINK("https://klasma.github.io/Logging_2513/klagomål/A 37309-2024 FSC-klagomål.docx", "A 37309-2024")</f>
        <v/>
      </c>
      <c r="W650">
        <f>HYPERLINK("https://klasma.github.io/Logging_2513/klagomålsmail/A 37309-2024 FSC-klagomål mail.docx", "A 37309-2024")</f>
        <v/>
      </c>
      <c r="X650">
        <f>HYPERLINK("https://klasma.github.io/Logging_2513/tillsyn/A 37309-2024 tillsynsbegäran.docx", "A 37309-2024")</f>
        <v/>
      </c>
      <c r="Y650">
        <f>HYPERLINK("https://klasma.github.io/Logging_2513/tillsynsmail/A 37309-2024 tillsynsbegäran mail.docx", "A 37309-2024")</f>
        <v/>
      </c>
    </row>
    <row r="651" ht="15" customHeight="1">
      <c r="A651" t="inlineStr">
        <is>
          <t>A 46952-2024</t>
        </is>
      </c>
      <c r="B651" s="1" t="n">
        <v>45585</v>
      </c>
      <c r="C651" s="1" t="n">
        <v>46046</v>
      </c>
      <c r="D651" t="inlineStr">
        <is>
          <t>NORRBOTTENS LÄN</t>
        </is>
      </c>
      <c r="E651" t="inlineStr">
        <is>
          <t>PAJALA</t>
        </is>
      </c>
      <c r="G651" t="n">
        <v>19.1</v>
      </c>
      <c r="H651" t="n">
        <v>1</v>
      </c>
      <c r="I651" t="n">
        <v>1</v>
      </c>
      <c r="J651" t="n">
        <v>0</v>
      </c>
      <c r="K651" t="n">
        <v>0</v>
      </c>
      <c r="L651" t="n">
        <v>0</v>
      </c>
      <c r="M651" t="n">
        <v>0</v>
      </c>
      <c r="N651" t="n">
        <v>0</v>
      </c>
      <c r="O651" t="n">
        <v>0</v>
      </c>
      <c r="P651" t="n">
        <v>0</v>
      </c>
      <c r="Q651" t="n">
        <v>1</v>
      </c>
      <c r="R651" s="2" t="inlineStr">
        <is>
          <t>Lappranunkel</t>
        </is>
      </c>
      <c r="S651">
        <f>HYPERLINK("https://klasma.github.io/Logging_2521/artfynd/A 46952-2024 artfynd.xlsx", "A 46952-2024")</f>
        <v/>
      </c>
      <c r="T651">
        <f>HYPERLINK("https://klasma.github.io/Logging_2521/kartor/A 46952-2024 karta.png", "A 46952-2024")</f>
        <v/>
      </c>
      <c r="V651">
        <f>HYPERLINK("https://klasma.github.io/Logging_2521/klagomål/A 46952-2024 FSC-klagomål.docx", "A 46952-2024")</f>
        <v/>
      </c>
      <c r="W651">
        <f>HYPERLINK("https://klasma.github.io/Logging_2521/klagomålsmail/A 46952-2024 FSC-klagomål mail.docx", "A 46952-2024")</f>
        <v/>
      </c>
      <c r="X651">
        <f>HYPERLINK("https://klasma.github.io/Logging_2521/tillsyn/A 46952-2024 tillsynsbegäran.docx", "A 46952-2024")</f>
        <v/>
      </c>
      <c r="Y651">
        <f>HYPERLINK("https://klasma.github.io/Logging_2521/tillsynsmail/A 46952-2024 tillsynsbegäran mail.docx", "A 46952-2024")</f>
        <v/>
      </c>
    </row>
    <row r="652" ht="15" customHeight="1">
      <c r="A652" t="inlineStr">
        <is>
          <t>A 37314-2024</t>
        </is>
      </c>
      <c r="B652" s="1" t="n">
        <v>45540</v>
      </c>
      <c r="C652" s="1" t="n">
        <v>46046</v>
      </c>
      <c r="D652" t="inlineStr">
        <is>
          <t>NORRBOTTENS LÄN</t>
        </is>
      </c>
      <c r="E652" t="inlineStr">
        <is>
          <t>ÖVERKALIX</t>
        </is>
      </c>
      <c r="F652" t="inlineStr">
        <is>
          <t>Sveaskog</t>
        </is>
      </c>
      <c r="G652" t="n">
        <v>7</v>
      </c>
      <c r="H652" t="n">
        <v>0</v>
      </c>
      <c r="I652" t="n">
        <v>0</v>
      </c>
      <c r="J652" t="n">
        <v>1</v>
      </c>
      <c r="K652" t="n">
        <v>0</v>
      </c>
      <c r="L652" t="n">
        <v>0</v>
      </c>
      <c r="M652" t="n">
        <v>0</v>
      </c>
      <c r="N652" t="n">
        <v>0</v>
      </c>
      <c r="O652" t="n">
        <v>1</v>
      </c>
      <c r="P652" t="n">
        <v>0</v>
      </c>
      <c r="Q652" t="n">
        <v>1</v>
      </c>
      <c r="R652" s="2" t="inlineStr">
        <is>
          <t>Garnlav</t>
        </is>
      </c>
      <c r="S652">
        <f>HYPERLINK("https://klasma.github.io/Logging_2513/artfynd/A 37314-2024 artfynd.xlsx", "A 37314-2024")</f>
        <v/>
      </c>
      <c r="T652">
        <f>HYPERLINK("https://klasma.github.io/Logging_2513/kartor/A 37314-2024 karta.png", "A 37314-2024")</f>
        <v/>
      </c>
      <c r="V652">
        <f>HYPERLINK("https://klasma.github.io/Logging_2513/klagomål/A 37314-2024 FSC-klagomål.docx", "A 37314-2024")</f>
        <v/>
      </c>
      <c r="W652">
        <f>HYPERLINK("https://klasma.github.io/Logging_2513/klagomålsmail/A 37314-2024 FSC-klagomål mail.docx", "A 37314-2024")</f>
        <v/>
      </c>
      <c r="X652">
        <f>HYPERLINK("https://klasma.github.io/Logging_2513/tillsyn/A 37314-2024 tillsynsbegäran.docx", "A 37314-2024")</f>
        <v/>
      </c>
      <c r="Y652">
        <f>HYPERLINK("https://klasma.github.io/Logging_2513/tillsynsmail/A 37314-2024 tillsynsbegäran mail.docx", "A 37314-2024")</f>
        <v/>
      </c>
    </row>
    <row r="653" ht="15" customHeight="1">
      <c r="A653" t="inlineStr">
        <is>
          <t>A 26435-2024</t>
        </is>
      </c>
      <c r="B653" s="1" t="n">
        <v>45469.48792824074</v>
      </c>
      <c r="C653" s="1" t="n">
        <v>46046</v>
      </c>
      <c r="D653" t="inlineStr">
        <is>
          <t>NORRBOTTENS LÄN</t>
        </is>
      </c>
      <c r="E653" t="inlineStr">
        <is>
          <t>GÄLLIVARE</t>
        </is>
      </c>
      <c r="G653" t="n">
        <v>31.9</v>
      </c>
      <c r="H653" t="n">
        <v>1</v>
      </c>
      <c r="I653" t="n">
        <v>0</v>
      </c>
      <c r="J653" t="n">
        <v>0</v>
      </c>
      <c r="K653" t="n">
        <v>0</v>
      </c>
      <c r="L653" t="n">
        <v>0</v>
      </c>
      <c r="M653" t="n">
        <v>0</v>
      </c>
      <c r="N653" t="n">
        <v>0</v>
      </c>
      <c r="O653" t="n">
        <v>0</v>
      </c>
      <c r="P653" t="n">
        <v>0</v>
      </c>
      <c r="Q653" t="n">
        <v>1</v>
      </c>
      <c r="R653" s="2" t="inlineStr">
        <is>
          <t>Revlummer</t>
        </is>
      </c>
      <c r="S653">
        <f>HYPERLINK("https://klasma.github.io/Logging_2523/artfynd/A 26435-2024 artfynd.xlsx", "A 26435-2024")</f>
        <v/>
      </c>
      <c r="T653">
        <f>HYPERLINK("https://klasma.github.io/Logging_2523/kartor/A 26435-2024 karta.png", "A 26435-2024")</f>
        <v/>
      </c>
      <c r="V653">
        <f>HYPERLINK("https://klasma.github.io/Logging_2523/klagomål/A 26435-2024 FSC-klagomål.docx", "A 26435-2024")</f>
        <v/>
      </c>
      <c r="W653">
        <f>HYPERLINK("https://klasma.github.io/Logging_2523/klagomålsmail/A 26435-2024 FSC-klagomål mail.docx", "A 26435-2024")</f>
        <v/>
      </c>
      <c r="X653">
        <f>HYPERLINK("https://klasma.github.io/Logging_2523/tillsyn/A 26435-2024 tillsynsbegäran.docx", "A 26435-2024")</f>
        <v/>
      </c>
      <c r="Y653">
        <f>HYPERLINK("https://klasma.github.io/Logging_2523/tillsynsmail/A 26435-2024 tillsynsbegäran mail.docx", "A 26435-2024")</f>
        <v/>
      </c>
    </row>
    <row r="654" ht="15" customHeight="1">
      <c r="A654" t="inlineStr">
        <is>
          <t>A 35602-2025</t>
        </is>
      </c>
      <c r="B654" s="1" t="n">
        <v>45859.30603009259</v>
      </c>
      <c r="C654" s="1" t="n">
        <v>46046</v>
      </c>
      <c r="D654" t="inlineStr">
        <is>
          <t>NORRBOTTENS LÄN</t>
        </is>
      </c>
      <c r="E654" t="inlineStr">
        <is>
          <t>ÖVERKALIX</t>
        </is>
      </c>
      <c r="F654" t="inlineStr">
        <is>
          <t>Sveaskog</t>
        </is>
      </c>
      <c r="G654" t="n">
        <v>2.9</v>
      </c>
      <c r="H654" t="n">
        <v>1</v>
      </c>
      <c r="I654" t="n">
        <v>0</v>
      </c>
      <c r="J654" t="n">
        <v>0</v>
      </c>
      <c r="K654" t="n">
        <v>0</v>
      </c>
      <c r="L654" t="n">
        <v>0</v>
      </c>
      <c r="M654" t="n">
        <v>0</v>
      </c>
      <c r="N654" t="n">
        <v>0</v>
      </c>
      <c r="O654" t="n">
        <v>0</v>
      </c>
      <c r="P654" t="n">
        <v>0</v>
      </c>
      <c r="Q654" t="n">
        <v>1</v>
      </c>
      <c r="R654" s="2" t="inlineStr">
        <is>
          <t>Fläcknycklar</t>
        </is>
      </c>
      <c r="S654">
        <f>HYPERLINK("https://klasma.github.io/Logging_2513/artfynd/A 35602-2025 artfynd.xlsx", "A 35602-2025")</f>
        <v/>
      </c>
      <c r="T654">
        <f>HYPERLINK("https://klasma.github.io/Logging_2513/kartor/A 35602-2025 karta.png", "A 35602-2025")</f>
        <v/>
      </c>
      <c r="V654">
        <f>HYPERLINK("https://klasma.github.io/Logging_2513/klagomål/A 35602-2025 FSC-klagomål.docx", "A 35602-2025")</f>
        <v/>
      </c>
      <c r="W654">
        <f>HYPERLINK("https://klasma.github.io/Logging_2513/klagomålsmail/A 35602-2025 FSC-klagomål mail.docx", "A 35602-2025")</f>
        <v/>
      </c>
      <c r="X654">
        <f>HYPERLINK("https://klasma.github.io/Logging_2513/tillsyn/A 35602-2025 tillsynsbegäran.docx", "A 35602-2025")</f>
        <v/>
      </c>
      <c r="Y654">
        <f>HYPERLINK("https://klasma.github.io/Logging_2513/tillsynsmail/A 35602-2025 tillsynsbegäran mail.docx", "A 35602-2025")</f>
        <v/>
      </c>
    </row>
    <row r="655" ht="15" customHeight="1">
      <c r="A655" t="inlineStr">
        <is>
          <t>A 59395-2024</t>
        </is>
      </c>
      <c r="B655" s="1" t="n">
        <v>45638</v>
      </c>
      <c r="C655" s="1" t="n">
        <v>46046</v>
      </c>
      <c r="D655" t="inlineStr">
        <is>
          <t>NORRBOTTENS LÄN</t>
        </is>
      </c>
      <c r="E655" t="inlineStr">
        <is>
          <t>LULEÅ</t>
        </is>
      </c>
      <c r="F655" t="inlineStr">
        <is>
          <t>Sveaskog</t>
        </is>
      </c>
      <c r="G655" t="n">
        <v>18.3</v>
      </c>
      <c r="H655" t="n">
        <v>0</v>
      </c>
      <c r="I655" t="n">
        <v>1</v>
      </c>
      <c r="J655" t="n">
        <v>0</v>
      </c>
      <c r="K655" t="n">
        <v>0</v>
      </c>
      <c r="L655" t="n">
        <v>0</v>
      </c>
      <c r="M655" t="n">
        <v>0</v>
      </c>
      <c r="N655" t="n">
        <v>0</v>
      </c>
      <c r="O655" t="n">
        <v>0</v>
      </c>
      <c r="P655" t="n">
        <v>0</v>
      </c>
      <c r="Q655" t="n">
        <v>1</v>
      </c>
      <c r="R655" s="2" t="inlineStr">
        <is>
          <t>Stuplav</t>
        </is>
      </c>
      <c r="S655">
        <f>HYPERLINK("https://klasma.github.io/Logging_2580/artfynd/A 59395-2024 artfynd.xlsx", "A 59395-2024")</f>
        <v/>
      </c>
      <c r="T655">
        <f>HYPERLINK("https://klasma.github.io/Logging_2580/kartor/A 59395-2024 karta.png", "A 59395-2024")</f>
        <v/>
      </c>
      <c r="V655">
        <f>HYPERLINK("https://klasma.github.io/Logging_2580/klagomål/A 59395-2024 FSC-klagomål.docx", "A 59395-2024")</f>
        <v/>
      </c>
      <c r="W655">
        <f>HYPERLINK("https://klasma.github.io/Logging_2580/klagomålsmail/A 59395-2024 FSC-klagomål mail.docx", "A 59395-2024")</f>
        <v/>
      </c>
      <c r="X655">
        <f>HYPERLINK("https://klasma.github.io/Logging_2580/tillsyn/A 59395-2024 tillsynsbegäran.docx", "A 59395-2024")</f>
        <v/>
      </c>
      <c r="Y655">
        <f>HYPERLINK("https://klasma.github.io/Logging_2580/tillsynsmail/A 59395-2024 tillsynsbegäran mail.docx", "A 59395-2024")</f>
        <v/>
      </c>
    </row>
    <row r="656" ht="15" customHeight="1">
      <c r="A656" t="inlineStr">
        <is>
          <t>A 36008-2025</t>
        </is>
      </c>
      <c r="B656" s="1" t="n">
        <v>45863.57627314814</v>
      </c>
      <c r="C656" s="1" t="n">
        <v>46046</v>
      </c>
      <c r="D656" t="inlineStr">
        <is>
          <t>NORRBOTTENS LÄN</t>
        </is>
      </c>
      <c r="E656" t="inlineStr">
        <is>
          <t>BODEN</t>
        </is>
      </c>
      <c r="F656" t="inlineStr">
        <is>
          <t>Sveaskog</t>
        </is>
      </c>
      <c r="G656" t="n">
        <v>3.3</v>
      </c>
      <c r="H656" t="n">
        <v>0</v>
      </c>
      <c r="I656" t="n">
        <v>0</v>
      </c>
      <c r="J656" t="n">
        <v>1</v>
      </c>
      <c r="K656" t="n">
        <v>0</v>
      </c>
      <c r="L656" t="n">
        <v>0</v>
      </c>
      <c r="M656" t="n">
        <v>0</v>
      </c>
      <c r="N656" t="n">
        <v>0</v>
      </c>
      <c r="O656" t="n">
        <v>1</v>
      </c>
      <c r="P656" t="n">
        <v>0</v>
      </c>
      <c r="Q656" t="n">
        <v>1</v>
      </c>
      <c r="R656" s="2" t="inlineStr">
        <is>
          <t>Tallticka</t>
        </is>
      </c>
      <c r="S656">
        <f>HYPERLINK("https://klasma.github.io/Logging_2582/artfynd/A 36008-2025 artfynd.xlsx", "A 36008-2025")</f>
        <v/>
      </c>
      <c r="T656">
        <f>HYPERLINK("https://klasma.github.io/Logging_2582/kartor/A 36008-2025 karta.png", "A 36008-2025")</f>
        <v/>
      </c>
      <c r="V656">
        <f>HYPERLINK("https://klasma.github.io/Logging_2582/klagomål/A 36008-2025 FSC-klagomål.docx", "A 36008-2025")</f>
        <v/>
      </c>
      <c r="W656">
        <f>HYPERLINK("https://klasma.github.io/Logging_2582/klagomålsmail/A 36008-2025 FSC-klagomål mail.docx", "A 36008-2025")</f>
        <v/>
      </c>
      <c r="X656">
        <f>HYPERLINK("https://klasma.github.io/Logging_2582/tillsyn/A 36008-2025 tillsynsbegäran.docx", "A 36008-2025")</f>
        <v/>
      </c>
      <c r="Y656">
        <f>HYPERLINK("https://klasma.github.io/Logging_2582/tillsynsmail/A 36008-2025 tillsynsbegäran mail.docx", "A 36008-2025")</f>
        <v/>
      </c>
    </row>
    <row r="657" ht="15" customHeight="1">
      <c r="A657" t="inlineStr">
        <is>
          <t>A 39828-2023</t>
        </is>
      </c>
      <c r="B657" s="1" t="n">
        <v>45168</v>
      </c>
      <c r="C657" s="1" t="n">
        <v>46046</v>
      </c>
      <c r="D657" t="inlineStr">
        <is>
          <t>NORRBOTTENS LÄN</t>
        </is>
      </c>
      <c r="E657" t="inlineStr">
        <is>
          <t>ÄLVSBYN</t>
        </is>
      </c>
      <c r="G657" t="n">
        <v>14</v>
      </c>
      <c r="H657" t="n">
        <v>1</v>
      </c>
      <c r="I657" t="n">
        <v>1</v>
      </c>
      <c r="J657" t="n">
        <v>0</v>
      </c>
      <c r="K657" t="n">
        <v>0</v>
      </c>
      <c r="L657" t="n">
        <v>0</v>
      </c>
      <c r="M657" t="n">
        <v>0</v>
      </c>
      <c r="N657" t="n">
        <v>0</v>
      </c>
      <c r="O657" t="n">
        <v>0</v>
      </c>
      <c r="P657" t="n">
        <v>0</v>
      </c>
      <c r="Q657" t="n">
        <v>1</v>
      </c>
      <c r="R657" s="2" t="inlineStr">
        <is>
          <t>Korallrot</t>
        </is>
      </c>
      <c r="S657">
        <f>HYPERLINK("https://klasma.github.io/Logging_2560/artfynd/A 39828-2023 artfynd.xlsx", "A 39828-2023")</f>
        <v/>
      </c>
      <c r="T657">
        <f>HYPERLINK("https://klasma.github.io/Logging_2560/kartor/A 39828-2023 karta.png", "A 39828-2023")</f>
        <v/>
      </c>
      <c r="V657">
        <f>HYPERLINK("https://klasma.github.io/Logging_2560/klagomål/A 39828-2023 FSC-klagomål.docx", "A 39828-2023")</f>
        <v/>
      </c>
      <c r="W657">
        <f>HYPERLINK("https://klasma.github.io/Logging_2560/klagomålsmail/A 39828-2023 FSC-klagomål mail.docx", "A 39828-2023")</f>
        <v/>
      </c>
      <c r="X657">
        <f>HYPERLINK("https://klasma.github.io/Logging_2560/tillsyn/A 39828-2023 tillsynsbegäran.docx", "A 39828-2023")</f>
        <v/>
      </c>
      <c r="Y657">
        <f>HYPERLINK("https://klasma.github.io/Logging_2560/tillsynsmail/A 39828-2023 tillsynsbegäran mail.docx", "A 39828-2023")</f>
        <v/>
      </c>
    </row>
    <row r="658" ht="15" customHeight="1">
      <c r="A658" t="inlineStr">
        <is>
          <t>A 37818-2024</t>
        </is>
      </c>
      <c r="B658" s="1" t="n">
        <v>45544</v>
      </c>
      <c r="C658" s="1" t="n">
        <v>46046</v>
      </c>
      <c r="D658" t="inlineStr">
        <is>
          <t>NORRBOTTENS LÄN</t>
        </is>
      </c>
      <c r="E658" t="inlineStr">
        <is>
          <t>PITEÅ</t>
        </is>
      </c>
      <c r="G658" t="n">
        <v>3.1</v>
      </c>
      <c r="H658" t="n">
        <v>0</v>
      </c>
      <c r="I658" t="n">
        <v>0</v>
      </c>
      <c r="J658" t="n">
        <v>1</v>
      </c>
      <c r="K658" t="n">
        <v>0</v>
      </c>
      <c r="L658" t="n">
        <v>0</v>
      </c>
      <c r="M658" t="n">
        <v>0</v>
      </c>
      <c r="N658" t="n">
        <v>0</v>
      </c>
      <c r="O658" t="n">
        <v>1</v>
      </c>
      <c r="P658" t="n">
        <v>0</v>
      </c>
      <c r="Q658" t="n">
        <v>1</v>
      </c>
      <c r="R658" s="2" t="inlineStr">
        <is>
          <t>Kolflarnlav</t>
        </is>
      </c>
      <c r="S658">
        <f>HYPERLINK("https://klasma.github.io/Logging_2581/artfynd/A 37818-2024 artfynd.xlsx", "A 37818-2024")</f>
        <v/>
      </c>
      <c r="T658">
        <f>HYPERLINK("https://klasma.github.io/Logging_2581/kartor/A 37818-2024 karta.png", "A 37818-2024")</f>
        <v/>
      </c>
      <c r="V658">
        <f>HYPERLINK("https://klasma.github.io/Logging_2581/klagomål/A 37818-2024 FSC-klagomål.docx", "A 37818-2024")</f>
        <v/>
      </c>
      <c r="W658">
        <f>HYPERLINK("https://klasma.github.io/Logging_2581/klagomålsmail/A 37818-2024 FSC-klagomål mail.docx", "A 37818-2024")</f>
        <v/>
      </c>
      <c r="X658">
        <f>HYPERLINK("https://klasma.github.io/Logging_2581/tillsyn/A 37818-2024 tillsynsbegäran.docx", "A 37818-2024")</f>
        <v/>
      </c>
      <c r="Y658">
        <f>HYPERLINK("https://klasma.github.io/Logging_2581/tillsynsmail/A 37818-2024 tillsynsbegäran mail.docx", "A 37818-2024")</f>
        <v/>
      </c>
    </row>
    <row r="659" ht="15" customHeight="1">
      <c r="A659" t="inlineStr">
        <is>
          <t>A 19396-2022</t>
        </is>
      </c>
      <c r="B659" s="1" t="n">
        <v>44692</v>
      </c>
      <c r="C659" s="1" t="n">
        <v>46046</v>
      </c>
      <c r="D659" t="inlineStr">
        <is>
          <t>NORRBOTTENS LÄN</t>
        </is>
      </c>
      <c r="E659" t="inlineStr">
        <is>
          <t>BODEN</t>
        </is>
      </c>
      <c r="F659" t="inlineStr">
        <is>
          <t>SCA</t>
        </is>
      </c>
      <c r="G659" t="n">
        <v>13.1</v>
      </c>
      <c r="H659" t="n">
        <v>0</v>
      </c>
      <c r="I659" t="n">
        <v>0</v>
      </c>
      <c r="J659" t="n">
        <v>1</v>
      </c>
      <c r="K659" t="n">
        <v>0</v>
      </c>
      <c r="L659" t="n">
        <v>0</v>
      </c>
      <c r="M659" t="n">
        <v>0</v>
      </c>
      <c r="N659" t="n">
        <v>0</v>
      </c>
      <c r="O659" t="n">
        <v>1</v>
      </c>
      <c r="P659" t="n">
        <v>0</v>
      </c>
      <c r="Q659" t="n">
        <v>1</v>
      </c>
      <c r="R659" s="2" t="inlineStr">
        <is>
          <t>Tallticka</t>
        </is>
      </c>
      <c r="S659">
        <f>HYPERLINK("https://klasma.github.io/Logging_2582/artfynd/A 19396-2022 artfynd.xlsx", "A 19396-2022")</f>
        <v/>
      </c>
      <c r="T659">
        <f>HYPERLINK("https://klasma.github.io/Logging_2582/kartor/A 19396-2022 karta.png", "A 19396-2022")</f>
        <v/>
      </c>
      <c r="V659">
        <f>HYPERLINK("https://klasma.github.io/Logging_2582/klagomål/A 19396-2022 FSC-klagomål.docx", "A 19396-2022")</f>
        <v/>
      </c>
      <c r="W659">
        <f>HYPERLINK("https://klasma.github.io/Logging_2582/klagomålsmail/A 19396-2022 FSC-klagomål mail.docx", "A 19396-2022")</f>
        <v/>
      </c>
      <c r="X659">
        <f>HYPERLINK("https://klasma.github.io/Logging_2582/tillsyn/A 19396-2022 tillsynsbegäran.docx", "A 19396-2022")</f>
        <v/>
      </c>
      <c r="Y659">
        <f>HYPERLINK("https://klasma.github.io/Logging_2582/tillsynsmail/A 19396-2022 tillsynsbegäran mail.docx", "A 19396-2022")</f>
        <v/>
      </c>
    </row>
    <row r="660" ht="15" customHeight="1">
      <c r="A660" t="inlineStr">
        <is>
          <t>A 28428-2024</t>
        </is>
      </c>
      <c r="B660" s="1" t="n">
        <v>45477.64990740741</v>
      </c>
      <c r="C660" s="1" t="n">
        <v>46046</v>
      </c>
      <c r="D660" t="inlineStr">
        <is>
          <t>NORRBOTTENS LÄN</t>
        </is>
      </c>
      <c r="E660" t="inlineStr">
        <is>
          <t>PAJALA</t>
        </is>
      </c>
      <c r="G660" t="n">
        <v>44.7</v>
      </c>
      <c r="H660" t="n">
        <v>0</v>
      </c>
      <c r="I660" t="n">
        <v>0</v>
      </c>
      <c r="J660" t="n">
        <v>0</v>
      </c>
      <c r="K660" t="n">
        <v>1</v>
      </c>
      <c r="L660" t="n">
        <v>0</v>
      </c>
      <c r="M660" t="n">
        <v>0</v>
      </c>
      <c r="N660" t="n">
        <v>0</v>
      </c>
      <c r="O660" t="n">
        <v>1</v>
      </c>
      <c r="P660" t="n">
        <v>1</v>
      </c>
      <c r="Q660" t="n">
        <v>1</v>
      </c>
      <c r="R660" s="2" t="inlineStr">
        <is>
          <t>Gräddporing</t>
        </is>
      </c>
      <c r="S660">
        <f>HYPERLINK("https://klasma.github.io/Logging_2521/artfynd/A 28428-2024 artfynd.xlsx", "A 28428-2024")</f>
        <v/>
      </c>
      <c r="T660">
        <f>HYPERLINK("https://klasma.github.io/Logging_2521/kartor/A 28428-2024 karta.png", "A 28428-2024")</f>
        <v/>
      </c>
      <c r="V660">
        <f>HYPERLINK("https://klasma.github.io/Logging_2521/klagomål/A 28428-2024 FSC-klagomål.docx", "A 28428-2024")</f>
        <v/>
      </c>
      <c r="W660">
        <f>HYPERLINK("https://klasma.github.io/Logging_2521/klagomålsmail/A 28428-2024 FSC-klagomål mail.docx", "A 28428-2024")</f>
        <v/>
      </c>
      <c r="X660">
        <f>HYPERLINK("https://klasma.github.io/Logging_2521/tillsyn/A 28428-2024 tillsynsbegäran.docx", "A 28428-2024")</f>
        <v/>
      </c>
      <c r="Y660">
        <f>HYPERLINK("https://klasma.github.io/Logging_2521/tillsynsmail/A 28428-2024 tillsynsbegäran mail.docx", "A 28428-2024")</f>
        <v/>
      </c>
    </row>
    <row r="661" ht="15" customHeight="1">
      <c r="A661" t="inlineStr">
        <is>
          <t>A 60002-2024</t>
        </is>
      </c>
      <c r="B661" s="1" t="n">
        <v>45642.41423611111</v>
      </c>
      <c r="C661" s="1" t="n">
        <v>46046</v>
      </c>
      <c r="D661" t="inlineStr">
        <is>
          <t>NORRBOTTENS LÄN</t>
        </is>
      </c>
      <c r="E661" t="inlineStr">
        <is>
          <t>LULEÅ</t>
        </is>
      </c>
      <c r="G661" t="n">
        <v>5</v>
      </c>
      <c r="H661" t="n">
        <v>1</v>
      </c>
      <c r="I661" t="n">
        <v>0</v>
      </c>
      <c r="J661" t="n">
        <v>0</v>
      </c>
      <c r="K661" t="n">
        <v>0</v>
      </c>
      <c r="L661" t="n">
        <v>0</v>
      </c>
      <c r="M661" t="n">
        <v>0</v>
      </c>
      <c r="N661" t="n">
        <v>0</v>
      </c>
      <c r="O661" t="n">
        <v>0</v>
      </c>
      <c r="P661" t="n">
        <v>0</v>
      </c>
      <c r="Q661" t="n">
        <v>1</v>
      </c>
      <c r="R661" s="2" t="inlineStr">
        <is>
          <t>Fläcknycklar</t>
        </is>
      </c>
      <c r="S661">
        <f>HYPERLINK("https://klasma.github.io/Logging_2580/artfynd/A 60002-2024 artfynd.xlsx", "A 60002-2024")</f>
        <v/>
      </c>
      <c r="T661">
        <f>HYPERLINK("https://klasma.github.io/Logging_2580/kartor/A 60002-2024 karta.png", "A 60002-2024")</f>
        <v/>
      </c>
      <c r="V661">
        <f>HYPERLINK("https://klasma.github.io/Logging_2580/klagomål/A 60002-2024 FSC-klagomål.docx", "A 60002-2024")</f>
        <v/>
      </c>
      <c r="W661">
        <f>HYPERLINK("https://klasma.github.io/Logging_2580/klagomålsmail/A 60002-2024 FSC-klagomål mail.docx", "A 60002-2024")</f>
        <v/>
      </c>
      <c r="X661">
        <f>HYPERLINK("https://klasma.github.io/Logging_2580/tillsyn/A 60002-2024 tillsynsbegäran.docx", "A 60002-2024")</f>
        <v/>
      </c>
      <c r="Y661">
        <f>HYPERLINK("https://klasma.github.io/Logging_2580/tillsynsmail/A 60002-2024 tillsynsbegäran mail.docx", "A 60002-2024")</f>
        <v/>
      </c>
    </row>
    <row r="662" ht="15" customHeight="1">
      <c r="A662" t="inlineStr">
        <is>
          <t>A 57140-2024</t>
        </is>
      </c>
      <c r="B662" s="1" t="n">
        <v>45629</v>
      </c>
      <c r="C662" s="1" t="n">
        <v>46046</v>
      </c>
      <c r="D662" t="inlineStr">
        <is>
          <t>NORRBOTTENS LÄN</t>
        </is>
      </c>
      <c r="E662" t="inlineStr">
        <is>
          <t>ÄLVSBYN</t>
        </is>
      </c>
      <c r="G662" t="n">
        <v>2.6</v>
      </c>
      <c r="H662" t="n">
        <v>1</v>
      </c>
      <c r="I662" t="n">
        <v>0</v>
      </c>
      <c r="J662" t="n">
        <v>0</v>
      </c>
      <c r="K662" t="n">
        <v>0</v>
      </c>
      <c r="L662" t="n">
        <v>0</v>
      </c>
      <c r="M662" t="n">
        <v>0</v>
      </c>
      <c r="N662" t="n">
        <v>0</v>
      </c>
      <c r="O662" t="n">
        <v>0</v>
      </c>
      <c r="P662" t="n">
        <v>0</v>
      </c>
      <c r="Q662" t="n">
        <v>1</v>
      </c>
      <c r="R662" s="2" t="inlineStr">
        <is>
          <t>Fläcknycklar</t>
        </is>
      </c>
      <c r="S662">
        <f>HYPERLINK("https://klasma.github.io/Logging_2560/artfynd/A 57140-2024 artfynd.xlsx", "A 57140-2024")</f>
        <v/>
      </c>
      <c r="T662">
        <f>HYPERLINK("https://klasma.github.io/Logging_2560/kartor/A 57140-2024 karta.png", "A 57140-2024")</f>
        <v/>
      </c>
      <c r="V662">
        <f>HYPERLINK("https://klasma.github.io/Logging_2560/klagomål/A 57140-2024 FSC-klagomål.docx", "A 57140-2024")</f>
        <v/>
      </c>
      <c r="W662">
        <f>HYPERLINK("https://klasma.github.io/Logging_2560/klagomålsmail/A 57140-2024 FSC-klagomål mail.docx", "A 57140-2024")</f>
        <v/>
      </c>
      <c r="X662">
        <f>HYPERLINK("https://klasma.github.io/Logging_2560/tillsyn/A 57140-2024 tillsynsbegäran.docx", "A 57140-2024")</f>
        <v/>
      </c>
      <c r="Y662">
        <f>HYPERLINK("https://klasma.github.io/Logging_2560/tillsynsmail/A 57140-2024 tillsynsbegäran mail.docx", "A 57140-2024")</f>
        <v/>
      </c>
    </row>
    <row r="663" ht="15" customHeight="1">
      <c r="A663" t="inlineStr">
        <is>
          <t>A 21552-2023</t>
        </is>
      </c>
      <c r="B663" s="1" t="n">
        <v>45063</v>
      </c>
      <c r="C663" s="1" t="n">
        <v>46046</v>
      </c>
      <c r="D663" t="inlineStr">
        <is>
          <t>NORRBOTTENS LÄN</t>
        </is>
      </c>
      <c r="E663" t="inlineStr">
        <is>
          <t>KALIX</t>
        </is>
      </c>
      <c r="G663" t="n">
        <v>3.7</v>
      </c>
      <c r="H663" t="n">
        <v>1</v>
      </c>
      <c r="I663" t="n">
        <v>0</v>
      </c>
      <c r="J663" t="n">
        <v>0</v>
      </c>
      <c r="K663" t="n">
        <v>0</v>
      </c>
      <c r="L663" t="n">
        <v>0</v>
      </c>
      <c r="M663" t="n">
        <v>0</v>
      </c>
      <c r="N663" t="n">
        <v>0</v>
      </c>
      <c r="O663" t="n">
        <v>0</v>
      </c>
      <c r="P663" t="n">
        <v>0</v>
      </c>
      <c r="Q663" t="n">
        <v>1</v>
      </c>
      <c r="R663" s="2" t="inlineStr">
        <is>
          <t>Mattlummer</t>
        </is>
      </c>
      <c r="S663">
        <f>HYPERLINK("https://klasma.github.io/Logging_2514/artfynd/A 21552-2023 artfynd.xlsx", "A 21552-2023")</f>
        <v/>
      </c>
      <c r="T663">
        <f>HYPERLINK("https://klasma.github.io/Logging_2514/kartor/A 21552-2023 karta.png", "A 21552-2023")</f>
        <v/>
      </c>
      <c r="V663">
        <f>HYPERLINK("https://klasma.github.io/Logging_2514/klagomål/A 21552-2023 FSC-klagomål.docx", "A 21552-2023")</f>
        <v/>
      </c>
      <c r="W663">
        <f>HYPERLINK("https://klasma.github.io/Logging_2514/klagomålsmail/A 21552-2023 FSC-klagomål mail.docx", "A 21552-2023")</f>
        <v/>
      </c>
      <c r="X663">
        <f>HYPERLINK("https://klasma.github.io/Logging_2514/tillsyn/A 21552-2023 tillsynsbegäran.docx", "A 21552-2023")</f>
        <v/>
      </c>
      <c r="Y663">
        <f>HYPERLINK("https://klasma.github.io/Logging_2514/tillsynsmail/A 21552-2023 tillsynsbegäran mail.docx", "A 21552-2023")</f>
        <v/>
      </c>
    </row>
    <row r="664" ht="15" customHeight="1">
      <c r="A664" t="inlineStr">
        <is>
          <t>A 36804-2025</t>
        </is>
      </c>
      <c r="B664" s="1" t="n">
        <v>45873.67907407408</v>
      </c>
      <c r="C664" s="1" t="n">
        <v>46046</v>
      </c>
      <c r="D664" t="inlineStr">
        <is>
          <t>NORRBOTTENS LÄN</t>
        </is>
      </c>
      <c r="E664" t="inlineStr">
        <is>
          <t>PITEÅ</t>
        </is>
      </c>
      <c r="F664" t="inlineStr">
        <is>
          <t>Sveaskog</t>
        </is>
      </c>
      <c r="G664" t="n">
        <v>1.2</v>
      </c>
      <c r="H664" t="n">
        <v>0</v>
      </c>
      <c r="I664" t="n">
        <v>0</v>
      </c>
      <c r="J664" t="n">
        <v>1</v>
      </c>
      <c r="K664" t="n">
        <v>0</v>
      </c>
      <c r="L664" t="n">
        <v>0</v>
      </c>
      <c r="M664" t="n">
        <v>0</v>
      </c>
      <c r="N664" t="n">
        <v>0</v>
      </c>
      <c r="O664" t="n">
        <v>1</v>
      </c>
      <c r="P664" t="n">
        <v>0</v>
      </c>
      <c r="Q664" t="n">
        <v>1</v>
      </c>
      <c r="R664" s="2" t="inlineStr">
        <is>
          <t>Granticka</t>
        </is>
      </c>
      <c r="S664">
        <f>HYPERLINK("https://klasma.github.io/Logging_2581/artfynd/A 36804-2025 artfynd.xlsx", "A 36804-2025")</f>
        <v/>
      </c>
      <c r="T664">
        <f>HYPERLINK("https://klasma.github.io/Logging_2581/kartor/A 36804-2025 karta.png", "A 36804-2025")</f>
        <v/>
      </c>
      <c r="V664">
        <f>HYPERLINK("https://klasma.github.io/Logging_2581/klagomål/A 36804-2025 FSC-klagomål.docx", "A 36804-2025")</f>
        <v/>
      </c>
      <c r="W664">
        <f>HYPERLINK("https://klasma.github.io/Logging_2581/klagomålsmail/A 36804-2025 FSC-klagomål mail.docx", "A 36804-2025")</f>
        <v/>
      </c>
      <c r="X664">
        <f>HYPERLINK("https://klasma.github.io/Logging_2581/tillsyn/A 36804-2025 tillsynsbegäran.docx", "A 36804-2025")</f>
        <v/>
      </c>
      <c r="Y664">
        <f>HYPERLINK("https://klasma.github.io/Logging_2581/tillsynsmail/A 36804-2025 tillsynsbegäran mail.docx", "A 36804-2025")</f>
        <v/>
      </c>
    </row>
    <row r="665" ht="15" customHeight="1">
      <c r="A665" t="inlineStr">
        <is>
          <t>A 36479-2025</t>
        </is>
      </c>
      <c r="B665" s="1" t="n">
        <v>45869.49376157407</v>
      </c>
      <c r="C665" s="1" t="n">
        <v>46046</v>
      </c>
      <c r="D665" t="inlineStr">
        <is>
          <t>NORRBOTTENS LÄN</t>
        </is>
      </c>
      <c r="E665" t="inlineStr">
        <is>
          <t>GÄLLIVARE</t>
        </is>
      </c>
      <c r="F665" t="inlineStr">
        <is>
          <t>Sveaskog</t>
        </is>
      </c>
      <c r="G665" t="n">
        <v>2.1</v>
      </c>
      <c r="H665" t="n">
        <v>1</v>
      </c>
      <c r="I665" t="n">
        <v>0</v>
      </c>
      <c r="J665" t="n">
        <v>0</v>
      </c>
      <c r="K665" t="n">
        <v>1</v>
      </c>
      <c r="L665" t="n">
        <v>0</v>
      </c>
      <c r="M665" t="n">
        <v>0</v>
      </c>
      <c r="N665" t="n">
        <v>0</v>
      </c>
      <c r="O665" t="n">
        <v>1</v>
      </c>
      <c r="P665" t="n">
        <v>1</v>
      </c>
      <c r="Q665" t="n">
        <v>1</v>
      </c>
      <c r="R665" s="2" t="inlineStr">
        <is>
          <t>Doftticka</t>
        </is>
      </c>
      <c r="S665">
        <f>HYPERLINK("https://klasma.github.io/Logging_2523/artfynd/A 36479-2025 artfynd.xlsx", "A 36479-2025")</f>
        <v/>
      </c>
      <c r="T665">
        <f>HYPERLINK("https://klasma.github.io/Logging_2523/kartor/A 36479-2025 karta.png", "A 36479-2025")</f>
        <v/>
      </c>
      <c r="U665">
        <f>HYPERLINK("https://klasma.github.io/Logging_2523/knärot/A 36479-2025 karta knärot.png", "A 36479-2025")</f>
        <v/>
      </c>
      <c r="V665">
        <f>HYPERLINK("https://klasma.github.io/Logging_2523/klagomål/A 36479-2025 FSC-klagomål.docx", "A 36479-2025")</f>
        <v/>
      </c>
      <c r="W665">
        <f>HYPERLINK("https://klasma.github.io/Logging_2523/klagomålsmail/A 36479-2025 FSC-klagomål mail.docx", "A 36479-2025")</f>
        <v/>
      </c>
      <c r="X665">
        <f>HYPERLINK("https://klasma.github.io/Logging_2523/tillsyn/A 36479-2025 tillsynsbegäran.docx", "A 36479-2025")</f>
        <v/>
      </c>
      <c r="Y665">
        <f>HYPERLINK("https://klasma.github.io/Logging_2523/tillsynsmail/A 36479-2025 tillsynsbegäran mail.docx", "A 36479-2025")</f>
        <v/>
      </c>
    </row>
    <row r="666" ht="15" customHeight="1">
      <c r="A666" t="inlineStr">
        <is>
          <t>A 20087-2024</t>
        </is>
      </c>
      <c r="B666" s="1" t="n">
        <v>45434.45416666667</v>
      </c>
      <c r="C666" s="1" t="n">
        <v>46046</v>
      </c>
      <c r="D666" t="inlineStr">
        <is>
          <t>NORRBOTTENS LÄN</t>
        </is>
      </c>
      <c r="E666" t="inlineStr">
        <is>
          <t>PITEÅ</t>
        </is>
      </c>
      <c r="G666" t="n">
        <v>4.3</v>
      </c>
      <c r="H666" t="n">
        <v>0</v>
      </c>
      <c r="I666" t="n">
        <v>0</v>
      </c>
      <c r="J666" t="n">
        <v>1</v>
      </c>
      <c r="K666" t="n">
        <v>0</v>
      </c>
      <c r="L666" t="n">
        <v>0</v>
      </c>
      <c r="M666" t="n">
        <v>0</v>
      </c>
      <c r="N666" t="n">
        <v>0</v>
      </c>
      <c r="O666" t="n">
        <v>1</v>
      </c>
      <c r="P666" t="n">
        <v>0</v>
      </c>
      <c r="Q666" t="n">
        <v>1</v>
      </c>
      <c r="R666" s="2" t="inlineStr">
        <is>
          <t>Gammelgransskål</t>
        </is>
      </c>
      <c r="S666">
        <f>HYPERLINK("https://klasma.github.io/Logging_2581/artfynd/A 20087-2024 artfynd.xlsx", "A 20087-2024")</f>
        <v/>
      </c>
      <c r="T666">
        <f>HYPERLINK("https://klasma.github.io/Logging_2581/kartor/A 20087-2024 karta.png", "A 20087-2024")</f>
        <v/>
      </c>
      <c r="V666">
        <f>HYPERLINK("https://klasma.github.io/Logging_2581/klagomål/A 20087-2024 FSC-klagomål.docx", "A 20087-2024")</f>
        <v/>
      </c>
      <c r="W666">
        <f>HYPERLINK("https://klasma.github.io/Logging_2581/klagomålsmail/A 20087-2024 FSC-klagomål mail.docx", "A 20087-2024")</f>
        <v/>
      </c>
      <c r="X666">
        <f>HYPERLINK("https://klasma.github.io/Logging_2581/tillsyn/A 20087-2024 tillsynsbegäran.docx", "A 20087-2024")</f>
        <v/>
      </c>
      <c r="Y666">
        <f>HYPERLINK("https://klasma.github.io/Logging_2581/tillsynsmail/A 20087-2024 tillsynsbegäran mail.docx", "A 20087-2024")</f>
        <v/>
      </c>
    </row>
    <row r="667" ht="15" customHeight="1">
      <c r="A667" t="inlineStr">
        <is>
          <t>A 46280-2024</t>
        </is>
      </c>
      <c r="B667" s="1" t="n">
        <v>45581</v>
      </c>
      <c r="C667" s="1" t="n">
        <v>46046</v>
      </c>
      <c r="D667" t="inlineStr">
        <is>
          <t>NORRBOTTENS LÄN</t>
        </is>
      </c>
      <c r="E667" t="inlineStr">
        <is>
          <t>ÖVERKALIX</t>
        </is>
      </c>
      <c r="F667" t="inlineStr">
        <is>
          <t>SCA</t>
        </is>
      </c>
      <c r="G667" t="n">
        <v>6</v>
      </c>
      <c r="H667" t="n">
        <v>1</v>
      </c>
      <c r="I667" t="n">
        <v>0</v>
      </c>
      <c r="J667" t="n">
        <v>1</v>
      </c>
      <c r="K667" t="n">
        <v>0</v>
      </c>
      <c r="L667" t="n">
        <v>0</v>
      </c>
      <c r="M667" t="n">
        <v>0</v>
      </c>
      <c r="N667" t="n">
        <v>0</v>
      </c>
      <c r="O667" t="n">
        <v>1</v>
      </c>
      <c r="P667" t="n">
        <v>0</v>
      </c>
      <c r="Q667" t="n">
        <v>1</v>
      </c>
      <c r="R667" s="2" t="inlineStr">
        <is>
          <t>Spillkråka</t>
        </is>
      </c>
      <c r="S667">
        <f>HYPERLINK("https://klasma.github.io/Logging_2513/artfynd/A 46280-2024 artfynd.xlsx", "A 46280-2024")</f>
        <v/>
      </c>
      <c r="T667">
        <f>HYPERLINK("https://klasma.github.io/Logging_2513/kartor/A 46280-2024 karta.png", "A 46280-2024")</f>
        <v/>
      </c>
      <c r="V667">
        <f>HYPERLINK("https://klasma.github.io/Logging_2513/klagomål/A 46280-2024 FSC-klagomål.docx", "A 46280-2024")</f>
        <v/>
      </c>
      <c r="W667">
        <f>HYPERLINK("https://klasma.github.io/Logging_2513/klagomålsmail/A 46280-2024 FSC-klagomål mail.docx", "A 46280-2024")</f>
        <v/>
      </c>
      <c r="X667">
        <f>HYPERLINK("https://klasma.github.io/Logging_2513/tillsyn/A 46280-2024 tillsynsbegäran.docx", "A 46280-2024")</f>
        <v/>
      </c>
      <c r="Y667">
        <f>HYPERLINK("https://klasma.github.io/Logging_2513/tillsynsmail/A 46280-2024 tillsynsbegäran mail.docx", "A 46280-2024")</f>
        <v/>
      </c>
      <c r="Z667">
        <f>HYPERLINK("https://klasma.github.io/Logging_2513/fåglar/A 46280-2024 prioriterade fågelarter.docx", "A 46280-2024")</f>
        <v/>
      </c>
    </row>
    <row r="668" ht="15" customHeight="1">
      <c r="A668" t="inlineStr">
        <is>
          <t>A 46281-2024</t>
        </is>
      </c>
      <c r="B668" s="1" t="n">
        <v>45581</v>
      </c>
      <c r="C668" s="1" t="n">
        <v>46046</v>
      </c>
      <c r="D668" t="inlineStr">
        <is>
          <t>NORRBOTTENS LÄN</t>
        </is>
      </c>
      <c r="E668" t="inlineStr">
        <is>
          <t>ÖVERKALIX</t>
        </is>
      </c>
      <c r="F668" t="inlineStr">
        <is>
          <t>SCA</t>
        </is>
      </c>
      <c r="G668" t="n">
        <v>1.2</v>
      </c>
      <c r="H668" t="n">
        <v>0</v>
      </c>
      <c r="I668" t="n">
        <v>0</v>
      </c>
      <c r="J668" t="n">
        <v>1</v>
      </c>
      <c r="K668" t="n">
        <v>0</v>
      </c>
      <c r="L668" t="n">
        <v>0</v>
      </c>
      <c r="M668" t="n">
        <v>0</v>
      </c>
      <c r="N668" t="n">
        <v>0</v>
      </c>
      <c r="O668" t="n">
        <v>1</v>
      </c>
      <c r="P668" t="n">
        <v>0</v>
      </c>
      <c r="Q668" t="n">
        <v>1</v>
      </c>
      <c r="R668" s="2" t="inlineStr">
        <is>
          <t>Blå taggsvamp</t>
        </is>
      </c>
      <c r="S668">
        <f>HYPERLINK("https://klasma.github.io/Logging_2513/artfynd/A 46281-2024 artfynd.xlsx", "A 46281-2024")</f>
        <v/>
      </c>
      <c r="T668">
        <f>HYPERLINK("https://klasma.github.io/Logging_2513/kartor/A 46281-2024 karta.png", "A 46281-2024")</f>
        <v/>
      </c>
      <c r="V668">
        <f>HYPERLINK("https://klasma.github.io/Logging_2513/klagomål/A 46281-2024 FSC-klagomål.docx", "A 46281-2024")</f>
        <v/>
      </c>
      <c r="W668">
        <f>HYPERLINK("https://klasma.github.io/Logging_2513/klagomålsmail/A 46281-2024 FSC-klagomål mail.docx", "A 46281-2024")</f>
        <v/>
      </c>
      <c r="X668">
        <f>HYPERLINK("https://klasma.github.io/Logging_2513/tillsyn/A 46281-2024 tillsynsbegäran.docx", "A 46281-2024")</f>
        <v/>
      </c>
      <c r="Y668">
        <f>HYPERLINK("https://klasma.github.io/Logging_2513/tillsynsmail/A 46281-2024 tillsynsbegäran mail.docx", "A 46281-2024")</f>
        <v/>
      </c>
    </row>
    <row r="669" ht="15" customHeight="1">
      <c r="A669" t="inlineStr">
        <is>
          <t>A 4908-2025</t>
        </is>
      </c>
      <c r="B669" s="1" t="n">
        <v>45688</v>
      </c>
      <c r="C669" s="1" t="n">
        <v>46046</v>
      </c>
      <c r="D669" t="inlineStr">
        <is>
          <t>NORRBOTTENS LÄN</t>
        </is>
      </c>
      <c r="E669" t="inlineStr">
        <is>
          <t>GÄLLIVARE</t>
        </is>
      </c>
      <c r="F669" t="inlineStr">
        <is>
          <t>SCA</t>
        </is>
      </c>
      <c r="G669" t="n">
        <v>6.4</v>
      </c>
      <c r="H669" t="n">
        <v>1</v>
      </c>
      <c r="I669" t="n">
        <v>0</v>
      </c>
      <c r="J669" t="n">
        <v>1</v>
      </c>
      <c r="K669" t="n">
        <v>0</v>
      </c>
      <c r="L669" t="n">
        <v>0</v>
      </c>
      <c r="M669" t="n">
        <v>0</v>
      </c>
      <c r="N669" t="n">
        <v>0</v>
      </c>
      <c r="O669" t="n">
        <v>1</v>
      </c>
      <c r="P669" t="n">
        <v>0</v>
      </c>
      <c r="Q669" t="n">
        <v>1</v>
      </c>
      <c r="R669" s="2" t="inlineStr">
        <is>
          <t>Utter</t>
        </is>
      </c>
      <c r="S669">
        <f>HYPERLINK("https://klasma.github.io/Logging_2523/artfynd/A 4908-2025 artfynd.xlsx", "A 4908-2025")</f>
        <v/>
      </c>
      <c r="T669">
        <f>HYPERLINK("https://klasma.github.io/Logging_2523/kartor/A 4908-2025 karta.png", "A 4908-2025")</f>
        <v/>
      </c>
      <c r="V669">
        <f>HYPERLINK("https://klasma.github.io/Logging_2523/klagomål/A 4908-2025 FSC-klagomål.docx", "A 4908-2025")</f>
        <v/>
      </c>
      <c r="W669">
        <f>HYPERLINK("https://klasma.github.io/Logging_2523/klagomålsmail/A 4908-2025 FSC-klagomål mail.docx", "A 4908-2025")</f>
        <v/>
      </c>
      <c r="X669">
        <f>HYPERLINK("https://klasma.github.io/Logging_2523/tillsyn/A 4908-2025 tillsynsbegäran.docx", "A 4908-2025")</f>
        <v/>
      </c>
      <c r="Y669">
        <f>HYPERLINK("https://klasma.github.io/Logging_2523/tillsynsmail/A 4908-2025 tillsynsbegäran mail.docx", "A 4908-2025")</f>
        <v/>
      </c>
    </row>
    <row r="670" ht="15" customHeight="1">
      <c r="A670" t="inlineStr">
        <is>
          <t>A 37182-2025</t>
        </is>
      </c>
      <c r="B670" s="1" t="n">
        <v>45875.62949074074</v>
      </c>
      <c r="C670" s="1" t="n">
        <v>46046</v>
      </c>
      <c r="D670" t="inlineStr">
        <is>
          <t>NORRBOTTENS LÄN</t>
        </is>
      </c>
      <c r="E670" t="inlineStr">
        <is>
          <t>PAJALA</t>
        </is>
      </c>
      <c r="F670" t="inlineStr">
        <is>
          <t>Sveaskog</t>
        </is>
      </c>
      <c r="G670" t="n">
        <v>4.1</v>
      </c>
      <c r="H670" t="n">
        <v>0</v>
      </c>
      <c r="I670" t="n">
        <v>0</v>
      </c>
      <c r="J670" t="n">
        <v>1</v>
      </c>
      <c r="K670" t="n">
        <v>0</v>
      </c>
      <c r="L670" t="n">
        <v>0</v>
      </c>
      <c r="M670" t="n">
        <v>0</v>
      </c>
      <c r="N670" t="n">
        <v>0</v>
      </c>
      <c r="O670" t="n">
        <v>1</v>
      </c>
      <c r="P670" t="n">
        <v>0</v>
      </c>
      <c r="Q670" t="n">
        <v>1</v>
      </c>
      <c r="R670" s="2" t="inlineStr">
        <is>
          <t>Ullticka</t>
        </is>
      </c>
      <c r="S670">
        <f>HYPERLINK("https://klasma.github.io/Logging_2521/artfynd/A 37182-2025 artfynd.xlsx", "A 37182-2025")</f>
        <v/>
      </c>
      <c r="T670">
        <f>HYPERLINK("https://klasma.github.io/Logging_2521/kartor/A 37182-2025 karta.png", "A 37182-2025")</f>
        <v/>
      </c>
      <c r="V670">
        <f>HYPERLINK("https://klasma.github.io/Logging_2521/klagomål/A 37182-2025 FSC-klagomål.docx", "A 37182-2025")</f>
        <v/>
      </c>
      <c r="W670">
        <f>HYPERLINK("https://klasma.github.io/Logging_2521/klagomålsmail/A 37182-2025 FSC-klagomål mail.docx", "A 37182-2025")</f>
        <v/>
      </c>
      <c r="X670">
        <f>HYPERLINK("https://klasma.github.io/Logging_2521/tillsyn/A 37182-2025 tillsynsbegäran.docx", "A 37182-2025")</f>
        <v/>
      </c>
      <c r="Y670">
        <f>HYPERLINK("https://klasma.github.io/Logging_2521/tillsynsmail/A 37182-2025 tillsynsbegäran mail.docx", "A 37182-2025")</f>
        <v/>
      </c>
    </row>
    <row r="671" ht="15" customHeight="1">
      <c r="A671" t="inlineStr">
        <is>
          <t>A 42554-2024</t>
        </is>
      </c>
      <c r="B671" s="1" t="n">
        <v>45565</v>
      </c>
      <c r="C671" s="1" t="n">
        <v>46046</v>
      </c>
      <c r="D671" t="inlineStr">
        <is>
          <t>NORRBOTTENS LÄN</t>
        </is>
      </c>
      <c r="E671" t="inlineStr">
        <is>
          <t>ÄLVSBYN</t>
        </is>
      </c>
      <c r="F671" t="inlineStr">
        <is>
          <t>Sveaskog</t>
        </is>
      </c>
      <c r="G671" t="n">
        <v>4.8</v>
      </c>
      <c r="H671" t="n">
        <v>1</v>
      </c>
      <c r="I671" t="n">
        <v>0</v>
      </c>
      <c r="J671" t="n">
        <v>0</v>
      </c>
      <c r="K671" t="n">
        <v>0</v>
      </c>
      <c r="L671" t="n">
        <v>0</v>
      </c>
      <c r="M671" t="n">
        <v>0</v>
      </c>
      <c r="N671" t="n">
        <v>0</v>
      </c>
      <c r="O671" t="n">
        <v>0</v>
      </c>
      <c r="P671" t="n">
        <v>0</v>
      </c>
      <c r="Q671" t="n">
        <v>1</v>
      </c>
      <c r="R671" s="2" t="inlineStr">
        <is>
          <t>Nattviol</t>
        </is>
      </c>
      <c r="S671">
        <f>HYPERLINK("https://klasma.github.io/Logging_2560/artfynd/A 42554-2024 artfynd.xlsx", "A 42554-2024")</f>
        <v/>
      </c>
      <c r="T671">
        <f>HYPERLINK("https://klasma.github.io/Logging_2560/kartor/A 42554-2024 karta.png", "A 42554-2024")</f>
        <v/>
      </c>
      <c r="V671">
        <f>HYPERLINK("https://klasma.github.io/Logging_2560/klagomål/A 42554-2024 FSC-klagomål.docx", "A 42554-2024")</f>
        <v/>
      </c>
      <c r="W671">
        <f>HYPERLINK("https://klasma.github.io/Logging_2560/klagomålsmail/A 42554-2024 FSC-klagomål mail.docx", "A 42554-2024")</f>
        <v/>
      </c>
      <c r="X671">
        <f>HYPERLINK("https://klasma.github.io/Logging_2560/tillsyn/A 42554-2024 tillsynsbegäran.docx", "A 42554-2024")</f>
        <v/>
      </c>
      <c r="Y671">
        <f>HYPERLINK("https://klasma.github.io/Logging_2560/tillsynsmail/A 42554-2024 tillsynsbegäran mail.docx", "A 42554-2024")</f>
        <v/>
      </c>
    </row>
    <row r="672" ht="15" customHeight="1">
      <c r="A672" t="inlineStr">
        <is>
          <t>A 36692-2025</t>
        </is>
      </c>
      <c r="B672" s="1" t="n">
        <v>45873.43134259259</v>
      </c>
      <c r="C672" s="1" t="n">
        <v>46046</v>
      </c>
      <c r="D672" t="inlineStr">
        <is>
          <t>NORRBOTTENS LÄN</t>
        </is>
      </c>
      <c r="E672" t="inlineStr">
        <is>
          <t>PAJALA</t>
        </is>
      </c>
      <c r="F672" t="inlineStr">
        <is>
          <t>Sveaskog</t>
        </is>
      </c>
      <c r="G672" t="n">
        <v>21.8</v>
      </c>
      <c r="H672" t="n">
        <v>0</v>
      </c>
      <c r="I672" t="n">
        <v>0</v>
      </c>
      <c r="J672" t="n">
        <v>1</v>
      </c>
      <c r="K672" t="n">
        <v>0</v>
      </c>
      <c r="L672" t="n">
        <v>0</v>
      </c>
      <c r="M672" t="n">
        <v>0</v>
      </c>
      <c r="N672" t="n">
        <v>0</v>
      </c>
      <c r="O672" t="n">
        <v>1</v>
      </c>
      <c r="P672" t="n">
        <v>0</v>
      </c>
      <c r="Q672" t="n">
        <v>1</v>
      </c>
      <c r="R672" s="2" t="inlineStr">
        <is>
          <t>Blå taggsvamp</t>
        </is>
      </c>
      <c r="S672">
        <f>HYPERLINK("https://klasma.github.io/Logging_2521/artfynd/A 36692-2025 artfynd.xlsx", "A 36692-2025")</f>
        <v/>
      </c>
      <c r="T672">
        <f>HYPERLINK("https://klasma.github.io/Logging_2521/kartor/A 36692-2025 karta.png", "A 36692-2025")</f>
        <v/>
      </c>
      <c r="V672">
        <f>HYPERLINK("https://klasma.github.io/Logging_2521/klagomål/A 36692-2025 FSC-klagomål.docx", "A 36692-2025")</f>
        <v/>
      </c>
      <c r="W672">
        <f>HYPERLINK("https://klasma.github.io/Logging_2521/klagomålsmail/A 36692-2025 FSC-klagomål mail.docx", "A 36692-2025")</f>
        <v/>
      </c>
      <c r="X672">
        <f>HYPERLINK("https://klasma.github.io/Logging_2521/tillsyn/A 36692-2025 tillsynsbegäran.docx", "A 36692-2025")</f>
        <v/>
      </c>
      <c r="Y672">
        <f>HYPERLINK("https://klasma.github.io/Logging_2521/tillsynsmail/A 36692-2025 tillsynsbegäran mail.docx", "A 36692-2025")</f>
        <v/>
      </c>
    </row>
    <row r="673" ht="15" customHeight="1">
      <c r="A673" t="inlineStr">
        <is>
          <t>A 38889-2025</t>
        </is>
      </c>
      <c r="B673" s="1" t="n">
        <v>45887.58668981482</v>
      </c>
      <c r="C673" s="1" t="n">
        <v>46046</v>
      </c>
      <c r="D673" t="inlineStr">
        <is>
          <t>NORRBOTTENS LÄN</t>
        </is>
      </c>
      <c r="E673" t="inlineStr">
        <is>
          <t>LULEÅ</t>
        </is>
      </c>
      <c r="G673" t="n">
        <v>5.5</v>
      </c>
      <c r="H673" t="n">
        <v>1</v>
      </c>
      <c r="I673" t="n">
        <v>0</v>
      </c>
      <c r="J673" t="n">
        <v>1</v>
      </c>
      <c r="K673" t="n">
        <v>0</v>
      </c>
      <c r="L673" t="n">
        <v>0</v>
      </c>
      <c r="M673" t="n">
        <v>0</v>
      </c>
      <c r="N673" t="n">
        <v>0</v>
      </c>
      <c r="O673" t="n">
        <v>1</v>
      </c>
      <c r="P673" t="n">
        <v>0</v>
      </c>
      <c r="Q673" t="n">
        <v>1</v>
      </c>
      <c r="R673" s="2" t="inlineStr">
        <is>
          <t>Svartvit flugsnappare</t>
        </is>
      </c>
      <c r="S673">
        <f>HYPERLINK("https://klasma.github.io/Logging_2580/artfynd/A 38889-2025 artfynd.xlsx", "A 38889-2025")</f>
        <v/>
      </c>
      <c r="T673">
        <f>HYPERLINK("https://klasma.github.io/Logging_2580/kartor/A 38889-2025 karta.png", "A 38889-2025")</f>
        <v/>
      </c>
      <c r="V673">
        <f>HYPERLINK("https://klasma.github.io/Logging_2580/klagomål/A 38889-2025 FSC-klagomål.docx", "A 38889-2025")</f>
        <v/>
      </c>
      <c r="W673">
        <f>HYPERLINK("https://klasma.github.io/Logging_2580/klagomålsmail/A 38889-2025 FSC-klagomål mail.docx", "A 38889-2025")</f>
        <v/>
      </c>
      <c r="X673">
        <f>HYPERLINK("https://klasma.github.io/Logging_2580/tillsyn/A 38889-2025 tillsynsbegäran.docx", "A 38889-2025")</f>
        <v/>
      </c>
      <c r="Y673">
        <f>HYPERLINK("https://klasma.github.io/Logging_2580/tillsynsmail/A 38889-2025 tillsynsbegäran mail.docx", "A 38889-2025")</f>
        <v/>
      </c>
      <c r="Z673">
        <f>HYPERLINK("https://klasma.github.io/Logging_2580/fåglar/A 38889-2025 prioriterade fågelarter.docx", "A 38889-2025")</f>
        <v/>
      </c>
    </row>
    <row r="674" ht="15" customHeight="1">
      <c r="A674" t="inlineStr">
        <is>
          <t>A 52994-2024</t>
        </is>
      </c>
      <c r="B674" s="1" t="n">
        <v>45611.37796296296</v>
      </c>
      <c r="C674" s="1" t="n">
        <v>46046</v>
      </c>
      <c r="D674" t="inlineStr">
        <is>
          <t>NORRBOTTENS LÄN</t>
        </is>
      </c>
      <c r="E674" t="inlineStr">
        <is>
          <t>JOKKMOKK</t>
        </is>
      </c>
      <c r="F674" t="inlineStr">
        <is>
          <t>Sveaskog</t>
        </is>
      </c>
      <c r="G674" t="n">
        <v>17.1</v>
      </c>
      <c r="H674" t="n">
        <v>0</v>
      </c>
      <c r="I674" t="n">
        <v>0</v>
      </c>
      <c r="J674" t="n">
        <v>1</v>
      </c>
      <c r="K674" t="n">
        <v>0</v>
      </c>
      <c r="L674" t="n">
        <v>0</v>
      </c>
      <c r="M674" t="n">
        <v>0</v>
      </c>
      <c r="N674" t="n">
        <v>0</v>
      </c>
      <c r="O674" t="n">
        <v>1</v>
      </c>
      <c r="P674" t="n">
        <v>0</v>
      </c>
      <c r="Q674" t="n">
        <v>1</v>
      </c>
      <c r="R674" s="2" t="inlineStr">
        <is>
          <t>Blå taggsvamp</t>
        </is>
      </c>
      <c r="S674">
        <f>HYPERLINK("https://klasma.github.io/Logging_2510/artfynd/A 52994-2024 artfynd.xlsx", "A 52994-2024")</f>
        <v/>
      </c>
      <c r="T674">
        <f>HYPERLINK("https://klasma.github.io/Logging_2510/kartor/A 52994-2024 karta.png", "A 52994-2024")</f>
        <v/>
      </c>
      <c r="V674">
        <f>HYPERLINK("https://klasma.github.io/Logging_2510/klagomål/A 52994-2024 FSC-klagomål.docx", "A 52994-2024")</f>
        <v/>
      </c>
      <c r="W674">
        <f>HYPERLINK("https://klasma.github.io/Logging_2510/klagomålsmail/A 52994-2024 FSC-klagomål mail.docx", "A 52994-2024")</f>
        <v/>
      </c>
      <c r="X674">
        <f>HYPERLINK("https://klasma.github.io/Logging_2510/tillsyn/A 52994-2024 tillsynsbegäran.docx", "A 52994-2024")</f>
        <v/>
      </c>
      <c r="Y674">
        <f>HYPERLINK("https://klasma.github.io/Logging_2510/tillsynsmail/A 52994-2024 tillsynsbegäran mail.docx", "A 52994-2024")</f>
        <v/>
      </c>
    </row>
    <row r="675" ht="15" customHeight="1">
      <c r="A675" t="inlineStr">
        <is>
          <t>A 23075-2024</t>
        </is>
      </c>
      <c r="B675" s="1" t="n">
        <v>45450</v>
      </c>
      <c r="C675" s="1" t="n">
        <v>46046</v>
      </c>
      <c r="D675" t="inlineStr">
        <is>
          <t>NORRBOTTENS LÄN</t>
        </is>
      </c>
      <c r="E675" t="inlineStr">
        <is>
          <t>PITEÅ</t>
        </is>
      </c>
      <c r="F675" t="inlineStr">
        <is>
          <t>Sveaskog</t>
        </is>
      </c>
      <c r="G675" t="n">
        <v>21.7</v>
      </c>
      <c r="H675" t="n">
        <v>0</v>
      </c>
      <c r="I675" t="n">
        <v>0</v>
      </c>
      <c r="J675" t="n">
        <v>1</v>
      </c>
      <c r="K675" t="n">
        <v>0</v>
      </c>
      <c r="L675" t="n">
        <v>0</v>
      </c>
      <c r="M675" t="n">
        <v>0</v>
      </c>
      <c r="N675" t="n">
        <v>0</v>
      </c>
      <c r="O675" t="n">
        <v>1</v>
      </c>
      <c r="P675" t="n">
        <v>0</v>
      </c>
      <c r="Q675" t="n">
        <v>1</v>
      </c>
      <c r="R675" s="2" t="inlineStr">
        <is>
          <t>Violmussling</t>
        </is>
      </c>
      <c r="S675">
        <f>HYPERLINK("https://klasma.github.io/Logging_2581/artfynd/A 23075-2024 artfynd.xlsx", "A 23075-2024")</f>
        <v/>
      </c>
      <c r="T675">
        <f>HYPERLINK("https://klasma.github.io/Logging_2581/kartor/A 23075-2024 karta.png", "A 23075-2024")</f>
        <v/>
      </c>
      <c r="V675">
        <f>HYPERLINK("https://klasma.github.io/Logging_2581/klagomål/A 23075-2024 FSC-klagomål.docx", "A 23075-2024")</f>
        <v/>
      </c>
      <c r="W675">
        <f>HYPERLINK("https://klasma.github.io/Logging_2581/klagomålsmail/A 23075-2024 FSC-klagomål mail.docx", "A 23075-2024")</f>
        <v/>
      </c>
      <c r="X675">
        <f>HYPERLINK("https://klasma.github.io/Logging_2581/tillsyn/A 23075-2024 tillsynsbegäran.docx", "A 23075-2024")</f>
        <v/>
      </c>
      <c r="Y675">
        <f>HYPERLINK("https://klasma.github.io/Logging_2581/tillsynsmail/A 23075-2024 tillsynsbegäran mail.docx", "A 23075-2024")</f>
        <v/>
      </c>
    </row>
    <row r="676" ht="15" customHeight="1">
      <c r="A676" t="inlineStr">
        <is>
          <t>A 37252-2025</t>
        </is>
      </c>
      <c r="B676" s="1" t="n">
        <v>45876.4228125</v>
      </c>
      <c r="C676" s="1" t="n">
        <v>46046</v>
      </c>
      <c r="D676" t="inlineStr">
        <is>
          <t>NORRBOTTENS LÄN</t>
        </is>
      </c>
      <c r="E676" t="inlineStr">
        <is>
          <t>JOKKMOKK</t>
        </is>
      </c>
      <c r="F676" t="inlineStr">
        <is>
          <t>Sveaskog</t>
        </is>
      </c>
      <c r="G676" t="n">
        <v>4.5</v>
      </c>
      <c r="H676" t="n">
        <v>1</v>
      </c>
      <c r="I676" t="n">
        <v>1</v>
      </c>
      <c r="J676" t="n">
        <v>0</v>
      </c>
      <c r="K676" t="n">
        <v>0</v>
      </c>
      <c r="L676" t="n">
        <v>0</v>
      </c>
      <c r="M676" t="n">
        <v>0</v>
      </c>
      <c r="N676" t="n">
        <v>0</v>
      </c>
      <c r="O676" t="n">
        <v>0</v>
      </c>
      <c r="P676" t="n">
        <v>0</v>
      </c>
      <c r="Q676" t="n">
        <v>1</v>
      </c>
      <c r="R676" s="2" t="inlineStr">
        <is>
          <t>Spindelblomster</t>
        </is>
      </c>
      <c r="S676">
        <f>HYPERLINK("https://klasma.github.io/Logging_2510/artfynd/A 37252-2025 artfynd.xlsx", "A 37252-2025")</f>
        <v/>
      </c>
      <c r="T676">
        <f>HYPERLINK("https://klasma.github.io/Logging_2510/kartor/A 37252-2025 karta.png", "A 37252-2025")</f>
        <v/>
      </c>
      <c r="V676">
        <f>HYPERLINK("https://klasma.github.io/Logging_2510/klagomål/A 37252-2025 FSC-klagomål.docx", "A 37252-2025")</f>
        <v/>
      </c>
      <c r="W676">
        <f>HYPERLINK("https://klasma.github.io/Logging_2510/klagomålsmail/A 37252-2025 FSC-klagomål mail.docx", "A 37252-2025")</f>
        <v/>
      </c>
      <c r="X676">
        <f>HYPERLINK("https://klasma.github.io/Logging_2510/tillsyn/A 37252-2025 tillsynsbegäran.docx", "A 37252-2025")</f>
        <v/>
      </c>
      <c r="Y676">
        <f>HYPERLINK("https://klasma.github.io/Logging_2510/tillsynsmail/A 37252-2025 tillsynsbegäran mail.docx", "A 37252-2025")</f>
        <v/>
      </c>
    </row>
    <row r="677" ht="15" customHeight="1">
      <c r="A677" t="inlineStr">
        <is>
          <t>A 37532-2025</t>
        </is>
      </c>
      <c r="B677" s="1" t="n">
        <v>45878</v>
      </c>
      <c r="C677" s="1" t="n">
        <v>46046</v>
      </c>
      <c r="D677" t="inlineStr">
        <is>
          <t>NORRBOTTENS LÄN</t>
        </is>
      </c>
      <c r="E677" t="inlineStr">
        <is>
          <t>ÄLVSBYN</t>
        </is>
      </c>
      <c r="F677" t="inlineStr">
        <is>
          <t>SCA</t>
        </is>
      </c>
      <c r="G677" t="n">
        <v>12.9</v>
      </c>
      <c r="H677" t="n">
        <v>0</v>
      </c>
      <c r="I677" t="n">
        <v>1</v>
      </c>
      <c r="J677" t="n">
        <v>0</v>
      </c>
      <c r="K677" t="n">
        <v>0</v>
      </c>
      <c r="L677" t="n">
        <v>0</v>
      </c>
      <c r="M677" t="n">
        <v>0</v>
      </c>
      <c r="N677" t="n">
        <v>0</v>
      </c>
      <c r="O677" t="n">
        <v>0</v>
      </c>
      <c r="P677" t="n">
        <v>0</v>
      </c>
      <c r="Q677" t="n">
        <v>1</v>
      </c>
      <c r="R677" s="2" t="inlineStr">
        <is>
          <t>Bollvitmossa</t>
        </is>
      </c>
      <c r="S677">
        <f>HYPERLINK("https://klasma.github.io/Logging_2560/artfynd/A 37532-2025 artfynd.xlsx", "A 37532-2025")</f>
        <v/>
      </c>
      <c r="T677">
        <f>HYPERLINK("https://klasma.github.io/Logging_2560/kartor/A 37532-2025 karta.png", "A 37532-2025")</f>
        <v/>
      </c>
      <c r="V677">
        <f>HYPERLINK("https://klasma.github.io/Logging_2560/klagomål/A 37532-2025 FSC-klagomål.docx", "A 37532-2025")</f>
        <v/>
      </c>
      <c r="W677">
        <f>HYPERLINK("https://klasma.github.io/Logging_2560/klagomålsmail/A 37532-2025 FSC-klagomål mail.docx", "A 37532-2025")</f>
        <v/>
      </c>
      <c r="X677">
        <f>HYPERLINK("https://klasma.github.io/Logging_2560/tillsyn/A 37532-2025 tillsynsbegäran.docx", "A 37532-2025")</f>
        <v/>
      </c>
      <c r="Y677">
        <f>HYPERLINK("https://klasma.github.io/Logging_2560/tillsynsmail/A 37532-2025 tillsynsbegäran mail.docx", "A 37532-2025")</f>
        <v/>
      </c>
    </row>
    <row r="678" ht="15" customHeight="1">
      <c r="A678" t="inlineStr">
        <is>
          <t>A 38660-2025</t>
        </is>
      </c>
      <c r="B678" s="1" t="n">
        <v>45884.6115162037</v>
      </c>
      <c r="C678" s="1" t="n">
        <v>46046</v>
      </c>
      <c r="D678" t="inlineStr">
        <is>
          <t>NORRBOTTENS LÄN</t>
        </is>
      </c>
      <c r="E678" t="inlineStr">
        <is>
          <t>PAJALA</t>
        </is>
      </c>
      <c r="F678" t="inlineStr">
        <is>
          <t>Sveaskog</t>
        </is>
      </c>
      <c r="G678" t="n">
        <v>8</v>
      </c>
      <c r="H678" t="n">
        <v>0</v>
      </c>
      <c r="I678" t="n">
        <v>0</v>
      </c>
      <c r="J678" t="n">
        <v>1</v>
      </c>
      <c r="K678" t="n">
        <v>0</v>
      </c>
      <c r="L678" t="n">
        <v>0</v>
      </c>
      <c r="M678" t="n">
        <v>0</v>
      </c>
      <c r="N678" t="n">
        <v>0</v>
      </c>
      <c r="O678" t="n">
        <v>1</v>
      </c>
      <c r="P678" t="n">
        <v>0</v>
      </c>
      <c r="Q678" t="n">
        <v>1</v>
      </c>
      <c r="R678" s="2" t="inlineStr">
        <is>
          <t>Orange taggsvamp</t>
        </is>
      </c>
      <c r="S678">
        <f>HYPERLINK("https://klasma.github.io/Logging_2521/artfynd/A 38660-2025 artfynd.xlsx", "A 38660-2025")</f>
        <v/>
      </c>
      <c r="T678">
        <f>HYPERLINK("https://klasma.github.io/Logging_2521/kartor/A 38660-2025 karta.png", "A 38660-2025")</f>
        <v/>
      </c>
      <c r="V678">
        <f>HYPERLINK("https://klasma.github.io/Logging_2521/klagomål/A 38660-2025 FSC-klagomål.docx", "A 38660-2025")</f>
        <v/>
      </c>
      <c r="W678">
        <f>HYPERLINK("https://klasma.github.io/Logging_2521/klagomålsmail/A 38660-2025 FSC-klagomål mail.docx", "A 38660-2025")</f>
        <v/>
      </c>
      <c r="X678">
        <f>HYPERLINK("https://klasma.github.io/Logging_2521/tillsyn/A 38660-2025 tillsynsbegäran.docx", "A 38660-2025")</f>
        <v/>
      </c>
      <c r="Y678">
        <f>HYPERLINK("https://klasma.github.io/Logging_2521/tillsynsmail/A 38660-2025 tillsynsbegäran mail.docx", "A 38660-2025")</f>
        <v/>
      </c>
    </row>
    <row r="679" ht="15" customHeight="1">
      <c r="A679" t="inlineStr">
        <is>
          <t>A 3578-2025</t>
        </is>
      </c>
      <c r="B679" s="1" t="n">
        <v>45680</v>
      </c>
      <c r="C679" s="1" t="n">
        <v>46046</v>
      </c>
      <c r="D679" t="inlineStr">
        <is>
          <t>NORRBOTTENS LÄN</t>
        </is>
      </c>
      <c r="E679" t="inlineStr">
        <is>
          <t>LULEÅ</t>
        </is>
      </c>
      <c r="G679" t="n">
        <v>3.7</v>
      </c>
      <c r="H679" t="n">
        <v>1</v>
      </c>
      <c r="I679" t="n">
        <v>0</v>
      </c>
      <c r="J679" t="n">
        <v>1</v>
      </c>
      <c r="K679" t="n">
        <v>0</v>
      </c>
      <c r="L679" t="n">
        <v>0</v>
      </c>
      <c r="M679" t="n">
        <v>0</v>
      </c>
      <c r="N679" t="n">
        <v>0</v>
      </c>
      <c r="O679" t="n">
        <v>1</v>
      </c>
      <c r="P679" t="n">
        <v>0</v>
      </c>
      <c r="Q679" t="n">
        <v>1</v>
      </c>
      <c r="R679" s="2" t="inlineStr">
        <is>
          <t>Spillkråka</t>
        </is>
      </c>
      <c r="S679">
        <f>HYPERLINK("https://klasma.github.io/Logging_2580/artfynd/A 3578-2025 artfynd.xlsx", "A 3578-2025")</f>
        <v/>
      </c>
      <c r="T679">
        <f>HYPERLINK("https://klasma.github.io/Logging_2580/kartor/A 3578-2025 karta.png", "A 3578-2025")</f>
        <v/>
      </c>
      <c r="V679">
        <f>HYPERLINK("https://klasma.github.io/Logging_2580/klagomål/A 3578-2025 FSC-klagomål.docx", "A 3578-2025")</f>
        <v/>
      </c>
      <c r="W679">
        <f>HYPERLINK("https://klasma.github.io/Logging_2580/klagomålsmail/A 3578-2025 FSC-klagomål mail.docx", "A 3578-2025")</f>
        <v/>
      </c>
      <c r="X679">
        <f>HYPERLINK("https://klasma.github.io/Logging_2580/tillsyn/A 3578-2025 tillsynsbegäran.docx", "A 3578-2025")</f>
        <v/>
      </c>
      <c r="Y679">
        <f>HYPERLINK("https://klasma.github.io/Logging_2580/tillsynsmail/A 3578-2025 tillsynsbegäran mail.docx", "A 3578-2025")</f>
        <v/>
      </c>
      <c r="Z679">
        <f>HYPERLINK("https://klasma.github.io/Logging_2580/fåglar/A 3578-2025 prioriterade fågelarter.docx", "A 3578-2025")</f>
        <v/>
      </c>
    </row>
    <row r="680" ht="15" customHeight="1">
      <c r="A680" t="inlineStr">
        <is>
          <t>A 39176-2025</t>
        </is>
      </c>
      <c r="B680" s="1" t="n">
        <v>45888.65668981482</v>
      </c>
      <c r="C680" s="1" t="n">
        <v>46046</v>
      </c>
      <c r="D680" t="inlineStr">
        <is>
          <t>NORRBOTTENS LÄN</t>
        </is>
      </c>
      <c r="E680" t="inlineStr">
        <is>
          <t>KALIX</t>
        </is>
      </c>
      <c r="F680" t="inlineStr">
        <is>
          <t>SCA</t>
        </is>
      </c>
      <c r="G680" t="n">
        <v>7.2</v>
      </c>
      <c r="H680" t="n">
        <v>1</v>
      </c>
      <c r="I680" t="n">
        <v>0</v>
      </c>
      <c r="J680" t="n">
        <v>0</v>
      </c>
      <c r="K680" t="n">
        <v>1</v>
      </c>
      <c r="L680" t="n">
        <v>0</v>
      </c>
      <c r="M680" t="n">
        <v>0</v>
      </c>
      <c r="N680" t="n">
        <v>0</v>
      </c>
      <c r="O680" t="n">
        <v>1</v>
      </c>
      <c r="P680" t="n">
        <v>1</v>
      </c>
      <c r="Q680" t="n">
        <v>1</v>
      </c>
      <c r="R680" s="2" t="inlineStr">
        <is>
          <t>Knärot</t>
        </is>
      </c>
      <c r="S680">
        <f>HYPERLINK("https://klasma.github.io/Logging_2514/artfynd/A 39176-2025 artfynd.xlsx", "A 39176-2025")</f>
        <v/>
      </c>
      <c r="T680">
        <f>HYPERLINK("https://klasma.github.io/Logging_2514/kartor/A 39176-2025 karta.png", "A 39176-2025")</f>
        <v/>
      </c>
      <c r="U680">
        <f>HYPERLINK("https://klasma.github.io/Logging_2514/knärot/A 39176-2025 karta knärot.png", "A 39176-2025")</f>
        <v/>
      </c>
      <c r="V680">
        <f>HYPERLINK("https://klasma.github.io/Logging_2514/klagomål/A 39176-2025 FSC-klagomål.docx", "A 39176-2025")</f>
        <v/>
      </c>
      <c r="W680">
        <f>HYPERLINK("https://klasma.github.io/Logging_2514/klagomålsmail/A 39176-2025 FSC-klagomål mail.docx", "A 39176-2025")</f>
        <v/>
      </c>
      <c r="X680">
        <f>HYPERLINK("https://klasma.github.io/Logging_2514/tillsyn/A 39176-2025 tillsynsbegäran.docx", "A 39176-2025")</f>
        <v/>
      </c>
      <c r="Y680">
        <f>HYPERLINK("https://klasma.github.io/Logging_2514/tillsynsmail/A 39176-2025 tillsynsbegäran mail.docx", "A 39176-2025")</f>
        <v/>
      </c>
    </row>
    <row r="681" ht="15" customHeight="1">
      <c r="A681" t="inlineStr">
        <is>
          <t>A 17428-2023</t>
        </is>
      </c>
      <c r="B681" s="1" t="n">
        <v>45035.9266087963</v>
      </c>
      <c r="C681" s="1" t="n">
        <v>46046</v>
      </c>
      <c r="D681" t="inlineStr">
        <is>
          <t>NORRBOTTENS LÄN</t>
        </is>
      </c>
      <c r="E681" t="inlineStr">
        <is>
          <t>LULEÅ</t>
        </is>
      </c>
      <c r="G681" t="n">
        <v>2</v>
      </c>
      <c r="H681" t="n">
        <v>0</v>
      </c>
      <c r="I681" t="n">
        <v>1</v>
      </c>
      <c r="J681" t="n">
        <v>0</v>
      </c>
      <c r="K681" t="n">
        <v>0</v>
      </c>
      <c r="L681" t="n">
        <v>0</v>
      </c>
      <c r="M681" t="n">
        <v>0</v>
      </c>
      <c r="N681" t="n">
        <v>0</v>
      </c>
      <c r="O681" t="n">
        <v>0</v>
      </c>
      <c r="P681" t="n">
        <v>0</v>
      </c>
      <c r="Q681" t="n">
        <v>1</v>
      </c>
      <c r="R681" s="2" t="inlineStr">
        <is>
          <t>Mindre märgborre</t>
        </is>
      </c>
      <c r="S681">
        <f>HYPERLINK("https://klasma.github.io/Logging_2580/artfynd/A 17428-2023 artfynd.xlsx", "A 17428-2023")</f>
        <v/>
      </c>
      <c r="T681">
        <f>HYPERLINK("https://klasma.github.io/Logging_2580/kartor/A 17428-2023 karta.png", "A 17428-2023")</f>
        <v/>
      </c>
      <c r="V681">
        <f>HYPERLINK("https://klasma.github.io/Logging_2580/klagomål/A 17428-2023 FSC-klagomål.docx", "A 17428-2023")</f>
        <v/>
      </c>
      <c r="W681">
        <f>HYPERLINK("https://klasma.github.io/Logging_2580/klagomålsmail/A 17428-2023 FSC-klagomål mail.docx", "A 17428-2023")</f>
        <v/>
      </c>
      <c r="X681">
        <f>HYPERLINK("https://klasma.github.io/Logging_2580/tillsyn/A 17428-2023 tillsynsbegäran.docx", "A 17428-2023")</f>
        <v/>
      </c>
      <c r="Y681">
        <f>HYPERLINK("https://klasma.github.io/Logging_2580/tillsynsmail/A 17428-2023 tillsynsbegäran mail.docx", "A 17428-2023")</f>
        <v/>
      </c>
    </row>
    <row r="682" ht="15" customHeight="1">
      <c r="A682" t="inlineStr">
        <is>
          <t>A 739-2025</t>
        </is>
      </c>
      <c r="B682" s="1" t="n">
        <v>45664</v>
      </c>
      <c r="C682" s="1" t="n">
        <v>46046</v>
      </c>
      <c r="D682" t="inlineStr">
        <is>
          <t>NORRBOTTENS LÄN</t>
        </is>
      </c>
      <c r="E682" t="inlineStr">
        <is>
          <t>LULEÅ</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HYPERLINK("https://klasma.github.io/Logging_2580/artfynd/A 739-2025 artfynd.xlsx", "A 739-2025")</f>
        <v/>
      </c>
      <c r="T682">
        <f>HYPERLINK("https://klasma.github.io/Logging_2580/kartor/A 739-2025 karta.png", "A 739-2025")</f>
        <v/>
      </c>
      <c r="U682">
        <f>HYPERLINK("https://klasma.github.io/Logging_2580/knärot/A 739-2025 karta knärot.png", "A 739-2025")</f>
        <v/>
      </c>
      <c r="V682">
        <f>HYPERLINK("https://klasma.github.io/Logging_2580/klagomål/A 739-2025 FSC-klagomål.docx", "A 739-2025")</f>
        <v/>
      </c>
      <c r="W682">
        <f>HYPERLINK("https://klasma.github.io/Logging_2580/klagomålsmail/A 739-2025 FSC-klagomål mail.docx", "A 739-2025")</f>
        <v/>
      </c>
      <c r="X682">
        <f>HYPERLINK("https://klasma.github.io/Logging_2580/tillsyn/A 739-2025 tillsynsbegäran.docx", "A 739-2025")</f>
        <v/>
      </c>
      <c r="Y682">
        <f>HYPERLINK("https://klasma.github.io/Logging_2580/tillsynsmail/A 739-2025 tillsynsbegäran mail.docx", "A 739-2025")</f>
        <v/>
      </c>
    </row>
    <row r="683" ht="15" customHeight="1">
      <c r="A683" t="inlineStr">
        <is>
          <t>A 39717-2025</t>
        </is>
      </c>
      <c r="B683" s="1" t="n">
        <v>45891.3190625</v>
      </c>
      <c r="C683" s="1" t="n">
        <v>46046</v>
      </c>
      <c r="D683" t="inlineStr">
        <is>
          <t>NORRBOTTENS LÄN</t>
        </is>
      </c>
      <c r="E683" t="inlineStr">
        <is>
          <t>BODEN</t>
        </is>
      </c>
      <c r="G683" t="n">
        <v>13.9</v>
      </c>
      <c r="H683" t="n">
        <v>1</v>
      </c>
      <c r="I683" t="n">
        <v>0</v>
      </c>
      <c r="J683" t="n">
        <v>0</v>
      </c>
      <c r="K683" t="n">
        <v>0</v>
      </c>
      <c r="L683" t="n">
        <v>0</v>
      </c>
      <c r="M683" t="n">
        <v>0</v>
      </c>
      <c r="N683" t="n">
        <v>0</v>
      </c>
      <c r="O683" t="n">
        <v>0</v>
      </c>
      <c r="P683" t="n">
        <v>0</v>
      </c>
      <c r="Q683" t="n">
        <v>1</v>
      </c>
      <c r="R683" s="2" t="inlineStr">
        <is>
          <t>Fläcknycklar</t>
        </is>
      </c>
      <c r="S683">
        <f>HYPERLINK("https://klasma.github.io/Logging_2582/artfynd/A 39717-2025 artfynd.xlsx", "A 39717-2025")</f>
        <v/>
      </c>
      <c r="T683">
        <f>HYPERLINK("https://klasma.github.io/Logging_2582/kartor/A 39717-2025 karta.png", "A 39717-2025")</f>
        <v/>
      </c>
      <c r="V683">
        <f>HYPERLINK("https://klasma.github.io/Logging_2582/klagomål/A 39717-2025 FSC-klagomål.docx", "A 39717-2025")</f>
        <v/>
      </c>
      <c r="W683">
        <f>HYPERLINK("https://klasma.github.io/Logging_2582/klagomålsmail/A 39717-2025 FSC-klagomål mail.docx", "A 39717-2025")</f>
        <v/>
      </c>
      <c r="X683">
        <f>HYPERLINK("https://klasma.github.io/Logging_2582/tillsyn/A 39717-2025 tillsynsbegäran.docx", "A 39717-2025")</f>
        <v/>
      </c>
      <c r="Y683">
        <f>HYPERLINK("https://klasma.github.io/Logging_2582/tillsynsmail/A 39717-2025 tillsynsbegäran mail.docx", "A 39717-2025")</f>
        <v/>
      </c>
    </row>
    <row r="684" ht="15" customHeight="1">
      <c r="A684" t="inlineStr">
        <is>
          <t>A 39850-2025</t>
        </is>
      </c>
      <c r="B684" s="1" t="n">
        <v>45891.58591435185</v>
      </c>
      <c r="C684" s="1" t="n">
        <v>46046</v>
      </c>
      <c r="D684" t="inlineStr">
        <is>
          <t>NORRBOTTENS LÄN</t>
        </is>
      </c>
      <c r="E684" t="inlineStr">
        <is>
          <t>JOKKMOKK</t>
        </is>
      </c>
      <c r="F684" t="inlineStr">
        <is>
          <t>Sveaskog</t>
        </is>
      </c>
      <c r="G684" t="n">
        <v>4.5</v>
      </c>
      <c r="H684" t="n">
        <v>0</v>
      </c>
      <c r="I684" t="n">
        <v>0</v>
      </c>
      <c r="J684" t="n">
        <v>1</v>
      </c>
      <c r="K684" t="n">
        <v>0</v>
      </c>
      <c r="L684" t="n">
        <v>0</v>
      </c>
      <c r="M684" t="n">
        <v>0</v>
      </c>
      <c r="N684" t="n">
        <v>0</v>
      </c>
      <c r="O684" t="n">
        <v>1</v>
      </c>
      <c r="P684" t="n">
        <v>0</v>
      </c>
      <c r="Q684" t="n">
        <v>1</v>
      </c>
      <c r="R684" s="2" t="inlineStr">
        <is>
          <t>Blanksvart spiklav</t>
        </is>
      </c>
      <c r="S684">
        <f>HYPERLINK("https://klasma.github.io/Logging_2510/artfynd/A 39850-2025 artfynd.xlsx", "A 39850-2025")</f>
        <v/>
      </c>
      <c r="T684">
        <f>HYPERLINK("https://klasma.github.io/Logging_2510/kartor/A 39850-2025 karta.png", "A 39850-2025")</f>
        <v/>
      </c>
      <c r="U684">
        <f>HYPERLINK("https://klasma.github.io/Logging_2510/knärot/A 39850-2025 karta knärot.png", "A 39850-2025")</f>
        <v/>
      </c>
      <c r="V684">
        <f>HYPERLINK("https://klasma.github.io/Logging_2510/klagomål/A 39850-2025 FSC-klagomål.docx", "A 39850-2025")</f>
        <v/>
      </c>
      <c r="W684">
        <f>HYPERLINK("https://klasma.github.io/Logging_2510/klagomålsmail/A 39850-2025 FSC-klagomål mail.docx", "A 39850-2025")</f>
        <v/>
      </c>
      <c r="X684">
        <f>HYPERLINK("https://klasma.github.io/Logging_2510/tillsyn/A 39850-2025 tillsynsbegäran.docx", "A 39850-2025")</f>
        <v/>
      </c>
      <c r="Y684">
        <f>HYPERLINK("https://klasma.github.io/Logging_2510/tillsynsmail/A 39850-2025 tillsynsbegäran mail.docx", "A 39850-2025")</f>
        <v/>
      </c>
    </row>
    <row r="685" ht="15" customHeight="1">
      <c r="A685" t="inlineStr">
        <is>
          <t>A 58032-2024</t>
        </is>
      </c>
      <c r="B685" s="1" t="n">
        <v>45631.7077199074</v>
      </c>
      <c r="C685" s="1" t="n">
        <v>46046</v>
      </c>
      <c r="D685" t="inlineStr">
        <is>
          <t>NORRBOTTENS LÄN</t>
        </is>
      </c>
      <c r="E685" t="inlineStr">
        <is>
          <t>PITEÅ</t>
        </is>
      </c>
      <c r="G685" t="n">
        <v>1.2</v>
      </c>
      <c r="H685" t="n">
        <v>0</v>
      </c>
      <c r="I685" t="n">
        <v>0</v>
      </c>
      <c r="J685" t="n">
        <v>1</v>
      </c>
      <c r="K685" t="n">
        <v>0</v>
      </c>
      <c r="L685" t="n">
        <v>0</v>
      </c>
      <c r="M685" t="n">
        <v>0</v>
      </c>
      <c r="N685" t="n">
        <v>0</v>
      </c>
      <c r="O685" t="n">
        <v>1</v>
      </c>
      <c r="P685" t="n">
        <v>0</v>
      </c>
      <c r="Q685" t="n">
        <v>1</v>
      </c>
      <c r="R685" s="2" t="inlineStr">
        <is>
          <t>Granticka</t>
        </is>
      </c>
      <c r="S685">
        <f>HYPERLINK("https://klasma.github.io/Logging_2581/artfynd/A 58032-2024 artfynd.xlsx", "A 58032-2024")</f>
        <v/>
      </c>
      <c r="T685">
        <f>HYPERLINK("https://klasma.github.io/Logging_2581/kartor/A 58032-2024 karta.png", "A 58032-2024")</f>
        <v/>
      </c>
      <c r="V685">
        <f>HYPERLINK("https://klasma.github.io/Logging_2581/klagomål/A 58032-2024 FSC-klagomål.docx", "A 58032-2024")</f>
        <v/>
      </c>
      <c r="W685">
        <f>HYPERLINK("https://klasma.github.io/Logging_2581/klagomålsmail/A 58032-2024 FSC-klagomål mail.docx", "A 58032-2024")</f>
        <v/>
      </c>
      <c r="X685">
        <f>HYPERLINK("https://klasma.github.io/Logging_2581/tillsyn/A 58032-2024 tillsynsbegäran.docx", "A 58032-2024")</f>
        <v/>
      </c>
      <c r="Y685">
        <f>HYPERLINK("https://klasma.github.io/Logging_2581/tillsynsmail/A 58032-2024 tillsynsbegäran mail.docx", "A 58032-2024")</f>
        <v/>
      </c>
    </row>
    <row r="686" ht="15" customHeight="1">
      <c r="A686" t="inlineStr">
        <is>
          <t>A 49525-2024</t>
        </is>
      </c>
      <c r="B686" s="1" t="n">
        <v>45596</v>
      </c>
      <c r="C686" s="1" t="n">
        <v>46046</v>
      </c>
      <c r="D686" t="inlineStr">
        <is>
          <t>NORRBOTTENS LÄN</t>
        </is>
      </c>
      <c r="E686" t="inlineStr">
        <is>
          <t>JOKKMOKK</t>
        </is>
      </c>
      <c r="F686" t="inlineStr">
        <is>
          <t>SCA</t>
        </is>
      </c>
      <c r="G686" t="n">
        <v>2.5</v>
      </c>
      <c r="H686" t="n">
        <v>0</v>
      </c>
      <c r="I686" t="n">
        <v>0</v>
      </c>
      <c r="J686" t="n">
        <v>0</v>
      </c>
      <c r="K686" t="n">
        <v>1</v>
      </c>
      <c r="L686" t="n">
        <v>0</v>
      </c>
      <c r="M686" t="n">
        <v>0</v>
      </c>
      <c r="N686" t="n">
        <v>0</v>
      </c>
      <c r="O686" t="n">
        <v>1</v>
      </c>
      <c r="P686" t="n">
        <v>1</v>
      </c>
      <c r="Q686" t="n">
        <v>1</v>
      </c>
      <c r="R686" s="2" t="inlineStr">
        <is>
          <t>Ringlav</t>
        </is>
      </c>
      <c r="S686">
        <f>HYPERLINK("https://klasma.github.io/Logging_2510/artfynd/A 49525-2024 artfynd.xlsx", "A 49525-2024")</f>
        <v/>
      </c>
      <c r="T686">
        <f>HYPERLINK("https://klasma.github.io/Logging_2510/kartor/A 49525-2024 karta.png", "A 49525-2024")</f>
        <v/>
      </c>
      <c r="V686">
        <f>HYPERLINK("https://klasma.github.io/Logging_2510/klagomål/A 49525-2024 FSC-klagomål.docx", "A 49525-2024")</f>
        <v/>
      </c>
      <c r="W686">
        <f>HYPERLINK("https://klasma.github.io/Logging_2510/klagomålsmail/A 49525-2024 FSC-klagomål mail.docx", "A 49525-2024")</f>
        <v/>
      </c>
      <c r="X686">
        <f>HYPERLINK("https://klasma.github.io/Logging_2510/tillsyn/A 49525-2024 tillsynsbegäran.docx", "A 49525-2024")</f>
        <v/>
      </c>
      <c r="Y686">
        <f>HYPERLINK("https://klasma.github.io/Logging_2510/tillsynsmail/A 49525-2024 tillsynsbegäran mail.docx", "A 49525-2024")</f>
        <v/>
      </c>
    </row>
    <row r="687" ht="15" customHeight="1">
      <c r="A687" t="inlineStr">
        <is>
          <t>A 40116-2025</t>
        </is>
      </c>
      <c r="B687" s="1" t="n">
        <v>45894.51512731481</v>
      </c>
      <c r="C687" s="1" t="n">
        <v>46046</v>
      </c>
      <c r="D687" t="inlineStr">
        <is>
          <t>NORRBOTTENS LÄN</t>
        </is>
      </c>
      <c r="E687" t="inlineStr">
        <is>
          <t>ÖVERKALIX</t>
        </is>
      </c>
      <c r="F687" t="inlineStr">
        <is>
          <t>Sveaskog</t>
        </is>
      </c>
      <c r="G687" t="n">
        <v>29.7</v>
      </c>
      <c r="H687" t="n">
        <v>0</v>
      </c>
      <c r="I687" t="n">
        <v>0</v>
      </c>
      <c r="J687" t="n">
        <v>1</v>
      </c>
      <c r="K687" t="n">
        <v>0</v>
      </c>
      <c r="L687" t="n">
        <v>0</v>
      </c>
      <c r="M687" t="n">
        <v>0</v>
      </c>
      <c r="N687" t="n">
        <v>0</v>
      </c>
      <c r="O687" t="n">
        <v>1</v>
      </c>
      <c r="P687" t="n">
        <v>0</v>
      </c>
      <c r="Q687" t="n">
        <v>1</v>
      </c>
      <c r="R687" s="2" t="inlineStr">
        <is>
          <t>Skrovellav</t>
        </is>
      </c>
      <c r="S687">
        <f>HYPERLINK("https://klasma.github.io/Logging_2513/artfynd/A 40116-2025 artfynd.xlsx", "A 40116-2025")</f>
        <v/>
      </c>
      <c r="T687">
        <f>HYPERLINK("https://klasma.github.io/Logging_2513/kartor/A 40116-2025 karta.png", "A 40116-2025")</f>
        <v/>
      </c>
      <c r="V687">
        <f>HYPERLINK("https://klasma.github.io/Logging_2513/klagomål/A 40116-2025 FSC-klagomål.docx", "A 40116-2025")</f>
        <v/>
      </c>
      <c r="W687">
        <f>HYPERLINK("https://klasma.github.io/Logging_2513/klagomålsmail/A 40116-2025 FSC-klagomål mail.docx", "A 40116-2025")</f>
        <v/>
      </c>
      <c r="X687">
        <f>HYPERLINK("https://klasma.github.io/Logging_2513/tillsyn/A 40116-2025 tillsynsbegäran.docx", "A 40116-2025")</f>
        <v/>
      </c>
      <c r="Y687">
        <f>HYPERLINK("https://klasma.github.io/Logging_2513/tillsynsmail/A 40116-2025 tillsynsbegäran mail.docx", "A 40116-2025")</f>
        <v/>
      </c>
    </row>
    <row r="688" ht="15" customHeight="1">
      <c r="A688" t="inlineStr">
        <is>
          <t>A 56592-2023</t>
        </is>
      </c>
      <c r="B688" s="1" t="n">
        <v>45243.64162037037</v>
      </c>
      <c r="C688" s="1" t="n">
        <v>46046</v>
      </c>
      <c r="D688" t="inlineStr">
        <is>
          <t>NORRBOTTENS LÄN</t>
        </is>
      </c>
      <c r="E688" t="inlineStr">
        <is>
          <t>PITEÅ</t>
        </is>
      </c>
      <c r="F688" t="inlineStr">
        <is>
          <t>Sveaskog</t>
        </is>
      </c>
      <c r="G688" t="n">
        <v>22.6</v>
      </c>
      <c r="H688" t="n">
        <v>1</v>
      </c>
      <c r="I688" t="n">
        <v>0</v>
      </c>
      <c r="J688" t="n">
        <v>0</v>
      </c>
      <c r="K688" t="n">
        <v>0</v>
      </c>
      <c r="L688" t="n">
        <v>0</v>
      </c>
      <c r="M688" t="n">
        <v>0</v>
      </c>
      <c r="N688" t="n">
        <v>0</v>
      </c>
      <c r="O688" t="n">
        <v>0</v>
      </c>
      <c r="P688" t="n">
        <v>0</v>
      </c>
      <c r="Q688" t="n">
        <v>1</v>
      </c>
      <c r="R688" s="2" t="inlineStr">
        <is>
          <t>Mattlummer</t>
        </is>
      </c>
      <c r="S688">
        <f>HYPERLINK("https://klasma.github.io/Logging_2581/artfynd/A 56592-2023 artfynd.xlsx", "A 56592-2023")</f>
        <v/>
      </c>
      <c r="T688">
        <f>HYPERLINK("https://klasma.github.io/Logging_2581/kartor/A 56592-2023 karta.png", "A 56592-2023")</f>
        <v/>
      </c>
      <c r="V688">
        <f>HYPERLINK("https://klasma.github.io/Logging_2581/klagomål/A 56592-2023 FSC-klagomål.docx", "A 56592-2023")</f>
        <v/>
      </c>
      <c r="W688">
        <f>HYPERLINK("https://klasma.github.io/Logging_2581/klagomålsmail/A 56592-2023 FSC-klagomål mail.docx", "A 56592-2023")</f>
        <v/>
      </c>
      <c r="X688">
        <f>HYPERLINK("https://klasma.github.io/Logging_2581/tillsyn/A 56592-2023 tillsynsbegäran.docx", "A 56592-2023")</f>
        <v/>
      </c>
      <c r="Y688">
        <f>HYPERLINK("https://klasma.github.io/Logging_2581/tillsynsmail/A 56592-2023 tillsynsbegäran mail.docx", "A 56592-2023")</f>
        <v/>
      </c>
    </row>
    <row r="689" ht="15" customHeight="1">
      <c r="A689" t="inlineStr">
        <is>
          <t>A 40131-2025</t>
        </is>
      </c>
      <c r="B689" s="1" t="n">
        <v>45894</v>
      </c>
      <c r="C689" s="1" t="n">
        <v>46046</v>
      </c>
      <c r="D689" t="inlineStr">
        <is>
          <t>NORRBOTTENS LÄN</t>
        </is>
      </c>
      <c r="E689" t="inlineStr">
        <is>
          <t>PAJALA</t>
        </is>
      </c>
      <c r="F689" t="inlineStr">
        <is>
          <t>Sveaskog</t>
        </is>
      </c>
      <c r="G689" t="n">
        <v>13.5</v>
      </c>
      <c r="H689" t="n">
        <v>1</v>
      </c>
      <c r="I689" t="n">
        <v>1</v>
      </c>
      <c r="J689" t="n">
        <v>0</v>
      </c>
      <c r="K689" t="n">
        <v>0</v>
      </c>
      <c r="L689" t="n">
        <v>0</v>
      </c>
      <c r="M689" t="n">
        <v>0</v>
      </c>
      <c r="N689" t="n">
        <v>0</v>
      </c>
      <c r="O689" t="n">
        <v>0</v>
      </c>
      <c r="P689" t="n">
        <v>0</v>
      </c>
      <c r="Q689" t="n">
        <v>1</v>
      </c>
      <c r="R689" s="2" t="inlineStr">
        <is>
          <t>Spindelblomster</t>
        </is>
      </c>
      <c r="S689">
        <f>HYPERLINK("https://klasma.github.io/Logging_2521/artfynd/A 40131-2025 artfynd.xlsx", "A 40131-2025")</f>
        <v/>
      </c>
      <c r="T689">
        <f>HYPERLINK("https://klasma.github.io/Logging_2521/kartor/A 40131-2025 karta.png", "A 40131-2025")</f>
        <v/>
      </c>
      <c r="V689">
        <f>HYPERLINK("https://klasma.github.io/Logging_2521/klagomål/A 40131-2025 FSC-klagomål.docx", "A 40131-2025")</f>
        <v/>
      </c>
      <c r="W689">
        <f>HYPERLINK("https://klasma.github.io/Logging_2521/klagomålsmail/A 40131-2025 FSC-klagomål mail.docx", "A 40131-2025")</f>
        <v/>
      </c>
      <c r="X689">
        <f>HYPERLINK("https://klasma.github.io/Logging_2521/tillsyn/A 40131-2025 tillsynsbegäran.docx", "A 40131-2025")</f>
        <v/>
      </c>
      <c r="Y689">
        <f>HYPERLINK("https://klasma.github.io/Logging_2521/tillsynsmail/A 40131-2025 tillsynsbegäran mail.docx", "A 40131-2025")</f>
        <v/>
      </c>
    </row>
    <row r="690" ht="15" customHeight="1">
      <c r="A690" t="inlineStr">
        <is>
          <t>A 25528-2024</t>
        </is>
      </c>
      <c r="B690" s="1" t="n">
        <v>45463</v>
      </c>
      <c r="C690" s="1" t="n">
        <v>46046</v>
      </c>
      <c r="D690" t="inlineStr">
        <is>
          <t>NORRBOTTENS LÄN</t>
        </is>
      </c>
      <c r="E690" t="inlineStr">
        <is>
          <t>LULEÅ</t>
        </is>
      </c>
      <c r="G690" t="n">
        <v>1.4</v>
      </c>
      <c r="H690" t="n">
        <v>0</v>
      </c>
      <c r="I690" t="n">
        <v>0</v>
      </c>
      <c r="J690" t="n">
        <v>1</v>
      </c>
      <c r="K690" t="n">
        <v>0</v>
      </c>
      <c r="L690" t="n">
        <v>0</v>
      </c>
      <c r="M690" t="n">
        <v>0</v>
      </c>
      <c r="N690" t="n">
        <v>0</v>
      </c>
      <c r="O690" t="n">
        <v>1</v>
      </c>
      <c r="P690" t="n">
        <v>0</v>
      </c>
      <c r="Q690" t="n">
        <v>1</v>
      </c>
      <c r="R690" s="2" t="inlineStr">
        <is>
          <t>Granticka</t>
        </is>
      </c>
      <c r="S690">
        <f>HYPERLINK("https://klasma.github.io/Logging_2580/artfynd/A 25528-2024 artfynd.xlsx", "A 25528-2024")</f>
        <v/>
      </c>
      <c r="T690">
        <f>HYPERLINK("https://klasma.github.io/Logging_2580/kartor/A 25528-2024 karta.png", "A 25528-2024")</f>
        <v/>
      </c>
      <c r="V690">
        <f>HYPERLINK("https://klasma.github.io/Logging_2580/klagomål/A 25528-2024 FSC-klagomål.docx", "A 25528-2024")</f>
        <v/>
      </c>
      <c r="W690">
        <f>HYPERLINK("https://klasma.github.io/Logging_2580/klagomålsmail/A 25528-2024 FSC-klagomål mail.docx", "A 25528-2024")</f>
        <v/>
      </c>
      <c r="X690">
        <f>HYPERLINK("https://klasma.github.io/Logging_2580/tillsyn/A 25528-2024 tillsynsbegäran.docx", "A 25528-2024")</f>
        <v/>
      </c>
      <c r="Y690">
        <f>HYPERLINK("https://klasma.github.io/Logging_2580/tillsynsmail/A 25528-2024 tillsynsbegäran mail.docx", "A 25528-2024")</f>
        <v/>
      </c>
    </row>
    <row r="691" ht="15" customHeight="1">
      <c r="A691" t="inlineStr">
        <is>
          <t>A 40122-2025</t>
        </is>
      </c>
      <c r="B691" s="1" t="n">
        <v>45894.52885416667</v>
      </c>
      <c r="C691" s="1" t="n">
        <v>46046</v>
      </c>
      <c r="D691" t="inlineStr">
        <is>
          <t>NORRBOTTENS LÄN</t>
        </is>
      </c>
      <c r="E691" t="inlineStr">
        <is>
          <t>ÄLVSBYN</t>
        </is>
      </c>
      <c r="F691" t="inlineStr">
        <is>
          <t>Sveaskog</t>
        </is>
      </c>
      <c r="G691" t="n">
        <v>30</v>
      </c>
      <c r="H691" t="n">
        <v>0</v>
      </c>
      <c r="I691" t="n">
        <v>0</v>
      </c>
      <c r="J691" t="n">
        <v>1</v>
      </c>
      <c r="K691" t="n">
        <v>0</v>
      </c>
      <c r="L691" t="n">
        <v>0</v>
      </c>
      <c r="M691" t="n">
        <v>0</v>
      </c>
      <c r="N691" t="n">
        <v>0</v>
      </c>
      <c r="O691" t="n">
        <v>1</v>
      </c>
      <c r="P691" t="n">
        <v>0</v>
      </c>
      <c r="Q691" t="n">
        <v>1</v>
      </c>
      <c r="R691" s="2" t="inlineStr">
        <is>
          <t>Vedflamlav</t>
        </is>
      </c>
      <c r="S691">
        <f>HYPERLINK("https://klasma.github.io/Logging_2560/artfynd/A 40122-2025 artfynd.xlsx", "A 40122-2025")</f>
        <v/>
      </c>
      <c r="T691">
        <f>HYPERLINK("https://klasma.github.io/Logging_2560/kartor/A 40122-2025 karta.png", "A 40122-2025")</f>
        <v/>
      </c>
      <c r="V691">
        <f>HYPERLINK("https://klasma.github.io/Logging_2560/klagomål/A 40122-2025 FSC-klagomål.docx", "A 40122-2025")</f>
        <v/>
      </c>
      <c r="W691">
        <f>HYPERLINK("https://klasma.github.io/Logging_2560/klagomålsmail/A 40122-2025 FSC-klagomål mail.docx", "A 40122-2025")</f>
        <v/>
      </c>
      <c r="X691">
        <f>HYPERLINK("https://klasma.github.io/Logging_2560/tillsyn/A 40122-2025 tillsynsbegäran.docx", "A 40122-2025")</f>
        <v/>
      </c>
      <c r="Y691">
        <f>HYPERLINK("https://klasma.github.io/Logging_2560/tillsynsmail/A 40122-2025 tillsynsbegäran mail.docx", "A 40122-2025")</f>
        <v/>
      </c>
    </row>
    <row r="692" ht="15" customHeight="1">
      <c r="A692" t="inlineStr">
        <is>
          <t>A 25701-2025</t>
        </is>
      </c>
      <c r="B692" s="1" t="n">
        <v>45803.67</v>
      </c>
      <c r="C692" s="1" t="n">
        <v>46046</v>
      </c>
      <c r="D692" t="inlineStr">
        <is>
          <t>NORRBOTTENS LÄN</t>
        </is>
      </c>
      <c r="E692" t="inlineStr">
        <is>
          <t>BODEN</t>
        </is>
      </c>
      <c r="F692" t="inlineStr">
        <is>
          <t>Sveaskog</t>
        </is>
      </c>
      <c r="G692" t="n">
        <v>8.800000000000001</v>
      </c>
      <c r="H692" t="n">
        <v>0</v>
      </c>
      <c r="I692" t="n">
        <v>0</v>
      </c>
      <c r="J692" t="n">
        <v>1</v>
      </c>
      <c r="K692" t="n">
        <v>0</v>
      </c>
      <c r="L692" t="n">
        <v>0</v>
      </c>
      <c r="M692" t="n">
        <v>0</v>
      </c>
      <c r="N692" t="n">
        <v>0</v>
      </c>
      <c r="O692" t="n">
        <v>1</v>
      </c>
      <c r="P692" t="n">
        <v>0</v>
      </c>
      <c r="Q692" t="n">
        <v>1</v>
      </c>
      <c r="R692" s="2" t="inlineStr">
        <is>
          <t>Lunglav</t>
        </is>
      </c>
      <c r="S692">
        <f>HYPERLINK("https://klasma.github.io/Logging_2582/artfynd/A 25701-2025 artfynd.xlsx", "A 25701-2025")</f>
        <v/>
      </c>
      <c r="T692">
        <f>HYPERLINK("https://klasma.github.io/Logging_2582/kartor/A 25701-2025 karta.png", "A 25701-2025")</f>
        <v/>
      </c>
      <c r="V692">
        <f>HYPERLINK("https://klasma.github.io/Logging_2582/klagomål/A 25701-2025 FSC-klagomål.docx", "A 25701-2025")</f>
        <v/>
      </c>
      <c r="W692">
        <f>HYPERLINK("https://klasma.github.io/Logging_2582/klagomålsmail/A 25701-2025 FSC-klagomål mail.docx", "A 25701-2025")</f>
        <v/>
      </c>
      <c r="X692">
        <f>HYPERLINK("https://klasma.github.io/Logging_2582/tillsyn/A 25701-2025 tillsynsbegäran.docx", "A 25701-2025")</f>
        <v/>
      </c>
      <c r="Y692">
        <f>HYPERLINK("https://klasma.github.io/Logging_2582/tillsynsmail/A 25701-2025 tillsynsbegäran mail.docx", "A 25701-2025")</f>
        <v/>
      </c>
    </row>
    <row r="693" ht="15" customHeight="1">
      <c r="A693" t="inlineStr">
        <is>
          <t>A 30592-2023</t>
        </is>
      </c>
      <c r="B693" s="1" t="n">
        <v>45112</v>
      </c>
      <c r="C693" s="1" t="n">
        <v>46046</v>
      </c>
      <c r="D693" t="inlineStr">
        <is>
          <t>NORRBOTTENS LÄN</t>
        </is>
      </c>
      <c r="E693" t="inlineStr">
        <is>
          <t>ARJEPLOG</t>
        </is>
      </c>
      <c r="F693" t="inlineStr">
        <is>
          <t>Allmännings- och besparingsskogar</t>
        </is>
      </c>
      <c r="G693" t="n">
        <v>19</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30592-2023 artfynd.xlsx", "A 30592-2023")</f>
        <v/>
      </c>
      <c r="T693">
        <f>HYPERLINK("https://klasma.github.io/Logging_2506/kartor/A 30592-2023 karta.png", "A 30592-2023")</f>
        <v/>
      </c>
      <c r="V693">
        <f>HYPERLINK("https://klasma.github.io/Logging_2506/klagomål/A 30592-2023 FSC-klagomål.docx", "A 30592-2023")</f>
        <v/>
      </c>
      <c r="W693">
        <f>HYPERLINK("https://klasma.github.io/Logging_2506/klagomålsmail/A 30592-2023 FSC-klagomål mail.docx", "A 30592-2023")</f>
        <v/>
      </c>
      <c r="X693">
        <f>HYPERLINK("https://klasma.github.io/Logging_2506/tillsyn/A 30592-2023 tillsynsbegäran.docx", "A 30592-2023")</f>
        <v/>
      </c>
      <c r="Y693">
        <f>HYPERLINK("https://klasma.github.io/Logging_2506/tillsynsmail/A 30592-2023 tillsynsbegäran mail.docx", "A 30592-2023")</f>
        <v/>
      </c>
      <c r="Z693">
        <f>HYPERLINK("https://klasma.github.io/Logging_2506/fåglar/A 30592-2023 prioriterade fågelarter.docx", "A 30592-2023")</f>
        <v/>
      </c>
    </row>
    <row r="694" ht="15" customHeight="1">
      <c r="A694" t="inlineStr">
        <is>
          <t>A 41338-2025</t>
        </is>
      </c>
      <c r="B694" s="1" t="n">
        <v>45899.37550925926</v>
      </c>
      <c r="C694" s="1" t="n">
        <v>46046</v>
      </c>
      <c r="D694" t="inlineStr">
        <is>
          <t>NORRBOTTENS LÄN</t>
        </is>
      </c>
      <c r="E694" t="inlineStr">
        <is>
          <t>PAJALA</t>
        </is>
      </c>
      <c r="F694" t="inlineStr">
        <is>
          <t>Sveaskog</t>
        </is>
      </c>
      <c r="G694" t="n">
        <v>2</v>
      </c>
      <c r="H694" t="n">
        <v>0</v>
      </c>
      <c r="I694" t="n">
        <v>0</v>
      </c>
      <c r="J694" t="n">
        <v>1</v>
      </c>
      <c r="K694" t="n">
        <v>0</v>
      </c>
      <c r="L694" t="n">
        <v>0</v>
      </c>
      <c r="M694" t="n">
        <v>0</v>
      </c>
      <c r="N694" t="n">
        <v>0</v>
      </c>
      <c r="O694" t="n">
        <v>1</v>
      </c>
      <c r="P694" t="n">
        <v>0</v>
      </c>
      <c r="Q694" t="n">
        <v>1</v>
      </c>
      <c r="R694" s="2" t="inlineStr">
        <is>
          <t>Garnlav</t>
        </is>
      </c>
      <c r="S694">
        <f>HYPERLINK("https://klasma.github.io/Logging_2521/artfynd/A 41338-2025 artfynd.xlsx", "A 41338-2025")</f>
        <v/>
      </c>
      <c r="T694">
        <f>HYPERLINK("https://klasma.github.io/Logging_2521/kartor/A 41338-2025 karta.png", "A 41338-2025")</f>
        <v/>
      </c>
      <c r="V694">
        <f>HYPERLINK("https://klasma.github.io/Logging_2521/klagomål/A 41338-2025 FSC-klagomål.docx", "A 41338-2025")</f>
        <v/>
      </c>
      <c r="W694">
        <f>HYPERLINK("https://klasma.github.io/Logging_2521/klagomålsmail/A 41338-2025 FSC-klagomål mail.docx", "A 41338-2025")</f>
        <v/>
      </c>
      <c r="X694">
        <f>HYPERLINK("https://klasma.github.io/Logging_2521/tillsyn/A 41338-2025 tillsynsbegäran.docx", "A 41338-2025")</f>
        <v/>
      </c>
      <c r="Y694">
        <f>HYPERLINK("https://klasma.github.io/Logging_2521/tillsynsmail/A 41338-2025 tillsynsbegäran mail.docx", "A 41338-2025")</f>
        <v/>
      </c>
    </row>
    <row r="695" ht="15" customHeight="1">
      <c r="A695" t="inlineStr">
        <is>
          <t>A 42048-2025</t>
        </is>
      </c>
      <c r="B695" s="1" t="n">
        <v>45903</v>
      </c>
      <c r="C695" s="1" t="n">
        <v>46046</v>
      </c>
      <c r="D695" t="inlineStr">
        <is>
          <t>NORRBOTTENS LÄN</t>
        </is>
      </c>
      <c r="E695" t="inlineStr">
        <is>
          <t>PITEÅ</t>
        </is>
      </c>
      <c r="F695" t="inlineStr">
        <is>
          <t>Sveaskog</t>
        </is>
      </c>
      <c r="G695" t="n">
        <v>10.9</v>
      </c>
      <c r="H695" t="n">
        <v>0</v>
      </c>
      <c r="I695" t="n">
        <v>0</v>
      </c>
      <c r="J695" t="n">
        <v>1</v>
      </c>
      <c r="K695" t="n">
        <v>0</v>
      </c>
      <c r="L695" t="n">
        <v>0</v>
      </c>
      <c r="M695" t="n">
        <v>0</v>
      </c>
      <c r="N695" t="n">
        <v>0</v>
      </c>
      <c r="O695" t="n">
        <v>1</v>
      </c>
      <c r="P695" t="n">
        <v>0</v>
      </c>
      <c r="Q695" t="n">
        <v>1</v>
      </c>
      <c r="R695" s="2" t="inlineStr">
        <is>
          <t>Lunglav</t>
        </is>
      </c>
      <c r="S695">
        <f>HYPERLINK("https://klasma.github.io/Logging_2581/artfynd/A 42048-2025 artfynd.xlsx", "A 42048-2025")</f>
        <v/>
      </c>
      <c r="T695">
        <f>HYPERLINK("https://klasma.github.io/Logging_2581/kartor/A 42048-2025 karta.png", "A 42048-2025")</f>
        <v/>
      </c>
      <c r="V695">
        <f>HYPERLINK("https://klasma.github.io/Logging_2581/klagomål/A 42048-2025 FSC-klagomål.docx", "A 42048-2025")</f>
        <v/>
      </c>
      <c r="W695">
        <f>HYPERLINK("https://klasma.github.io/Logging_2581/klagomålsmail/A 42048-2025 FSC-klagomål mail.docx", "A 42048-2025")</f>
        <v/>
      </c>
      <c r="X695">
        <f>HYPERLINK("https://klasma.github.io/Logging_2581/tillsyn/A 42048-2025 tillsynsbegäran.docx", "A 42048-2025")</f>
        <v/>
      </c>
      <c r="Y695">
        <f>HYPERLINK("https://klasma.github.io/Logging_2581/tillsynsmail/A 42048-2025 tillsynsbegäran mail.docx", "A 42048-2025")</f>
        <v/>
      </c>
    </row>
    <row r="696" ht="15" customHeight="1">
      <c r="A696" t="inlineStr">
        <is>
          <t>A 41703-2025</t>
        </is>
      </c>
      <c r="B696" s="1" t="n">
        <v>45902.4184375</v>
      </c>
      <c r="C696" s="1" t="n">
        <v>46046</v>
      </c>
      <c r="D696" t="inlineStr">
        <is>
          <t>NORRBOTTENS LÄN</t>
        </is>
      </c>
      <c r="E696" t="inlineStr">
        <is>
          <t>PITEÅ</t>
        </is>
      </c>
      <c r="G696" t="n">
        <v>3.2</v>
      </c>
      <c r="H696" t="n">
        <v>0</v>
      </c>
      <c r="I696" t="n">
        <v>1</v>
      </c>
      <c r="J696" t="n">
        <v>0</v>
      </c>
      <c r="K696" t="n">
        <v>0</v>
      </c>
      <c r="L696" t="n">
        <v>0</v>
      </c>
      <c r="M696" t="n">
        <v>0</v>
      </c>
      <c r="N696" t="n">
        <v>0</v>
      </c>
      <c r="O696" t="n">
        <v>0</v>
      </c>
      <c r="P696" t="n">
        <v>0</v>
      </c>
      <c r="Q696" t="n">
        <v>1</v>
      </c>
      <c r="R696" s="2" t="inlineStr">
        <is>
          <t>Skinnlav</t>
        </is>
      </c>
      <c r="S696">
        <f>HYPERLINK("https://klasma.github.io/Logging_2581/artfynd/A 41703-2025 artfynd.xlsx", "A 41703-2025")</f>
        <v/>
      </c>
      <c r="T696">
        <f>HYPERLINK("https://klasma.github.io/Logging_2581/kartor/A 41703-2025 karta.png", "A 41703-2025")</f>
        <v/>
      </c>
      <c r="V696">
        <f>HYPERLINK("https://klasma.github.io/Logging_2581/klagomål/A 41703-2025 FSC-klagomål.docx", "A 41703-2025")</f>
        <v/>
      </c>
      <c r="W696">
        <f>HYPERLINK("https://klasma.github.io/Logging_2581/klagomålsmail/A 41703-2025 FSC-klagomål mail.docx", "A 41703-2025")</f>
        <v/>
      </c>
      <c r="X696">
        <f>HYPERLINK("https://klasma.github.io/Logging_2581/tillsyn/A 41703-2025 tillsynsbegäran.docx", "A 41703-2025")</f>
        <v/>
      </c>
      <c r="Y696">
        <f>HYPERLINK("https://klasma.github.io/Logging_2581/tillsynsmail/A 41703-2025 tillsynsbegäran mail.docx", "A 41703-2025")</f>
        <v/>
      </c>
    </row>
    <row r="697" ht="15" customHeight="1">
      <c r="A697" t="inlineStr">
        <is>
          <t>A 23157-2024</t>
        </is>
      </c>
      <c r="B697" s="1" t="n">
        <v>45450</v>
      </c>
      <c r="C697" s="1" t="n">
        <v>46046</v>
      </c>
      <c r="D697" t="inlineStr">
        <is>
          <t>NORRBOTTENS LÄN</t>
        </is>
      </c>
      <c r="E697" t="inlineStr">
        <is>
          <t>ÖVERKALIX</t>
        </is>
      </c>
      <c r="F697" t="inlineStr">
        <is>
          <t>Sveaskog</t>
        </is>
      </c>
      <c r="G697" t="n">
        <v>5.9</v>
      </c>
      <c r="H697" t="n">
        <v>0</v>
      </c>
      <c r="I697" t="n">
        <v>1</v>
      </c>
      <c r="J697" t="n">
        <v>0</v>
      </c>
      <c r="K697" t="n">
        <v>0</v>
      </c>
      <c r="L697" t="n">
        <v>0</v>
      </c>
      <c r="M697" t="n">
        <v>0</v>
      </c>
      <c r="N697" t="n">
        <v>0</v>
      </c>
      <c r="O697" t="n">
        <v>0</v>
      </c>
      <c r="P697" t="n">
        <v>0</v>
      </c>
      <c r="Q697" t="n">
        <v>1</v>
      </c>
      <c r="R697" s="2" t="inlineStr">
        <is>
          <t>Bollvitmossa</t>
        </is>
      </c>
      <c r="S697">
        <f>HYPERLINK("https://klasma.github.io/Logging_2513/artfynd/A 23157-2024 artfynd.xlsx", "A 23157-2024")</f>
        <v/>
      </c>
      <c r="T697">
        <f>HYPERLINK("https://klasma.github.io/Logging_2513/kartor/A 23157-2024 karta.png", "A 23157-2024")</f>
        <v/>
      </c>
      <c r="V697">
        <f>HYPERLINK("https://klasma.github.io/Logging_2513/klagomål/A 23157-2024 FSC-klagomål.docx", "A 23157-2024")</f>
        <v/>
      </c>
      <c r="W697">
        <f>HYPERLINK("https://klasma.github.io/Logging_2513/klagomålsmail/A 23157-2024 FSC-klagomål mail.docx", "A 23157-2024")</f>
        <v/>
      </c>
      <c r="X697">
        <f>HYPERLINK("https://klasma.github.io/Logging_2513/tillsyn/A 23157-2024 tillsynsbegäran.docx", "A 23157-2024")</f>
        <v/>
      </c>
      <c r="Y697">
        <f>HYPERLINK("https://klasma.github.io/Logging_2513/tillsynsmail/A 23157-2024 tillsynsbegäran mail.docx", "A 23157-2024")</f>
        <v/>
      </c>
    </row>
    <row r="698" ht="15" customHeight="1">
      <c r="A698" t="inlineStr">
        <is>
          <t>A 42285-2025</t>
        </is>
      </c>
      <c r="B698" s="1" t="n">
        <v>45904.6202662037</v>
      </c>
      <c r="C698" s="1" t="n">
        <v>46046</v>
      </c>
      <c r="D698" t="inlineStr">
        <is>
          <t>NORRBOTTENS LÄN</t>
        </is>
      </c>
      <c r="E698" t="inlineStr">
        <is>
          <t>ÖVERKALIX</t>
        </is>
      </c>
      <c r="G698" t="n">
        <v>0.3</v>
      </c>
      <c r="H698" t="n">
        <v>1</v>
      </c>
      <c r="I698" t="n">
        <v>0</v>
      </c>
      <c r="J698" t="n">
        <v>0</v>
      </c>
      <c r="K698" t="n">
        <v>0</v>
      </c>
      <c r="L698" t="n">
        <v>0</v>
      </c>
      <c r="M698" t="n">
        <v>0</v>
      </c>
      <c r="N698" t="n">
        <v>0</v>
      </c>
      <c r="O698" t="n">
        <v>0</v>
      </c>
      <c r="P698" t="n">
        <v>0</v>
      </c>
      <c r="Q698" t="n">
        <v>1</v>
      </c>
      <c r="R698" s="2" t="inlineStr">
        <is>
          <t>Vanlig padda</t>
        </is>
      </c>
      <c r="S698">
        <f>HYPERLINK("https://klasma.github.io/Logging_2513/artfynd/A 42285-2025 artfynd.xlsx", "A 42285-2025")</f>
        <v/>
      </c>
      <c r="T698">
        <f>HYPERLINK("https://klasma.github.io/Logging_2513/kartor/A 42285-2025 karta.png", "A 42285-2025")</f>
        <v/>
      </c>
      <c r="V698">
        <f>HYPERLINK("https://klasma.github.io/Logging_2513/klagomål/A 42285-2025 FSC-klagomål.docx", "A 42285-2025")</f>
        <v/>
      </c>
      <c r="W698">
        <f>HYPERLINK("https://klasma.github.io/Logging_2513/klagomålsmail/A 42285-2025 FSC-klagomål mail.docx", "A 42285-2025")</f>
        <v/>
      </c>
      <c r="X698">
        <f>HYPERLINK("https://klasma.github.io/Logging_2513/tillsyn/A 42285-2025 tillsynsbegäran.docx", "A 42285-2025")</f>
        <v/>
      </c>
      <c r="Y698">
        <f>HYPERLINK("https://klasma.github.io/Logging_2513/tillsynsmail/A 42285-2025 tillsynsbegäran mail.docx", "A 42285-2025")</f>
        <v/>
      </c>
    </row>
    <row r="699" ht="15" customHeight="1">
      <c r="A699" t="inlineStr">
        <is>
          <t>A 42543-2025</t>
        </is>
      </c>
      <c r="B699" s="1" t="n">
        <v>45905.57864583333</v>
      </c>
      <c r="C699" s="1" t="n">
        <v>46046</v>
      </c>
      <c r="D699" t="inlineStr">
        <is>
          <t>NORRBOTTENS LÄN</t>
        </is>
      </c>
      <c r="E699" t="inlineStr">
        <is>
          <t>PAJALA</t>
        </is>
      </c>
      <c r="F699" t="inlineStr">
        <is>
          <t>Sveaskog</t>
        </is>
      </c>
      <c r="G699" t="n">
        <v>14.7</v>
      </c>
      <c r="H699" t="n">
        <v>0</v>
      </c>
      <c r="I699" t="n">
        <v>1</v>
      </c>
      <c r="J699" t="n">
        <v>0</v>
      </c>
      <c r="K699" t="n">
        <v>0</v>
      </c>
      <c r="L699" t="n">
        <v>0</v>
      </c>
      <c r="M699" t="n">
        <v>0</v>
      </c>
      <c r="N699" t="n">
        <v>0</v>
      </c>
      <c r="O699" t="n">
        <v>0</v>
      </c>
      <c r="P699" t="n">
        <v>0</v>
      </c>
      <c r="Q699" t="n">
        <v>1</v>
      </c>
      <c r="R699" s="2" t="inlineStr">
        <is>
          <t>Dropptaggsvamp</t>
        </is>
      </c>
      <c r="S699">
        <f>HYPERLINK("https://klasma.github.io/Logging_2521/artfynd/A 42543-2025 artfynd.xlsx", "A 42543-2025")</f>
        <v/>
      </c>
      <c r="T699">
        <f>HYPERLINK("https://klasma.github.io/Logging_2521/kartor/A 42543-2025 karta.png", "A 42543-2025")</f>
        <v/>
      </c>
      <c r="V699">
        <f>HYPERLINK("https://klasma.github.io/Logging_2521/klagomål/A 42543-2025 FSC-klagomål.docx", "A 42543-2025")</f>
        <v/>
      </c>
      <c r="W699">
        <f>HYPERLINK("https://klasma.github.io/Logging_2521/klagomålsmail/A 42543-2025 FSC-klagomål mail.docx", "A 42543-2025")</f>
        <v/>
      </c>
      <c r="X699">
        <f>HYPERLINK("https://klasma.github.io/Logging_2521/tillsyn/A 42543-2025 tillsynsbegäran.docx", "A 42543-2025")</f>
        <v/>
      </c>
      <c r="Y699">
        <f>HYPERLINK("https://klasma.github.io/Logging_2521/tillsynsmail/A 42543-2025 tillsynsbegäran mail.docx", "A 42543-2025")</f>
        <v/>
      </c>
    </row>
    <row r="700" ht="15" customHeight="1">
      <c r="A700" t="inlineStr">
        <is>
          <t>A 41436-2025</t>
        </is>
      </c>
      <c r="B700" s="1" t="n">
        <v>45901</v>
      </c>
      <c r="C700" s="1" t="n">
        <v>46046</v>
      </c>
      <c r="D700" t="inlineStr">
        <is>
          <t>NORRBOTTENS LÄN</t>
        </is>
      </c>
      <c r="E700" t="inlineStr">
        <is>
          <t>BODEN</t>
        </is>
      </c>
      <c r="F700" t="inlineStr">
        <is>
          <t>Sveaskog</t>
        </is>
      </c>
      <c r="G700" t="n">
        <v>21.5</v>
      </c>
      <c r="H700" t="n">
        <v>1</v>
      </c>
      <c r="I700" t="n">
        <v>0</v>
      </c>
      <c r="J700" t="n">
        <v>0</v>
      </c>
      <c r="K700" t="n">
        <v>0</v>
      </c>
      <c r="L700" t="n">
        <v>0</v>
      </c>
      <c r="M700" t="n">
        <v>0</v>
      </c>
      <c r="N700" t="n">
        <v>0</v>
      </c>
      <c r="O700" t="n">
        <v>0</v>
      </c>
      <c r="P700" t="n">
        <v>0</v>
      </c>
      <c r="Q700" t="n">
        <v>1</v>
      </c>
      <c r="R700" s="2" t="inlineStr">
        <is>
          <t>Fläcknycklar</t>
        </is>
      </c>
      <c r="S700">
        <f>HYPERLINK("https://klasma.github.io/Logging_2582/artfynd/A 41436-2025 artfynd.xlsx", "A 41436-2025")</f>
        <v/>
      </c>
      <c r="T700">
        <f>HYPERLINK("https://klasma.github.io/Logging_2582/kartor/A 41436-2025 karta.png", "A 41436-2025")</f>
        <v/>
      </c>
      <c r="V700">
        <f>HYPERLINK("https://klasma.github.io/Logging_2582/klagomål/A 41436-2025 FSC-klagomål.docx", "A 41436-2025")</f>
        <v/>
      </c>
      <c r="W700">
        <f>HYPERLINK("https://klasma.github.io/Logging_2582/klagomålsmail/A 41436-2025 FSC-klagomål mail.docx", "A 41436-2025")</f>
        <v/>
      </c>
      <c r="X700">
        <f>HYPERLINK("https://klasma.github.io/Logging_2582/tillsyn/A 41436-2025 tillsynsbegäran.docx", "A 41436-2025")</f>
        <v/>
      </c>
      <c r="Y700">
        <f>HYPERLINK("https://klasma.github.io/Logging_2582/tillsynsmail/A 41436-2025 tillsynsbegäran mail.docx", "A 41436-2025")</f>
        <v/>
      </c>
    </row>
    <row r="701" ht="15" customHeight="1">
      <c r="A701" t="inlineStr">
        <is>
          <t>A 43046-2025</t>
        </is>
      </c>
      <c r="B701" s="1" t="n">
        <v>45909.56116898148</v>
      </c>
      <c r="C701" s="1" t="n">
        <v>46046</v>
      </c>
      <c r="D701" t="inlineStr">
        <is>
          <t>NORRBOTTENS LÄN</t>
        </is>
      </c>
      <c r="E701" t="inlineStr">
        <is>
          <t>ÖVERKALIX</t>
        </is>
      </c>
      <c r="G701" t="n">
        <v>4.4</v>
      </c>
      <c r="H701" t="n">
        <v>0</v>
      </c>
      <c r="I701" t="n">
        <v>0</v>
      </c>
      <c r="J701" t="n">
        <v>1</v>
      </c>
      <c r="K701" t="n">
        <v>0</v>
      </c>
      <c r="L701" t="n">
        <v>0</v>
      </c>
      <c r="M701" t="n">
        <v>0</v>
      </c>
      <c r="N701" t="n">
        <v>0</v>
      </c>
      <c r="O701" t="n">
        <v>1</v>
      </c>
      <c r="P701" t="n">
        <v>0</v>
      </c>
      <c r="Q701" t="n">
        <v>1</v>
      </c>
      <c r="R701" s="2" t="inlineStr">
        <is>
          <t>Skrovlig taggsvamp</t>
        </is>
      </c>
      <c r="S701">
        <f>HYPERLINK("https://klasma.github.io/Logging_2513/artfynd/A 43046-2025 artfynd.xlsx", "A 43046-2025")</f>
        <v/>
      </c>
      <c r="T701">
        <f>HYPERLINK("https://klasma.github.io/Logging_2513/kartor/A 43046-2025 karta.png", "A 43046-2025")</f>
        <v/>
      </c>
      <c r="V701">
        <f>HYPERLINK("https://klasma.github.io/Logging_2513/klagomål/A 43046-2025 FSC-klagomål.docx", "A 43046-2025")</f>
        <v/>
      </c>
      <c r="W701">
        <f>HYPERLINK("https://klasma.github.io/Logging_2513/klagomålsmail/A 43046-2025 FSC-klagomål mail.docx", "A 43046-2025")</f>
        <v/>
      </c>
      <c r="X701">
        <f>HYPERLINK("https://klasma.github.io/Logging_2513/tillsyn/A 43046-2025 tillsynsbegäran.docx", "A 43046-2025")</f>
        <v/>
      </c>
      <c r="Y701">
        <f>HYPERLINK("https://klasma.github.io/Logging_2513/tillsynsmail/A 43046-2025 tillsynsbegäran mail.docx", "A 43046-2025")</f>
        <v/>
      </c>
    </row>
    <row r="702" ht="15" customHeight="1">
      <c r="A702" t="inlineStr">
        <is>
          <t>A 35276-2024</t>
        </is>
      </c>
      <c r="B702" s="1" t="n">
        <v>45530</v>
      </c>
      <c r="C702" s="1" t="n">
        <v>46046</v>
      </c>
      <c r="D702" t="inlineStr">
        <is>
          <t>NORRBOTTENS LÄN</t>
        </is>
      </c>
      <c r="E702" t="inlineStr">
        <is>
          <t>PAJALA</t>
        </is>
      </c>
      <c r="F702" t="inlineStr">
        <is>
          <t>Allmännings- och besparingsskogar</t>
        </is>
      </c>
      <c r="G702" t="n">
        <v>5.1</v>
      </c>
      <c r="H702" t="n">
        <v>0</v>
      </c>
      <c r="I702" t="n">
        <v>0</v>
      </c>
      <c r="J702" t="n">
        <v>1</v>
      </c>
      <c r="K702" t="n">
        <v>0</v>
      </c>
      <c r="L702" t="n">
        <v>0</v>
      </c>
      <c r="M702" t="n">
        <v>0</v>
      </c>
      <c r="N702" t="n">
        <v>0</v>
      </c>
      <c r="O702" t="n">
        <v>1</v>
      </c>
      <c r="P702" t="n">
        <v>0</v>
      </c>
      <c r="Q702" t="n">
        <v>1</v>
      </c>
      <c r="R702" s="2" t="inlineStr">
        <is>
          <t>Garnlav</t>
        </is>
      </c>
      <c r="S702">
        <f>HYPERLINK("https://klasma.github.io/Logging_2521/artfynd/A 35276-2024 artfynd.xlsx", "A 35276-2024")</f>
        <v/>
      </c>
      <c r="T702">
        <f>HYPERLINK("https://klasma.github.io/Logging_2521/kartor/A 35276-2024 karta.png", "A 35276-2024")</f>
        <v/>
      </c>
      <c r="V702">
        <f>HYPERLINK("https://klasma.github.io/Logging_2521/klagomål/A 35276-2024 FSC-klagomål.docx", "A 35276-2024")</f>
        <v/>
      </c>
      <c r="W702">
        <f>HYPERLINK("https://klasma.github.io/Logging_2521/klagomålsmail/A 35276-2024 FSC-klagomål mail.docx", "A 35276-2024")</f>
        <v/>
      </c>
      <c r="X702">
        <f>HYPERLINK("https://klasma.github.io/Logging_2521/tillsyn/A 35276-2024 tillsynsbegäran.docx", "A 35276-2024")</f>
        <v/>
      </c>
      <c r="Y702">
        <f>HYPERLINK("https://klasma.github.io/Logging_2521/tillsynsmail/A 35276-2024 tillsynsbegäran mail.docx", "A 35276-2024")</f>
        <v/>
      </c>
    </row>
    <row r="703" ht="15" customHeight="1">
      <c r="A703" t="inlineStr">
        <is>
          <t>A 18671-2024</t>
        </is>
      </c>
      <c r="B703" s="1" t="n">
        <v>45426</v>
      </c>
      <c r="C703" s="1" t="n">
        <v>46046</v>
      </c>
      <c r="D703" t="inlineStr">
        <is>
          <t>NORRBOTTENS LÄN</t>
        </is>
      </c>
      <c r="E703" t="inlineStr">
        <is>
          <t>ÖVERTORNEÅ</t>
        </is>
      </c>
      <c r="F703" t="inlineStr">
        <is>
          <t>Sveaskog</t>
        </is>
      </c>
      <c r="G703" t="n">
        <v>35.2</v>
      </c>
      <c r="H703" t="n">
        <v>0</v>
      </c>
      <c r="I703" t="n">
        <v>0</v>
      </c>
      <c r="J703" t="n">
        <v>1</v>
      </c>
      <c r="K703" t="n">
        <v>0</v>
      </c>
      <c r="L703" t="n">
        <v>0</v>
      </c>
      <c r="M703" t="n">
        <v>0</v>
      </c>
      <c r="N703" t="n">
        <v>0</v>
      </c>
      <c r="O703" t="n">
        <v>1</v>
      </c>
      <c r="P703" t="n">
        <v>0</v>
      </c>
      <c r="Q703" t="n">
        <v>1</v>
      </c>
      <c r="R703" s="2" t="inlineStr">
        <is>
          <t>Röd trolldruva</t>
        </is>
      </c>
      <c r="S703">
        <f>HYPERLINK("https://klasma.github.io/Logging_2518/artfynd/A 18671-2024 artfynd.xlsx", "A 18671-2024")</f>
        <v/>
      </c>
      <c r="T703">
        <f>HYPERLINK("https://klasma.github.io/Logging_2518/kartor/A 18671-2024 karta.png", "A 18671-2024")</f>
        <v/>
      </c>
      <c r="V703">
        <f>HYPERLINK("https://klasma.github.io/Logging_2518/klagomål/A 18671-2024 FSC-klagomål.docx", "A 18671-2024")</f>
        <v/>
      </c>
      <c r="W703">
        <f>HYPERLINK("https://klasma.github.io/Logging_2518/klagomålsmail/A 18671-2024 FSC-klagomål mail.docx", "A 18671-2024")</f>
        <v/>
      </c>
      <c r="X703">
        <f>HYPERLINK("https://klasma.github.io/Logging_2518/tillsyn/A 18671-2024 tillsynsbegäran.docx", "A 18671-2024")</f>
        <v/>
      </c>
      <c r="Y703">
        <f>HYPERLINK("https://klasma.github.io/Logging_2518/tillsynsmail/A 18671-2024 tillsynsbegäran mail.docx", "A 18671-2024")</f>
        <v/>
      </c>
    </row>
    <row r="704" ht="15" customHeight="1">
      <c r="A704" t="inlineStr">
        <is>
          <t>A 43663-2025</t>
        </is>
      </c>
      <c r="B704" s="1" t="n">
        <v>45912.34770833333</v>
      </c>
      <c r="C704" s="1" t="n">
        <v>46046</v>
      </c>
      <c r="D704" t="inlineStr">
        <is>
          <t>NORRBOTTENS LÄN</t>
        </is>
      </c>
      <c r="E704" t="inlineStr">
        <is>
          <t>PAJALA</t>
        </is>
      </c>
      <c r="F704" t="inlineStr">
        <is>
          <t>Sveaskog</t>
        </is>
      </c>
      <c r="G704" t="n">
        <v>2.6</v>
      </c>
      <c r="H704" t="n">
        <v>1</v>
      </c>
      <c r="I704" t="n">
        <v>0</v>
      </c>
      <c r="J704" t="n">
        <v>0</v>
      </c>
      <c r="K704" t="n">
        <v>1</v>
      </c>
      <c r="L704" t="n">
        <v>0</v>
      </c>
      <c r="M704" t="n">
        <v>0</v>
      </c>
      <c r="N704" t="n">
        <v>0</v>
      </c>
      <c r="O704" t="n">
        <v>1</v>
      </c>
      <c r="P704" t="n">
        <v>1</v>
      </c>
      <c r="Q704" t="n">
        <v>1</v>
      </c>
      <c r="R704" s="2" t="inlineStr">
        <is>
          <t>Doftticka</t>
        </is>
      </c>
      <c r="S704">
        <f>HYPERLINK("https://klasma.github.io/Logging_2521/artfynd/A 43663-2025 artfynd.xlsx", "A 43663-2025")</f>
        <v/>
      </c>
      <c r="T704">
        <f>HYPERLINK("https://klasma.github.io/Logging_2521/kartor/A 43663-2025 karta.png", "A 43663-2025")</f>
        <v/>
      </c>
      <c r="V704">
        <f>HYPERLINK("https://klasma.github.io/Logging_2521/klagomål/A 43663-2025 FSC-klagomål.docx", "A 43663-2025")</f>
        <v/>
      </c>
      <c r="W704">
        <f>HYPERLINK("https://klasma.github.io/Logging_2521/klagomålsmail/A 43663-2025 FSC-klagomål mail.docx", "A 43663-2025")</f>
        <v/>
      </c>
      <c r="X704">
        <f>HYPERLINK("https://klasma.github.io/Logging_2521/tillsyn/A 43663-2025 tillsynsbegäran.docx", "A 43663-2025")</f>
        <v/>
      </c>
      <c r="Y704">
        <f>HYPERLINK("https://klasma.github.io/Logging_2521/tillsynsmail/A 43663-2025 tillsynsbegäran mail.docx", "A 43663-2025")</f>
        <v/>
      </c>
    </row>
    <row r="705" ht="15" customHeight="1">
      <c r="A705" t="inlineStr">
        <is>
          <t>A 44234-2025</t>
        </is>
      </c>
      <c r="B705" s="1" t="n">
        <v>45915.65525462963</v>
      </c>
      <c r="C705" s="1" t="n">
        <v>46046</v>
      </c>
      <c r="D705" t="inlineStr">
        <is>
          <t>NORRBOTTENS LÄN</t>
        </is>
      </c>
      <c r="E705" t="inlineStr">
        <is>
          <t>JOKKMOKK</t>
        </is>
      </c>
      <c r="F705" t="inlineStr">
        <is>
          <t>Sveaskog</t>
        </is>
      </c>
      <c r="G705" t="n">
        <v>1.6</v>
      </c>
      <c r="H705" t="n">
        <v>0</v>
      </c>
      <c r="I705" t="n">
        <v>0</v>
      </c>
      <c r="J705" t="n">
        <v>1</v>
      </c>
      <c r="K705" t="n">
        <v>0</v>
      </c>
      <c r="L705" t="n">
        <v>0</v>
      </c>
      <c r="M705" t="n">
        <v>0</v>
      </c>
      <c r="N705" t="n">
        <v>0</v>
      </c>
      <c r="O705" t="n">
        <v>1</v>
      </c>
      <c r="P705" t="n">
        <v>0</v>
      </c>
      <c r="Q705" t="n">
        <v>1</v>
      </c>
      <c r="R705" s="2" t="inlineStr">
        <is>
          <t>Vedflamlav</t>
        </is>
      </c>
      <c r="S705">
        <f>HYPERLINK("https://klasma.github.io/Logging_2510/artfynd/A 44234-2025 artfynd.xlsx", "A 44234-2025")</f>
        <v/>
      </c>
      <c r="T705">
        <f>HYPERLINK("https://klasma.github.io/Logging_2510/kartor/A 44234-2025 karta.png", "A 44234-2025")</f>
        <v/>
      </c>
      <c r="V705">
        <f>HYPERLINK("https://klasma.github.io/Logging_2510/klagomål/A 44234-2025 FSC-klagomål.docx", "A 44234-2025")</f>
        <v/>
      </c>
      <c r="W705">
        <f>HYPERLINK("https://klasma.github.io/Logging_2510/klagomålsmail/A 44234-2025 FSC-klagomål mail.docx", "A 44234-2025")</f>
        <v/>
      </c>
      <c r="X705">
        <f>HYPERLINK("https://klasma.github.io/Logging_2510/tillsyn/A 44234-2025 tillsynsbegäran.docx", "A 44234-2025")</f>
        <v/>
      </c>
      <c r="Y705">
        <f>HYPERLINK("https://klasma.github.io/Logging_2510/tillsynsmail/A 44234-2025 tillsynsbegäran mail.docx", "A 44234-2025")</f>
        <v/>
      </c>
    </row>
    <row r="706" ht="15" customHeight="1">
      <c r="A706" t="inlineStr">
        <is>
          <t>A 43978-2025</t>
        </is>
      </c>
      <c r="B706" s="1" t="n">
        <v>45915</v>
      </c>
      <c r="C706" s="1" t="n">
        <v>46046</v>
      </c>
      <c r="D706" t="inlineStr">
        <is>
          <t>NORRBOTTENS LÄN</t>
        </is>
      </c>
      <c r="E706" t="inlineStr">
        <is>
          <t>LULEÅ</t>
        </is>
      </c>
      <c r="G706" t="n">
        <v>1.7</v>
      </c>
      <c r="H706" t="n">
        <v>1</v>
      </c>
      <c r="I706" t="n">
        <v>0</v>
      </c>
      <c r="J706" t="n">
        <v>0</v>
      </c>
      <c r="K706" t="n">
        <v>0</v>
      </c>
      <c r="L706" t="n">
        <v>0</v>
      </c>
      <c r="M706" t="n">
        <v>0</v>
      </c>
      <c r="N706" t="n">
        <v>0</v>
      </c>
      <c r="O706" t="n">
        <v>0</v>
      </c>
      <c r="P706" t="n">
        <v>0</v>
      </c>
      <c r="Q706" t="n">
        <v>1</v>
      </c>
      <c r="R706" s="2" t="inlineStr">
        <is>
          <t>Revlummer</t>
        </is>
      </c>
      <c r="S706">
        <f>HYPERLINK("https://klasma.github.io/Logging_2580/artfynd/A 43978-2025 artfynd.xlsx", "A 43978-2025")</f>
        <v/>
      </c>
      <c r="T706">
        <f>HYPERLINK("https://klasma.github.io/Logging_2580/kartor/A 43978-2025 karta.png", "A 43978-2025")</f>
        <v/>
      </c>
      <c r="V706">
        <f>HYPERLINK("https://klasma.github.io/Logging_2580/klagomål/A 43978-2025 FSC-klagomål.docx", "A 43978-2025")</f>
        <v/>
      </c>
      <c r="W706">
        <f>HYPERLINK("https://klasma.github.io/Logging_2580/klagomålsmail/A 43978-2025 FSC-klagomål mail.docx", "A 43978-2025")</f>
        <v/>
      </c>
      <c r="X706">
        <f>HYPERLINK("https://klasma.github.io/Logging_2580/tillsyn/A 43978-2025 tillsynsbegäran.docx", "A 43978-2025")</f>
        <v/>
      </c>
      <c r="Y706">
        <f>HYPERLINK("https://klasma.github.io/Logging_2580/tillsynsmail/A 43978-2025 tillsynsbegäran mail.docx", "A 43978-2025")</f>
        <v/>
      </c>
    </row>
    <row r="707" ht="15" customHeight="1">
      <c r="A707" t="inlineStr">
        <is>
          <t>A 20260-2025</t>
        </is>
      </c>
      <c r="B707" s="1" t="n">
        <v>45773</v>
      </c>
      <c r="C707" s="1" t="n">
        <v>46046</v>
      </c>
      <c r="D707" t="inlineStr">
        <is>
          <t>NORRBOTTENS LÄN</t>
        </is>
      </c>
      <c r="E707" t="inlineStr">
        <is>
          <t>BODEN</t>
        </is>
      </c>
      <c r="F707" t="inlineStr">
        <is>
          <t>SCA</t>
        </is>
      </c>
      <c r="G707" t="n">
        <v>3.3</v>
      </c>
      <c r="H707" t="n">
        <v>1</v>
      </c>
      <c r="I707" t="n">
        <v>0</v>
      </c>
      <c r="J707" t="n">
        <v>0</v>
      </c>
      <c r="K707" t="n">
        <v>0</v>
      </c>
      <c r="L707" t="n">
        <v>0</v>
      </c>
      <c r="M707" t="n">
        <v>0</v>
      </c>
      <c r="N707" t="n">
        <v>0</v>
      </c>
      <c r="O707" t="n">
        <v>0</v>
      </c>
      <c r="P707" t="n">
        <v>0</v>
      </c>
      <c r="Q707" t="n">
        <v>1</v>
      </c>
      <c r="R707" s="2" t="inlineStr">
        <is>
          <t>Grön flodtrollslända</t>
        </is>
      </c>
      <c r="S707">
        <f>HYPERLINK("https://klasma.github.io/Logging_2582/artfynd/A 20260-2025 artfynd.xlsx", "A 20260-2025")</f>
        <v/>
      </c>
      <c r="T707">
        <f>HYPERLINK("https://klasma.github.io/Logging_2582/kartor/A 20260-2025 karta.png", "A 20260-2025")</f>
        <v/>
      </c>
      <c r="V707">
        <f>HYPERLINK("https://klasma.github.io/Logging_2582/klagomål/A 20260-2025 FSC-klagomål.docx", "A 20260-2025")</f>
        <v/>
      </c>
      <c r="W707">
        <f>HYPERLINK("https://klasma.github.io/Logging_2582/klagomålsmail/A 20260-2025 FSC-klagomål mail.docx", "A 20260-2025")</f>
        <v/>
      </c>
      <c r="X707">
        <f>HYPERLINK("https://klasma.github.io/Logging_2582/tillsyn/A 20260-2025 tillsynsbegäran.docx", "A 20260-2025")</f>
        <v/>
      </c>
      <c r="Y707">
        <f>HYPERLINK("https://klasma.github.io/Logging_2582/tillsynsmail/A 20260-2025 tillsynsbegäran mail.docx", "A 20260-2025")</f>
        <v/>
      </c>
    </row>
    <row r="708" ht="15" customHeight="1">
      <c r="A708" t="inlineStr">
        <is>
          <t>A 44828-2025</t>
        </is>
      </c>
      <c r="B708" s="1" t="n">
        <v>45918.38981481481</v>
      </c>
      <c r="C708" s="1" t="n">
        <v>46046</v>
      </c>
      <c r="D708" t="inlineStr">
        <is>
          <t>NORRBOTTENS LÄN</t>
        </is>
      </c>
      <c r="E708" t="inlineStr">
        <is>
          <t>JOKKMOKK</t>
        </is>
      </c>
      <c r="F708" t="inlineStr">
        <is>
          <t>Sveaskog</t>
        </is>
      </c>
      <c r="G708" t="n">
        <v>35.1</v>
      </c>
      <c r="H708" t="n">
        <v>0</v>
      </c>
      <c r="I708" t="n">
        <v>0</v>
      </c>
      <c r="J708" t="n">
        <v>1</v>
      </c>
      <c r="K708" t="n">
        <v>0</v>
      </c>
      <c r="L708" t="n">
        <v>0</v>
      </c>
      <c r="M708" t="n">
        <v>0</v>
      </c>
      <c r="N708" t="n">
        <v>0</v>
      </c>
      <c r="O708" t="n">
        <v>1</v>
      </c>
      <c r="P708" t="n">
        <v>0</v>
      </c>
      <c r="Q708" t="n">
        <v>1</v>
      </c>
      <c r="R708" s="2" t="inlineStr">
        <is>
          <t>Vitplätt</t>
        </is>
      </c>
      <c r="S708">
        <f>HYPERLINK("https://klasma.github.io/Logging_2510/artfynd/A 44828-2025 artfynd.xlsx", "A 44828-2025")</f>
        <v/>
      </c>
      <c r="T708">
        <f>HYPERLINK("https://klasma.github.io/Logging_2510/kartor/A 44828-2025 karta.png", "A 44828-2025")</f>
        <v/>
      </c>
      <c r="V708">
        <f>HYPERLINK("https://klasma.github.io/Logging_2510/klagomål/A 44828-2025 FSC-klagomål.docx", "A 44828-2025")</f>
        <v/>
      </c>
      <c r="W708">
        <f>HYPERLINK("https://klasma.github.io/Logging_2510/klagomålsmail/A 44828-2025 FSC-klagomål mail.docx", "A 44828-2025")</f>
        <v/>
      </c>
      <c r="X708">
        <f>HYPERLINK("https://klasma.github.io/Logging_2510/tillsyn/A 44828-2025 tillsynsbegäran.docx", "A 44828-2025")</f>
        <v/>
      </c>
      <c r="Y708">
        <f>HYPERLINK("https://klasma.github.io/Logging_2510/tillsynsmail/A 44828-2025 tillsynsbegäran mail.docx", "A 44828-2025")</f>
        <v/>
      </c>
    </row>
    <row r="709" ht="15" customHeight="1">
      <c r="A709" t="inlineStr">
        <is>
          <t>A 44858-2025</t>
        </is>
      </c>
      <c r="B709" s="1" t="n">
        <v>45918</v>
      </c>
      <c r="C709" s="1" t="n">
        <v>46046</v>
      </c>
      <c r="D709" t="inlineStr">
        <is>
          <t>NORRBOTTENS LÄN</t>
        </is>
      </c>
      <c r="E709" t="inlineStr">
        <is>
          <t>PITEÅ</t>
        </is>
      </c>
      <c r="G709" t="n">
        <v>2.1</v>
      </c>
      <c r="H709" t="n">
        <v>1</v>
      </c>
      <c r="I709" t="n">
        <v>0</v>
      </c>
      <c r="J709" t="n">
        <v>1</v>
      </c>
      <c r="K709" t="n">
        <v>0</v>
      </c>
      <c r="L709" t="n">
        <v>0</v>
      </c>
      <c r="M709" t="n">
        <v>0</v>
      </c>
      <c r="N709" t="n">
        <v>0</v>
      </c>
      <c r="O709" t="n">
        <v>1</v>
      </c>
      <c r="P709" t="n">
        <v>0</v>
      </c>
      <c r="Q709" t="n">
        <v>1</v>
      </c>
      <c r="R709" s="2" t="inlineStr">
        <is>
          <t>Talltita</t>
        </is>
      </c>
      <c r="S709">
        <f>HYPERLINK("https://klasma.github.io/Logging_2581/artfynd/A 44858-2025 artfynd.xlsx", "A 44858-2025")</f>
        <v/>
      </c>
      <c r="T709">
        <f>HYPERLINK("https://klasma.github.io/Logging_2581/kartor/A 44858-2025 karta.png", "A 44858-2025")</f>
        <v/>
      </c>
      <c r="V709">
        <f>HYPERLINK("https://klasma.github.io/Logging_2581/klagomål/A 44858-2025 FSC-klagomål.docx", "A 44858-2025")</f>
        <v/>
      </c>
      <c r="W709">
        <f>HYPERLINK("https://klasma.github.io/Logging_2581/klagomålsmail/A 44858-2025 FSC-klagomål mail.docx", "A 44858-2025")</f>
        <v/>
      </c>
      <c r="X709">
        <f>HYPERLINK("https://klasma.github.io/Logging_2581/tillsyn/A 44858-2025 tillsynsbegäran.docx", "A 44858-2025")</f>
        <v/>
      </c>
      <c r="Y709">
        <f>HYPERLINK("https://klasma.github.io/Logging_2581/tillsynsmail/A 44858-2025 tillsynsbegäran mail.docx", "A 44858-2025")</f>
        <v/>
      </c>
      <c r="Z709">
        <f>HYPERLINK("https://klasma.github.io/Logging_2581/fåglar/A 44858-2025 prioriterade fågelarter.docx", "A 44858-2025")</f>
        <v/>
      </c>
    </row>
    <row r="710" ht="15" customHeight="1">
      <c r="A710" t="inlineStr">
        <is>
          <t>A 45201-2025</t>
        </is>
      </c>
      <c r="B710" s="1" t="n">
        <v>45919.56230324074</v>
      </c>
      <c r="C710" s="1" t="n">
        <v>46046</v>
      </c>
      <c r="D710" t="inlineStr">
        <is>
          <t>NORRBOTTENS LÄN</t>
        </is>
      </c>
      <c r="E710" t="inlineStr">
        <is>
          <t>JOKKMOKK</t>
        </is>
      </c>
      <c r="F710" t="inlineStr">
        <is>
          <t>Sveaskog</t>
        </is>
      </c>
      <c r="G710" t="n">
        <v>21.8</v>
      </c>
      <c r="H710" t="n">
        <v>0</v>
      </c>
      <c r="I710" t="n">
        <v>1</v>
      </c>
      <c r="J710" t="n">
        <v>0</v>
      </c>
      <c r="K710" t="n">
        <v>0</v>
      </c>
      <c r="L710" t="n">
        <v>0</v>
      </c>
      <c r="M710" t="n">
        <v>0</v>
      </c>
      <c r="N710" t="n">
        <v>0</v>
      </c>
      <c r="O710" t="n">
        <v>0</v>
      </c>
      <c r="P710" t="n">
        <v>0</v>
      </c>
      <c r="Q710" t="n">
        <v>1</v>
      </c>
      <c r="R710" s="2" t="inlineStr">
        <is>
          <t>Skarp dropptaggsvamp</t>
        </is>
      </c>
      <c r="S710">
        <f>HYPERLINK("https://klasma.github.io/Logging_2510/artfynd/A 45201-2025 artfynd.xlsx", "A 45201-2025")</f>
        <v/>
      </c>
      <c r="T710">
        <f>HYPERLINK("https://klasma.github.io/Logging_2510/kartor/A 45201-2025 karta.png", "A 45201-2025")</f>
        <v/>
      </c>
      <c r="V710">
        <f>HYPERLINK("https://klasma.github.io/Logging_2510/klagomål/A 45201-2025 FSC-klagomål.docx", "A 45201-2025")</f>
        <v/>
      </c>
      <c r="W710">
        <f>HYPERLINK("https://klasma.github.io/Logging_2510/klagomålsmail/A 45201-2025 FSC-klagomål mail.docx", "A 45201-2025")</f>
        <v/>
      </c>
      <c r="X710">
        <f>HYPERLINK("https://klasma.github.io/Logging_2510/tillsyn/A 45201-2025 tillsynsbegäran.docx", "A 45201-2025")</f>
        <v/>
      </c>
      <c r="Y710">
        <f>HYPERLINK("https://klasma.github.io/Logging_2510/tillsynsmail/A 45201-2025 tillsynsbegäran mail.docx", "A 45201-2025")</f>
        <v/>
      </c>
    </row>
    <row r="711" ht="15" customHeight="1">
      <c r="A711" t="inlineStr">
        <is>
          <t>A 44944-2025</t>
        </is>
      </c>
      <c r="B711" s="1" t="n">
        <v>45918</v>
      </c>
      <c r="C711" s="1" t="n">
        <v>46046</v>
      </c>
      <c r="D711" t="inlineStr">
        <is>
          <t>NORRBOTTENS LÄN</t>
        </is>
      </c>
      <c r="E711" t="inlineStr">
        <is>
          <t>LULEÅ</t>
        </is>
      </c>
      <c r="G711" t="n">
        <v>4.6</v>
      </c>
      <c r="H711" t="n">
        <v>0</v>
      </c>
      <c r="I711" t="n">
        <v>0</v>
      </c>
      <c r="J711" t="n">
        <v>0</v>
      </c>
      <c r="K711" t="n">
        <v>1</v>
      </c>
      <c r="L711" t="n">
        <v>0</v>
      </c>
      <c r="M711" t="n">
        <v>0</v>
      </c>
      <c r="N711" t="n">
        <v>0</v>
      </c>
      <c r="O711" t="n">
        <v>1</v>
      </c>
      <c r="P711" t="n">
        <v>1</v>
      </c>
      <c r="Q711" t="n">
        <v>1</v>
      </c>
      <c r="R711" s="2" t="inlineStr">
        <is>
          <t>Spadskinn</t>
        </is>
      </c>
      <c r="S711">
        <f>HYPERLINK("https://klasma.github.io/Logging_2580/artfynd/A 44944-2025 artfynd.xlsx", "A 44944-2025")</f>
        <v/>
      </c>
      <c r="T711">
        <f>HYPERLINK("https://klasma.github.io/Logging_2580/kartor/A 44944-2025 karta.png", "A 44944-2025")</f>
        <v/>
      </c>
      <c r="V711">
        <f>HYPERLINK("https://klasma.github.io/Logging_2580/klagomål/A 44944-2025 FSC-klagomål.docx", "A 44944-2025")</f>
        <v/>
      </c>
      <c r="W711">
        <f>HYPERLINK("https://klasma.github.io/Logging_2580/klagomålsmail/A 44944-2025 FSC-klagomål mail.docx", "A 44944-2025")</f>
        <v/>
      </c>
      <c r="X711">
        <f>HYPERLINK("https://klasma.github.io/Logging_2580/tillsyn/A 44944-2025 tillsynsbegäran.docx", "A 44944-2025")</f>
        <v/>
      </c>
      <c r="Y711">
        <f>HYPERLINK("https://klasma.github.io/Logging_2580/tillsynsmail/A 44944-2025 tillsynsbegäran mail.docx", "A 44944-2025")</f>
        <v/>
      </c>
    </row>
    <row r="712" ht="15" customHeight="1">
      <c r="A712" t="inlineStr">
        <is>
          <t>A 45397-2025</t>
        </is>
      </c>
      <c r="B712" s="1" t="n">
        <v>45922.42065972222</v>
      </c>
      <c r="C712" s="1" t="n">
        <v>46046</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Vedflamlav</t>
        </is>
      </c>
      <c r="S712">
        <f>HYPERLINK("https://klasma.github.io/Logging_2560/artfynd/A 45397-2025 artfynd.xlsx", "A 45397-2025")</f>
        <v/>
      </c>
      <c r="T712">
        <f>HYPERLINK("https://klasma.github.io/Logging_2560/kartor/A 45397-2025 karta.png", "A 45397-2025")</f>
        <v/>
      </c>
      <c r="V712">
        <f>HYPERLINK("https://klasma.github.io/Logging_2560/klagomål/A 45397-2025 FSC-klagomål.docx", "A 45397-2025")</f>
        <v/>
      </c>
      <c r="W712">
        <f>HYPERLINK("https://klasma.github.io/Logging_2560/klagomålsmail/A 45397-2025 FSC-klagomål mail.docx", "A 45397-2025")</f>
        <v/>
      </c>
      <c r="X712">
        <f>HYPERLINK("https://klasma.github.io/Logging_2560/tillsyn/A 45397-2025 tillsynsbegäran.docx", "A 45397-2025")</f>
        <v/>
      </c>
      <c r="Y712">
        <f>HYPERLINK("https://klasma.github.io/Logging_2560/tillsynsmail/A 45397-2025 tillsynsbegäran mail.docx", "A 45397-2025")</f>
        <v/>
      </c>
    </row>
    <row r="713" ht="15" customHeight="1">
      <c r="A713" t="inlineStr">
        <is>
          <t>A 36074-2025</t>
        </is>
      </c>
      <c r="B713" s="1" t="n">
        <v>45866</v>
      </c>
      <c r="C713" s="1" t="n">
        <v>46046</v>
      </c>
      <c r="D713" t="inlineStr">
        <is>
          <t>NORRBOTTENS LÄN</t>
        </is>
      </c>
      <c r="E713" t="inlineStr">
        <is>
          <t>PAJALA</t>
        </is>
      </c>
      <c r="F713" t="inlineStr">
        <is>
          <t>Sveaskog</t>
        </is>
      </c>
      <c r="G713" t="n">
        <v>10.8</v>
      </c>
      <c r="H713" t="n">
        <v>0</v>
      </c>
      <c r="I713" t="n">
        <v>0</v>
      </c>
      <c r="J713" t="n">
        <v>1</v>
      </c>
      <c r="K713" t="n">
        <v>0</v>
      </c>
      <c r="L713" t="n">
        <v>0</v>
      </c>
      <c r="M713" t="n">
        <v>0</v>
      </c>
      <c r="N713" t="n">
        <v>0</v>
      </c>
      <c r="O713" t="n">
        <v>1</v>
      </c>
      <c r="P713" t="n">
        <v>0</v>
      </c>
      <c r="Q713" t="n">
        <v>1</v>
      </c>
      <c r="R713" s="2" t="inlineStr">
        <is>
          <t>Ullticka</t>
        </is>
      </c>
      <c r="S713">
        <f>HYPERLINK("https://klasma.github.io/Logging_2521/artfynd/A 36074-2025 artfynd.xlsx", "A 36074-2025")</f>
        <v/>
      </c>
      <c r="T713">
        <f>HYPERLINK("https://klasma.github.io/Logging_2521/kartor/A 36074-2025 karta.png", "A 36074-2025")</f>
        <v/>
      </c>
      <c r="V713">
        <f>HYPERLINK("https://klasma.github.io/Logging_2521/klagomål/A 36074-2025 FSC-klagomål.docx", "A 36074-2025")</f>
        <v/>
      </c>
      <c r="W713">
        <f>HYPERLINK("https://klasma.github.io/Logging_2521/klagomålsmail/A 36074-2025 FSC-klagomål mail.docx", "A 36074-2025")</f>
        <v/>
      </c>
      <c r="X713">
        <f>HYPERLINK("https://klasma.github.io/Logging_2521/tillsyn/A 36074-2025 tillsynsbegäran.docx", "A 36074-2025")</f>
        <v/>
      </c>
      <c r="Y713">
        <f>HYPERLINK("https://klasma.github.io/Logging_2521/tillsynsmail/A 36074-2025 tillsynsbegäran mail.docx", "A 36074-2025")</f>
        <v/>
      </c>
    </row>
    <row r="714" ht="15" customHeight="1">
      <c r="A714" t="inlineStr">
        <is>
          <t>A 45418-2025</t>
        </is>
      </c>
      <c r="B714" s="1" t="n">
        <v>45922.44846064815</v>
      </c>
      <c r="C714" s="1" t="n">
        <v>46046</v>
      </c>
      <c r="D714" t="inlineStr">
        <is>
          <t>NORRBOTTENS LÄN</t>
        </is>
      </c>
      <c r="E714" t="inlineStr">
        <is>
          <t>PITEÅ</t>
        </is>
      </c>
      <c r="G714" t="n">
        <v>5.7</v>
      </c>
      <c r="H714" t="n">
        <v>0</v>
      </c>
      <c r="I714" t="n">
        <v>0</v>
      </c>
      <c r="J714" t="n">
        <v>1</v>
      </c>
      <c r="K714" t="n">
        <v>0</v>
      </c>
      <c r="L714" t="n">
        <v>0</v>
      </c>
      <c r="M714" t="n">
        <v>0</v>
      </c>
      <c r="N714" t="n">
        <v>0</v>
      </c>
      <c r="O714" t="n">
        <v>1</v>
      </c>
      <c r="P714" t="n">
        <v>0</v>
      </c>
      <c r="Q714" t="n">
        <v>1</v>
      </c>
      <c r="R714" s="2" t="inlineStr">
        <is>
          <t>Igelkott</t>
        </is>
      </c>
      <c r="S714">
        <f>HYPERLINK("https://klasma.github.io/Logging_2581/artfynd/A 45418-2025 artfynd.xlsx", "A 45418-2025")</f>
        <v/>
      </c>
      <c r="T714">
        <f>HYPERLINK("https://klasma.github.io/Logging_2581/kartor/A 45418-2025 karta.png", "A 45418-2025")</f>
        <v/>
      </c>
      <c r="V714">
        <f>HYPERLINK("https://klasma.github.io/Logging_2581/klagomål/A 45418-2025 FSC-klagomål.docx", "A 45418-2025")</f>
        <v/>
      </c>
      <c r="W714">
        <f>HYPERLINK("https://klasma.github.io/Logging_2581/klagomålsmail/A 45418-2025 FSC-klagomål mail.docx", "A 45418-2025")</f>
        <v/>
      </c>
      <c r="X714">
        <f>HYPERLINK("https://klasma.github.io/Logging_2581/tillsyn/A 45418-2025 tillsynsbegäran.docx", "A 45418-2025")</f>
        <v/>
      </c>
      <c r="Y714">
        <f>HYPERLINK("https://klasma.github.io/Logging_2581/tillsynsmail/A 45418-2025 tillsynsbegäran mail.docx", "A 45418-2025")</f>
        <v/>
      </c>
    </row>
    <row r="715" ht="15" customHeight="1">
      <c r="A715" t="inlineStr">
        <is>
          <t>A 45384-2025</t>
        </is>
      </c>
      <c r="B715" s="1" t="n">
        <v>45922.40668981482</v>
      </c>
      <c r="C715" s="1" t="n">
        <v>46046</v>
      </c>
      <c r="D715" t="inlineStr">
        <is>
          <t>NORRBOTTENS LÄN</t>
        </is>
      </c>
      <c r="E715" t="inlineStr">
        <is>
          <t>ÄLVSBYN</t>
        </is>
      </c>
      <c r="G715" t="n">
        <v>10.3</v>
      </c>
      <c r="H715" t="n">
        <v>0</v>
      </c>
      <c r="I715" t="n">
        <v>0</v>
      </c>
      <c r="J715" t="n">
        <v>1</v>
      </c>
      <c r="K715" t="n">
        <v>0</v>
      </c>
      <c r="L715" t="n">
        <v>0</v>
      </c>
      <c r="M715" t="n">
        <v>0</v>
      </c>
      <c r="N715" t="n">
        <v>0</v>
      </c>
      <c r="O715" t="n">
        <v>1</v>
      </c>
      <c r="P715" t="n">
        <v>0</v>
      </c>
      <c r="Q715" t="n">
        <v>1</v>
      </c>
      <c r="R715" s="2" t="inlineStr">
        <is>
          <t>Lunglav</t>
        </is>
      </c>
      <c r="S715">
        <f>HYPERLINK("https://klasma.github.io/Logging_2560/artfynd/A 45384-2025 artfynd.xlsx", "A 45384-2025")</f>
        <v/>
      </c>
      <c r="T715">
        <f>HYPERLINK("https://klasma.github.io/Logging_2560/kartor/A 45384-2025 karta.png", "A 45384-2025")</f>
        <v/>
      </c>
      <c r="V715">
        <f>HYPERLINK("https://klasma.github.io/Logging_2560/klagomål/A 45384-2025 FSC-klagomål.docx", "A 45384-2025")</f>
        <v/>
      </c>
      <c r="W715">
        <f>HYPERLINK("https://klasma.github.io/Logging_2560/klagomålsmail/A 45384-2025 FSC-klagomål mail.docx", "A 45384-2025")</f>
        <v/>
      </c>
      <c r="X715">
        <f>HYPERLINK("https://klasma.github.io/Logging_2560/tillsyn/A 45384-2025 tillsynsbegäran.docx", "A 45384-2025")</f>
        <v/>
      </c>
      <c r="Y715">
        <f>HYPERLINK("https://klasma.github.io/Logging_2560/tillsynsmail/A 45384-2025 tillsynsbegäran mail.docx", "A 45384-2025")</f>
        <v/>
      </c>
    </row>
    <row r="716" ht="15" customHeight="1">
      <c r="A716" t="inlineStr">
        <is>
          <t>A 45630-2025</t>
        </is>
      </c>
      <c r="B716" s="1" t="n">
        <v>45922.83304398148</v>
      </c>
      <c r="C716" s="1" t="n">
        <v>46046</v>
      </c>
      <c r="D716" t="inlineStr">
        <is>
          <t>NORRBOTTENS LÄN</t>
        </is>
      </c>
      <c r="E716" t="inlineStr">
        <is>
          <t>PITEÅ</t>
        </is>
      </c>
      <c r="F716" t="inlineStr">
        <is>
          <t>Sveaskog</t>
        </is>
      </c>
      <c r="G716" t="n">
        <v>1.7</v>
      </c>
      <c r="H716" t="n">
        <v>0</v>
      </c>
      <c r="I716" t="n">
        <v>1</v>
      </c>
      <c r="J716" t="n">
        <v>0</v>
      </c>
      <c r="K716" t="n">
        <v>0</v>
      </c>
      <c r="L716" t="n">
        <v>0</v>
      </c>
      <c r="M716" t="n">
        <v>0</v>
      </c>
      <c r="N716" t="n">
        <v>0</v>
      </c>
      <c r="O716" t="n">
        <v>0</v>
      </c>
      <c r="P716" t="n">
        <v>0</v>
      </c>
      <c r="Q716" t="n">
        <v>1</v>
      </c>
      <c r="R716" s="2" t="inlineStr">
        <is>
          <t>Dropptaggsvamp</t>
        </is>
      </c>
      <c r="S716">
        <f>HYPERLINK("https://klasma.github.io/Logging_2581/artfynd/A 45630-2025 artfynd.xlsx", "A 45630-2025")</f>
        <v/>
      </c>
      <c r="T716">
        <f>HYPERLINK("https://klasma.github.io/Logging_2581/kartor/A 45630-2025 karta.png", "A 45630-2025")</f>
        <v/>
      </c>
      <c r="V716">
        <f>HYPERLINK("https://klasma.github.io/Logging_2581/klagomål/A 45630-2025 FSC-klagomål.docx", "A 45630-2025")</f>
        <v/>
      </c>
      <c r="W716">
        <f>HYPERLINK("https://klasma.github.io/Logging_2581/klagomålsmail/A 45630-2025 FSC-klagomål mail.docx", "A 45630-2025")</f>
        <v/>
      </c>
      <c r="X716">
        <f>HYPERLINK("https://klasma.github.io/Logging_2581/tillsyn/A 45630-2025 tillsynsbegäran.docx", "A 45630-2025")</f>
        <v/>
      </c>
      <c r="Y716">
        <f>HYPERLINK("https://klasma.github.io/Logging_2581/tillsynsmail/A 45630-2025 tillsynsbegäran mail.docx", "A 45630-2025")</f>
        <v/>
      </c>
    </row>
    <row r="717" ht="15" customHeight="1">
      <c r="A717" t="inlineStr">
        <is>
          <t>A 45629-2025</t>
        </is>
      </c>
      <c r="B717" s="1" t="n">
        <v>45922.81627314815</v>
      </c>
      <c r="C717" s="1" t="n">
        <v>46046</v>
      </c>
      <c r="D717" t="inlineStr">
        <is>
          <t>NORRBOTTENS LÄN</t>
        </is>
      </c>
      <c r="E717" t="inlineStr">
        <is>
          <t>PITEÅ</t>
        </is>
      </c>
      <c r="F717" t="inlineStr">
        <is>
          <t>Sveaskog</t>
        </is>
      </c>
      <c r="G717" t="n">
        <v>10.3</v>
      </c>
      <c r="H717" t="n">
        <v>0</v>
      </c>
      <c r="I717" t="n">
        <v>0</v>
      </c>
      <c r="J717" t="n">
        <v>1</v>
      </c>
      <c r="K717" t="n">
        <v>0</v>
      </c>
      <c r="L717" t="n">
        <v>0</v>
      </c>
      <c r="M717" t="n">
        <v>0</v>
      </c>
      <c r="N717" t="n">
        <v>0</v>
      </c>
      <c r="O717" t="n">
        <v>1</v>
      </c>
      <c r="P717" t="n">
        <v>0</v>
      </c>
      <c r="Q717" t="n">
        <v>1</v>
      </c>
      <c r="R717" s="2" t="inlineStr">
        <is>
          <t>Garnlav</t>
        </is>
      </c>
      <c r="S717">
        <f>HYPERLINK("https://klasma.github.io/Logging_2581/artfynd/A 45629-2025 artfynd.xlsx", "A 45629-2025")</f>
        <v/>
      </c>
      <c r="T717">
        <f>HYPERLINK("https://klasma.github.io/Logging_2581/kartor/A 45629-2025 karta.png", "A 45629-2025")</f>
        <v/>
      </c>
      <c r="V717">
        <f>HYPERLINK("https://klasma.github.io/Logging_2581/klagomål/A 45629-2025 FSC-klagomål.docx", "A 45629-2025")</f>
        <v/>
      </c>
      <c r="W717">
        <f>HYPERLINK("https://klasma.github.io/Logging_2581/klagomålsmail/A 45629-2025 FSC-klagomål mail.docx", "A 45629-2025")</f>
        <v/>
      </c>
      <c r="X717">
        <f>HYPERLINK("https://klasma.github.io/Logging_2581/tillsyn/A 45629-2025 tillsynsbegäran.docx", "A 45629-2025")</f>
        <v/>
      </c>
      <c r="Y717">
        <f>HYPERLINK("https://klasma.github.io/Logging_2581/tillsynsmail/A 45629-2025 tillsynsbegäran mail.docx", "A 45629-2025")</f>
        <v/>
      </c>
    </row>
    <row r="718" ht="15" customHeight="1">
      <c r="A718" t="inlineStr">
        <is>
          <t>A 45579-2025</t>
        </is>
      </c>
      <c r="B718" s="1" t="n">
        <v>45922.66604166666</v>
      </c>
      <c r="C718" s="1" t="n">
        <v>46046</v>
      </c>
      <c r="D718" t="inlineStr">
        <is>
          <t>NORRBOTTENS LÄN</t>
        </is>
      </c>
      <c r="E718" t="inlineStr">
        <is>
          <t>ARVIDSJAUR</t>
        </is>
      </c>
      <c r="F718" t="inlineStr">
        <is>
          <t>Sveaskog</t>
        </is>
      </c>
      <c r="G718" t="n">
        <v>43.4</v>
      </c>
      <c r="H718" t="n">
        <v>1</v>
      </c>
      <c r="I718" t="n">
        <v>0</v>
      </c>
      <c r="J718" t="n">
        <v>0</v>
      </c>
      <c r="K718" t="n">
        <v>0</v>
      </c>
      <c r="L718" t="n">
        <v>0</v>
      </c>
      <c r="M718" t="n">
        <v>0</v>
      </c>
      <c r="N718" t="n">
        <v>0</v>
      </c>
      <c r="O718" t="n">
        <v>0</v>
      </c>
      <c r="P718" t="n">
        <v>0</v>
      </c>
      <c r="Q718" t="n">
        <v>1</v>
      </c>
      <c r="R718" s="2" t="inlineStr">
        <is>
          <t>Fläcknycklar</t>
        </is>
      </c>
      <c r="S718">
        <f>HYPERLINK("https://klasma.github.io/Logging_2505/artfynd/A 45579-2025 artfynd.xlsx", "A 45579-2025")</f>
        <v/>
      </c>
      <c r="T718">
        <f>HYPERLINK("https://klasma.github.io/Logging_2505/kartor/A 45579-2025 karta.png", "A 45579-2025")</f>
        <v/>
      </c>
      <c r="V718">
        <f>HYPERLINK("https://klasma.github.io/Logging_2505/klagomål/A 45579-2025 FSC-klagomål.docx", "A 45579-2025")</f>
        <v/>
      </c>
      <c r="W718">
        <f>HYPERLINK("https://klasma.github.io/Logging_2505/klagomålsmail/A 45579-2025 FSC-klagomål mail.docx", "A 45579-2025")</f>
        <v/>
      </c>
      <c r="X718">
        <f>HYPERLINK("https://klasma.github.io/Logging_2505/tillsyn/A 45579-2025 tillsynsbegäran.docx", "A 45579-2025")</f>
        <v/>
      </c>
      <c r="Y718">
        <f>HYPERLINK("https://klasma.github.io/Logging_2505/tillsynsmail/A 45579-2025 tillsynsbegäran mail.docx", "A 45579-2025")</f>
        <v/>
      </c>
    </row>
    <row r="719" ht="15" customHeight="1">
      <c r="A719" t="inlineStr">
        <is>
          <t>A 22495-2024</t>
        </is>
      </c>
      <c r="B719" s="1" t="n">
        <v>45447</v>
      </c>
      <c r="C719" s="1" t="n">
        <v>46046</v>
      </c>
      <c r="D719" t="inlineStr">
        <is>
          <t>NORRBOTTENS LÄN</t>
        </is>
      </c>
      <c r="E719" t="inlineStr">
        <is>
          <t>KIRUNA</t>
        </is>
      </c>
      <c r="G719" t="n">
        <v>7.1</v>
      </c>
      <c r="H719" t="n">
        <v>0</v>
      </c>
      <c r="I719" t="n">
        <v>0</v>
      </c>
      <c r="J719" t="n">
        <v>0</v>
      </c>
      <c r="K719" t="n">
        <v>1</v>
      </c>
      <c r="L719" t="n">
        <v>0</v>
      </c>
      <c r="M719" t="n">
        <v>0</v>
      </c>
      <c r="N719" t="n">
        <v>0</v>
      </c>
      <c r="O719" t="n">
        <v>1</v>
      </c>
      <c r="P719" t="n">
        <v>1</v>
      </c>
      <c r="Q719" t="n">
        <v>1</v>
      </c>
      <c r="R719" s="2" t="inlineStr">
        <is>
          <t>Tajgafältmätare</t>
        </is>
      </c>
      <c r="S719">
        <f>HYPERLINK("https://klasma.github.io/Logging_2584/artfynd/A 22495-2024 artfynd.xlsx", "A 22495-2024")</f>
        <v/>
      </c>
      <c r="T719">
        <f>HYPERLINK("https://klasma.github.io/Logging_2584/kartor/A 22495-2024 karta.png", "A 22495-2024")</f>
        <v/>
      </c>
      <c r="V719">
        <f>HYPERLINK("https://klasma.github.io/Logging_2584/klagomål/A 22495-2024 FSC-klagomål.docx", "A 22495-2024")</f>
        <v/>
      </c>
      <c r="W719">
        <f>HYPERLINK("https://klasma.github.io/Logging_2584/klagomålsmail/A 22495-2024 FSC-klagomål mail.docx", "A 22495-2024")</f>
        <v/>
      </c>
      <c r="X719">
        <f>HYPERLINK("https://klasma.github.io/Logging_2584/tillsyn/A 22495-2024 tillsynsbegäran.docx", "A 22495-2024")</f>
        <v/>
      </c>
      <c r="Y719">
        <f>HYPERLINK("https://klasma.github.io/Logging_2584/tillsynsmail/A 22495-2024 tillsynsbegäran mail.docx", "A 22495-2024")</f>
        <v/>
      </c>
    </row>
    <row r="720" ht="15" customHeight="1">
      <c r="A720" t="inlineStr">
        <is>
          <t>A 46436-2025</t>
        </is>
      </c>
      <c r="B720" s="1" t="n">
        <v>45925.63604166666</v>
      </c>
      <c r="C720" s="1" t="n">
        <v>46046</v>
      </c>
      <c r="D720" t="inlineStr">
        <is>
          <t>NORRBOTTENS LÄN</t>
        </is>
      </c>
      <c r="E720" t="inlineStr">
        <is>
          <t>PITEÅ</t>
        </is>
      </c>
      <c r="F720" t="inlineStr">
        <is>
          <t>SCA</t>
        </is>
      </c>
      <c r="G720" t="n">
        <v>12</v>
      </c>
      <c r="H720" t="n">
        <v>1</v>
      </c>
      <c r="I720" t="n">
        <v>0</v>
      </c>
      <c r="J720" t="n">
        <v>1</v>
      </c>
      <c r="K720" t="n">
        <v>0</v>
      </c>
      <c r="L720" t="n">
        <v>0</v>
      </c>
      <c r="M720" t="n">
        <v>0</v>
      </c>
      <c r="N720" t="n">
        <v>0</v>
      </c>
      <c r="O720" t="n">
        <v>1</v>
      </c>
      <c r="P720" t="n">
        <v>0</v>
      </c>
      <c r="Q720" t="n">
        <v>1</v>
      </c>
      <c r="R720" s="2" t="inlineStr">
        <is>
          <t>Spillkråka</t>
        </is>
      </c>
      <c r="S720">
        <f>HYPERLINK("https://klasma.github.io/Logging_2581/artfynd/A 46436-2025 artfynd.xlsx", "A 46436-2025")</f>
        <v/>
      </c>
      <c r="T720">
        <f>HYPERLINK("https://klasma.github.io/Logging_2581/kartor/A 46436-2025 karta.png", "A 46436-2025")</f>
        <v/>
      </c>
      <c r="V720">
        <f>HYPERLINK("https://klasma.github.io/Logging_2581/klagomål/A 46436-2025 FSC-klagomål.docx", "A 46436-2025")</f>
        <v/>
      </c>
      <c r="W720">
        <f>HYPERLINK("https://klasma.github.io/Logging_2581/klagomålsmail/A 46436-2025 FSC-klagomål mail.docx", "A 46436-2025")</f>
        <v/>
      </c>
      <c r="X720">
        <f>HYPERLINK("https://klasma.github.io/Logging_2581/tillsyn/A 46436-2025 tillsynsbegäran.docx", "A 46436-2025")</f>
        <v/>
      </c>
      <c r="Y720">
        <f>HYPERLINK("https://klasma.github.io/Logging_2581/tillsynsmail/A 46436-2025 tillsynsbegäran mail.docx", "A 46436-2025")</f>
        <v/>
      </c>
      <c r="Z720">
        <f>HYPERLINK("https://klasma.github.io/Logging_2581/fåglar/A 46436-2025 prioriterade fågelarter.docx", "A 46436-2025")</f>
        <v/>
      </c>
    </row>
    <row r="721" ht="15" customHeight="1">
      <c r="A721" t="inlineStr">
        <is>
          <t>A 46252-2025</t>
        </is>
      </c>
      <c r="B721" s="1" t="n">
        <v>45925.34493055556</v>
      </c>
      <c r="C721" s="1" t="n">
        <v>46046</v>
      </c>
      <c r="D721" t="inlineStr">
        <is>
          <t>NORRBOTTENS LÄN</t>
        </is>
      </c>
      <c r="E721" t="inlineStr">
        <is>
          <t>PITEÅ</t>
        </is>
      </c>
      <c r="F721" t="inlineStr">
        <is>
          <t>SCA</t>
        </is>
      </c>
      <c r="G721" t="n">
        <v>11</v>
      </c>
      <c r="H721" t="n">
        <v>0</v>
      </c>
      <c r="I721" t="n">
        <v>1</v>
      </c>
      <c r="J721" t="n">
        <v>0</v>
      </c>
      <c r="K721" t="n">
        <v>0</v>
      </c>
      <c r="L721" t="n">
        <v>0</v>
      </c>
      <c r="M721" t="n">
        <v>0</v>
      </c>
      <c r="N721" t="n">
        <v>0</v>
      </c>
      <c r="O721" t="n">
        <v>0</v>
      </c>
      <c r="P721" t="n">
        <v>0</v>
      </c>
      <c r="Q721" t="n">
        <v>1</v>
      </c>
      <c r="R721" s="2" t="inlineStr">
        <is>
          <t>Spädstarr</t>
        </is>
      </c>
      <c r="S721">
        <f>HYPERLINK("https://klasma.github.io/Logging_2581/artfynd/A 46252-2025 artfynd.xlsx", "A 46252-2025")</f>
        <v/>
      </c>
      <c r="T721">
        <f>HYPERLINK("https://klasma.github.io/Logging_2581/kartor/A 46252-2025 karta.png", "A 46252-2025")</f>
        <v/>
      </c>
      <c r="V721">
        <f>HYPERLINK("https://klasma.github.io/Logging_2581/klagomål/A 46252-2025 FSC-klagomål.docx", "A 46252-2025")</f>
        <v/>
      </c>
      <c r="W721">
        <f>HYPERLINK("https://klasma.github.io/Logging_2581/klagomålsmail/A 46252-2025 FSC-klagomål mail.docx", "A 46252-2025")</f>
        <v/>
      </c>
      <c r="X721">
        <f>HYPERLINK("https://klasma.github.io/Logging_2581/tillsyn/A 46252-2025 tillsynsbegäran.docx", "A 46252-2025")</f>
        <v/>
      </c>
      <c r="Y721">
        <f>HYPERLINK("https://klasma.github.io/Logging_2581/tillsynsmail/A 46252-2025 tillsynsbegäran mail.docx", "A 46252-2025")</f>
        <v/>
      </c>
    </row>
    <row r="722" ht="15" customHeight="1">
      <c r="A722" t="inlineStr">
        <is>
          <t>A 47094-2025</t>
        </is>
      </c>
      <c r="B722" s="1" t="n">
        <v>45929.65230324074</v>
      </c>
      <c r="C722" s="1" t="n">
        <v>46046</v>
      </c>
      <c r="D722" t="inlineStr">
        <is>
          <t>NORRBOTTENS LÄN</t>
        </is>
      </c>
      <c r="E722" t="inlineStr">
        <is>
          <t>ARVIDSJAUR</t>
        </is>
      </c>
      <c r="F722" t="inlineStr">
        <is>
          <t>Sveaskog</t>
        </is>
      </c>
      <c r="G722" t="n">
        <v>6.8</v>
      </c>
      <c r="H722" t="n">
        <v>0</v>
      </c>
      <c r="I722" t="n">
        <v>1</v>
      </c>
      <c r="J722" t="n">
        <v>0</v>
      </c>
      <c r="K722" t="n">
        <v>0</v>
      </c>
      <c r="L722" t="n">
        <v>0</v>
      </c>
      <c r="M722" t="n">
        <v>0</v>
      </c>
      <c r="N722" t="n">
        <v>0</v>
      </c>
      <c r="O722" t="n">
        <v>0</v>
      </c>
      <c r="P722" t="n">
        <v>0</v>
      </c>
      <c r="Q722" t="n">
        <v>1</v>
      </c>
      <c r="R722" s="2" t="inlineStr">
        <is>
          <t>Strutbräken</t>
        </is>
      </c>
      <c r="S722">
        <f>HYPERLINK("https://klasma.github.io/Logging_2505/artfynd/A 47094-2025 artfynd.xlsx", "A 47094-2025")</f>
        <v/>
      </c>
      <c r="T722">
        <f>HYPERLINK("https://klasma.github.io/Logging_2505/kartor/A 47094-2025 karta.png", "A 47094-2025")</f>
        <v/>
      </c>
      <c r="V722">
        <f>HYPERLINK("https://klasma.github.io/Logging_2505/klagomål/A 47094-2025 FSC-klagomål.docx", "A 47094-2025")</f>
        <v/>
      </c>
      <c r="W722">
        <f>HYPERLINK("https://klasma.github.io/Logging_2505/klagomålsmail/A 47094-2025 FSC-klagomål mail.docx", "A 47094-2025")</f>
        <v/>
      </c>
      <c r="X722">
        <f>HYPERLINK("https://klasma.github.io/Logging_2505/tillsyn/A 47094-2025 tillsynsbegäran.docx", "A 47094-2025")</f>
        <v/>
      </c>
      <c r="Y722">
        <f>HYPERLINK("https://klasma.github.io/Logging_2505/tillsynsmail/A 47094-2025 tillsynsbegäran mail.docx", "A 47094-2025")</f>
        <v/>
      </c>
    </row>
    <row r="723" ht="15" customHeight="1">
      <c r="A723" t="inlineStr">
        <is>
          <t>A 46587-2025</t>
        </is>
      </c>
      <c r="B723" s="1" t="n">
        <v>45926.3881712963</v>
      </c>
      <c r="C723" s="1" t="n">
        <v>46046</v>
      </c>
      <c r="D723" t="inlineStr">
        <is>
          <t>NORRBOTTENS LÄN</t>
        </is>
      </c>
      <c r="E723" t="inlineStr">
        <is>
          <t>GÄLLIVARE</t>
        </is>
      </c>
      <c r="F723" t="inlineStr">
        <is>
          <t>Sveaskog</t>
        </is>
      </c>
      <c r="G723" t="n">
        <v>5.6</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46587-2025 artfynd.xlsx", "A 46587-2025")</f>
        <v/>
      </c>
      <c r="T723">
        <f>HYPERLINK("https://klasma.github.io/Logging_2523/kartor/A 46587-2025 karta.png", "A 46587-2025")</f>
        <v/>
      </c>
      <c r="V723">
        <f>HYPERLINK("https://klasma.github.io/Logging_2523/klagomål/A 46587-2025 FSC-klagomål.docx", "A 46587-2025")</f>
        <v/>
      </c>
      <c r="W723">
        <f>HYPERLINK("https://klasma.github.io/Logging_2523/klagomålsmail/A 46587-2025 FSC-klagomål mail.docx", "A 46587-2025")</f>
        <v/>
      </c>
      <c r="X723">
        <f>HYPERLINK("https://klasma.github.io/Logging_2523/tillsyn/A 46587-2025 tillsynsbegäran.docx", "A 46587-2025")</f>
        <v/>
      </c>
      <c r="Y723">
        <f>HYPERLINK("https://klasma.github.io/Logging_2523/tillsynsmail/A 46587-2025 tillsynsbegäran mail.docx", "A 46587-2025")</f>
        <v/>
      </c>
    </row>
    <row r="724" ht="15" customHeight="1">
      <c r="A724" t="inlineStr">
        <is>
          <t>A 46782-2025</t>
        </is>
      </c>
      <c r="B724" s="1" t="n">
        <v>45926</v>
      </c>
      <c r="C724" s="1" t="n">
        <v>46046</v>
      </c>
      <c r="D724" t="inlineStr">
        <is>
          <t>NORRBOTTENS LÄN</t>
        </is>
      </c>
      <c r="E724" t="inlineStr">
        <is>
          <t>ÖVERKALIX</t>
        </is>
      </c>
      <c r="G724" t="n">
        <v>2.4</v>
      </c>
      <c r="H724" t="n">
        <v>0</v>
      </c>
      <c r="I724" t="n">
        <v>0</v>
      </c>
      <c r="J724" t="n">
        <v>1</v>
      </c>
      <c r="K724" t="n">
        <v>0</v>
      </c>
      <c r="L724" t="n">
        <v>0</v>
      </c>
      <c r="M724" t="n">
        <v>0</v>
      </c>
      <c r="N724" t="n">
        <v>0</v>
      </c>
      <c r="O724" t="n">
        <v>1</v>
      </c>
      <c r="P724" t="n">
        <v>0</v>
      </c>
      <c r="Q724" t="n">
        <v>1</v>
      </c>
      <c r="R724" s="2" t="inlineStr">
        <is>
          <t>Rosenticka</t>
        </is>
      </c>
      <c r="S724">
        <f>HYPERLINK("https://klasma.github.io/Logging_2513/artfynd/A 46782-2025 artfynd.xlsx", "A 46782-2025")</f>
        <v/>
      </c>
      <c r="T724">
        <f>HYPERLINK("https://klasma.github.io/Logging_2513/kartor/A 46782-2025 karta.png", "A 46782-2025")</f>
        <v/>
      </c>
      <c r="U724">
        <f>HYPERLINK("https://klasma.github.io/Logging_2513/knärot/A 46782-2025 karta knärot.png", "A 46782-2025")</f>
        <v/>
      </c>
      <c r="V724">
        <f>HYPERLINK("https://klasma.github.io/Logging_2513/klagomål/A 46782-2025 FSC-klagomål.docx", "A 46782-2025")</f>
        <v/>
      </c>
      <c r="W724">
        <f>HYPERLINK("https://klasma.github.io/Logging_2513/klagomålsmail/A 46782-2025 FSC-klagomål mail.docx", "A 46782-2025")</f>
        <v/>
      </c>
      <c r="X724">
        <f>HYPERLINK("https://klasma.github.io/Logging_2513/tillsyn/A 46782-2025 tillsynsbegäran.docx", "A 46782-2025")</f>
        <v/>
      </c>
      <c r="Y724">
        <f>HYPERLINK("https://klasma.github.io/Logging_2513/tillsynsmail/A 46782-2025 tillsynsbegäran mail.docx", "A 46782-2025")</f>
        <v/>
      </c>
    </row>
    <row r="725" ht="15" customHeight="1">
      <c r="A725" t="inlineStr">
        <is>
          <t>A 47206-2025</t>
        </is>
      </c>
      <c r="B725" s="1" t="n">
        <v>45930.37155092593</v>
      </c>
      <c r="C725" s="1" t="n">
        <v>46046</v>
      </c>
      <c r="D725" t="inlineStr">
        <is>
          <t>NORRBOTTENS LÄN</t>
        </is>
      </c>
      <c r="E725" t="inlineStr">
        <is>
          <t>GÄLLIVARE</t>
        </is>
      </c>
      <c r="F725" t="inlineStr">
        <is>
          <t>Sveaskog</t>
        </is>
      </c>
      <c r="G725" t="n">
        <v>9.800000000000001</v>
      </c>
      <c r="H725" t="n">
        <v>0</v>
      </c>
      <c r="I725" t="n">
        <v>1</v>
      </c>
      <c r="J725" t="n">
        <v>0</v>
      </c>
      <c r="K725" t="n">
        <v>0</v>
      </c>
      <c r="L725" t="n">
        <v>0</v>
      </c>
      <c r="M725" t="n">
        <v>0</v>
      </c>
      <c r="N725" t="n">
        <v>0</v>
      </c>
      <c r="O725" t="n">
        <v>0</v>
      </c>
      <c r="P725" t="n">
        <v>0</v>
      </c>
      <c r="Q725" t="n">
        <v>1</v>
      </c>
      <c r="R725" s="2" t="inlineStr">
        <is>
          <t>Dropptaggsvamp</t>
        </is>
      </c>
      <c r="S725">
        <f>HYPERLINK("https://klasma.github.io/Logging_2523/artfynd/A 47206-2025 artfynd.xlsx", "A 47206-2025")</f>
        <v/>
      </c>
      <c r="T725">
        <f>HYPERLINK("https://klasma.github.io/Logging_2523/kartor/A 47206-2025 karta.png", "A 47206-2025")</f>
        <v/>
      </c>
      <c r="V725">
        <f>HYPERLINK("https://klasma.github.io/Logging_2523/klagomål/A 47206-2025 FSC-klagomål.docx", "A 47206-2025")</f>
        <v/>
      </c>
      <c r="W725">
        <f>HYPERLINK("https://klasma.github.io/Logging_2523/klagomålsmail/A 47206-2025 FSC-klagomål mail.docx", "A 47206-2025")</f>
        <v/>
      </c>
      <c r="X725">
        <f>HYPERLINK("https://klasma.github.io/Logging_2523/tillsyn/A 47206-2025 tillsynsbegäran.docx", "A 47206-2025")</f>
        <v/>
      </c>
      <c r="Y725">
        <f>HYPERLINK("https://klasma.github.io/Logging_2523/tillsynsmail/A 47206-2025 tillsynsbegäran mail.docx", "A 47206-2025")</f>
        <v/>
      </c>
    </row>
    <row r="726" ht="15" customHeight="1">
      <c r="A726" t="inlineStr">
        <is>
          <t>A 50377-2023</t>
        </is>
      </c>
      <c r="B726" s="1" t="n">
        <v>45216.62158564815</v>
      </c>
      <c r="C726" s="1" t="n">
        <v>46046</v>
      </c>
      <c r="D726" t="inlineStr">
        <is>
          <t>NORRBOTTENS LÄN</t>
        </is>
      </c>
      <c r="E726" t="inlineStr">
        <is>
          <t>PAJALA</t>
        </is>
      </c>
      <c r="F726" t="inlineStr">
        <is>
          <t>Sveaskog</t>
        </is>
      </c>
      <c r="G726" t="n">
        <v>2.6</v>
      </c>
      <c r="H726" t="n">
        <v>0</v>
      </c>
      <c r="I726" t="n">
        <v>0</v>
      </c>
      <c r="J726" t="n">
        <v>1</v>
      </c>
      <c r="K726" t="n">
        <v>0</v>
      </c>
      <c r="L726" t="n">
        <v>0</v>
      </c>
      <c r="M726" t="n">
        <v>0</v>
      </c>
      <c r="N726" t="n">
        <v>0</v>
      </c>
      <c r="O726" t="n">
        <v>1</v>
      </c>
      <c r="P726" t="n">
        <v>0</v>
      </c>
      <c r="Q726" t="n">
        <v>1</v>
      </c>
      <c r="R726" s="2" t="inlineStr">
        <is>
          <t>Motaggsvamp</t>
        </is>
      </c>
      <c r="S726">
        <f>HYPERLINK("https://klasma.github.io/Logging_2521/artfynd/A 50377-2023 artfynd.xlsx", "A 50377-2023")</f>
        <v/>
      </c>
      <c r="T726">
        <f>HYPERLINK("https://klasma.github.io/Logging_2521/kartor/A 50377-2023 karta.png", "A 50377-2023")</f>
        <v/>
      </c>
      <c r="V726">
        <f>HYPERLINK("https://klasma.github.io/Logging_2521/klagomål/A 50377-2023 FSC-klagomål.docx", "A 50377-2023")</f>
        <v/>
      </c>
      <c r="W726">
        <f>HYPERLINK("https://klasma.github.io/Logging_2521/klagomålsmail/A 50377-2023 FSC-klagomål mail.docx", "A 50377-2023")</f>
        <v/>
      </c>
      <c r="X726">
        <f>HYPERLINK("https://klasma.github.io/Logging_2521/tillsyn/A 50377-2023 tillsynsbegäran.docx", "A 50377-2023")</f>
        <v/>
      </c>
      <c r="Y726">
        <f>HYPERLINK("https://klasma.github.io/Logging_2521/tillsynsmail/A 50377-2023 tillsynsbegäran mail.docx", "A 50377-2023")</f>
        <v/>
      </c>
    </row>
    <row r="727" ht="15" customHeight="1">
      <c r="A727" t="inlineStr">
        <is>
          <t>A 48337-2025</t>
        </is>
      </c>
      <c r="B727" s="1" t="n">
        <v>45933.63640046296</v>
      </c>
      <c r="C727" s="1" t="n">
        <v>46046</v>
      </c>
      <c r="D727" t="inlineStr">
        <is>
          <t>NORRBOTTENS LÄN</t>
        </is>
      </c>
      <c r="E727" t="inlineStr">
        <is>
          <t>PAJALA</t>
        </is>
      </c>
      <c r="F727" t="inlineStr">
        <is>
          <t>Sveaskog</t>
        </is>
      </c>
      <c r="G727" t="n">
        <v>15</v>
      </c>
      <c r="H727" t="n">
        <v>0</v>
      </c>
      <c r="I727" t="n">
        <v>0</v>
      </c>
      <c r="J727" t="n">
        <v>1</v>
      </c>
      <c r="K727" t="n">
        <v>0</v>
      </c>
      <c r="L727" t="n">
        <v>0</v>
      </c>
      <c r="M727" t="n">
        <v>0</v>
      </c>
      <c r="N727" t="n">
        <v>0</v>
      </c>
      <c r="O727" t="n">
        <v>1</v>
      </c>
      <c r="P727" t="n">
        <v>0</v>
      </c>
      <c r="Q727" t="n">
        <v>1</v>
      </c>
      <c r="R727" s="2" t="inlineStr">
        <is>
          <t>Tallticka</t>
        </is>
      </c>
      <c r="S727">
        <f>HYPERLINK("https://klasma.github.io/Logging_2521/artfynd/A 48337-2025 artfynd.xlsx", "A 48337-2025")</f>
        <v/>
      </c>
      <c r="T727">
        <f>HYPERLINK("https://klasma.github.io/Logging_2521/kartor/A 48337-2025 karta.png", "A 48337-2025")</f>
        <v/>
      </c>
      <c r="V727">
        <f>HYPERLINK("https://klasma.github.io/Logging_2521/klagomål/A 48337-2025 FSC-klagomål.docx", "A 48337-2025")</f>
        <v/>
      </c>
      <c r="W727">
        <f>HYPERLINK("https://klasma.github.io/Logging_2521/klagomålsmail/A 48337-2025 FSC-klagomål mail.docx", "A 48337-2025")</f>
        <v/>
      </c>
      <c r="X727">
        <f>HYPERLINK("https://klasma.github.io/Logging_2521/tillsyn/A 48337-2025 tillsynsbegäran.docx", "A 48337-2025")</f>
        <v/>
      </c>
      <c r="Y727">
        <f>HYPERLINK("https://klasma.github.io/Logging_2521/tillsynsmail/A 48337-2025 tillsynsbegäran mail.docx", "A 48337-2025")</f>
        <v/>
      </c>
    </row>
    <row r="728" ht="15" customHeight="1">
      <c r="A728" t="inlineStr">
        <is>
          <t>A 48105-2025</t>
        </is>
      </c>
      <c r="B728" s="1" t="n">
        <v>45933</v>
      </c>
      <c r="C728" s="1" t="n">
        <v>46046</v>
      </c>
      <c r="D728" t="inlineStr">
        <is>
          <t>NORRBOTTENS LÄN</t>
        </is>
      </c>
      <c r="E728" t="inlineStr">
        <is>
          <t>ÄLVSBYN</t>
        </is>
      </c>
      <c r="F728" t="inlineStr">
        <is>
          <t>SCA</t>
        </is>
      </c>
      <c r="G728" t="n">
        <v>2.4</v>
      </c>
      <c r="H728" t="n">
        <v>0</v>
      </c>
      <c r="I728" t="n">
        <v>0</v>
      </c>
      <c r="J728" t="n">
        <v>0</v>
      </c>
      <c r="K728" t="n">
        <v>1</v>
      </c>
      <c r="L728" t="n">
        <v>0</v>
      </c>
      <c r="M728" t="n">
        <v>0</v>
      </c>
      <c r="N728" t="n">
        <v>0</v>
      </c>
      <c r="O728" t="n">
        <v>1</v>
      </c>
      <c r="P728" t="n">
        <v>1</v>
      </c>
      <c r="Q728" t="n">
        <v>1</v>
      </c>
      <c r="R728" s="2" t="inlineStr">
        <is>
          <t>Fläckporing</t>
        </is>
      </c>
      <c r="S728">
        <f>HYPERLINK("https://klasma.github.io/Logging_2560/artfynd/A 48105-2025 artfynd.xlsx", "A 48105-2025")</f>
        <v/>
      </c>
      <c r="T728">
        <f>HYPERLINK("https://klasma.github.io/Logging_2560/kartor/A 48105-2025 karta.png", "A 48105-2025")</f>
        <v/>
      </c>
      <c r="V728">
        <f>HYPERLINK("https://klasma.github.io/Logging_2560/klagomål/A 48105-2025 FSC-klagomål.docx", "A 48105-2025")</f>
        <v/>
      </c>
      <c r="W728">
        <f>HYPERLINK("https://klasma.github.io/Logging_2560/klagomålsmail/A 48105-2025 FSC-klagomål mail.docx", "A 48105-2025")</f>
        <v/>
      </c>
      <c r="X728">
        <f>HYPERLINK("https://klasma.github.io/Logging_2560/tillsyn/A 48105-2025 tillsynsbegäran.docx", "A 48105-2025")</f>
        <v/>
      </c>
      <c r="Y728">
        <f>HYPERLINK("https://klasma.github.io/Logging_2560/tillsynsmail/A 48105-2025 tillsynsbegäran mail.docx", "A 48105-2025")</f>
        <v/>
      </c>
    </row>
    <row r="729" ht="15" customHeight="1">
      <c r="A729" t="inlineStr">
        <is>
          <t>A 47929-2025</t>
        </is>
      </c>
      <c r="B729" s="1" t="n">
        <v>45932.55138888889</v>
      </c>
      <c r="C729" s="1" t="n">
        <v>46046</v>
      </c>
      <c r="D729" t="inlineStr">
        <is>
          <t>NORRBOTTENS LÄN</t>
        </is>
      </c>
      <c r="E729" t="inlineStr">
        <is>
          <t>BODEN</t>
        </is>
      </c>
      <c r="G729" t="n">
        <v>7.5</v>
      </c>
      <c r="H729" t="n">
        <v>0</v>
      </c>
      <c r="I729" t="n">
        <v>0</v>
      </c>
      <c r="J729" t="n">
        <v>1</v>
      </c>
      <c r="K729" t="n">
        <v>0</v>
      </c>
      <c r="L729" t="n">
        <v>0</v>
      </c>
      <c r="M729" t="n">
        <v>0</v>
      </c>
      <c r="N729" t="n">
        <v>0</v>
      </c>
      <c r="O729" t="n">
        <v>1</v>
      </c>
      <c r="P729" t="n">
        <v>0</v>
      </c>
      <c r="Q729" t="n">
        <v>1</v>
      </c>
      <c r="R729" s="2" t="inlineStr">
        <is>
          <t>Garnlav</t>
        </is>
      </c>
      <c r="S729">
        <f>HYPERLINK("https://klasma.github.io/Logging_2582/artfynd/A 47929-2025 artfynd.xlsx", "A 47929-2025")</f>
        <v/>
      </c>
      <c r="T729">
        <f>HYPERLINK("https://klasma.github.io/Logging_2582/kartor/A 47929-2025 karta.png", "A 47929-2025")</f>
        <v/>
      </c>
      <c r="V729">
        <f>HYPERLINK("https://klasma.github.io/Logging_2582/klagomål/A 47929-2025 FSC-klagomål.docx", "A 47929-2025")</f>
        <v/>
      </c>
      <c r="W729">
        <f>HYPERLINK("https://klasma.github.io/Logging_2582/klagomålsmail/A 47929-2025 FSC-klagomål mail.docx", "A 47929-2025")</f>
        <v/>
      </c>
      <c r="X729">
        <f>HYPERLINK("https://klasma.github.io/Logging_2582/tillsyn/A 47929-2025 tillsynsbegäran.docx", "A 47929-2025")</f>
        <v/>
      </c>
      <c r="Y729">
        <f>HYPERLINK("https://klasma.github.io/Logging_2582/tillsynsmail/A 47929-2025 tillsynsbegäran mail.docx", "A 47929-2025")</f>
        <v/>
      </c>
    </row>
    <row r="730" ht="15" customHeight="1">
      <c r="A730" t="inlineStr">
        <is>
          <t>A 18921-2025</t>
        </is>
      </c>
      <c r="B730" s="1" t="n">
        <v>45764</v>
      </c>
      <c r="C730" s="1" t="n">
        <v>46046</v>
      </c>
      <c r="D730" t="inlineStr">
        <is>
          <t>NORRBOTTENS LÄN</t>
        </is>
      </c>
      <c r="E730" t="inlineStr">
        <is>
          <t>ARJEPLOG</t>
        </is>
      </c>
      <c r="F730" t="inlineStr">
        <is>
          <t>Sveaskog</t>
        </is>
      </c>
      <c r="G730" t="n">
        <v>12.5</v>
      </c>
      <c r="H730" t="n">
        <v>0</v>
      </c>
      <c r="I730" t="n">
        <v>0</v>
      </c>
      <c r="J730" t="n">
        <v>1</v>
      </c>
      <c r="K730" t="n">
        <v>0</v>
      </c>
      <c r="L730" t="n">
        <v>0</v>
      </c>
      <c r="M730" t="n">
        <v>0</v>
      </c>
      <c r="N730" t="n">
        <v>0</v>
      </c>
      <c r="O730" t="n">
        <v>1</v>
      </c>
      <c r="P730" t="n">
        <v>0</v>
      </c>
      <c r="Q730" t="n">
        <v>1</v>
      </c>
      <c r="R730" s="2" t="inlineStr">
        <is>
          <t>Granticka</t>
        </is>
      </c>
      <c r="S730">
        <f>HYPERLINK("https://klasma.github.io/Logging_2506/artfynd/A 18921-2025 artfynd.xlsx", "A 18921-2025")</f>
        <v/>
      </c>
      <c r="T730">
        <f>HYPERLINK("https://klasma.github.io/Logging_2506/kartor/A 18921-2025 karta.png", "A 18921-2025")</f>
        <v/>
      </c>
      <c r="V730">
        <f>HYPERLINK("https://klasma.github.io/Logging_2506/klagomål/A 18921-2025 FSC-klagomål.docx", "A 18921-2025")</f>
        <v/>
      </c>
      <c r="W730">
        <f>HYPERLINK("https://klasma.github.io/Logging_2506/klagomålsmail/A 18921-2025 FSC-klagomål mail.docx", "A 18921-2025")</f>
        <v/>
      </c>
      <c r="X730">
        <f>HYPERLINK("https://klasma.github.io/Logging_2506/tillsyn/A 18921-2025 tillsynsbegäran.docx", "A 18921-2025")</f>
        <v/>
      </c>
      <c r="Y730">
        <f>HYPERLINK("https://klasma.github.io/Logging_2506/tillsynsmail/A 18921-2025 tillsynsbegäran mail.docx", "A 18921-2025")</f>
        <v/>
      </c>
    </row>
    <row r="731" ht="15" customHeight="1">
      <c r="A731" t="inlineStr">
        <is>
          <t>A 49400-2025</t>
        </is>
      </c>
      <c r="B731" s="1" t="n">
        <v>45938</v>
      </c>
      <c r="C731" s="1" t="n">
        <v>46046</v>
      </c>
      <c r="D731" t="inlineStr">
        <is>
          <t>NORRBOTTENS LÄN</t>
        </is>
      </c>
      <c r="E731" t="inlineStr">
        <is>
          <t>ÄLVSBYN</t>
        </is>
      </c>
      <c r="F731" t="inlineStr">
        <is>
          <t>Sveaskog</t>
        </is>
      </c>
      <c r="G731" t="n">
        <v>13.7</v>
      </c>
      <c r="H731" t="n">
        <v>0</v>
      </c>
      <c r="I731" t="n">
        <v>1</v>
      </c>
      <c r="J731" t="n">
        <v>0</v>
      </c>
      <c r="K731" t="n">
        <v>0</v>
      </c>
      <c r="L731" t="n">
        <v>0</v>
      </c>
      <c r="M731" t="n">
        <v>0</v>
      </c>
      <c r="N731" t="n">
        <v>0</v>
      </c>
      <c r="O731" t="n">
        <v>0</v>
      </c>
      <c r="P731" t="n">
        <v>0</v>
      </c>
      <c r="Q731" t="n">
        <v>1</v>
      </c>
      <c r="R731" s="2" t="inlineStr">
        <is>
          <t>Stuplav</t>
        </is>
      </c>
      <c r="S731">
        <f>HYPERLINK("https://klasma.github.io/Logging_2560/artfynd/A 49400-2025 artfynd.xlsx", "A 49400-2025")</f>
        <v/>
      </c>
      <c r="T731">
        <f>HYPERLINK("https://klasma.github.io/Logging_2560/kartor/A 49400-2025 karta.png", "A 49400-2025")</f>
        <v/>
      </c>
      <c r="V731">
        <f>HYPERLINK("https://klasma.github.io/Logging_2560/klagomål/A 49400-2025 FSC-klagomål.docx", "A 49400-2025")</f>
        <v/>
      </c>
      <c r="W731">
        <f>HYPERLINK("https://klasma.github.io/Logging_2560/klagomålsmail/A 49400-2025 FSC-klagomål mail.docx", "A 49400-2025")</f>
        <v/>
      </c>
      <c r="X731">
        <f>HYPERLINK("https://klasma.github.io/Logging_2560/tillsyn/A 49400-2025 tillsynsbegäran.docx", "A 49400-2025")</f>
        <v/>
      </c>
      <c r="Y731">
        <f>HYPERLINK("https://klasma.github.io/Logging_2560/tillsynsmail/A 49400-2025 tillsynsbegäran mail.docx", "A 49400-2025")</f>
        <v/>
      </c>
    </row>
    <row r="732" ht="15" customHeight="1">
      <c r="A732" t="inlineStr">
        <is>
          <t>A 49423-2025</t>
        </is>
      </c>
      <c r="B732" s="1" t="n">
        <v>45938</v>
      </c>
      <c r="C732" s="1" t="n">
        <v>46046</v>
      </c>
      <c r="D732" t="inlineStr">
        <is>
          <t>NORRBOTTENS LÄN</t>
        </is>
      </c>
      <c r="E732" t="inlineStr">
        <is>
          <t>LULEÅ</t>
        </is>
      </c>
      <c r="G732" t="n">
        <v>6.9</v>
      </c>
      <c r="H732" t="n">
        <v>0</v>
      </c>
      <c r="I732" t="n">
        <v>0</v>
      </c>
      <c r="J732" t="n">
        <v>1</v>
      </c>
      <c r="K732" t="n">
        <v>0</v>
      </c>
      <c r="L732" t="n">
        <v>0</v>
      </c>
      <c r="M732" t="n">
        <v>0</v>
      </c>
      <c r="N732" t="n">
        <v>0</v>
      </c>
      <c r="O732" t="n">
        <v>1</v>
      </c>
      <c r="P732" t="n">
        <v>0</v>
      </c>
      <c r="Q732" t="n">
        <v>1</v>
      </c>
      <c r="R732" s="2" t="inlineStr">
        <is>
          <t>Ullticka</t>
        </is>
      </c>
      <c r="S732">
        <f>HYPERLINK("https://klasma.github.io/Logging_2580/artfynd/A 49423-2025 artfynd.xlsx", "A 49423-2025")</f>
        <v/>
      </c>
      <c r="T732">
        <f>HYPERLINK("https://klasma.github.io/Logging_2580/kartor/A 49423-2025 karta.png", "A 49423-2025")</f>
        <v/>
      </c>
      <c r="V732">
        <f>HYPERLINK("https://klasma.github.io/Logging_2580/klagomål/A 49423-2025 FSC-klagomål.docx", "A 49423-2025")</f>
        <v/>
      </c>
      <c r="W732">
        <f>HYPERLINK("https://klasma.github.io/Logging_2580/klagomålsmail/A 49423-2025 FSC-klagomål mail.docx", "A 49423-2025")</f>
        <v/>
      </c>
      <c r="X732">
        <f>HYPERLINK("https://klasma.github.io/Logging_2580/tillsyn/A 49423-2025 tillsynsbegäran.docx", "A 49423-2025")</f>
        <v/>
      </c>
      <c r="Y732">
        <f>HYPERLINK("https://klasma.github.io/Logging_2580/tillsynsmail/A 49423-2025 tillsynsbegäran mail.docx", "A 49423-2025")</f>
        <v/>
      </c>
    </row>
    <row r="733" ht="15" customHeight="1">
      <c r="A733" t="inlineStr">
        <is>
          <t>A 50100-2025</t>
        </is>
      </c>
      <c r="B733" s="1" t="n">
        <v>45943</v>
      </c>
      <c r="C733" s="1" t="n">
        <v>46046</v>
      </c>
      <c r="D733" t="inlineStr">
        <is>
          <t>NORRBOTTENS LÄN</t>
        </is>
      </c>
      <c r="E733" t="inlineStr">
        <is>
          <t>BODEN</t>
        </is>
      </c>
      <c r="G733" t="n">
        <v>6.5</v>
      </c>
      <c r="H733" t="n">
        <v>1</v>
      </c>
      <c r="I733" t="n">
        <v>0</v>
      </c>
      <c r="J733" t="n">
        <v>0</v>
      </c>
      <c r="K733" t="n">
        <v>0</v>
      </c>
      <c r="L733" t="n">
        <v>0</v>
      </c>
      <c r="M733" t="n">
        <v>0</v>
      </c>
      <c r="N733" t="n">
        <v>0</v>
      </c>
      <c r="O733" t="n">
        <v>0</v>
      </c>
      <c r="P733" t="n">
        <v>0</v>
      </c>
      <c r="Q733" t="n">
        <v>1</v>
      </c>
      <c r="R733" s="2" t="inlineStr">
        <is>
          <t>Fläcknycklar</t>
        </is>
      </c>
      <c r="S733">
        <f>HYPERLINK("https://klasma.github.io/Logging_2582/artfynd/A 50100-2025 artfynd.xlsx", "A 50100-2025")</f>
        <v/>
      </c>
      <c r="T733">
        <f>HYPERLINK("https://klasma.github.io/Logging_2582/kartor/A 50100-2025 karta.png", "A 50100-2025")</f>
        <v/>
      </c>
      <c r="V733">
        <f>HYPERLINK("https://klasma.github.io/Logging_2582/klagomål/A 50100-2025 FSC-klagomål.docx", "A 50100-2025")</f>
        <v/>
      </c>
      <c r="W733">
        <f>HYPERLINK("https://klasma.github.io/Logging_2582/klagomålsmail/A 50100-2025 FSC-klagomål mail.docx", "A 50100-2025")</f>
        <v/>
      </c>
      <c r="X733">
        <f>HYPERLINK("https://klasma.github.io/Logging_2582/tillsyn/A 50100-2025 tillsynsbegäran.docx", "A 50100-2025")</f>
        <v/>
      </c>
      <c r="Y733">
        <f>HYPERLINK("https://klasma.github.io/Logging_2582/tillsynsmail/A 50100-2025 tillsynsbegäran mail.docx", "A 50100-2025")</f>
        <v/>
      </c>
    </row>
    <row r="734" ht="15" customHeight="1">
      <c r="A734" t="inlineStr">
        <is>
          <t>A 50429-2025</t>
        </is>
      </c>
      <c r="B734" s="1" t="n">
        <v>45944</v>
      </c>
      <c r="C734" s="1" t="n">
        <v>46046</v>
      </c>
      <c r="D734" t="inlineStr">
        <is>
          <t>NORRBOTTENS LÄN</t>
        </is>
      </c>
      <c r="E734" t="inlineStr">
        <is>
          <t>ÄLVSBYN</t>
        </is>
      </c>
      <c r="F734" t="inlineStr">
        <is>
          <t>Sveaskog</t>
        </is>
      </c>
      <c r="G734" t="n">
        <v>1.8</v>
      </c>
      <c r="H734" t="n">
        <v>0</v>
      </c>
      <c r="I734" t="n">
        <v>0</v>
      </c>
      <c r="J734" t="n">
        <v>1</v>
      </c>
      <c r="K734" t="n">
        <v>0</v>
      </c>
      <c r="L734" t="n">
        <v>0</v>
      </c>
      <c r="M734" t="n">
        <v>0</v>
      </c>
      <c r="N734" t="n">
        <v>0</v>
      </c>
      <c r="O734" t="n">
        <v>1</v>
      </c>
      <c r="P734" t="n">
        <v>0</v>
      </c>
      <c r="Q734" t="n">
        <v>1</v>
      </c>
      <c r="R734" s="2" t="inlineStr">
        <is>
          <t>Dvärgbägarlav</t>
        </is>
      </c>
      <c r="S734">
        <f>HYPERLINK("https://klasma.github.io/Logging_2560/artfynd/A 50429-2025 artfynd.xlsx", "A 50429-2025")</f>
        <v/>
      </c>
      <c r="T734">
        <f>HYPERLINK("https://klasma.github.io/Logging_2560/kartor/A 50429-2025 karta.png", "A 50429-2025")</f>
        <v/>
      </c>
      <c r="V734">
        <f>HYPERLINK("https://klasma.github.io/Logging_2560/klagomål/A 50429-2025 FSC-klagomål.docx", "A 50429-2025")</f>
        <v/>
      </c>
      <c r="W734">
        <f>HYPERLINK("https://klasma.github.io/Logging_2560/klagomålsmail/A 50429-2025 FSC-klagomål mail.docx", "A 50429-2025")</f>
        <v/>
      </c>
      <c r="X734">
        <f>HYPERLINK("https://klasma.github.io/Logging_2560/tillsyn/A 50429-2025 tillsynsbegäran.docx", "A 50429-2025")</f>
        <v/>
      </c>
      <c r="Y734">
        <f>HYPERLINK("https://klasma.github.io/Logging_2560/tillsynsmail/A 50429-2025 tillsynsbegäran mail.docx", "A 50429-2025")</f>
        <v/>
      </c>
    </row>
    <row r="735" ht="15" customHeight="1">
      <c r="A735" t="inlineStr">
        <is>
          <t>A 51389-2023</t>
        </is>
      </c>
      <c r="B735" s="1" t="n">
        <v>45213</v>
      </c>
      <c r="C735" s="1" t="n">
        <v>46046</v>
      </c>
      <c r="D735" t="inlineStr">
        <is>
          <t>NORRBOTTENS LÄN</t>
        </is>
      </c>
      <c r="E735" t="inlineStr">
        <is>
          <t>GÄLLIVARE</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HYPERLINK("https://klasma.github.io/Logging_2523/artfynd/A 51389-2023 artfynd.xlsx", "A 51389-2023")</f>
        <v/>
      </c>
      <c r="T735">
        <f>HYPERLINK("https://klasma.github.io/Logging_2523/kartor/A 51389-2023 karta.png", "A 51389-2023")</f>
        <v/>
      </c>
      <c r="V735">
        <f>HYPERLINK("https://klasma.github.io/Logging_2523/klagomål/A 51389-2023 FSC-klagomål.docx", "A 51389-2023")</f>
        <v/>
      </c>
      <c r="W735">
        <f>HYPERLINK("https://klasma.github.io/Logging_2523/klagomålsmail/A 51389-2023 FSC-klagomål mail.docx", "A 51389-2023")</f>
        <v/>
      </c>
      <c r="X735">
        <f>HYPERLINK("https://klasma.github.io/Logging_2523/tillsyn/A 51389-2023 tillsynsbegäran.docx", "A 51389-2023")</f>
        <v/>
      </c>
      <c r="Y735">
        <f>HYPERLINK("https://klasma.github.io/Logging_2523/tillsynsmail/A 51389-2023 tillsynsbegäran mail.docx", "A 51389-2023")</f>
        <v/>
      </c>
      <c r="Z735">
        <f>HYPERLINK("https://klasma.github.io/Logging_2523/fåglar/A 51389-2023 prioriterade fågelarter.docx", "A 51389-2023")</f>
        <v/>
      </c>
    </row>
    <row r="736" ht="15" customHeight="1">
      <c r="A736" t="inlineStr">
        <is>
          <t>A 50391-2025</t>
        </is>
      </c>
      <c r="B736" s="1" t="n">
        <v>45944.61743055555</v>
      </c>
      <c r="C736" s="1" t="n">
        <v>46046</v>
      </c>
      <c r="D736" t="inlineStr">
        <is>
          <t>NORRBOTTENS LÄN</t>
        </is>
      </c>
      <c r="E736" t="inlineStr">
        <is>
          <t>JOKKMOKK</t>
        </is>
      </c>
      <c r="F736" t="inlineStr">
        <is>
          <t>Sveaskog</t>
        </is>
      </c>
      <c r="G736" t="n">
        <v>7.6</v>
      </c>
      <c r="H736" t="n">
        <v>1</v>
      </c>
      <c r="I736" t="n">
        <v>1</v>
      </c>
      <c r="J736" t="n">
        <v>0</v>
      </c>
      <c r="K736" t="n">
        <v>0</v>
      </c>
      <c r="L736" t="n">
        <v>0</v>
      </c>
      <c r="M736" t="n">
        <v>0</v>
      </c>
      <c r="N736" t="n">
        <v>0</v>
      </c>
      <c r="O736" t="n">
        <v>0</v>
      </c>
      <c r="P736" t="n">
        <v>0</v>
      </c>
      <c r="Q736" t="n">
        <v>1</v>
      </c>
      <c r="R736" s="2" t="inlineStr">
        <is>
          <t>Plattlummer</t>
        </is>
      </c>
      <c r="S736">
        <f>HYPERLINK("https://klasma.github.io/Logging_2510/artfynd/A 50391-2025 artfynd.xlsx", "A 50391-2025")</f>
        <v/>
      </c>
      <c r="T736">
        <f>HYPERLINK("https://klasma.github.io/Logging_2510/kartor/A 50391-2025 karta.png", "A 50391-2025")</f>
        <v/>
      </c>
      <c r="V736">
        <f>HYPERLINK("https://klasma.github.io/Logging_2510/klagomål/A 50391-2025 FSC-klagomål.docx", "A 50391-2025")</f>
        <v/>
      </c>
      <c r="W736">
        <f>HYPERLINK("https://klasma.github.io/Logging_2510/klagomålsmail/A 50391-2025 FSC-klagomål mail.docx", "A 50391-2025")</f>
        <v/>
      </c>
      <c r="X736">
        <f>HYPERLINK("https://klasma.github.io/Logging_2510/tillsyn/A 50391-2025 tillsynsbegäran.docx", "A 50391-2025")</f>
        <v/>
      </c>
      <c r="Y736">
        <f>HYPERLINK("https://klasma.github.io/Logging_2510/tillsynsmail/A 50391-2025 tillsynsbegäran mail.docx", "A 50391-2025")</f>
        <v/>
      </c>
    </row>
    <row r="737" ht="15" customHeight="1">
      <c r="A737" t="inlineStr">
        <is>
          <t>A 40151-2025</t>
        </is>
      </c>
      <c r="B737" s="1" t="n">
        <v>45894</v>
      </c>
      <c r="C737" s="1" t="n">
        <v>46046</v>
      </c>
      <c r="D737" t="inlineStr">
        <is>
          <t>NORRBOTTENS LÄN</t>
        </is>
      </c>
      <c r="E737" t="inlineStr">
        <is>
          <t>GÄLLIVARE</t>
        </is>
      </c>
      <c r="F737" t="inlineStr">
        <is>
          <t>Allmännings- och besparingsskogar</t>
        </is>
      </c>
      <c r="G737" t="n">
        <v>4.5</v>
      </c>
      <c r="H737" t="n">
        <v>1</v>
      </c>
      <c r="I737" t="n">
        <v>0</v>
      </c>
      <c r="J737" t="n">
        <v>0</v>
      </c>
      <c r="K737" t="n">
        <v>0</v>
      </c>
      <c r="L737" t="n">
        <v>0</v>
      </c>
      <c r="M737" t="n">
        <v>0</v>
      </c>
      <c r="N737" t="n">
        <v>0</v>
      </c>
      <c r="O737" t="n">
        <v>0</v>
      </c>
      <c r="P737" t="n">
        <v>0</v>
      </c>
      <c r="Q737" t="n">
        <v>1</v>
      </c>
      <c r="R737" s="2" t="inlineStr">
        <is>
          <t>Fläcknycklar</t>
        </is>
      </c>
      <c r="S737">
        <f>HYPERLINK("https://klasma.github.io/Logging_2523/artfynd/A 40151-2025 artfynd.xlsx", "A 40151-2025")</f>
        <v/>
      </c>
      <c r="T737">
        <f>HYPERLINK("https://klasma.github.io/Logging_2523/kartor/A 40151-2025 karta.png", "A 40151-2025")</f>
        <v/>
      </c>
      <c r="V737">
        <f>HYPERLINK("https://klasma.github.io/Logging_2523/klagomål/A 40151-2025 FSC-klagomål.docx", "A 40151-2025")</f>
        <v/>
      </c>
      <c r="W737">
        <f>HYPERLINK("https://klasma.github.io/Logging_2523/klagomålsmail/A 40151-2025 FSC-klagomål mail.docx", "A 40151-2025")</f>
        <v/>
      </c>
      <c r="X737">
        <f>HYPERLINK("https://klasma.github.io/Logging_2523/tillsyn/A 40151-2025 tillsynsbegäran.docx", "A 40151-2025")</f>
        <v/>
      </c>
      <c r="Y737">
        <f>HYPERLINK("https://klasma.github.io/Logging_2523/tillsynsmail/A 40151-2025 tillsynsbegäran mail.docx", "A 40151-2025")</f>
        <v/>
      </c>
    </row>
    <row r="738" ht="15" customHeight="1">
      <c r="A738" t="inlineStr">
        <is>
          <t>A 50826-2025</t>
        </is>
      </c>
      <c r="B738" s="1" t="n">
        <v>45946.54731481482</v>
      </c>
      <c r="C738" s="1" t="n">
        <v>46046</v>
      </c>
      <c r="D738" t="inlineStr">
        <is>
          <t>NORRBOTTENS LÄN</t>
        </is>
      </c>
      <c r="E738" t="inlineStr">
        <is>
          <t>ARVIDSJAUR</t>
        </is>
      </c>
      <c r="F738" t="inlineStr">
        <is>
          <t>Sveaskog</t>
        </is>
      </c>
      <c r="G738" t="n">
        <v>31.8</v>
      </c>
      <c r="H738" t="n">
        <v>0</v>
      </c>
      <c r="I738" t="n">
        <v>0</v>
      </c>
      <c r="J738" t="n">
        <v>1</v>
      </c>
      <c r="K738" t="n">
        <v>0</v>
      </c>
      <c r="L738" t="n">
        <v>0</v>
      </c>
      <c r="M738" t="n">
        <v>0</v>
      </c>
      <c r="N738" t="n">
        <v>0</v>
      </c>
      <c r="O738" t="n">
        <v>1</v>
      </c>
      <c r="P738" t="n">
        <v>0</v>
      </c>
      <c r="Q738" t="n">
        <v>1</v>
      </c>
      <c r="R738" s="2" t="inlineStr">
        <is>
          <t>Lunglav</t>
        </is>
      </c>
      <c r="S738">
        <f>HYPERLINK("https://klasma.github.io/Logging_2505/artfynd/A 50826-2025 artfynd.xlsx", "A 50826-2025")</f>
        <v/>
      </c>
      <c r="T738">
        <f>HYPERLINK("https://klasma.github.io/Logging_2505/kartor/A 50826-2025 karta.png", "A 50826-2025")</f>
        <v/>
      </c>
      <c r="V738">
        <f>HYPERLINK("https://klasma.github.io/Logging_2505/klagomål/A 50826-2025 FSC-klagomål.docx", "A 50826-2025")</f>
        <v/>
      </c>
      <c r="W738">
        <f>HYPERLINK("https://klasma.github.io/Logging_2505/klagomålsmail/A 50826-2025 FSC-klagomål mail.docx", "A 50826-2025")</f>
        <v/>
      </c>
      <c r="X738">
        <f>HYPERLINK("https://klasma.github.io/Logging_2505/tillsyn/A 50826-2025 tillsynsbegäran.docx", "A 50826-2025")</f>
        <v/>
      </c>
      <c r="Y738">
        <f>HYPERLINK("https://klasma.github.io/Logging_2505/tillsynsmail/A 50826-2025 tillsynsbegäran mail.docx", "A 50826-2025")</f>
        <v/>
      </c>
    </row>
    <row r="739" ht="15" customHeight="1">
      <c r="A739" t="inlineStr">
        <is>
          <t>A 50822-2025</t>
        </is>
      </c>
      <c r="B739" s="1" t="n">
        <v>45946</v>
      </c>
      <c r="C739" s="1" t="n">
        <v>46046</v>
      </c>
      <c r="D739" t="inlineStr">
        <is>
          <t>NORRBOTTENS LÄN</t>
        </is>
      </c>
      <c r="E739" t="inlineStr">
        <is>
          <t>PAJALA</t>
        </is>
      </c>
      <c r="F739" t="inlineStr">
        <is>
          <t>Sveaskog</t>
        </is>
      </c>
      <c r="G739" t="n">
        <v>8.800000000000001</v>
      </c>
      <c r="H739" t="n">
        <v>0</v>
      </c>
      <c r="I739" t="n">
        <v>0</v>
      </c>
      <c r="J739" t="n">
        <v>1</v>
      </c>
      <c r="K739" t="n">
        <v>0</v>
      </c>
      <c r="L739" t="n">
        <v>0</v>
      </c>
      <c r="M739" t="n">
        <v>0</v>
      </c>
      <c r="N739" t="n">
        <v>0</v>
      </c>
      <c r="O739" t="n">
        <v>1</v>
      </c>
      <c r="P739" t="n">
        <v>0</v>
      </c>
      <c r="Q739" t="n">
        <v>1</v>
      </c>
      <c r="R739" s="2" t="inlineStr">
        <is>
          <t>Garnlav</t>
        </is>
      </c>
      <c r="S739">
        <f>HYPERLINK("https://klasma.github.io/Logging_2521/artfynd/A 50822-2025 artfynd.xlsx", "A 50822-2025")</f>
        <v/>
      </c>
      <c r="T739">
        <f>HYPERLINK("https://klasma.github.io/Logging_2521/kartor/A 50822-2025 karta.png", "A 50822-2025")</f>
        <v/>
      </c>
      <c r="V739">
        <f>HYPERLINK("https://klasma.github.io/Logging_2521/klagomål/A 50822-2025 FSC-klagomål.docx", "A 50822-2025")</f>
        <v/>
      </c>
      <c r="W739">
        <f>HYPERLINK("https://klasma.github.io/Logging_2521/klagomålsmail/A 50822-2025 FSC-klagomål mail.docx", "A 50822-2025")</f>
        <v/>
      </c>
      <c r="X739">
        <f>HYPERLINK("https://klasma.github.io/Logging_2521/tillsyn/A 50822-2025 tillsynsbegäran.docx", "A 50822-2025")</f>
        <v/>
      </c>
      <c r="Y739">
        <f>HYPERLINK("https://klasma.github.io/Logging_2521/tillsynsmail/A 50822-2025 tillsynsbegäran mail.docx", "A 50822-2025")</f>
        <v/>
      </c>
    </row>
    <row r="740" ht="15" customHeight="1">
      <c r="A740" t="inlineStr">
        <is>
          <t>A 52266-2025</t>
        </is>
      </c>
      <c r="B740" s="1" t="n">
        <v>45953</v>
      </c>
      <c r="C740" s="1" t="n">
        <v>46046</v>
      </c>
      <c r="D740" t="inlineStr">
        <is>
          <t>NORRBOTTENS LÄN</t>
        </is>
      </c>
      <c r="E740" t="inlineStr">
        <is>
          <t>ÄLVSBYN</t>
        </is>
      </c>
      <c r="F740" t="inlineStr">
        <is>
          <t>SCA</t>
        </is>
      </c>
      <c r="G740" t="n">
        <v>1.4</v>
      </c>
      <c r="H740" t="n">
        <v>0</v>
      </c>
      <c r="I740" t="n">
        <v>0</v>
      </c>
      <c r="J740" t="n">
        <v>1</v>
      </c>
      <c r="K740" t="n">
        <v>0</v>
      </c>
      <c r="L740" t="n">
        <v>0</v>
      </c>
      <c r="M740" t="n">
        <v>0</v>
      </c>
      <c r="N740" t="n">
        <v>0</v>
      </c>
      <c r="O740" t="n">
        <v>1</v>
      </c>
      <c r="P740" t="n">
        <v>0</v>
      </c>
      <c r="Q740" t="n">
        <v>1</v>
      </c>
      <c r="R740" s="2" t="inlineStr">
        <is>
          <t>Vitgrynig nållav</t>
        </is>
      </c>
      <c r="S740">
        <f>HYPERLINK("https://klasma.github.io/Logging_2560/artfynd/A 52266-2025 artfynd.xlsx", "A 52266-2025")</f>
        <v/>
      </c>
      <c r="T740">
        <f>HYPERLINK("https://klasma.github.io/Logging_2560/kartor/A 52266-2025 karta.png", "A 52266-2025")</f>
        <v/>
      </c>
      <c r="V740">
        <f>HYPERLINK("https://klasma.github.io/Logging_2560/klagomål/A 52266-2025 FSC-klagomål.docx", "A 52266-2025")</f>
        <v/>
      </c>
      <c r="W740">
        <f>HYPERLINK("https://klasma.github.io/Logging_2560/klagomålsmail/A 52266-2025 FSC-klagomål mail.docx", "A 52266-2025")</f>
        <v/>
      </c>
      <c r="X740">
        <f>HYPERLINK("https://klasma.github.io/Logging_2560/tillsyn/A 52266-2025 tillsynsbegäran.docx", "A 52266-2025")</f>
        <v/>
      </c>
      <c r="Y740">
        <f>HYPERLINK("https://klasma.github.io/Logging_2560/tillsynsmail/A 52266-2025 tillsynsbegäran mail.docx", "A 52266-2025")</f>
        <v/>
      </c>
    </row>
    <row r="741" ht="15" customHeight="1">
      <c r="A741" t="inlineStr">
        <is>
          <t>A 13716-2021</t>
        </is>
      </c>
      <c r="B741" s="1" t="n">
        <v>44274</v>
      </c>
      <c r="C741" s="1" t="n">
        <v>46046</v>
      </c>
      <c r="D741" t="inlineStr">
        <is>
          <t>NORRBOTTENS LÄN</t>
        </is>
      </c>
      <c r="E741" t="inlineStr">
        <is>
          <t>KALIX</t>
        </is>
      </c>
      <c r="G741" t="n">
        <v>5</v>
      </c>
      <c r="H741" t="n">
        <v>0</v>
      </c>
      <c r="I741" t="n">
        <v>0</v>
      </c>
      <c r="J741" t="n">
        <v>1</v>
      </c>
      <c r="K741" t="n">
        <v>0</v>
      </c>
      <c r="L741" t="n">
        <v>0</v>
      </c>
      <c r="M741" t="n">
        <v>0</v>
      </c>
      <c r="N741" t="n">
        <v>0</v>
      </c>
      <c r="O741" t="n">
        <v>1</v>
      </c>
      <c r="P741" t="n">
        <v>0</v>
      </c>
      <c r="Q741" t="n">
        <v>1</v>
      </c>
      <c r="R741" s="2" t="inlineStr">
        <is>
          <t>Lunglav</t>
        </is>
      </c>
      <c r="S741">
        <f>HYPERLINK("https://klasma.github.io/Logging_2514/artfynd/A 13716-2021 artfynd.xlsx", "A 13716-2021")</f>
        <v/>
      </c>
      <c r="T741">
        <f>HYPERLINK("https://klasma.github.io/Logging_2514/kartor/A 13716-2021 karta.png", "A 13716-2021")</f>
        <v/>
      </c>
      <c r="V741">
        <f>HYPERLINK("https://klasma.github.io/Logging_2514/klagomål/A 13716-2021 FSC-klagomål.docx", "A 13716-2021")</f>
        <v/>
      </c>
      <c r="W741">
        <f>HYPERLINK("https://klasma.github.io/Logging_2514/klagomålsmail/A 13716-2021 FSC-klagomål mail.docx", "A 13716-2021")</f>
        <v/>
      </c>
      <c r="X741">
        <f>HYPERLINK("https://klasma.github.io/Logging_2514/tillsyn/A 13716-2021 tillsynsbegäran.docx", "A 13716-2021")</f>
        <v/>
      </c>
      <c r="Y741">
        <f>HYPERLINK("https://klasma.github.io/Logging_2514/tillsynsmail/A 13716-2021 tillsynsbegäran mail.docx", "A 13716-2021")</f>
        <v/>
      </c>
    </row>
    <row r="742" ht="15" customHeight="1">
      <c r="A742" t="inlineStr">
        <is>
          <t>A 52159-2025</t>
        </is>
      </c>
      <c r="B742" s="1" t="n">
        <v>45953</v>
      </c>
      <c r="C742" s="1" t="n">
        <v>46046</v>
      </c>
      <c r="D742" t="inlineStr">
        <is>
          <t>NORRBOTTENS LÄN</t>
        </is>
      </c>
      <c r="E742" t="inlineStr">
        <is>
          <t>ÄLVSBYN</t>
        </is>
      </c>
      <c r="F742" t="inlineStr">
        <is>
          <t>Sveaskog</t>
        </is>
      </c>
      <c r="G742" t="n">
        <v>39.7</v>
      </c>
      <c r="H742" t="n">
        <v>0</v>
      </c>
      <c r="I742" t="n">
        <v>0</v>
      </c>
      <c r="J742" t="n">
        <v>1</v>
      </c>
      <c r="K742" t="n">
        <v>0</v>
      </c>
      <c r="L742" t="n">
        <v>0</v>
      </c>
      <c r="M742" t="n">
        <v>0</v>
      </c>
      <c r="N742" t="n">
        <v>0</v>
      </c>
      <c r="O742" t="n">
        <v>1</v>
      </c>
      <c r="P742" t="n">
        <v>0</v>
      </c>
      <c r="Q742" t="n">
        <v>1</v>
      </c>
      <c r="R742" s="2" t="inlineStr">
        <is>
          <t>Lunglav</t>
        </is>
      </c>
      <c r="S742">
        <f>HYPERLINK("https://klasma.github.io/Logging_2560/artfynd/A 52159-2025 artfynd.xlsx", "A 52159-2025")</f>
        <v/>
      </c>
      <c r="T742">
        <f>HYPERLINK("https://klasma.github.io/Logging_2560/kartor/A 52159-2025 karta.png", "A 52159-2025")</f>
        <v/>
      </c>
      <c r="V742">
        <f>HYPERLINK("https://klasma.github.io/Logging_2560/klagomål/A 52159-2025 FSC-klagomål.docx", "A 52159-2025")</f>
        <v/>
      </c>
      <c r="W742">
        <f>HYPERLINK("https://klasma.github.io/Logging_2560/klagomålsmail/A 52159-2025 FSC-klagomål mail.docx", "A 52159-2025")</f>
        <v/>
      </c>
      <c r="X742">
        <f>HYPERLINK("https://klasma.github.io/Logging_2560/tillsyn/A 52159-2025 tillsynsbegäran.docx", "A 52159-2025")</f>
        <v/>
      </c>
      <c r="Y742">
        <f>HYPERLINK("https://klasma.github.io/Logging_2560/tillsynsmail/A 52159-2025 tillsynsbegäran mail.docx", "A 52159-2025")</f>
        <v/>
      </c>
    </row>
    <row r="743" ht="15" customHeight="1">
      <c r="A743" t="inlineStr">
        <is>
          <t>A 51874-2025</t>
        </is>
      </c>
      <c r="B743" s="1" t="n">
        <v>45952.39126157408</v>
      </c>
      <c r="C743" s="1" t="n">
        <v>46046</v>
      </c>
      <c r="D743" t="inlineStr">
        <is>
          <t>NORRBOTTENS LÄN</t>
        </is>
      </c>
      <c r="E743" t="inlineStr">
        <is>
          <t>BODEN</t>
        </is>
      </c>
      <c r="F743" t="inlineStr">
        <is>
          <t>Sveaskog</t>
        </is>
      </c>
      <c r="G743" t="n">
        <v>0.7</v>
      </c>
      <c r="H743" t="n">
        <v>0</v>
      </c>
      <c r="I743" t="n">
        <v>1</v>
      </c>
      <c r="J743" t="n">
        <v>0</v>
      </c>
      <c r="K743" t="n">
        <v>0</v>
      </c>
      <c r="L743" t="n">
        <v>0</v>
      </c>
      <c r="M743" t="n">
        <v>0</v>
      </c>
      <c r="N743" t="n">
        <v>0</v>
      </c>
      <c r="O743" t="n">
        <v>0</v>
      </c>
      <c r="P743" t="n">
        <v>0</v>
      </c>
      <c r="Q743" t="n">
        <v>1</v>
      </c>
      <c r="R743" s="2" t="inlineStr">
        <is>
          <t>Skinnlav</t>
        </is>
      </c>
      <c r="S743">
        <f>HYPERLINK("https://klasma.github.io/Logging_2582/artfynd/A 51874-2025 artfynd.xlsx", "A 51874-2025")</f>
        <v/>
      </c>
      <c r="T743">
        <f>HYPERLINK("https://klasma.github.io/Logging_2582/kartor/A 51874-2025 karta.png", "A 51874-2025")</f>
        <v/>
      </c>
      <c r="V743">
        <f>HYPERLINK("https://klasma.github.io/Logging_2582/klagomål/A 51874-2025 FSC-klagomål.docx", "A 51874-2025")</f>
        <v/>
      </c>
      <c r="W743">
        <f>HYPERLINK("https://klasma.github.io/Logging_2582/klagomålsmail/A 51874-2025 FSC-klagomål mail.docx", "A 51874-2025")</f>
        <v/>
      </c>
      <c r="X743">
        <f>HYPERLINK("https://klasma.github.io/Logging_2582/tillsyn/A 51874-2025 tillsynsbegäran.docx", "A 51874-2025")</f>
        <v/>
      </c>
      <c r="Y743">
        <f>HYPERLINK("https://klasma.github.io/Logging_2582/tillsynsmail/A 51874-2025 tillsynsbegäran mail.docx", "A 51874-2025")</f>
        <v/>
      </c>
    </row>
    <row r="744" ht="15" customHeight="1">
      <c r="A744" t="inlineStr">
        <is>
          <t>A 51957-2025</t>
        </is>
      </c>
      <c r="B744" s="1" t="n">
        <v>45952</v>
      </c>
      <c r="C744" s="1" t="n">
        <v>46046</v>
      </c>
      <c r="D744" t="inlineStr">
        <is>
          <t>NORRBOTTENS LÄN</t>
        </is>
      </c>
      <c r="E744" t="inlineStr">
        <is>
          <t>BODEN</t>
        </is>
      </c>
      <c r="F744" t="inlineStr">
        <is>
          <t>Sveaskog</t>
        </is>
      </c>
      <c r="G744" t="n">
        <v>8</v>
      </c>
      <c r="H744" t="n">
        <v>0</v>
      </c>
      <c r="I744" t="n">
        <v>0</v>
      </c>
      <c r="J744" t="n">
        <v>1</v>
      </c>
      <c r="K744" t="n">
        <v>0</v>
      </c>
      <c r="L744" t="n">
        <v>0</v>
      </c>
      <c r="M744" t="n">
        <v>0</v>
      </c>
      <c r="N744" t="n">
        <v>0</v>
      </c>
      <c r="O744" t="n">
        <v>1</v>
      </c>
      <c r="P744" t="n">
        <v>0</v>
      </c>
      <c r="Q744" t="n">
        <v>1</v>
      </c>
      <c r="R744" s="2" t="inlineStr">
        <is>
          <t>Garnlav</t>
        </is>
      </c>
      <c r="S744">
        <f>HYPERLINK("https://klasma.github.io/Logging_2582/artfynd/A 51957-2025 artfynd.xlsx", "A 51957-2025")</f>
        <v/>
      </c>
      <c r="T744">
        <f>HYPERLINK("https://klasma.github.io/Logging_2582/kartor/A 51957-2025 karta.png", "A 51957-2025")</f>
        <v/>
      </c>
      <c r="V744">
        <f>HYPERLINK("https://klasma.github.io/Logging_2582/klagomål/A 51957-2025 FSC-klagomål.docx", "A 51957-2025")</f>
        <v/>
      </c>
      <c r="W744">
        <f>HYPERLINK("https://klasma.github.io/Logging_2582/klagomålsmail/A 51957-2025 FSC-klagomål mail.docx", "A 51957-2025")</f>
        <v/>
      </c>
      <c r="X744">
        <f>HYPERLINK("https://klasma.github.io/Logging_2582/tillsyn/A 51957-2025 tillsynsbegäran.docx", "A 51957-2025")</f>
        <v/>
      </c>
      <c r="Y744">
        <f>HYPERLINK("https://klasma.github.io/Logging_2582/tillsynsmail/A 51957-2025 tillsynsbegäran mail.docx", "A 51957-2025")</f>
        <v/>
      </c>
    </row>
    <row r="745" ht="15" customHeight="1">
      <c r="A745" t="inlineStr">
        <is>
          <t>A 51900-2025</t>
        </is>
      </c>
      <c r="B745" s="1" t="n">
        <v>45952</v>
      </c>
      <c r="C745" s="1" t="n">
        <v>46046</v>
      </c>
      <c r="D745" t="inlineStr">
        <is>
          <t>NORRBOTTENS LÄN</t>
        </is>
      </c>
      <c r="E745" t="inlineStr">
        <is>
          <t>LULEÅ</t>
        </is>
      </c>
      <c r="G745" t="n">
        <v>21.5</v>
      </c>
      <c r="H745" t="n">
        <v>1</v>
      </c>
      <c r="I745" t="n">
        <v>0</v>
      </c>
      <c r="J745" t="n">
        <v>0</v>
      </c>
      <c r="K745" t="n">
        <v>1</v>
      </c>
      <c r="L745" t="n">
        <v>0</v>
      </c>
      <c r="M745" t="n">
        <v>0</v>
      </c>
      <c r="N745" t="n">
        <v>0</v>
      </c>
      <c r="O745" t="n">
        <v>1</v>
      </c>
      <c r="P745" t="n">
        <v>1</v>
      </c>
      <c r="Q745" t="n">
        <v>1</v>
      </c>
      <c r="R745" s="2" t="inlineStr">
        <is>
          <t>Knärot</t>
        </is>
      </c>
      <c r="S745">
        <f>HYPERLINK("https://klasma.github.io/Logging_2580/artfynd/A 51900-2025 artfynd.xlsx", "A 51900-2025")</f>
        <v/>
      </c>
      <c r="T745">
        <f>HYPERLINK("https://klasma.github.io/Logging_2580/kartor/A 51900-2025 karta.png", "A 51900-2025")</f>
        <v/>
      </c>
      <c r="U745">
        <f>HYPERLINK("https://klasma.github.io/Logging_2580/knärot/A 51900-2025 karta knärot.png", "A 51900-2025")</f>
        <v/>
      </c>
      <c r="V745">
        <f>HYPERLINK("https://klasma.github.io/Logging_2580/klagomål/A 51900-2025 FSC-klagomål.docx", "A 51900-2025")</f>
        <v/>
      </c>
      <c r="W745">
        <f>HYPERLINK("https://klasma.github.io/Logging_2580/klagomålsmail/A 51900-2025 FSC-klagomål mail.docx", "A 51900-2025")</f>
        <v/>
      </c>
      <c r="X745">
        <f>HYPERLINK("https://klasma.github.io/Logging_2580/tillsyn/A 51900-2025 tillsynsbegäran.docx", "A 51900-2025")</f>
        <v/>
      </c>
      <c r="Y745">
        <f>HYPERLINK("https://klasma.github.io/Logging_2580/tillsynsmail/A 51900-2025 tillsynsbegäran mail.docx", "A 51900-2025")</f>
        <v/>
      </c>
    </row>
    <row r="746" ht="15" customHeight="1">
      <c r="A746" t="inlineStr">
        <is>
          <t>A 52885-2025</t>
        </is>
      </c>
      <c r="B746" s="1" t="n">
        <v>45957</v>
      </c>
      <c r="C746" s="1" t="n">
        <v>46046</v>
      </c>
      <c r="D746" t="inlineStr">
        <is>
          <t>NORRBOTTENS LÄN</t>
        </is>
      </c>
      <c r="E746" t="inlineStr">
        <is>
          <t>ÄLVSBYN</t>
        </is>
      </c>
      <c r="F746" t="inlineStr">
        <is>
          <t>Sveaskog</t>
        </is>
      </c>
      <c r="G746" t="n">
        <v>10.9</v>
      </c>
      <c r="H746" t="n">
        <v>0</v>
      </c>
      <c r="I746" t="n">
        <v>0</v>
      </c>
      <c r="J746" t="n">
        <v>1</v>
      </c>
      <c r="K746" t="n">
        <v>0</v>
      </c>
      <c r="L746" t="n">
        <v>0</v>
      </c>
      <c r="M746" t="n">
        <v>0</v>
      </c>
      <c r="N746" t="n">
        <v>0</v>
      </c>
      <c r="O746" t="n">
        <v>1</v>
      </c>
      <c r="P746" t="n">
        <v>0</v>
      </c>
      <c r="Q746" t="n">
        <v>1</v>
      </c>
      <c r="R746" s="2" t="inlineStr">
        <is>
          <t>Garnlav</t>
        </is>
      </c>
      <c r="S746">
        <f>HYPERLINK("https://klasma.github.io/Logging_2560/artfynd/A 52885-2025 artfynd.xlsx", "A 52885-2025")</f>
        <v/>
      </c>
      <c r="T746">
        <f>HYPERLINK("https://klasma.github.io/Logging_2560/kartor/A 52885-2025 karta.png", "A 52885-2025")</f>
        <v/>
      </c>
      <c r="V746">
        <f>HYPERLINK("https://klasma.github.io/Logging_2560/klagomål/A 52885-2025 FSC-klagomål.docx", "A 52885-2025")</f>
        <v/>
      </c>
      <c r="W746">
        <f>HYPERLINK("https://klasma.github.io/Logging_2560/klagomålsmail/A 52885-2025 FSC-klagomål mail.docx", "A 52885-2025")</f>
        <v/>
      </c>
      <c r="X746">
        <f>HYPERLINK("https://klasma.github.io/Logging_2560/tillsyn/A 52885-2025 tillsynsbegäran.docx", "A 52885-2025")</f>
        <v/>
      </c>
      <c r="Y746">
        <f>HYPERLINK("https://klasma.github.io/Logging_2560/tillsynsmail/A 52885-2025 tillsynsbegäran mail.docx", "A 52885-2025")</f>
        <v/>
      </c>
    </row>
    <row r="747" ht="15" customHeight="1">
      <c r="A747" t="inlineStr">
        <is>
          <t>A 52964-2025</t>
        </is>
      </c>
      <c r="B747" s="1" t="n">
        <v>45957</v>
      </c>
      <c r="C747" s="1" t="n">
        <v>46046</v>
      </c>
      <c r="D747" t="inlineStr">
        <is>
          <t>NORRBOTTENS LÄN</t>
        </is>
      </c>
      <c r="E747" t="inlineStr">
        <is>
          <t>ÄLVSBYN</t>
        </is>
      </c>
      <c r="F747" t="inlineStr">
        <is>
          <t>Sveaskog</t>
        </is>
      </c>
      <c r="G747" t="n">
        <v>4.1</v>
      </c>
      <c r="H747" t="n">
        <v>0</v>
      </c>
      <c r="I747" t="n">
        <v>0</v>
      </c>
      <c r="J747" t="n">
        <v>1</v>
      </c>
      <c r="K747" t="n">
        <v>0</v>
      </c>
      <c r="L747" t="n">
        <v>0</v>
      </c>
      <c r="M747" t="n">
        <v>0</v>
      </c>
      <c r="N747" t="n">
        <v>0</v>
      </c>
      <c r="O747" t="n">
        <v>1</v>
      </c>
      <c r="P747" t="n">
        <v>0</v>
      </c>
      <c r="Q747" t="n">
        <v>1</v>
      </c>
      <c r="R747" s="2" t="inlineStr">
        <is>
          <t>Garnlav</t>
        </is>
      </c>
      <c r="S747">
        <f>HYPERLINK("https://klasma.github.io/Logging_2560/artfynd/A 52964-2025 artfynd.xlsx", "A 52964-2025")</f>
        <v/>
      </c>
      <c r="T747">
        <f>HYPERLINK("https://klasma.github.io/Logging_2560/kartor/A 52964-2025 karta.png", "A 52964-2025")</f>
        <v/>
      </c>
      <c r="V747">
        <f>HYPERLINK("https://klasma.github.io/Logging_2560/klagomål/A 52964-2025 FSC-klagomål.docx", "A 52964-2025")</f>
        <v/>
      </c>
      <c r="W747">
        <f>HYPERLINK("https://klasma.github.io/Logging_2560/klagomålsmail/A 52964-2025 FSC-klagomål mail.docx", "A 52964-2025")</f>
        <v/>
      </c>
      <c r="X747">
        <f>HYPERLINK("https://klasma.github.io/Logging_2560/tillsyn/A 52964-2025 tillsynsbegäran.docx", "A 52964-2025")</f>
        <v/>
      </c>
      <c r="Y747">
        <f>HYPERLINK("https://klasma.github.io/Logging_2560/tillsynsmail/A 52964-2025 tillsynsbegäran mail.docx", "A 52964-2025")</f>
        <v/>
      </c>
    </row>
    <row r="748" ht="15" customHeight="1">
      <c r="A748" t="inlineStr">
        <is>
          <t>A 53035-2025</t>
        </is>
      </c>
      <c r="B748" s="1" t="n">
        <v>45958.34751157407</v>
      </c>
      <c r="C748" s="1" t="n">
        <v>46046</v>
      </c>
      <c r="D748" t="inlineStr">
        <is>
          <t>NORRBOTTENS LÄN</t>
        </is>
      </c>
      <c r="E748" t="inlineStr">
        <is>
          <t>JOKKMOKK</t>
        </is>
      </c>
      <c r="F748" t="inlineStr">
        <is>
          <t>Sveaskog</t>
        </is>
      </c>
      <c r="G748" t="n">
        <v>15.2</v>
      </c>
      <c r="H748" t="n">
        <v>1</v>
      </c>
      <c r="I748" t="n">
        <v>1</v>
      </c>
      <c r="J748" t="n">
        <v>0</v>
      </c>
      <c r="K748" t="n">
        <v>0</v>
      </c>
      <c r="L748" t="n">
        <v>0</v>
      </c>
      <c r="M748" t="n">
        <v>0</v>
      </c>
      <c r="N748" t="n">
        <v>0</v>
      </c>
      <c r="O748" t="n">
        <v>0</v>
      </c>
      <c r="P748" t="n">
        <v>0</v>
      </c>
      <c r="Q748" t="n">
        <v>1</v>
      </c>
      <c r="R748" s="2" t="inlineStr">
        <is>
          <t>Plattlummer</t>
        </is>
      </c>
      <c r="S748">
        <f>HYPERLINK("https://klasma.github.io/Logging_2510/artfynd/A 53035-2025 artfynd.xlsx", "A 53035-2025")</f>
        <v/>
      </c>
      <c r="T748">
        <f>HYPERLINK("https://klasma.github.io/Logging_2510/kartor/A 53035-2025 karta.png", "A 53035-2025")</f>
        <v/>
      </c>
      <c r="V748">
        <f>HYPERLINK("https://klasma.github.io/Logging_2510/klagomål/A 53035-2025 FSC-klagomål.docx", "A 53035-2025")</f>
        <v/>
      </c>
      <c r="W748">
        <f>HYPERLINK("https://klasma.github.io/Logging_2510/klagomålsmail/A 53035-2025 FSC-klagomål mail.docx", "A 53035-2025")</f>
        <v/>
      </c>
      <c r="X748">
        <f>HYPERLINK("https://klasma.github.io/Logging_2510/tillsyn/A 53035-2025 tillsynsbegäran.docx", "A 53035-2025")</f>
        <v/>
      </c>
      <c r="Y748">
        <f>HYPERLINK("https://klasma.github.io/Logging_2510/tillsynsmail/A 53035-2025 tillsynsbegäran mail.docx", "A 53035-2025")</f>
        <v/>
      </c>
    </row>
    <row r="749" ht="15" customHeight="1">
      <c r="A749" t="inlineStr">
        <is>
          <t>A 50447-2025</t>
        </is>
      </c>
      <c r="B749" s="1" t="n">
        <v>45945</v>
      </c>
      <c r="C749" s="1" t="n">
        <v>46046</v>
      </c>
      <c r="D749" t="inlineStr">
        <is>
          <t>NORRBOTTENS LÄN</t>
        </is>
      </c>
      <c r="E749" t="inlineStr">
        <is>
          <t>PITEÅ</t>
        </is>
      </c>
      <c r="F749" t="inlineStr">
        <is>
          <t>Sveaskog</t>
        </is>
      </c>
      <c r="G749" t="n">
        <v>13.9</v>
      </c>
      <c r="H749" t="n">
        <v>1</v>
      </c>
      <c r="I749" t="n">
        <v>0</v>
      </c>
      <c r="J749" t="n">
        <v>0</v>
      </c>
      <c r="K749" t="n">
        <v>1</v>
      </c>
      <c r="L749" t="n">
        <v>0</v>
      </c>
      <c r="M749" t="n">
        <v>0</v>
      </c>
      <c r="N749" t="n">
        <v>0</v>
      </c>
      <c r="O749" t="n">
        <v>1</v>
      </c>
      <c r="P749" t="n">
        <v>1</v>
      </c>
      <c r="Q749" t="n">
        <v>1</v>
      </c>
      <c r="R749" s="2" t="inlineStr">
        <is>
          <t>Doftticka</t>
        </is>
      </c>
      <c r="S749">
        <f>HYPERLINK("https://klasma.github.io/Logging_2581/artfynd/A 50447-2025 artfynd.xlsx", "A 50447-2025")</f>
        <v/>
      </c>
      <c r="T749">
        <f>HYPERLINK("https://klasma.github.io/Logging_2581/kartor/A 50447-2025 karta.png", "A 50447-2025")</f>
        <v/>
      </c>
      <c r="V749">
        <f>HYPERLINK("https://klasma.github.io/Logging_2581/klagomål/A 50447-2025 FSC-klagomål.docx", "A 50447-2025")</f>
        <v/>
      </c>
      <c r="W749">
        <f>HYPERLINK("https://klasma.github.io/Logging_2581/klagomålsmail/A 50447-2025 FSC-klagomål mail.docx", "A 50447-2025")</f>
        <v/>
      </c>
      <c r="X749">
        <f>HYPERLINK("https://klasma.github.io/Logging_2581/tillsyn/A 50447-2025 tillsynsbegäran.docx", "A 50447-2025")</f>
        <v/>
      </c>
      <c r="Y749">
        <f>HYPERLINK("https://klasma.github.io/Logging_2581/tillsynsmail/A 50447-2025 tillsynsbegäran mail.docx", "A 50447-2025")</f>
        <v/>
      </c>
    </row>
    <row r="750" ht="15" customHeight="1">
      <c r="A750" t="inlineStr">
        <is>
          <t>A 53180-2025</t>
        </is>
      </c>
      <c r="B750" s="1" t="n">
        <v>45958.54494212963</v>
      </c>
      <c r="C750" s="1" t="n">
        <v>46046</v>
      </c>
      <c r="D750" t="inlineStr">
        <is>
          <t>NORRBOTTENS LÄN</t>
        </is>
      </c>
      <c r="E750" t="inlineStr">
        <is>
          <t>BODEN</t>
        </is>
      </c>
      <c r="F750" t="inlineStr">
        <is>
          <t>Sveaskog</t>
        </is>
      </c>
      <c r="G750" t="n">
        <v>13.2</v>
      </c>
      <c r="H750" t="n">
        <v>0</v>
      </c>
      <c r="I750" t="n">
        <v>0</v>
      </c>
      <c r="J750" t="n">
        <v>1</v>
      </c>
      <c r="K750" t="n">
        <v>0</v>
      </c>
      <c r="L750" t="n">
        <v>0</v>
      </c>
      <c r="M750" t="n">
        <v>0</v>
      </c>
      <c r="N750" t="n">
        <v>0</v>
      </c>
      <c r="O750" t="n">
        <v>1</v>
      </c>
      <c r="P750" t="n">
        <v>0</v>
      </c>
      <c r="Q750" t="n">
        <v>1</v>
      </c>
      <c r="R750" s="2" t="inlineStr">
        <is>
          <t>Lunglav</t>
        </is>
      </c>
      <c r="S750">
        <f>HYPERLINK("https://klasma.github.io/Logging_2582/artfynd/A 53180-2025 artfynd.xlsx", "A 53180-2025")</f>
        <v/>
      </c>
      <c r="T750">
        <f>HYPERLINK("https://klasma.github.io/Logging_2582/kartor/A 53180-2025 karta.png", "A 53180-2025")</f>
        <v/>
      </c>
      <c r="V750">
        <f>HYPERLINK("https://klasma.github.io/Logging_2582/klagomål/A 53180-2025 FSC-klagomål.docx", "A 53180-2025")</f>
        <v/>
      </c>
      <c r="W750">
        <f>HYPERLINK("https://klasma.github.io/Logging_2582/klagomålsmail/A 53180-2025 FSC-klagomål mail.docx", "A 53180-2025")</f>
        <v/>
      </c>
      <c r="X750">
        <f>HYPERLINK("https://klasma.github.io/Logging_2582/tillsyn/A 53180-2025 tillsynsbegäran.docx", "A 53180-2025")</f>
        <v/>
      </c>
      <c r="Y750">
        <f>HYPERLINK("https://klasma.github.io/Logging_2582/tillsynsmail/A 53180-2025 tillsynsbegäran mail.docx", "A 53180-2025")</f>
        <v/>
      </c>
    </row>
    <row r="751" ht="15" customHeight="1">
      <c r="A751" t="inlineStr">
        <is>
          <t>A 32119-2025</t>
        </is>
      </c>
      <c r="B751" s="1" t="n">
        <v>45835.49065972222</v>
      </c>
      <c r="C751" s="1" t="n">
        <v>46046</v>
      </c>
      <c r="D751" t="inlineStr">
        <is>
          <t>NORRBOTTENS LÄN</t>
        </is>
      </c>
      <c r="E751" t="inlineStr">
        <is>
          <t>BODEN</t>
        </is>
      </c>
      <c r="F751" t="inlineStr">
        <is>
          <t>Sveaskog</t>
        </is>
      </c>
      <c r="G751" t="n">
        <v>2</v>
      </c>
      <c r="H751" t="n">
        <v>0</v>
      </c>
      <c r="I751" t="n">
        <v>1</v>
      </c>
      <c r="J751" t="n">
        <v>0</v>
      </c>
      <c r="K751" t="n">
        <v>0</v>
      </c>
      <c r="L751" t="n">
        <v>0</v>
      </c>
      <c r="M751" t="n">
        <v>0</v>
      </c>
      <c r="N751" t="n">
        <v>0</v>
      </c>
      <c r="O751" t="n">
        <v>0</v>
      </c>
      <c r="P751" t="n">
        <v>0</v>
      </c>
      <c r="Q751" t="n">
        <v>1</v>
      </c>
      <c r="R751" s="2" t="inlineStr">
        <is>
          <t>Grönpyrola</t>
        </is>
      </c>
      <c r="S751">
        <f>HYPERLINK("https://klasma.github.io/Logging_2582/artfynd/A 32119-2025 artfynd.xlsx", "A 32119-2025")</f>
        <v/>
      </c>
      <c r="T751">
        <f>HYPERLINK("https://klasma.github.io/Logging_2582/kartor/A 32119-2025 karta.png", "A 32119-2025")</f>
        <v/>
      </c>
      <c r="V751">
        <f>HYPERLINK("https://klasma.github.io/Logging_2582/klagomål/A 32119-2025 FSC-klagomål.docx", "A 32119-2025")</f>
        <v/>
      </c>
      <c r="W751">
        <f>HYPERLINK("https://klasma.github.io/Logging_2582/klagomålsmail/A 32119-2025 FSC-klagomål mail.docx", "A 32119-2025")</f>
        <v/>
      </c>
      <c r="X751">
        <f>HYPERLINK("https://klasma.github.io/Logging_2582/tillsyn/A 32119-2025 tillsynsbegäran.docx", "A 32119-2025")</f>
        <v/>
      </c>
      <c r="Y751">
        <f>HYPERLINK("https://klasma.github.io/Logging_2582/tillsynsmail/A 32119-2025 tillsynsbegäran mail.docx", "A 32119-2025")</f>
        <v/>
      </c>
    </row>
    <row r="752" ht="15" customHeight="1">
      <c r="A752" t="inlineStr">
        <is>
          <t>A 53590-2025</t>
        </is>
      </c>
      <c r="B752" s="1" t="n">
        <v>45960.43836805555</v>
      </c>
      <c r="C752" s="1" t="n">
        <v>46046</v>
      </c>
      <c r="D752" t="inlineStr">
        <is>
          <t>NORRBOTTENS LÄN</t>
        </is>
      </c>
      <c r="E752" t="inlineStr">
        <is>
          <t>BODEN</t>
        </is>
      </c>
      <c r="F752" t="inlineStr">
        <is>
          <t>Sveaskog</t>
        </is>
      </c>
      <c r="G752" t="n">
        <v>7.6</v>
      </c>
      <c r="H752" t="n">
        <v>0</v>
      </c>
      <c r="I752" t="n">
        <v>1</v>
      </c>
      <c r="J752" t="n">
        <v>0</v>
      </c>
      <c r="K752" t="n">
        <v>0</v>
      </c>
      <c r="L752" t="n">
        <v>0</v>
      </c>
      <c r="M752" t="n">
        <v>0</v>
      </c>
      <c r="N752" t="n">
        <v>0</v>
      </c>
      <c r="O752" t="n">
        <v>0</v>
      </c>
      <c r="P752" t="n">
        <v>0</v>
      </c>
      <c r="Q752" t="n">
        <v>1</v>
      </c>
      <c r="R752" s="2" t="inlineStr">
        <is>
          <t>Gulskölding</t>
        </is>
      </c>
      <c r="S752">
        <f>HYPERLINK("https://klasma.github.io/Logging_2582/artfynd/A 53590-2025 artfynd.xlsx", "A 53590-2025")</f>
        <v/>
      </c>
      <c r="T752">
        <f>HYPERLINK("https://klasma.github.io/Logging_2582/kartor/A 53590-2025 karta.png", "A 53590-2025")</f>
        <v/>
      </c>
      <c r="V752">
        <f>HYPERLINK("https://klasma.github.io/Logging_2582/klagomål/A 53590-2025 FSC-klagomål.docx", "A 53590-2025")</f>
        <v/>
      </c>
      <c r="W752">
        <f>HYPERLINK("https://klasma.github.io/Logging_2582/klagomålsmail/A 53590-2025 FSC-klagomål mail.docx", "A 53590-2025")</f>
        <v/>
      </c>
      <c r="X752">
        <f>HYPERLINK("https://klasma.github.io/Logging_2582/tillsyn/A 53590-2025 tillsynsbegäran.docx", "A 53590-2025")</f>
        <v/>
      </c>
      <c r="Y752">
        <f>HYPERLINK("https://klasma.github.io/Logging_2582/tillsynsmail/A 53590-2025 tillsynsbegäran mail.docx", "A 53590-2025")</f>
        <v/>
      </c>
    </row>
    <row r="753" ht="15" customHeight="1">
      <c r="A753" t="inlineStr">
        <is>
          <t>A 53746-2025</t>
        </is>
      </c>
      <c r="B753" s="1" t="n">
        <v>45960.65090277778</v>
      </c>
      <c r="C753" s="1" t="n">
        <v>46046</v>
      </c>
      <c r="D753" t="inlineStr">
        <is>
          <t>NORRBOTTENS LÄN</t>
        </is>
      </c>
      <c r="E753" t="inlineStr">
        <is>
          <t>BODEN</t>
        </is>
      </c>
      <c r="F753" t="inlineStr">
        <is>
          <t>Sveaskog</t>
        </is>
      </c>
      <c r="G753" t="n">
        <v>2.9</v>
      </c>
      <c r="H753" t="n">
        <v>0</v>
      </c>
      <c r="I753" t="n">
        <v>0</v>
      </c>
      <c r="J753" t="n">
        <v>1</v>
      </c>
      <c r="K753" t="n">
        <v>0</v>
      </c>
      <c r="L753" t="n">
        <v>0</v>
      </c>
      <c r="M753" t="n">
        <v>0</v>
      </c>
      <c r="N753" t="n">
        <v>0</v>
      </c>
      <c r="O753" t="n">
        <v>1</v>
      </c>
      <c r="P753" t="n">
        <v>0</v>
      </c>
      <c r="Q753" t="n">
        <v>1</v>
      </c>
      <c r="R753" s="2" t="inlineStr">
        <is>
          <t>Motaggsvamp</t>
        </is>
      </c>
      <c r="S753">
        <f>HYPERLINK("https://klasma.github.io/Logging_2582/artfynd/A 53746-2025 artfynd.xlsx", "A 53746-2025")</f>
        <v/>
      </c>
      <c r="T753">
        <f>HYPERLINK("https://klasma.github.io/Logging_2582/kartor/A 53746-2025 karta.png", "A 53746-2025")</f>
        <v/>
      </c>
      <c r="V753">
        <f>HYPERLINK("https://klasma.github.io/Logging_2582/klagomål/A 53746-2025 FSC-klagomål.docx", "A 53746-2025")</f>
        <v/>
      </c>
      <c r="W753">
        <f>HYPERLINK("https://klasma.github.io/Logging_2582/klagomålsmail/A 53746-2025 FSC-klagomål mail.docx", "A 53746-2025")</f>
        <v/>
      </c>
      <c r="X753">
        <f>HYPERLINK("https://klasma.github.io/Logging_2582/tillsyn/A 53746-2025 tillsynsbegäran.docx", "A 53746-2025")</f>
        <v/>
      </c>
      <c r="Y753">
        <f>HYPERLINK("https://klasma.github.io/Logging_2582/tillsynsmail/A 53746-2025 tillsynsbegäran mail.docx", "A 53746-2025")</f>
        <v/>
      </c>
    </row>
    <row r="754" ht="15" customHeight="1">
      <c r="A754" t="inlineStr">
        <is>
          <t>A 54563-2025</t>
        </is>
      </c>
      <c r="B754" s="1" t="n">
        <v>45965.66847222222</v>
      </c>
      <c r="C754" s="1" t="n">
        <v>46046</v>
      </c>
      <c r="D754" t="inlineStr">
        <is>
          <t>NORRBOTTENS LÄN</t>
        </is>
      </c>
      <c r="E754" t="inlineStr">
        <is>
          <t>BODEN</t>
        </is>
      </c>
      <c r="F754" t="inlineStr">
        <is>
          <t>Sveaskog</t>
        </is>
      </c>
      <c r="G754" t="n">
        <v>10.3</v>
      </c>
      <c r="H754" t="n">
        <v>0</v>
      </c>
      <c r="I754" t="n">
        <v>0</v>
      </c>
      <c r="J754" t="n">
        <v>1</v>
      </c>
      <c r="K754" t="n">
        <v>0</v>
      </c>
      <c r="L754" t="n">
        <v>0</v>
      </c>
      <c r="M754" t="n">
        <v>0</v>
      </c>
      <c r="N754" t="n">
        <v>0</v>
      </c>
      <c r="O754" t="n">
        <v>1</v>
      </c>
      <c r="P754" t="n">
        <v>0</v>
      </c>
      <c r="Q754" t="n">
        <v>1</v>
      </c>
      <c r="R754" s="2" t="inlineStr">
        <is>
          <t>Tallticka</t>
        </is>
      </c>
      <c r="S754">
        <f>HYPERLINK("https://klasma.github.io/Logging_2582/artfynd/A 54563-2025 artfynd.xlsx", "A 54563-2025")</f>
        <v/>
      </c>
      <c r="T754">
        <f>HYPERLINK("https://klasma.github.io/Logging_2582/kartor/A 54563-2025 karta.png", "A 54563-2025")</f>
        <v/>
      </c>
      <c r="V754">
        <f>HYPERLINK("https://klasma.github.io/Logging_2582/klagomål/A 54563-2025 FSC-klagomål.docx", "A 54563-2025")</f>
        <v/>
      </c>
      <c r="W754">
        <f>HYPERLINK("https://klasma.github.io/Logging_2582/klagomålsmail/A 54563-2025 FSC-klagomål mail.docx", "A 54563-2025")</f>
        <v/>
      </c>
      <c r="X754">
        <f>HYPERLINK("https://klasma.github.io/Logging_2582/tillsyn/A 54563-2025 tillsynsbegäran.docx", "A 54563-2025")</f>
        <v/>
      </c>
      <c r="Y754">
        <f>HYPERLINK("https://klasma.github.io/Logging_2582/tillsynsmail/A 54563-2025 tillsynsbegäran mail.docx", "A 54563-2025")</f>
        <v/>
      </c>
    </row>
    <row r="755" ht="15" customHeight="1">
      <c r="A755" t="inlineStr">
        <is>
          <t>A 49685-2025</t>
        </is>
      </c>
      <c r="B755" s="1" t="n">
        <v>45939</v>
      </c>
      <c r="C755" s="1" t="n">
        <v>46046</v>
      </c>
      <c r="D755" t="inlineStr">
        <is>
          <t>NORRBOTTENS LÄN</t>
        </is>
      </c>
      <c r="E755" t="inlineStr">
        <is>
          <t>PITEÅ</t>
        </is>
      </c>
      <c r="G755" t="n">
        <v>3.1</v>
      </c>
      <c r="H755" t="n">
        <v>1</v>
      </c>
      <c r="I755" t="n">
        <v>0</v>
      </c>
      <c r="J755" t="n">
        <v>0</v>
      </c>
      <c r="K755" t="n">
        <v>0</v>
      </c>
      <c r="L755" t="n">
        <v>0</v>
      </c>
      <c r="M755" t="n">
        <v>0</v>
      </c>
      <c r="N755" t="n">
        <v>0</v>
      </c>
      <c r="O755" t="n">
        <v>0</v>
      </c>
      <c r="P755" t="n">
        <v>0</v>
      </c>
      <c r="Q755" t="n">
        <v>1</v>
      </c>
      <c r="R755" s="2" t="inlineStr">
        <is>
          <t>Huggorm</t>
        </is>
      </c>
      <c r="S755">
        <f>HYPERLINK("https://klasma.github.io/Logging_2581/artfynd/A 49685-2025 artfynd.xlsx", "A 49685-2025")</f>
        <v/>
      </c>
      <c r="T755">
        <f>HYPERLINK("https://klasma.github.io/Logging_2581/kartor/A 49685-2025 karta.png", "A 49685-2025")</f>
        <v/>
      </c>
      <c r="V755">
        <f>HYPERLINK("https://klasma.github.io/Logging_2581/klagomål/A 49685-2025 FSC-klagomål.docx", "A 49685-2025")</f>
        <v/>
      </c>
      <c r="W755">
        <f>HYPERLINK("https://klasma.github.io/Logging_2581/klagomålsmail/A 49685-2025 FSC-klagomål mail.docx", "A 49685-2025")</f>
        <v/>
      </c>
      <c r="X755">
        <f>HYPERLINK("https://klasma.github.io/Logging_2581/tillsyn/A 49685-2025 tillsynsbegäran.docx", "A 49685-2025")</f>
        <v/>
      </c>
      <c r="Y755">
        <f>HYPERLINK("https://klasma.github.io/Logging_2581/tillsynsmail/A 49685-2025 tillsynsbegäran mail.docx", "A 49685-2025")</f>
        <v/>
      </c>
    </row>
    <row r="756" ht="15" customHeight="1">
      <c r="A756" t="inlineStr">
        <is>
          <t>A 62512-2025</t>
        </is>
      </c>
      <c r="B756" s="1" t="n">
        <v>46007.59918981481</v>
      </c>
      <c r="C756" s="1" t="n">
        <v>46046</v>
      </c>
      <c r="D756" t="inlineStr">
        <is>
          <t>NORRBOTTENS LÄN</t>
        </is>
      </c>
      <c r="E756" t="inlineStr">
        <is>
          <t>PITEÅ</t>
        </is>
      </c>
      <c r="G756" t="n">
        <v>17.3</v>
      </c>
      <c r="H756" t="n">
        <v>0</v>
      </c>
      <c r="I756" t="n">
        <v>0</v>
      </c>
      <c r="J756" t="n">
        <v>1</v>
      </c>
      <c r="K756" t="n">
        <v>0</v>
      </c>
      <c r="L756" t="n">
        <v>0</v>
      </c>
      <c r="M756" t="n">
        <v>0</v>
      </c>
      <c r="N756" t="n">
        <v>0</v>
      </c>
      <c r="O756" t="n">
        <v>1</v>
      </c>
      <c r="P756" t="n">
        <v>0</v>
      </c>
      <c r="Q756" t="n">
        <v>1</v>
      </c>
      <c r="R756" s="2" t="inlineStr">
        <is>
          <t>Igelkott</t>
        </is>
      </c>
      <c r="S756">
        <f>HYPERLINK("https://klasma.github.io/Logging_2581/artfynd/A 62512-2025 artfynd.xlsx", "A 62512-2025")</f>
        <v/>
      </c>
      <c r="T756">
        <f>HYPERLINK("https://klasma.github.io/Logging_2581/kartor/A 62512-2025 karta.png", "A 62512-2025")</f>
        <v/>
      </c>
      <c r="V756">
        <f>HYPERLINK("https://klasma.github.io/Logging_2581/klagomål/A 62512-2025 FSC-klagomål.docx", "A 62512-2025")</f>
        <v/>
      </c>
      <c r="W756">
        <f>HYPERLINK("https://klasma.github.io/Logging_2581/klagomålsmail/A 62512-2025 FSC-klagomål mail.docx", "A 62512-2025")</f>
        <v/>
      </c>
      <c r="X756">
        <f>HYPERLINK("https://klasma.github.io/Logging_2581/tillsyn/A 62512-2025 tillsynsbegäran.docx", "A 62512-2025")</f>
        <v/>
      </c>
      <c r="Y756">
        <f>HYPERLINK("https://klasma.github.io/Logging_2581/tillsynsmail/A 62512-2025 tillsynsbegäran mail.docx", "A 62512-2025")</f>
        <v/>
      </c>
    </row>
    <row r="757" ht="15" customHeight="1">
      <c r="A757" t="inlineStr">
        <is>
          <t>A 21183-2025</t>
        </is>
      </c>
      <c r="B757" s="1" t="n">
        <v>45779</v>
      </c>
      <c r="C757" s="1" t="n">
        <v>46046</v>
      </c>
      <c r="D757" t="inlineStr">
        <is>
          <t>NORRBOTTENS LÄN</t>
        </is>
      </c>
      <c r="E757" t="inlineStr">
        <is>
          <t>KIRUNA</t>
        </is>
      </c>
      <c r="G757" t="n">
        <v>31.9</v>
      </c>
      <c r="H757" t="n">
        <v>1</v>
      </c>
      <c r="I757" t="n">
        <v>0</v>
      </c>
      <c r="J757" t="n">
        <v>1</v>
      </c>
      <c r="K757" t="n">
        <v>0</v>
      </c>
      <c r="L757" t="n">
        <v>0</v>
      </c>
      <c r="M757" t="n">
        <v>0</v>
      </c>
      <c r="N757" t="n">
        <v>0</v>
      </c>
      <c r="O757" t="n">
        <v>1</v>
      </c>
      <c r="P757" t="n">
        <v>0</v>
      </c>
      <c r="Q757" t="n">
        <v>1</v>
      </c>
      <c r="R757" s="2" t="inlineStr">
        <is>
          <t>Venhavre</t>
        </is>
      </c>
      <c r="S757">
        <f>HYPERLINK("https://klasma.github.io/Logging_2584/artfynd/A 21183-2025 artfynd.xlsx", "A 21183-2025")</f>
        <v/>
      </c>
      <c r="T757">
        <f>HYPERLINK("https://klasma.github.io/Logging_2584/kartor/A 21183-2025 karta.png", "A 21183-2025")</f>
        <v/>
      </c>
      <c r="V757">
        <f>HYPERLINK("https://klasma.github.io/Logging_2584/klagomål/A 21183-2025 FSC-klagomål.docx", "A 21183-2025")</f>
        <v/>
      </c>
      <c r="W757">
        <f>HYPERLINK("https://klasma.github.io/Logging_2584/klagomålsmail/A 21183-2025 FSC-klagomål mail.docx", "A 21183-2025")</f>
        <v/>
      </c>
      <c r="X757">
        <f>HYPERLINK("https://klasma.github.io/Logging_2584/tillsyn/A 21183-2025 tillsynsbegäran.docx", "A 21183-2025")</f>
        <v/>
      </c>
      <c r="Y757">
        <f>HYPERLINK("https://klasma.github.io/Logging_2584/tillsynsmail/A 21183-2025 tillsynsbegäran mail.docx", "A 21183-2025")</f>
        <v/>
      </c>
    </row>
    <row r="758" ht="15" customHeight="1">
      <c r="A758" t="inlineStr">
        <is>
          <t>A 62725-2025</t>
        </is>
      </c>
      <c r="B758" s="1" t="n">
        <v>46008.55003472222</v>
      </c>
      <c r="C758" s="1" t="n">
        <v>46046</v>
      </c>
      <c r="D758" t="inlineStr">
        <is>
          <t>NORRBOTTENS LÄN</t>
        </is>
      </c>
      <c r="E758" t="inlineStr">
        <is>
          <t>PITEÅ</t>
        </is>
      </c>
      <c r="G758" t="n">
        <v>11.3</v>
      </c>
      <c r="H758" t="n">
        <v>1</v>
      </c>
      <c r="I758" t="n">
        <v>0</v>
      </c>
      <c r="J758" t="n">
        <v>0</v>
      </c>
      <c r="K758" t="n">
        <v>0</v>
      </c>
      <c r="L758" t="n">
        <v>0</v>
      </c>
      <c r="M758" t="n">
        <v>0</v>
      </c>
      <c r="N758" t="n">
        <v>0</v>
      </c>
      <c r="O758" t="n">
        <v>0</v>
      </c>
      <c r="P758" t="n">
        <v>0</v>
      </c>
      <c r="Q758" t="n">
        <v>1</v>
      </c>
      <c r="R758" s="2" t="inlineStr">
        <is>
          <t>Vanlig groda</t>
        </is>
      </c>
      <c r="S758">
        <f>HYPERLINK("https://klasma.github.io/Logging_2581/artfynd/A 62725-2025 artfynd.xlsx", "A 62725-2025")</f>
        <v/>
      </c>
      <c r="T758">
        <f>HYPERLINK("https://klasma.github.io/Logging_2581/kartor/A 62725-2025 karta.png", "A 62725-2025")</f>
        <v/>
      </c>
      <c r="V758">
        <f>HYPERLINK("https://klasma.github.io/Logging_2581/klagomål/A 62725-2025 FSC-klagomål.docx", "A 62725-2025")</f>
        <v/>
      </c>
      <c r="W758">
        <f>HYPERLINK("https://klasma.github.io/Logging_2581/klagomålsmail/A 62725-2025 FSC-klagomål mail.docx", "A 62725-2025")</f>
        <v/>
      </c>
      <c r="X758">
        <f>HYPERLINK("https://klasma.github.io/Logging_2581/tillsyn/A 62725-2025 tillsynsbegäran.docx", "A 62725-2025")</f>
        <v/>
      </c>
      <c r="Y758">
        <f>HYPERLINK("https://klasma.github.io/Logging_2581/tillsynsmail/A 62725-2025 tillsynsbegäran mail.docx", "A 62725-2025")</f>
        <v/>
      </c>
    </row>
    <row r="759" ht="15" customHeight="1">
      <c r="A759" t="inlineStr">
        <is>
          <t>A 62753-2025</t>
        </is>
      </c>
      <c r="B759" s="1" t="n">
        <v>46008.58657407408</v>
      </c>
      <c r="C759" s="1" t="n">
        <v>46046</v>
      </c>
      <c r="D759" t="inlineStr">
        <is>
          <t>NORRBOTTENS LÄN</t>
        </is>
      </c>
      <c r="E759" t="inlineStr">
        <is>
          <t>LULEÅ</t>
        </is>
      </c>
      <c r="G759" t="n">
        <v>7.1</v>
      </c>
      <c r="H759" t="n">
        <v>1</v>
      </c>
      <c r="I759" t="n">
        <v>0</v>
      </c>
      <c r="J759" t="n">
        <v>1</v>
      </c>
      <c r="K759" t="n">
        <v>0</v>
      </c>
      <c r="L759" t="n">
        <v>0</v>
      </c>
      <c r="M759" t="n">
        <v>0</v>
      </c>
      <c r="N759" t="n">
        <v>0</v>
      </c>
      <c r="O759" t="n">
        <v>1</v>
      </c>
      <c r="P759" t="n">
        <v>0</v>
      </c>
      <c r="Q759" t="n">
        <v>1</v>
      </c>
      <c r="R759" s="2" t="inlineStr">
        <is>
          <t>Svartvit flugsnappare</t>
        </is>
      </c>
      <c r="S759">
        <f>HYPERLINK("https://klasma.github.io/Logging_2580/artfynd/A 62753-2025 artfynd.xlsx", "A 62753-2025")</f>
        <v/>
      </c>
      <c r="T759">
        <f>HYPERLINK("https://klasma.github.io/Logging_2580/kartor/A 62753-2025 karta.png", "A 62753-2025")</f>
        <v/>
      </c>
      <c r="V759">
        <f>HYPERLINK("https://klasma.github.io/Logging_2580/klagomål/A 62753-2025 FSC-klagomål.docx", "A 62753-2025")</f>
        <v/>
      </c>
      <c r="W759">
        <f>HYPERLINK("https://klasma.github.io/Logging_2580/klagomålsmail/A 62753-2025 FSC-klagomål mail.docx", "A 62753-2025")</f>
        <v/>
      </c>
      <c r="X759">
        <f>HYPERLINK("https://klasma.github.io/Logging_2580/tillsyn/A 62753-2025 tillsynsbegäran.docx", "A 62753-2025")</f>
        <v/>
      </c>
      <c r="Y759">
        <f>HYPERLINK("https://klasma.github.io/Logging_2580/tillsynsmail/A 62753-2025 tillsynsbegäran mail.docx", "A 62753-2025")</f>
        <v/>
      </c>
      <c r="Z759">
        <f>HYPERLINK("https://klasma.github.io/Logging_2580/fåglar/A 62753-2025 prioriterade fågelarter.docx", "A 62753-2025")</f>
        <v/>
      </c>
    </row>
    <row r="760" ht="15" customHeight="1">
      <c r="A760" t="inlineStr">
        <is>
          <t>A 12403-2025</t>
        </is>
      </c>
      <c r="B760" s="1" t="n">
        <v>45730</v>
      </c>
      <c r="C760" s="1" t="n">
        <v>46046</v>
      </c>
      <c r="D760" t="inlineStr">
        <is>
          <t>NORRBOTTENS LÄN</t>
        </is>
      </c>
      <c r="E760" t="inlineStr">
        <is>
          <t>ARJEPLOG</t>
        </is>
      </c>
      <c r="G760" t="n">
        <v>10.1</v>
      </c>
      <c r="H760" t="n">
        <v>1</v>
      </c>
      <c r="I760" t="n">
        <v>0</v>
      </c>
      <c r="J760" t="n">
        <v>1</v>
      </c>
      <c r="K760" t="n">
        <v>0</v>
      </c>
      <c r="L760" t="n">
        <v>0</v>
      </c>
      <c r="M760" t="n">
        <v>0</v>
      </c>
      <c r="N760" t="n">
        <v>0</v>
      </c>
      <c r="O760" t="n">
        <v>1</v>
      </c>
      <c r="P760" t="n">
        <v>0</v>
      </c>
      <c r="Q760" t="n">
        <v>1</v>
      </c>
      <c r="R760" s="2" t="inlineStr">
        <is>
          <t>Tretåig hackspett</t>
        </is>
      </c>
      <c r="S760">
        <f>HYPERLINK("https://klasma.github.io/Logging_2506/artfynd/A 12403-2025 artfynd.xlsx", "A 12403-2025")</f>
        <v/>
      </c>
      <c r="T760">
        <f>HYPERLINK("https://klasma.github.io/Logging_2506/kartor/A 12403-2025 karta.png", "A 12403-2025")</f>
        <v/>
      </c>
      <c r="V760">
        <f>HYPERLINK("https://klasma.github.io/Logging_2506/klagomål/A 12403-2025 FSC-klagomål.docx", "A 12403-2025")</f>
        <v/>
      </c>
      <c r="W760">
        <f>HYPERLINK("https://klasma.github.io/Logging_2506/klagomålsmail/A 12403-2025 FSC-klagomål mail.docx", "A 12403-2025")</f>
        <v/>
      </c>
      <c r="X760">
        <f>HYPERLINK("https://klasma.github.io/Logging_2506/tillsyn/A 12403-2025 tillsynsbegäran.docx", "A 12403-2025")</f>
        <v/>
      </c>
      <c r="Y760">
        <f>HYPERLINK("https://klasma.github.io/Logging_2506/tillsynsmail/A 12403-2025 tillsynsbegäran mail.docx", "A 12403-2025")</f>
        <v/>
      </c>
      <c r="Z760">
        <f>HYPERLINK("https://klasma.github.io/Logging_2506/fåglar/A 12403-2025 prioriterade fågelarter.docx", "A 12403-2025")</f>
        <v/>
      </c>
    </row>
    <row r="761" ht="15" customHeight="1">
      <c r="A761" t="inlineStr">
        <is>
          <t>A 55338-2025</t>
        </is>
      </c>
      <c r="B761" s="1" t="n">
        <v>45971.34482638889</v>
      </c>
      <c r="C761" s="1" t="n">
        <v>46046</v>
      </c>
      <c r="D761" t="inlineStr">
        <is>
          <t>NORRBOTTENS LÄN</t>
        </is>
      </c>
      <c r="E761" t="inlineStr">
        <is>
          <t>PITEÅ</t>
        </is>
      </c>
      <c r="G761" t="n">
        <v>3.1</v>
      </c>
      <c r="H761" t="n">
        <v>0</v>
      </c>
      <c r="I761" t="n">
        <v>0</v>
      </c>
      <c r="J761" t="n">
        <v>1</v>
      </c>
      <c r="K761" t="n">
        <v>0</v>
      </c>
      <c r="L761" t="n">
        <v>0</v>
      </c>
      <c r="M761" t="n">
        <v>0</v>
      </c>
      <c r="N761" t="n">
        <v>0</v>
      </c>
      <c r="O761" t="n">
        <v>1</v>
      </c>
      <c r="P761" t="n">
        <v>0</v>
      </c>
      <c r="Q761" t="n">
        <v>1</v>
      </c>
      <c r="R761" s="2" t="inlineStr">
        <is>
          <t>Tallticka</t>
        </is>
      </c>
      <c r="S761">
        <f>HYPERLINK("https://klasma.github.io/Logging_2581/artfynd/A 55338-2025 artfynd.xlsx", "A 55338-2025")</f>
        <v/>
      </c>
      <c r="T761">
        <f>HYPERLINK("https://klasma.github.io/Logging_2581/kartor/A 55338-2025 karta.png", "A 55338-2025")</f>
        <v/>
      </c>
      <c r="V761">
        <f>HYPERLINK("https://klasma.github.io/Logging_2581/klagomål/A 55338-2025 FSC-klagomål.docx", "A 55338-2025")</f>
        <v/>
      </c>
      <c r="W761">
        <f>HYPERLINK("https://klasma.github.io/Logging_2581/klagomålsmail/A 55338-2025 FSC-klagomål mail.docx", "A 55338-2025")</f>
        <v/>
      </c>
      <c r="X761">
        <f>HYPERLINK("https://klasma.github.io/Logging_2581/tillsyn/A 55338-2025 tillsynsbegäran.docx", "A 55338-2025")</f>
        <v/>
      </c>
      <c r="Y761">
        <f>HYPERLINK("https://klasma.github.io/Logging_2581/tillsynsmail/A 55338-2025 tillsynsbegäran mail.docx", "A 55338-2025")</f>
        <v/>
      </c>
    </row>
    <row r="762" ht="15" customHeight="1">
      <c r="A762" t="inlineStr">
        <is>
          <t>A 55653-2025</t>
        </is>
      </c>
      <c r="B762" s="1" t="n">
        <v>45972.38201388889</v>
      </c>
      <c r="C762" s="1" t="n">
        <v>46046</v>
      </c>
      <c r="D762" t="inlineStr">
        <is>
          <t>NORRBOTTENS LÄN</t>
        </is>
      </c>
      <c r="E762" t="inlineStr">
        <is>
          <t>ARVIDSJAUR</t>
        </is>
      </c>
      <c r="F762" t="inlineStr">
        <is>
          <t>Sveaskog</t>
        </is>
      </c>
      <c r="G762" t="n">
        <v>18.7</v>
      </c>
      <c r="H762" t="n">
        <v>0</v>
      </c>
      <c r="I762" t="n">
        <v>0</v>
      </c>
      <c r="J762" t="n">
        <v>1</v>
      </c>
      <c r="K762" t="n">
        <v>0</v>
      </c>
      <c r="L762" t="n">
        <v>0</v>
      </c>
      <c r="M762" t="n">
        <v>0</v>
      </c>
      <c r="N762" t="n">
        <v>0</v>
      </c>
      <c r="O762" t="n">
        <v>1</v>
      </c>
      <c r="P762" t="n">
        <v>0</v>
      </c>
      <c r="Q762" t="n">
        <v>1</v>
      </c>
      <c r="R762" s="2" t="inlineStr">
        <is>
          <t>Lunglav</t>
        </is>
      </c>
      <c r="S762">
        <f>HYPERLINK("https://klasma.github.io/Logging_2505/artfynd/A 55653-2025 artfynd.xlsx", "A 55653-2025")</f>
        <v/>
      </c>
      <c r="T762">
        <f>HYPERLINK("https://klasma.github.io/Logging_2505/kartor/A 55653-2025 karta.png", "A 55653-2025")</f>
        <v/>
      </c>
      <c r="V762">
        <f>HYPERLINK("https://klasma.github.io/Logging_2505/klagomål/A 55653-2025 FSC-klagomål.docx", "A 55653-2025")</f>
        <v/>
      </c>
      <c r="W762">
        <f>HYPERLINK("https://klasma.github.io/Logging_2505/klagomålsmail/A 55653-2025 FSC-klagomål mail.docx", "A 55653-2025")</f>
        <v/>
      </c>
      <c r="X762">
        <f>HYPERLINK("https://klasma.github.io/Logging_2505/tillsyn/A 55653-2025 tillsynsbegäran.docx", "A 55653-2025")</f>
        <v/>
      </c>
      <c r="Y762">
        <f>HYPERLINK("https://klasma.github.io/Logging_2505/tillsynsmail/A 55653-2025 tillsynsbegäran mail.docx", "A 55653-2025")</f>
        <v/>
      </c>
    </row>
    <row r="763" ht="15" customHeight="1">
      <c r="A763" t="inlineStr">
        <is>
          <t>A 56324-2025</t>
        </is>
      </c>
      <c r="B763" s="1" t="n">
        <v>45974.63607638889</v>
      </c>
      <c r="C763" s="1" t="n">
        <v>46046</v>
      </c>
      <c r="D763" t="inlineStr">
        <is>
          <t>NORRBOTTENS LÄN</t>
        </is>
      </c>
      <c r="E763" t="inlineStr">
        <is>
          <t>JOKKMOKK</t>
        </is>
      </c>
      <c r="F763" t="inlineStr">
        <is>
          <t>Övriga statliga verk och myndigheter</t>
        </is>
      </c>
      <c r="G763" t="n">
        <v>14.2</v>
      </c>
      <c r="H763" t="n">
        <v>0</v>
      </c>
      <c r="I763" t="n">
        <v>1</v>
      </c>
      <c r="J763" t="n">
        <v>0</v>
      </c>
      <c r="K763" t="n">
        <v>0</v>
      </c>
      <c r="L763" t="n">
        <v>0</v>
      </c>
      <c r="M763" t="n">
        <v>0</v>
      </c>
      <c r="N763" t="n">
        <v>0</v>
      </c>
      <c r="O763" t="n">
        <v>0</v>
      </c>
      <c r="P763" t="n">
        <v>0</v>
      </c>
      <c r="Q763" t="n">
        <v>1</v>
      </c>
      <c r="R763" s="2" t="inlineStr">
        <is>
          <t>Skinnlav</t>
        </is>
      </c>
      <c r="S763">
        <f>HYPERLINK("https://klasma.github.io/Logging_2510/artfynd/A 56324-2025 artfynd.xlsx", "A 56324-2025")</f>
        <v/>
      </c>
      <c r="T763">
        <f>HYPERLINK("https://klasma.github.io/Logging_2510/kartor/A 56324-2025 karta.png", "A 56324-2025")</f>
        <v/>
      </c>
      <c r="V763">
        <f>HYPERLINK("https://klasma.github.io/Logging_2510/klagomål/A 56324-2025 FSC-klagomål.docx", "A 56324-2025")</f>
        <v/>
      </c>
      <c r="W763">
        <f>HYPERLINK("https://klasma.github.io/Logging_2510/klagomålsmail/A 56324-2025 FSC-klagomål mail.docx", "A 56324-2025")</f>
        <v/>
      </c>
      <c r="X763">
        <f>HYPERLINK("https://klasma.github.io/Logging_2510/tillsyn/A 56324-2025 tillsynsbegäran.docx", "A 56324-2025")</f>
        <v/>
      </c>
      <c r="Y763">
        <f>HYPERLINK("https://klasma.github.io/Logging_2510/tillsynsmail/A 56324-2025 tillsynsbegäran mail.docx", "A 56324-2025")</f>
        <v/>
      </c>
    </row>
    <row r="764" ht="15" customHeight="1">
      <c r="A764" t="inlineStr">
        <is>
          <t>A 56504-2025</t>
        </is>
      </c>
      <c r="B764" s="1" t="n">
        <v>45975.43818287037</v>
      </c>
      <c r="C764" s="1" t="n">
        <v>46046</v>
      </c>
      <c r="D764" t="inlineStr">
        <is>
          <t>NORRBOTTENS LÄN</t>
        </is>
      </c>
      <c r="E764" t="inlineStr">
        <is>
          <t>ARVIDSJAUR</t>
        </is>
      </c>
      <c r="F764" t="inlineStr">
        <is>
          <t>Sveaskog</t>
        </is>
      </c>
      <c r="G764" t="n">
        <v>9.6</v>
      </c>
      <c r="H764" t="n">
        <v>0</v>
      </c>
      <c r="I764" t="n">
        <v>1</v>
      </c>
      <c r="J764" t="n">
        <v>0</v>
      </c>
      <c r="K764" t="n">
        <v>0</v>
      </c>
      <c r="L764" t="n">
        <v>0</v>
      </c>
      <c r="M764" t="n">
        <v>0</v>
      </c>
      <c r="N764" t="n">
        <v>0</v>
      </c>
      <c r="O764" t="n">
        <v>0</v>
      </c>
      <c r="P764" t="n">
        <v>0</v>
      </c>
      <c r="Q764" t="n">
        <v>1</v>
      </c>
      <c r="R764" s="2" t="inlineStr">
        <is>
          <t>Stuplav</t>
        </is>
      </c>
      <c r="S764">
        <f>HYPERLINK("https://klasma.github.io/Logging_2505/artfynd/A 56504-2025 artfynd.xlsx", "A 56504-2025")</f>
        <v/>
      </c>
      <c r="T764">
        <f>HYPERLINK("https://klasma.github.io/Logging_2505/kartor/A 56504-2025 karta.png", "A 56504-2025")</f>
        <v/>
      </c>
      <c r="V764">
        <f>HYPERLINK("https://klasma.github.io/Logging_2505/klagomål/A 56504-2025 FSC-klagomål.docx", "A 56504-2025")</f>
        <v/>
      </c>
      <c r="W764">
        <f>HYPERLINK("https://klasma.github.io/Logging_2505/klagomålsmail/A 56504-2025 FSC-klagomål mail.docx", "A 56504-2025")</f>
        <v/>
      </c>
      <c r="X764">
        <f>HYPERLINK("https://klasma.github.io/Logging_2505/tillsyn/A 56504-2025 tillsynsbegäran.docx", "A 56504-2025")</f>
        <v/>
      </c>
      <c r="Y764">
        <f>HYPERLINK("https://klasma.github.io/Logging_2505/tillsynsmail/A 56504-2025 tillsynsbegäran mail.docx", "A 56504-2025")</f>
        <v/>
      </c>
    </row>
    <row r="765" ht="15" customHeight="1">
      <c r="A765" t="inlineStr">
        <is>
          <t>A 57526-2025</t>
        </is>
      </c>
      <c r="B765" s="1" t="n">
        <v>45980</v>
      </c>
      <c r="C765" s="1" t="n">
        <v>46046</v>
      </c>
      <c r="D765" t="inlineStr">
        <is>
          <t>NORRBOTTENS LÄN</t>
        </is>
      </c>
      <c r="E765" t="inlineStr">
        <is>
          <t>BODEN</t>
        </is>
      </c>
      <c r="F765" t="inlineStr">
        <is>
          <t>Sveaskog</t>
        </is>
      </c>
      <c r="G765" t="n">
        <v>2.9</v>
      </c>
      <c r="H765" t="n">
        <v>1</v>
      </c>
      <c r="I765" t="n">
        <v>0</v>
      </c>
      <c r="J765" t="n">
        <v>0</v>
      </c>
      <c r="K765" t="n">
        <v>1</v>
      </c>
      <c r="L765" t="n">
        <v>0</v>
      </c>
      <c r="M765" t="n">
        <v>0</v>
      </c>
      <c r="N765" t="n">
        <v>0</v>
      </c>
      <c r="O765" t="n">
        <v>1</v>
      </c>
      <c r="P765" t="n">
        <v>1</v>
      </c>
      <c r="Q765" t="n">
        <v>1</v>
      </c>
      <c r="R765" s="2" t="inlineStr">
        <is>
          <t>Knärot</t>
        </is>
      </c>
      <c r="S765">
        <f>HYPERLINK("https://klasma.github.io/Logging_2582/artfynd/A 57526-2025 artfynd.xlsx", "A 57526-2025")</f>
        <v/>
      </c>
      <c r="T765">
        <f>HYPERLINK("https://klasma.github.io/Logging_2582/kartor/A 57526-2025 karta.png", "A 57526-2025")</f>
        <v/>
      </c>
      <c r="U765">
        <f>HYPERLINK("https://klasma.github.io/Logging_2582/knärot/A 57526-2025 karta knärot.png", "A 57526-2025")</f>
        <v/>
      </c>
      <c r="V765">
        <f>HYPERLINK("https://klasma.github.io/Logging_2582/klagomål/A 57526-2025 FSC-klagomål.docx", "A 57526-2025")</f>
        <v/>
      </c>
      <c r="W765">
        <f>HYPERLINK("https://klasma.github.io/Logging_2582/klagomålsmail/A 57526-2025 FSC-klagomål mail.docx", "A 57526-2025")</f>
        <v/>
      </c>
      <c r="X765">
        <f>HYPERLINK("https://klasma.github.io/Logging_2582/tillsyn/A 57526-2025 tillsynsbegäran.docx", "A 57526-2025")</f>
        <v/>
      </c>
      <c r="Y765">
        <f>HYPERLINK("https://klasma.github.io/Logging_2582/tillsynsmail/A 57526-2025 tillsynsbegäran mail.docx", "A 57526-2025")</f>
        <v/>
      </c>
    </row>
    <row r="766" ht="15" customHeight="1">
      <c r="A766" t="inlineStr">
        <is>
          <t>A 57786-2025</t>
        </is>
      </c>
      <c r="B766" s="1" t="n">
        <v>45981.57612268518</v>
      </c>
      <c r="C766" s="1" t="n">
        <v>46046</v>
      </c>
      <c r="D766" t="inlineStr">
        <is>
          <t>NORRBOTTENS LÄN</t>
        </is>
      </c>
      <c r="E766" t="inlineStr">
        <is>
          <t>ARVIDSJAUR</t>
        </is>
      </c>
      <c r="F766" t="inlineStr">
        <is>
          <t>Sveaskog</t>
        </is>
      </c>
      <c r="G766" t="n">
        <v>21.6</v>
      </c>
      <c r="H766" t="n">
        <v>1</v>
      </c>
      <c r="I766" t="n">
        <v>0</v>
      </c>
      <c r="J766" t="n">
        <v>1</v>
      </c>
      <c r="K766" t="n">
        <v>0</v>
      </c>
      <c r="L766" t="n">
        <v>0</v>
      </c>
      <c r="M766" t="n">
        <v>0</v>
      </c>
      <c r="N766" t="n">
        <v>0</v>
      </c>
      <c r="O766" t="n">
        <v>1</v>
      </c>
      <c r="P766" t="n">
        <v>0</v>
      </c>
      <c r="Q766" t="n">
        <v>1</v>
      </c>
      <c r="R766" s="2" t="inlineStr">
        <is>
          <t>Spillkråka</t>
        </is>
      </c>
      <c r="S766">
        <f>HYPERLINK("https://klasma.github.io/Logging_2505/artfynd/A 57786-2025 artfynd.xlsx", "A 57786-2025")</f>
        <v/>
      </c>
      <c r="T766">
        <f>HYPERLINK("https://klasma.github.io/Logging_2505/kartor/A 57786-2025 karta.png", "A 57786-2025")</f>
        <v/>
      </c>
      <c r="V766">
        <f>HYPERLINK("https://klasma.github.io/Logging_2505/klagomål/A 57786-2025 FSC-klagomål.docx", "A 57786-2025")</f>
        <v/>
      </c>
      <c r="W766">
        <f>HYPERLINK("https://klasma.github.io/Logging_2505/klagomålsmail/A 57786-2025 FSC-klagomål mail.docx", "A 57786-2025")</f>
        <v/>
      </c>
      <c r="X766">
        <f>HYPERLINK("https://klasma.github.io/Logging_2505/tillsyn/A 57786-2025 tillsynsbegäran.docx", "A 57786-2025")</f>
        <v/>
      </c>
      <c r="Y766">
        <f>HYPERLINK("https://klasma.github.io/Logging_2505/tillsynsmail/A 57786-2025 tillsynsbegäran mail.docx", "A 57786-2025")</f>
        <v/>
      </c>
      <c r="Z766">
        <f>HYPERLINK("https://klasma.github.io/Logging_2505/fåglar/A 57786-2025 prioriterade fågelarter.docx", "A 57786-2025")</f>
        <v/>
      </c>
    </row>
    <row r="767" ht="15" customHeight="1">
      <c r="A767" t="inlineStr">
        <is>
          <t>A 26503-2025</t>
        </is>
      </c>
      <c r="B767" s="1" t="n">
        <v>45807</v>
      </c>
      <c r="C767" s="1" t="n">
        <v>46046</v>
      </c>
      <c r="D767" t="inlineStr">
        <is>
          <t>NORRBOTTENS LÄN</t>
        </is>
      </c>
      <c r="E767" t="inlineStr">
        <is>
          <t>ARJEPLOG</t>
        </is>
      </c>
      <c r="G767" t="n">
        <v>20</v>
      </c>
      <c r="H767" t="n">
        <v>1</v>
      </c>
      <c r="I767" t="n">
        <v>0</v>
      </c>
      <c r="J767" t="n">
        <v>0</v>
      </c>
      <c r="K767" t="n">
        <v>0</v>
      </c>
      <c r="L767" t="n">
        <v>1</v>
      </c>
      <c r="M767" t="n">
        <v>0</v>
      </c>
      <c r="N767" t="n">
        <v>0</v>
      </c>
      <c r="O767" t="n">
        <v>1</v>
      </c>
      <c r="P767" t="n">
        <v>1</v>
      </c>
      <c r="Q767" t="n">
        <v>1</v>
      </c>
      <c r="R767" s="2" t="inlineStr">
        <is>
          <t>Bergand</t>
        </is>
      </c>
      <c r="S767">
        <f>HYPERLINK("https://klasma.github.io/Logging_2506/artfynd/A 26503-2025 artfynd.xlsx", "A 26503-2025")</f>
        <v/>
      </c>
      <c r="T767">
        <f>HYPERLINK("https://klasma.github.io/Logging_2506/kartor/A 26503-2025 karta.png", "A 26503-2025")</f>
        <v/>
      </c>
      <c r="V767">
        <f>HYPERLINK("https://klasma.github.io/Logging_2506/klagomål/A 26503-2025 FSC-klagomål.docx", "A 26503-2025")</f>
        <v/>
      </c>
      <c r="W767">
        <f>HYPERLINK("https://klasma.github.io/Logging_2506/klagomålsmail/A 26503-2025 FSC-klagomål mail.docx", "A 26503-2025")</f>
        <v/>
      </c>
      <c r="X767">
        <f>HYPERLINK("https://klasma.github.io/Logging_2506/tillsyn/A 26503-2025 tillsynsbegäran.docx", "A 26503-2025")</f>
        <v/>
      </c>
      <c r="Y767">
        <f>HYPERLINK("https://klasma.github.io/Logging_2506/tillsynsmail/A 26503-2025 tillsynsbegäran mail.docx", "A 26503-2025")</f>
        <v/>
      </c>
    </row>
    <row r="768" ht="15" customHeight="1">
      <c r="A768" t="inlineStr">
        <is>
          <t>A 58411-2025</t>
        </is>
      </c>
      <c r="B768" s="1" t="n">
        <v>45985</v>
      </c>
      <c r="C768" s="1" t="n">
        <v>46046</v>
      </c>
      <c r="D768" t="inlineStr">
        <is>
          <t>NORRBOTTENS LÄN</t>
        </is>
      </c>
      <c r="E768" t="inlineStr">
        <is>
          <t>ÄLVSBYN</t>
        </is>
      </c>
      <c r="F768" t="inlineStr">
        <is>
          <t>Sveaskog</t>
        </is>
      </c>
      <c r="G768" t="n">
        <v>4.1</v>
      </c>
      <c r="H768" t="n">
        <v>0</v>
      </c>
      <c r="I768" t="n">
        <v>0</v>
      </c>
      <c r="J768" t="n">
        <v>1</v>
      </c>
      <c r="K768" t="n">
        <v>0</v>
      </c>
      <c r="L768" t="n">
        <v>0</v>
      </c>
      <c r="M768" t="n">
        <v>0</v>
      </c>
      <c r="N768" t="n">
        <v>0</v>
      </c>
      <c r="O768" t="n">
        <v>1</v>
      </c>
      <c r="P768" t="n">
        <v>0</v>
      </c>
      <c r="Q768" t="n">
        <v>1</v>
      </c>
      <c r="R768" s="2" t="inlineStr">
        <is>
          <t>Vedflamlav</t>
        </is>
      </c>
      <c r="S768">
        <f>HYPERLINK("https://klasma.github.io/Logging_2560/artfynd/A 58411-2025 artfynd.xlsx", "A 58411-2025")</f>
        <v/>
      </c>
      <c r="T768">
        <f>HYPERLINK("https://klasma.github.io/Logging_2560/kartor/A 58411-2025 karta.png", "A 58411-2025")</f>
        <v/>
      </c>
      <c r="V768">
        <f>HYPERLINK("https://klasma.github.io/Logging_2560/klagomål/A 58411-2025 FSC-klagomål.docx", "A 58411-2025")</f>
        <v/>
      </c>
      <c r="W768">
        <f>HYPERLINK("https://klasma.github.io/Logging_2560/klagomålsmail/A 58411-2025 FSC-klagomål mail.docx", "A 58411-2025")</f>
        <v/>
      </c>
      <c r="X768">
        <f>HYPERLINK("https://klasma.github.io/Logging_2560/tillsyn/A 58411-2025 tillsynsbegäran.docx", "A 58411-2025")</f>
        <v/>
      </c>
      <c r="Y768">
        <f>HYPERLINK("https://klasma.github.io/Logging_2560/tillsynsmail/A 58411-2025 tillsynsbegäran mail.docx", "A 58411-2025")</f>
        <v/>
      </c>
    </row>
    <row r="769" ht="15" customHeight="1">
      <c r="A769" t="inlineStr">
        <is>
          <t>A 216-2026</t>
        </is>
      </c>
      <c r="B769" s="1" t="n">
        <v>46026.65243055556</v>
      </c>
      <c r="C769" s="1" t="n">
        <v>46046</v>
      </c>
      <c r="D769" t="inlineStr">
        <is>
          <t>NORRBOTTENS LÄN</t>
        </is>
      </c>
      <c r="E769" t="inlineStr">
        <is>
          <t>LULEÅ</t>
        </is>
      </c>
      <c r="G769" t="n">
        <v>3.8</v>
      </c>
      <c r="H769" t="n">
        <v>1</v>
      </c>
      <c r="I769" t="n">
        <v>0</v>
      </c>
      <c r="J769" t="n">
        <v>1</v>
      </c>
      <c r="K769" t="n">
        <v>0</v>
      </c>
      <c r="L769" t="n">
        <v>0</v>
      </c>
      <c r="M769" t="n">
        <v>0</v>
      </c>
      <c r="N769" t="n">
        <v>0</v>
      </c>
      <c r="O769" t="n">
        <v>1</v>
      </c>
      <c r="P769" t="n">
        <v>0</v>
      </c>
      <c r="Q769" t="n">
        <v>1</v>
      </c>
      <c r="R769" s="2" t="inlineStr">
        <is>
          <t>Spillkråka</t>
        </is>
      </c>
      <c r="S769">
        <f>HYPERLINK("https://klasma.github.io/Logging_2580/artfynd/A 216-2026 artfynd.xlsx", "A 216-2026")</f>
        <v/>
      </c>
      <c r="T769">
        <f>HYPERLINK("https://klasma.github.io/Logging_2580/kartor/A 216-2026 karta.png", "A 216-2026")</f>
        <v/>
      </c>
      <c r="V769">
        <f>HYPERLINK("https://klasma.github.io/Logging_2580/klagomål/A 216-2026 FSC-klagomål.docx", "A 216-2026")</f>
        <v/>
      </c>
      <c r="W769">
        <f>HYPERLINK("https://klasma.github.io/Logging_2580/klagomålsmail/A 216-2026 FSC-klagomål mail.docx", "A 216-2026")</f>
        <v/>
      </c>
      <c r="X769">
        <f>HYPERLINK("https://klasma.github.io/Logging_2580/tillsyn/A 216-2026 tillsynsbegäran.docx", "A 216-2026")</f>
        <v/>
      </c>
      <c r="Y769">
        <f>HYPERLINK("https://klasma.github.io/Logging_2580/tillsynsmail/A 216-2026 tillsynsbegäran mail.docx", "A 216-2026")</f>
        <v/>
      </c>
      <c r="Z769">
        <f>HYPERLINK("https://klasma.github.io/Logging_2580/fåglar/A 216-2026 prioriterade fågelarter.docx", "A 216-2026")</f>
        <v/>
      </c>
    </row>
    <row r="770" ht="15" customHeight="1">
      <c r="A770" t="inlineStr">
        <is>
          <t>A 59320-2025</t>
        </is>
      </c>
      <c r="B770" s="1" t="n">
        <v>45989</v>
      </c>
      <c r="C770" s="1" t="n">
        <v>46046</v>
      </c>
      <c r="D770" t="inlineStr">
        <is>
          <t>NORRBOTTENS LÄN</t>
        </is>
      </c>
      <c r="E770" t="inlineStr">
        <is>
          <t>ÄLVSBYN</t>
        </is>
      </c>
      <c r="F770" t="inlineStr">
        <is>
          <t>Sveaskog</t>
        </is>
      </c>
      <c r="G770" t="n">
        <v>14.7</v>
      </c>
      <c r="H770" t="n">
        <v>0</v>
      </c>
      <c r="I770" t="n">
        <v>1</v>
      </c>
      <c r="J770" t="n">
        <v>0</v>
      </c>
      <c r="K770" t="n">
        <v>0</v>
      </c>
      <c r="L770" t="n">
        <v>0</v>
      </c>
      <c r="M770" t="n">
        <v>0</v>
      </c>
      <c r="N770" t="n">
        <v>0</v>
      </c>
      <c r="O770" t="n">
        <v>0</v>
      </c>
      <c r="P770" t="n">
        <v>0</v>
      </c>
      <c r="Q770" t="n">
        <v>1</v>
      </c>
      <c r="R770" s="2" t="inlineStr">
        <is>
          <t>Skarp dropptaggsvamp</t>
        </is>
      </c>
      <c r="S770">
        <f>HYPERLINK("https://klasma.github.io/Logging_2560/artfynd/A 59320-2025 artfynd.xlsx", "A 59320-2025")</f>
        <v/>
      </c>
      <c r="T770">
        <f>HYPERLINK("https://klasma.github.io/Logging_2560/kartor/A 59320-2025 karta.png", "A 59320-2025")</f>
        <v/>
      </c>
      <c r="V770">
        <f>HYPERLINK("https://klasma.github.io/Logging_2560/klagomål/A 59320-2025 FSC-klagomål.docx", "A 59320-2025")</f>
        <v/>
      </c>
      <c r="W770">
        <f>HYPERLINK("https://klasma.github.io/Logging_2560/klagomålsmail/A 59320-2025 FSC-klagomål mail.docx", "A 59320-2025")</f>
        <v/>
      </c>
      <c r="X770">
        <f>HYPERLINK("https://klasma.github.io/Logging_2560/tillsyn/A 59320-2025 tillsynsbegäran.docx", "A 59320-2025")</f>
        <v/>
      </c>
      <c r="Y770">
        <f>HYPERLINK("https://klasma.github.io/Logging_2560/tillsynsmail/A 59320-2025 tillsynsbegäran mail.docx", "A 59320-2025")</f>
        <v/>
      </c>
    </row>
    <row r="771" ht="15" customHeight="1">
      <c r="A771" t="inlineStr">
        <is>
          <t>A 40956-2025</t>
        </is>
      </c>
      <c r="B771" s="1" t="n">
        <v>45897</v>
      </c>
      <c r="C771" s="1" t="n">
        <v>46046</v>
      </c>
      <c r="D771" t="inlineStr">
        <is>
          <t>NORRBOTTENS LÄN</t>
        </is>
      </c>
      <c r="E771" t="inlineStr">
        <is>
          <t>GÄLLIVARE</t>
        </is>
      </c>
      <c r="F771" t="inlineStr">
        <is>
          <t>SCA</t>
        </is>
      </c>
      <c r="G771" t="n">
        <v>0.4</v>
      </c>
      <c r="H771" t="n">
        <v>1</v>
      </c>
      <c r="I771" t="n">
        <v>0</v>
      </c>
      <c r="J771" t="n">
        <v>0</v>
      </c>
      <c r="K771" t="n">
        <v>0</v>
      </c>
      <c r="L771" t="n">
        <v>0</v>
      </c>
      <c r="M771" t="n">
        <v>0</v>
      </c>
      <c r="N771" t="n">
        <v>0</v>
      </c>
      <c r="O771" t="n">
        <v>0</v>
      </c>
      <c r="P771" t="n">
        <v>0</v>
      </c>
      <c r="Q771" t="n">
        <v>1</v>
      </c>
      <c r="R771" s="2" t="inlineStr">
        <is>
          <t>Revlummer</t>
        </is>
      </c>
      <c r="S771">
        <f>HYPERLINK("https://klasma.github.io/Logging_2523/artfynd/A 40956-2025 artfynd.xlsx", "A 40956-2025")</f>
        <v/>
      </c>
      <c r="T771">
        <f>HYPERLINK("https://klasma.github.io/Logging_2523/kartor/A 40956-2025 karta.png", "A 40956-2025")</f>
        <v/>
      </c>
      <c r="V771">
        <f>HYPERLINK("https://klasma.github.io/Logging_2523/klagomål/A 40956-2025 FSC-klagomål.docx", "A 40956-2025")</f>
        <v/>
      </c>
      <c r="W771">
        <f>HYPERLINK("https://klasma.github.io/Logging_2523/klagomålsmail/A 40956-2025 FSC-klagomål mail.docx", "A 40956-2025")</f>
        <v/>
      </c>
      <c r="X771">
        <f>HYPERLINK("https://klasma.github.io/Logging_2523/tillsyn/A 40956-2025 tillsynsbegäran.docx", "A 40956-2025")</f>
        <v/>
      </c>
      <c r="Y771">
        <f>HYPERLINK("https://klasma.github.io/Logging_2523/tillsynsmail/A 40956-2025 tillsynsbegäran mail.docx", "A 40956-2025")</f>
        <v/>
      </c>
    </row>
    <row r="772" ht="15" customHeight="1">
      <c r="A772" t="inlineStr">
        <is>
          <t>A 956-2026</t>
        </is>
      </c>
      <c r="B772" s="1" t="n">
        <v>46030.54833333333</v>
      </c>
      <c r="C772" s="1" t="n">
        <v>46046</v>
      </c>
      <c r="D772" t="inlineStr">
        <is>
          <t>NORRBOTTENS LÄN</t>
        </is>
      </c>
      <c r="E772" t="inlineStr">
        <is>
          <t>KALIX</t>
        </is>
      </c>
      <c r="G772" t="n">
        <v>1.8</v>
      </c>
      <c r="H772" t="n">
        <v>0</v>
      </c>
      <c r="I772" t="n">
        <v>0</v>
      </c>
      <c r="J772" t="n">
        <v>1</v>
      </c>
      <c r="K772" t="n">
        <v>0</v>
      </c>
      <c r="L772" t="n">
        <v>0</v>
      </c>
      <c r="M772" t="n">
        <v>0</v>
      </c>
      <c r="N772" t="n">
        <v>0</v>
      </c>
      <c r="O772" t="n">
        <v>1</v>
      </c>
      <c r="P772" t="n">
        <v>0</v>
      </c>
      <c r="Q772" t="n">
        <v>1</v>
      </c>
      <c r="R772" s="2" t="inlineStr">
        <is>
          <t>Granticka</t>
        </is>
      </c>
      <c r="S772">
        <f>HYPERLINK("https://klasma.github.io/Logging_2514/artfynd/A 956-2026 artfynd.xlsx", "A 956-2026")</f>
        <v/>
      </c>
      <c r="T772">
        <f>HYPERLINK("https://klasma.github.io/Logging_2514/kartor/A 956-2026 karta.png", "A 956-2026")</f>
        <v/>
      </c>
      <c r="U772">
        <f>HYPERLINK("https://klasma.github.io/Logging_2514/knärot/A 956-2026 karta knärot.png", "A 956-2026")</f>
        <v/>
      </c>
      <c r="V772">
        <f>HYPERLINK("https://klasma.github.io/Logging_2514/klagomål/A 956-2026 FSC-klagomål.docx", "A 956-2026")</f>
        <v/>
      </c>
      <c r="W772">
        <f>HYPERLINK("https://klasma.github.io/Logging_2514/klagomålsmail/A 956-2026 FSC-klagomål mail.docx", "A 956-2026")</f>
        <v/>
      </c>
      <c r="X772">
        <f>HYPERLINK("https://klasma.github.io/Logging_2514/tillsyn/A 956-2026 tillsynsbegäran.docx", "A 956-2026")</f>
        <v/>
      </c>
      <c r="Y772">
        <f>HYPERLINK("https://klasma.github.io/Logging_2514/tillsynsmail/A 956-2026 tillsynsbegäran mail.docx", "A 956-2026")</f>
        <v/>
      </c>
    </row>
    <row r="773" ht="15" customHeight="1">
      <c r="A773" t="inlineStr">
        <is>
          <t>A 60016-2025</t>
        </is>
      </c>
      <c r="B773" s="1" t="n">
        <v>45993</v>
      </c>
      <c r="C773" s="1" t="n">
        <v>46046</v>
      </c>
      <c r="D773" t="inlineStr">
        <is>
          <t>NORRBOTTENS LÄN</t>
        </is>
      </c>
      <c r="E773" t="inlineStr">
        <is>
          <t>ÄLVSBYN</t>
        </is>
      </c>
      <c r="F773" t="inlineStr">
        <is>
          <t>Sveaskog</t>
        </is>
      </c>
      <c r="G773" t="n">
        <v>5.5</v>
      </c>
      <c r="H773" t="n">
        <v>0</v>
      </c>
      <c r="I773" t="n">
        <v>0</v>
      </c>
      <c r="J773" t="n">
        <v>1</v>
      </c>
      <c r="K773" t="n">
        <v>0</v>
      </c>
      <c r="L773" t="n">
        <v>0</v>
      </c>
      <c r="M773" t="n">
        <v>0</v>
      </c>
      <c r="N773" t="n">
        <v>0</v>
      </c>
      <c r="O773" t="n">
        <v>1</v>
      </c>
      <c r="P773" t="n">
        <v>0</v>
      </c>
      <c r="Q773" t="n">
        <v>1</v>
      </c>
      <c r="R773" s="2" t="inlineStr">
        <is>
          <t>Motaggsvamp</t>
        </is>
      </c>
      <c r="S773">
        <f>HYPERLINK("https://klasma.github.io/Logging_2560/artfynd/A 60016-2025 artfynd.xlsx", "A 60016-2025")</f>
        <v/>
      </c>
      <c r="T773">
        <f>HYPERLINK("https://klasma.github.io/Logging_2560/kartor/A 60016-2025 karta.png", "A 60016-2025")</f>
        <v/>
      </c>
      <c r="V773">
        <f>HYPERLINK("https://klasma.github.io/Logging_2560/klagomål/A 60016-2025 FSC-klagomål.docx", "A 60016-2025")</f>
        <v/>
      </c>
      <c r="W773">
        <f>HYPERLINK("https://klasma.github.io/Logging_2560/klagomålsmail/A 60016-2025 FSC-klagomål mail.docx", "A 60016-2025")</f>
        <v/>
      </c>
      <c r="X773">
        <f>HYPERLINK("https://klasma.github.io/Logging_2560/tillsyn/A 60016-2025 tillsynsbegäran.docx", "A 60016-2025")</f>
        <v/>
      </c>
      <c r="Y773">
        <f>HYPERLINK("https://klasma.github.io/Logging_2560/tillsynsmail/A 60016-2025 tillsynsbegäran mail.docx", "A 60016-2025")</f>
        <v/>
      </c>
    </row>
    <row r="774" ht="15" customHeight="1">
      <c r="A774" t="inlineStr">
        <is>
          <t>A 2650-2026</t>
        </is>
      </c>
      <c r="B774" s="1" t="n">
        <v>46037.62674768519</v>
      </c>
      <c r="C774" s="1" t="n">
        <v>46046</v>
      </c>
      <c r="D774" t="inlineStr">
        <is>
          <t>NORRBOTTENS LÄN</t>
        </is>
      </c>
      <c r="E774" t="inlineStr">
        <is>
          <t>LULEÅ</t>
        </is>
      </c>
      <c r="G774" t="n">
        <v>0.6</v>
      </c>
      <c r="H774" t="n">
        <v>0</v>
      </c>
      <c r="I774" t="n">
        <v>1</v>
      </c>
      <c r="J774" t="n">
        <v>0</v>
      </c>
      <c r="K774" t="n">
        <v>0</v>
      </c>
      <c r="L774" t="n">
        <v>0</v>
      </c>
      <c r="M774" t="n">
        <v>0</v>
      </c>
      <c r="N774" t="n">
        <v>0</v>
      </c>
      <c r="O774" t="n">
        <v>0</v>
      </c>
      <c r="P774" t="n">
        <v>0</v>
      </c>
      <c r="Q774" t="n">
        <v>1</v>
      </c>
      <c r="R774" s="2" t="inlineStr">
        <is>
          <t>Vedticka</t>
        </is>
      </c>
      <c r="S774">
        <f>HYPERLINK("https://klasma.github.io/Logging_2580/artfynd/A 2650-2026 artfynd.xlsx", "A 2650-2026")</f>
        <v/>
      </c>
      <c r="T774">
        <f>HYPERLINK("https://klasma.github.io/Logging_2580/kartor/A 2650-2026 karta.png", "A 2650-2026")</f>
        <v/>
      </c>
      <c r="V774">
        <f>HYPERLINK("https://klasma.github.io/Logging_2580/klagomål/A 2650-2026 FSC-klagomål.docx", "A 2650-2026")</f>
        <v/>
      </c>
      <c r="W774">
        <f>HYPERLINK("https://klasma.github.io/Logging_2580/klagomålsmail/A 2650-2026 FSC-klagomål mail.docx", "A 2650-2026")</f>
        <v/>
      </c>
      <c r="X774">
        <f>HYPERLINK("https://klasma.github.io/Logging_2580/tillsyn/A 2650-2026 tillsynsbegäran.docx", "A 2650-2026")</f>
        <v/>
      </c>
      <c r="Y774">
        <f>HYPERLINK("https://klasma.github.io/Logging_2580/tillsynsmail/A 2650-2026 tillsynsbegäran mail.docx", "A 2650-2026")</f>
        <v/>
      </c>
    </row>
    <row r="775" ht="15" customHeight="1">
      <c r="A775" t="inlineStr">
        <is>
          <t>A 44147-2024</t>
        </is>
      </c>
      <c r="B775" s="1" t="n">
        <v>45572.67306712963</v>
      </c>
      <c r="C775" s="1" t="n">
        <v>46046</v>
      </c>
      <c r="D775" t="inlineStr">
        <is>
          <t>NORRBOTTENS LÄN</t>
        </is>
      </c>
      <c r="E775" t="inlineStr">
        <is>
          <t>JOKKMOKK</t>
        </is>
      </c>
      <c r="F775" t="inlineStr">
        <is>
          <t>Sveaskog</t>
        </is>
      </c>
      <c r="G775" t="n">
        <v>6.2</v>
      </c>
      <c r="H775" t="n">
        <v>1</v>
      </c>
      <c r="I775" t="n">
        <v>1</v>
      </c>
      <c r="J775" t="n">
        <v>0</v>
      </c>
      <c r="K775" t="n">
        <v>0</v>
      </c>
      <c r="L775" t="n">
        <v>0</v>
      </c>
      <c r="M775" t="n">
        <v>0</v>
      </c>
      <c r="N775" t="n">
        <v>0</v>
      </c>
      <c r="O775" t="n">
        <v>0</v>
      </c>
      <c r="P775" t="n">
        <v>0</v>
      </c>
      <c r="Q775" t="n">
        <v>1</v>
      </c>
      <c r="R775" s="2" t="inlineStr">
        <is>
          <t>Plattlummer</t>
        </is>
      </c>
      <c r="S775">
        <f>HYPERLINK("https://klasma.github.io/Logging_2510/artfynd/A 44147-2024 artfynd.xlsx", "A 44147-2024")</f>
        <v/>
      </c>
      <c r="T775">
        <f>HYPERLINK("https://klasma.github.io/Logging_2510/kartor/A 44147-2024 karta.png", "A 44147-2024")</f>
        <v/>
      </c>
      <c r="V775">
        <f>HYPERLINK("https://klasma.github.io/Logging_2510/klagomål/A 44147-2024 FSC-klagomål.docx", "A 44147-2024")</f>
        <v/>
      </c>
      <c r="W775">
        <f>HYPERLINK("https://klasma.github.io/Logging_2510/klagomålsmail/A 44147-2024 FSC-klagomål mail.docx", "A 44147-2024")</f>
        <v/>
      </c>
      <c r="X775">
        <f>HYPERLINK("https://klasma.github.io/Logging_2510/tillsyn/A 44147-2024 tillsynsbegäran.docx", "A 44147-2024")</f>
        <v/>
      </c>
      <c r="Y775">
        <f>HYPERLINK("https://klasma.github.io/Logging_2510/tillsynsmail/A 44147-2024 tillsynsbegäran mail.docx", "A 44147-2024")</f>
        <v/>
      </c>
    </row>
    <row r="776" ht="15" customHeight="1">
      <c r="A776" t="inlineStr">
        <is>
          <t>A 60456-2025</t>
        </is>
      </c>
      <c r="B776" s="1" t="n">
        <v>45995</v>
      </c>
      <c r="C776" s="1" t="n">
        <v>46046</v>
      </c>
      <c r="D776" t="inlineStr">
        <is>
          <t>NORRBOTTENS LÄN</t>
        </is>
      </c>
      <c r="E776" t="inlineStr">
        <is>
          <t>PITEÅ</t>
        </is>
      </c>
      <c r="F776" t="inlineStr">
        <is>
          <t>Sveaskog</t>
        </is>
      </c>
      <c r="G776" t="n">
        <v>11.2</v>
      </c>
      <c r="H776" t="n">
        <v>0</v>
      </c>
      <c r="I776" t="n">
        <v>0</v>
      </c>
      <c r="J776" t="n">
        <v>1</v>
      </c>
      <c r="K776" t="n">
        <v>0</v>
      </c>
      <c r="L776" t="n">
        <v>0</v>
      </c>
      <c r="M776" t="n">
        <v>0</v>
      </c>
      <c r="N776" t="n">
        <v>0</v>
      </c>
      <c r="O776" t="n">
        <v>1</v>
      </c>
      <c r="P776" t="n">
        <v>0</v>
      </c>
      <c r="Q776" t="n">
        <v>1</v>
      </c>
      <c r="R776" s="2" t="inlineStr">
        <is>
          <t>Garnlav</t>
        </is>
      </c>
      <c r="S776">
        <f>HYPERLINK("https://klasma.github.io/Logging_2581/artfynd/A 60456-2025 artfynd.xlsx", "A 60456-2025")</f>
        <v/>
      </c>
      <c r="T776">
        <f>HYPERLINK("https://klasma.github.io/Logging_2581/kartor/A 60456-2025 karta.png", "A 60456-2025")</f>
        <v/>
      </c>
      <c r="V776">
        <f>HYPERLINK("https://klasma.github.io/Logging_2581/klagomål/A 60456-2025 FSC-klagomål.docx", "A 60456-2025")</f>
        <v/>
      </c>
      <c r="W776">
        <f>HYPERLINK("https://klasma.github.io/Logging_2581/klagomålsmail/A 60456-2025 FSC-klagomål mail.docx", "A 60456-2025")</f>
        <v/>
      </c>
      <c r="X776">
        <f>HYPERLINK("https://klasma.github.io/Logging_2581/tillsyn/A 60456-2025 tillsynsbegäran.docx", "A 60456-2025")</f>
        <v/>
      </c>
      <c r="Y776">
        <f>HYPERLINK("https://klasma.github.io/Logging_2581/tillsynsmail/A 60456-2025 tillsynsbegäran mail.docx", "A 60456-2025")</f>
        <v/>
      </c>
    </row>
    <row r="777" ht="15" customHeight="1">
      <c r="A777" t="inlineStr">
        <is>
          <t>A 60460-2025</t>
        </is>
      </c>
      <c r="B777" s="1" t="n">
        <v>45995.54681712963</v>
      </c>
      <c r="C777" s="1" t="n">
        <v>46046</v>
      </c>
      <c r="D777" t="inlineStr">
        <is>
          <t>NORRBOTTENS LÄN</t>
        </is>
      </c>
      <c r="E777" t="inlineStr">
        <is>
          <t>ARVIDSJAUR</t>
        </is>
      </c>
      <c r="F777" t="inlineStr">
        <is>
          <t>Sveaskog</t>
        </is>
      </c>
      <c r="G777" t="n">
        <v>1.7</v>
      </c>
      <c r="H777" t="n">
        <v>0</v>
      </c>
      <c r="I777" t="n">
        <v>0</v>
      </c>
      <c r="J777" t="n">
        <v>1</v>
      </c>
      <c r="K777" t="n">
        <v>0</v>
      </c>
      <c r="L777" t="n">
        <v>0</v>
      </c>
      <c r="M777" t="n">
        <v>0</v>
      </c>
      <c r="N777" t="n">
        <v>0</v>
      </c>
      <c r="O777" t="n">
        <v>1</v>
      </c>
      <c r="P777" t="n">
        <v>0</v>
      </c>
      <c r="Q777" t="n">
        <v>1</v>
      </c>
      <c r="R777" s="2" t="inlineStr">
        <is>
          <t>Ullticka</t>
        </is>
      </c>
      <c r="S777">
        <f>HYPERLINK("https://klasma.github.io/Logging_2505/artfynd/A 60460-2025 artfynd.xlsx", "A 60460-2025")</f>
        <v/>
      </c>
      <c r="T777">
        <f>HYPERLINK("https://klasma.github.io/Logging_2505/kartor/A 60460-2025 karta.png", "A 60460-2025")</f>
        <v/>
      </c>
      <c r="V777">
        <f>HYPERLINK("https://klasma.github.io/Logging_2505/klagomål/A 60460-2025 FSC-klagomål.docx", "A 60460-2025")</f>
        <v/>
      </c>
      <c r="W777">
        <f>HYPERLINK("https://klasma.github.io/Logging_2505/klagomålsmail/A 60460-2025 FSC-klagomål mail.docx", "A 60460-2025")</f>
        <v/>
      </c>
      <c r="X777">
        <f>HYPERLINK("https://klasma.github.io/Logging_2505/tillsyn/A 60460-2025 tillsynsbegäran.docx", "A 60460-2025")</f>
        <v/>
      </c>
      <c r="Y777">
        <f>HYPERLINK("https://klasma.github.io/Logging_2505/tillsynsmail/A 60460-2025 tillsynsbegäran mail.docx", "A 60460-2025")</f>
        <v/>
      </c>
    </row>
    <row r="778" ht="15" customHeight="1">
      <c r="A778" t="inlineStr">
        <is>
          <t>A 60196-2025</t>
        </is>
      </c>
      <c r="B778" s="1" t="n">
        <v>45994.48524305555</v>
      </c>
      <c r="C778" s="1" t="n">
        <v>46046</v>
      </c>
      <c r="D778" t="inlineStr">
        <is>
          <t>NORRBOTTENS LÄN</t>
        </is>
      </c>
      <c r="E778" t="inlineStr">
        <is>
          <t>BODEN</t>
        </is>
      </c>
      <c r="G778" t="n">
        <v>1.2</v>
      </c>
      <c r="H778" t="n">
        <v>0</v>
      </c>
      <c r="I778" t="n">
        <v>0</v>
      </c>
      <c r="J778" t="n">
        <v>1</v>
      </c>
      <c r="K778" t="n">
        <v>0</v>
      </c>
      <c r="L778" t="n">
        <v>0</v>
      </c>
      <c r="M778" t="n">
        <v>0</v>
      </c>
      <c r="N778" t="n">
        <v>0</v>
      </c>
      <c r="O778" t="n">
        <v>1</v>
      </c>
      <c r="P778" t="n">
        <v>0</v>
      </c>
      <c r="Q778" t="n">
        <v>1</v>
      </c>
      <c r="R778" s="2" t="inlineStr">
        <is>
          <t>Igelkott</t>
        </is>
      </c>
      <c r="S778">
        <f>HYPERLINK("https://klasma.github.io/Logging_2582/artfynd/A 60196-2025 artfynd.xlsx", "A 60196-2025")</f>
        <v/>
      </c>
      <c r="T778">
        <f>HYPERLINK("https://klasma.github.io/Logging_2582/kartor/A 60196-2025 karta.png", "A 60196-2025")</f>
        <v/>
      </c>
      <c r="V778">
        <f>HYPERLINK("https://klasma.github.io/Logging_2582/klagomål/A 60196-2025 FSC-klagomål.docx", "A 60196-2025")</f>
        <v/>
      </c>
      <c r="W778">
        <f>HYPERLINK("https://klasma.github.io/Logging_2582/klagomålsmail/A 60196-2025 FSC-klagomål mail.docx", "A 60196-2025")</f>
        <v/>
      </c>
      <c r="X778">
        <f>HYPERLINK("https://klasma.github.io/Logging_2582/tillsyn/A 60196-2025 tillsynsbegäran.docx", "A 60196-2025")</f>
        <v/>
      </c>
      <c r="Y778">
        <f>HYPERLINK("https://klasma.github.io/Logging_2582/tillsynsmail/A 60196-2025 tillsynsbegäran mail.docx", "A 60196-2025")</f>
        <v/>
      </c>
    </row>
    <row r="779" ht="15" customHeight="1">
      <c r="A779" t="inlineStr">
        <is>
          <t>A 2320-2026</t>
        </is>
      </c>
      <c r="B779" s="1" t="n">
        <v>46036.60225694445</v>
      </c>
      <c r="C779" s="1" t="n">
        <v>46046</v>
      </c>
      <c r="D779" t="inlineStr">
        <is>
          <t>NORRBOTTENS LÄN</t>
        </is>
      </c>
      <c r="E779" t="inlineStr">
        <is>
          <t>KALIX</t>
        </is>
      </c>
      <c r="F779" t="inlineStr">
        <is>
          <t>Sveaskog</t>
        </is>
      </c>
      <c r="G779" t="n">
        <v>3.4</v>
      </c>
      <c r="H779" t="n">
        <v>0</v>
      </c>
      <c r="I779" t="n">
        <v>0</v>
      </c>
      <c r="J779" t="n">
        <v>1</v>
      </c>
      <c r="K779" t="n">
        <v>0</v>
      </c>
      <c r="L779" t="n">
        <v>0</v>
      </c>
      <c r="M779" t="n">
        <v>0</v>
      </c>
      <c r="N779" t="n">
        <v>0</v>
      </c>
      <c r="O779" t="n">
        <v>1</v>
      </c>
      <c r="P779" t="n">
        <v>0</v>
      </c>
      <c r="Q779" t="n">
        <v>1</v>
      </c>
      <c r="R779" s="2" t="inlineStr">
        <is>
          <t>Gammelgransskål</t>
        </is>
      </c>
      <c r="S779">
        <f>HYPERLINK("https://klasma.github.io/Logging_2514/artfynd/A 2320-2026 artfynd.xlsx", "A 2320-2026")</f>
        <v/>
      </c>
      <c r="T779">
        <f>HYPERLINK("https://klasma.github.io/Logging_2514/kartor/A 2320-2026 karta.png", "A 2320-2026")</f>
        <v/>
      </c>
      <c r="V779">
        <f>HYPERLINK("https://klasma.github.io/Logging_2514/klagomål/A 2320-2026 FSC-klagomål.docx", "A 2320-2026")</f>
        <v/>
      </c>
      <c r="W779">
        <f>HYPERLINK("https://klasma.github.io/Logging_2514/klagomålsmail/A 2320-2026 FSC-klagomål mail.docx", "A 2320-2026")</f>
        <v/>
      </c>
      <c r="X779">
        <f>HYPERLINK("https://klasma.github.io/Logging_2514/tillsyn/A 2320-2026 tillsynsbegäran.docx", "A 2320-2026")</f>
        <v/>
      </c>
      <c r="Y779">
        <f>HYPERLINK("https://klasma.github.io/Logging_2514/tillsynsmail/A 2320-2026 tillsynsbegäran mail.docx", "A 2320-2026")</f>
        <v/>
      </c>
    </row>
    <row r="780" ht="15" customHeight="1">
      <c r="A780" t="inlineStr">
        <is>
          <t>A 60500-2025</t>
        </is>
      </c>
      <c r="B780" s="1" t="n">
        <v>45995.61788194445</v>
      </c>
      <c r="C780" s="1" t="n">
        <v>46046</v>
      </c>
      <c r="D780" t="inlineStr">
        <is>
          <t>NORRBOTTENS LÄN</t>
        </is>
      </c>
      <c r="E780" t="inlineStr">
        <is>
          <t>BODEN</t>
        </is>
      </c>
      <c r="F780" t="inlineStr">
        <is>
          <t>Sveaskog</t>
        </is>
      </c>
      <c r="G780" t="n">
        <v>2.2</v>
      </c>
      <c r="H780" t="n">
        <v>0</v>
      </c>
      <c r="I780" t="n">
        <v>1</v>
      </c>
      <c r="J780" t="n">
        <v>0</v>
      </c>
      <c r="K780" t="n">
        <v>0</v>
      </c>
      <c r="L780" t="n">
        <v>0</v>
      </c>
      <c r="M780" t="n">
        <v>0</v>
      </c>
      <c r="N780" t="n">
        <v>0</v>
      </c>
      <c r="O780" t="n">
        <v>0</v>
      </c>
      <c r="P780" t="n">
        <v>0</v>
      </c>
      <c r="Q780" t="n">
        <v>1</v>
      </c>
      <c r="R780" s="2" t="inlineStr">
        <is>
          <t>Bårdlav</t>
        </is>
      </c>
      <c r="S780">
        <f>HYPERLINK("https://klasma.github.io/Logging_2582/artfynd/A 60500-2025 artfynd.xlsx", "A 60500-2025")</f>
        <v/>
      </c>
      <c r="T780">
        <f>HYPERLINK("https://klasma.github.io/Logging_2582/kartor/A 60500-2025 karta.png", "A 60500-2025")</f>
        <v/>
      </c>
      <c r="V780">
        <f>HYPERLINK("https://klasma.github.io/Logging_2582/klagomål/A 60500-2025 FSC-klagomål.docx", "A 60500-2025")</f>
        <v/>
      </c>
      <c r="W780">
        <f>HYPERLINK("https://klasma.github.io/Logging_2582/klagomålsmail/A 60500-2025 FSC-klagomål mail.docx", "A 60500-2025")</f>
        <v/>
      </c>
      <c r="X780">
        <f>HYPERLINK("https://klasma.github.io/Logging_2582/tillsyn/A 60500-2025 tillsynsbegäran.docx", "A 60500-2025")</f>
        <v/>
      </c>
      <c r="Y780">
        <f>HYPERLINK("https://klasma.github.io/Logging_2582/tillsynsmail/A 60500-2025 tillsynsbegäran mail.docx", "A 60500-2025")</f>
        <v/>
      </c>
    </row>
    <row r="781" ht="15" customHeight="1">
      <c r="A781" t="inlineStr">
        <is>
          <t>A 388-2026</t>
        </is>
      </c>
      <c r="B781" s="1" t="n">
        <v>46027</v>
      </c>
      <c r="C781" s="1" t="n">
        <v>46046</v>
      </c>
      <c r="D781" t="inlineStr">
        <is>
          <t>NORRBOTTENS LÄN</t>
        </is>
      </c>
      <c r="E781" t="inlineStr">
        <is>
          <t>JOKKMOKK</t>
        </is>
      </c>
      <c r="G781" t="n">
        <v>15.5</v>
      </c>
      <c r="H781" t="n">
        <v>1</v>
      </c>
      <c r="I781" t="n">
        <v>0</v>
      </c>
      <c r="J781" t="n">
        <v>0</v>
      </c>
      <c r="K781" t="n">
        <v>1</v>
      </c>
      <c r="L781" t="n">
        <v>0</v>
      </c>
      <c r="M781" t="n">
        <v>0</v>
      </c>
      <c r="N781" t="n">
        <v>0</v>
      </c>
      <c r="O781" t="n">
        <v>1</v>
      </c>
      <c r="P781" t="n">
        <v>1</v>
      </c>
      <c r="Q781" t="n">
        <v>1</v>
      </c>
      <c r="R781" s="2" t="inlineStr">
        <is>
          <t>Norna</t>
        </is>
      </c>
      <c r="S781">
        <f>HYPERLINK("https://klasma.github.io/Logging_2510/artfynd/A 388-2026 artfynd.xlsx", "A 388-2026")</f>
        <v/>
      </c>
      <c r="T781">
        <f>HYPERLINK("https://klasma.github.io/Logging_2510/kartor/A 388-2026 karta.png", "A 388-2026")</f>
        <v/>
      </c>
      <c r="V781">
        <f>HYPERLINK("https://klasma.github.io/Logging_2510/klagomål/A 388-2026 FSC-klagomål.docx", "A 388-2026")</f>
        <v/>
      </c>
      <c r="W781">
        <f>HYPERLINK("https://klasma.github.io/Logging_2510/klagomålsmail/A 388-2026 FSC-klagomål mail.docx", "A 388-2026")</f>
        <v/>
      </c>
      <c r="X781">
        <f>HYPERLINK("https://klasma.github.io/Logging_2510/tillsyn/A 388-2026 tillsynsbegäran.docx", "A 388-2026")</f>
        <v/>
      </c>
      <c r="Y781">
        <f>HYPERLINK("https://klasma.github.io/Logging_2510/tillsynsmail/A 388-2026 tillsynsbegäran mail.docx", "A 388-2026")</f>
        <v/>
      </c>
    </row>
    <row r="782" ht="15" customHeight="1">
      <c r="A782" t="inlineStr">
        <is>
          <t>A 62002-2025</t>
        </is>
      </c>
      <c r="B782" s="1" t="n">
        <v>46003</v>
      </c>
      <c r="C782" s="1" t="n">
        <v>46046</v>
      </c>
      <c r="D782" t="inlineStr">
        <is>
          <t>NORRBOTTENS LÄN</t>
        </is>
      </c>
      <c r="E782" t="inlineStr">
        <is>
          <t>BODEN</t>
        </is>
      </c>
      <c r="F782" t="inlineStr">
        <is>
          <t>SCA</t>
        </is>
      </c>
      <c r="G782" t="n">
        <v>1.7</v>
      </c>
      <c r="H782" t="n">
        <v>0</v>
      </c>
      <c r="I782" t="n">
        <v>0</v>
      </c>
      <c r="J782" t="n">
        <v>1</v>
      </c>
      <c r="K782" t="n">
        <v>0</v>
      </c>
      <c r="L782" t="n">
        <v>0</v>
      </c>
      <c r="M782" t="n">
        <v>0</v>
      </c>
      <c r="N782" t="n">
        <v>0</v>
      </c>
      <c r="O782" t="n">
        <v>1</v>
      </c>
      <c r="P782" t="n">
        <v>0</v>
      </c>
      <c r="Q782" t="n">
        <v>1</v>
      </c>
      <c r="R782" s="2" t="inlineStr">
        <is>
          <t>Vitgrynig nållav</t>
        </is>
      </c>
      <c r="S782">
        <f>HYPERLINK("https://klasma.github.io/Logging_2582/artfynd/A 62002-2025 artfynd.xlsx", "A 62002-2025")</f>
        <v/>
      </c>
      <c r="T782">
        <f>HYPERLINK("https://klasma.github.io/Logging_2582/kartor/A 62002-2025 karta.png", "A 62002-2025")</f>
        <v/>
      </c>
      <c r="V782">
        <f>HYPERLINK("https://klasma.github.io/Logging_2582/klagomål/A 62002-2025 FSC-klagomål.docx", "A 62002-2025")</f>
        <v/>
      </c>
      <c r="W782">
        <f>HYPERLINK("https://klasma.github.io/Logging_2582/klagomålsmail/A 62002-2025 FSC-klagomål mail.docx", "A 62002-2025")</f>
        <v/>
      </c>
      <c r="X782">
        <f>HYPERLINK("https://klasma.github.io/Logging_2582/tillsyn/A 62002-2025 tillsynsbegäran.docx", "A 62002-2025")</f>
        <v/>
      </c>
      <c r="Y782">
        <f>HYPERLINK("https://klasma.github.io/Logging_2582/tillsynsmail/A 62002-2025 tillsynsbegäran mail.docx", "A 62002-2025")</f>
        <v/>
      </c>
    </row>
    <row r="783" ht="15" customHeight="1">
      <c r="A783" t="inlineStr">
        <is>
          <t>A 4470-2026</t>
        </is>
      </c>
      <c r="B783" s="1" t="n">
        <v>46045.65673611111</v>
      </c>
      <c r="C783" s="1" t="n">
        <v>46046</v>
      </c>
      <c r="D783" t="inlineStr">
        <is>
          <t>NORRBOTTENS LÄN</t>
        </is>
      </c>
      <c r="E783" t="inlineStr">
        <is>
          <t>PITEÅ</t>
        </is>
      </c>
      <c r="F783" t="inlineStr">
        <is>
          <t>SCA</t>
        </is>
      </c>
      <c r="G783" t="n">
        <v>2.5</v>
      </c>
      <c r="H783" t="n">
        <v>0</v>
      </c>
      <c r="I783" t="n">
        <v>0</v>
      </c>
      <c r="J783" t="n">
        <v>1</v>
      </c>
      <c r="K783" t="n">
        <v>0</v>
      </c>
      <c r="L783" t="n">
        <v>0</v>
      </c>
      <c r="M783" t="n">
        <v>0</v>
      </c>
      <c r="N783" t="n">
        <v>0</v>
      </c>
      <c r="O783" t="n">
        <v>1</v>
      </c>
      <c r="P783" t="n">
        <v>0</v>
      </c>
      <c r="Q783" t="n">
        <v>1</v>
      </c>
      <c r="R783" s="2" t="inlineStr">
        <is>
          <t>Lunglav</t>
        </is>
      </c>
      <c r="S783">
        <f>HYPERLINK("https://klasma.github.io/Logging_2581/artfynd/A 4470-2026 artfynd.xlsx", "A 4470-2026")</f>
        <v/>
      </c>
      <c r="T783">
        <f>HYPERLINK("https://klasma.github.io/Logging_2581/kartor/A 4470-2026 karta.png", "A 4470-2026")</f>
        <v/>
      </c>
      <c r="V783">
        <f>HYPERLINK("https://klasma.github.io/Logging_2581/klagomål/A 4470-2026 FSC-klagomål.docx", "A 4470-2026")</f>
        <v/>
      </c>
      <c r="W783">
        <f>HYPERLINK("https://klasma.github.io/Logging_2581/klagomålsmail/A 4470-2026 FSC-klagomål mail.docx", "A 4470-2026")</f>
        <v/>
      </c>
      <c r="X783">
        <f>HYPERLINK("https://klasma.github.io/Logging_2581/tillsyn/A 4470-2026 tillsynsbegäran.docx", "A 4470-2026")</f>
        <v/>
      </c>
      <c r="Y783">
        <f>HYPERLINK("https://klasma.github.io/Logging_2581/tillsynsmail/A 4470-2026 tillsynsbegäran mail.docx", "A 4470-2026")</f>
        <v/>
      </c>
    </row>
    <row r="784" ht="15" customHeight="1">
      <c r="A784" t="inlineStr">
        <is>
          <t>A 61659-2025</t>
        </is>
      </c>
      <c r="B784" s="1" t="n">
        <v>46002.45457175926</v>
      </c>
      <c r="C784" s="1" t="n">
        <v>46046</v>
      </c>
      <c r="D784" t="inlineStr">
        <is>
          <t>NORRBOTTENS LÄN</t>
        </is>
      </c>
      <c r="E784" t="inlineStr">
        <is>
          <t>KALIX</t>
        </is>
      </c>
      <c r="G784" t="n">
        <v>4.2</v>
      </c>
      <c r="H784" t="n">
        <v>1</v>
      </c>
      <c r="I784" t="n">
        <v>1</v>
      </c>
      <c r="J784" t="n">
        <v>0</v>
      </c>
      <c r="K784" t="n">
        <v>0</v>
      </c>
      <c r="L784" t="n">
        <v>0</v>
      </c>
      <c r="M784" t="n">
        <v>0</v>
      </c>
      <c r="N784" t="n">
        <v>0</v>
      </c>
      <c r="O784" t="n">
        <v>0</v>
      </c>
      <c r="P784" t="n">
        <v>0</v>
      </c>
      <c r="Q784" t="n">
        <v>1</v>
      </c>
      <c r="R784" s="2" t="inlineStr">
        <is>
          <t>Plattlummer</t>
        </is>
      </c>
      <c r="S784">
        <f>HYPERLINK("https://klasma.github.io/Logging_2514/artfynd/A 61659-2025 artfynd.xlsx", "A 61659-2025")</f>
        <v/>
      </c>
      <c r="T784">
        <f>HYPERLINK("https://klasma.github.io/Logging_2514/kartor/A 61659-2025 karta.png", "A 61659-2025")</f>
        <v/>
      </c>
      <c r="V784">
        <f>HYPERLINK("https://klasma.github.io/Logging_2514/klagomål/A 61659-2025 FSC-klagomål.docx", "A 61659-2025")</f>
        <v/>
      </c>
      <c r="W784">
        <f>HYPERLINK("https://klasma.github.io/Logging_2514/klagomålsmail/A 61659-2025 FSC-klagomål mail.docx", "A 61659-2025")</f>
        <v/>
      </c>
      <c r="X784">
        <f>HYPERLINK("https://klasma.github.io/Logging_2514/tillsyn/A 61659-2025 tillsynsbegäran.docx", "A 61659-2025")</f>
        <v/>
      </c>
      <c r="Y784">
        <f>HYPERLINK("https://klasma.github.io/Logging_2514/tillsynsmail/A 61659-2025 tillsynsbegäran mail.docx", "A 61659-2025")</f>
        <v/>
      </c>
    </row>
    <row r="785" ht="15" customHeight="1">
      <c r="A785" t="inlineStr">
        <is>
          <t>A 32819-2021</t>
        </is>
      </c>
      <c r="B785" s="1" t="n">
        <v>44375</v>
      </c>
      <c r="C785" s="1" t="n">
        <v>46046</v>
      </c>
      <c r="D785" t="inlineStr">
        <is>
          <t>NORRBOTTENS LÄN</t>
        </is>
      </c>
      <c r="E785" t="inlineStr">
        <is>
          <t>KIRUNA</t>
        </is>
      </c>
      <c r="G785" t="n">
        <v>8.9</v>
      </c>
      <c r="H785" t="n">
        <v>0</v>
      </c>
      <c r="I785" t="n">
        <v>0</v>
      </c>
      <c r="J785" t="n">
        <v>0</v>
      </c>
      <c r="K785" t="n">
        <v>0</v>
      </c>
      <c r="L785" t="n">
        <v>0</v>
      </c>
      <c r="M785" t="n">
        <v>0</v>
      </c>
      <c r="N785" t="n">
        <v>0</v>
      </c>
      <c r="O785" t="n">
        <v>0</v>
      </c>
      <c r="P785" t="n">
        <v>0</v>
      </c>
      <c r="Q785" t="n">
        <v>0</v>
      </c>
      <c r="R785" s="2" t="inlineStr"/>
    </row>
    <row r="786" ht="15" customHeight="1">
      <c r="A786" t="inlineStr">
        <is>
          <t>A 48323-2022</t>
        </is>
      </c>
      <c r="B786" s="1" t="n">
        <v>44854</v>
      </c>
      <c r="C786" s="1" t="n">
        <v>46046</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19459-2022</t>
        </is>
      </c>
      <c r="B787" s="1" t="n">
        <v>44693.42863425926</v>
      </c>
      <c r="C787" s="1" t="n">
        <v>46046</v>
      </c>
      <c r="D787" t="inlineStr">
        <is>
          <t>NORRBOTTENS LÄN</t>
        </is>
      </c>
      <c r="E787" t="inlineStr">
        <is>
          <t>ÄLVSBYN</t>
        </is>
      </c>
      <c r="G787" t="n">
        <v>7.5</v>
      </c>
      <c r="H787" t="n">
        <v>0</v>
      </c>
      <c r="I787" t="n">
        <v>0</v>
      </c>
      <c r="J787" t="n">
        <v>0</v>
      </c>
      <c r="K787" t="n">
        <v>0</v>
      </c>
      <c r="L787" t="n">
        <v>0</v>
      </c>
      <c r="M787" t="n">
        <v>0</v>
      </c>
      <c r="N787" t="n">
        <v>0</v>
      </c>
      <c r="O787" t="n">
        <v>0</v>
      </c>
      <c r="P787" t="n">
        <v>0</v>
      </c>
      <c r="Q787" t="n">
        <v>0</v>
      </c>
      <c r="R787" s="2" t="inlineStr"/>
    </row>
    <row r="788" ht="15" customHeight="1">
      <c r="A788" t="inlineStr">
        <is>
          <t>A 49193-2022</t>
        </is>
      </c>
      <c r="B788" s="1" t="n">
        <v>44860.95483796296</v>
      </c>
      <c r="C788" s="1" t="n">
        <v>46046</v>
      </c>
      <c r="D788" t="inlineStr">
        <is>
          <t>NORRBOTTENS LÄN</t>
        </is>
      </c>
      <c r="E788" t="inlineStr">
        <is>
          <t>KALIX</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13861-2021</t>
        </is>
      </c>
      <c r="B789" s="1" t="n">
        <v>44277</v>
      </c>
      <c r="C789" s="1" t="n">
        <v>46046</v>
      </c>
      <c r="D789" t="inlineStr">
        <is>
          <t>NORRBOTTENS LÄN</t>
        </is>
      </c>
      <c r="E789" t="inlineStr">
        <is>
          <t>ÖVERTORNEÅ</t>
        </is>
      </c>
      <c r="G789" t="n">
        <v>7.2</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46046</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46046</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46046</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46046</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46046</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46046</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46046</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46046</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15065-2021</t>
        </is>
      </c>
      <c r="B798" s="1" t="n">
        <v>44281.64640046296</v>
      </c>
      <c r="C798" s="1" t="n">
        <v>46046</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48281-2021</t>
        </is>
      </c>
      <c r="B799" s="1" t="n">
        <v>44449</v>
      </c>
      <c r="C799" s="1" t="n">
        <v>46046</v>
      </c>
      <c r="D799" t="inlineStr">
        <is>
          <t>NORRBOTTENS LÄN</t>
        </is>
      </c>
      <c r="E799" t="inlineStr">
        <is>
          <t>KALIX</t>
        </is>
      </c>
      <c r="G799" t="n">
        <v>18.4</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46046</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46046</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16562-2021</t>
        </is>
      </c>
      <c r="B802" s="1" t="n">
        <v>44293.93512731481</v>
      </c>
      <c r="C802" s="1" t="n">
        <v>46046</v>
      </c>
      <c r="D802" t="inlineStr">
        <is>
          <t>NORRBOTTENS LÄN</t>
        </is>
      </c>
      <c r="E802" t="inlineStr">
        <is>
          <t>PITEÅ</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40844-2021</t>
        </is>
      </c>
      <c r="B803" s="1" t="n">
        <v>44421</v>
      </c>
      <c r="C803" s="1" t="n">
        <v>46046</v>
      </c>
      <c r="D803" t="inlineStr">
        <is>
          <t>NORRBOTTENS LÄN</t>
        </is>
      </c>
      <c r="E803" t="inlineStr">
        <is>
          <t>ARVIDSJAUR</t>
        </is>
      </c>
      <c r="G803" t="n">
        <v>0.3</v>
      </c>
      <c r="H803" t="n">
        <v>0</v>
      </c>
      <c r="I803" t="n">
        <v>0</v>
      </c>
      <c r="J803" t="n">
        <v>0</v>
      </c>
      <c r="K803" t="n">
        <v>0</v>
      </c>
      <c r="L803" t="n">
        <v>0</v>
      </c>
      <c r="M803" t="n">
        <v>0</v>
      </c>
      <c r="N803" t="n">
        <v>0</v>
      </c>
      <c r="O803" t="n">
        <v>0</v>
      </c>
      <c r="P803" t="n">
        <v>0</v>
      </c>
      <c r="Q803" t="n">
        <v>0</v>
      </c>
      <c r="R803" s="2" t="inlineStr"/>
    </row>
    <row r="804" ht="15" customHeight="1">
      <c r="A804" t="inlineStr">
        <is>
          <t>A 33176-2021</t>
        </is>
      </c>
      <c r="B804" s="1" t="n">
        <v>44376</v>
      </c>
      <c r="C804" s="1" t="n">
        <v>46046</v>
      </c>
      <c r="D804" t="inlineStr">
        <is>
          <t>NORRBOTTENS LÄN</t>
        </is>
      </c>
      <c r="E804" t="inlineStr">
        <is>
          <t>PAJALA</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17121-2022</t>
        </is>
      </c>
      <c r="B805" s="1" t="n">
        <v>44677</v>
      </c>
      <c r="C805" s="1" t="n">
        <v>46046</v>
      </c>
      <c r="D805" t="inlineStr">
        <is>
          <t>NORRBOTTENS LÄN</t>
        </is>
      </c>
      <c r="E805" t="inlineStr">
        <is>
          <t>BODEN</t>
        </is>
      </c>
      <c r="G805" t="n">
        <v>0.5</v>
      </c>
      <c r="H805" t="n">
        <v>0</v>
      </c>
      <c r="I805" t="n">
        <v>0</v>
      </c>
      <c r="J805" t="n">
        <v>0</v>
      </c>
      <c r="K805" t="n">
        <v>0</v>
      </c>
      <c r="L805" t="n">
        <v>0</v>
      </c>
      <c r="M805" t="n">
        <v>0</v>
      </c>
      <c r="N805" t="n">
        <v>0</v>
      </c>
      <c r="O805" t="n">
        <v>0</v>
      </c>
      <c r="P805" t="n">
        <v>0</v>
      </c>
      <c r="Q805" t="n">
        <v>0</v>
      </c>
      <c r="R805" s="2" t="inlineStr"/>
    </row>
    <row r="806" ht="15" customHeight="1">
      <c r="A806" t="inlineStr">
        <is>
          <t>A 19234-2022</t>
        </is>
      </c>
      <c r="B806" s="1" t="n">
        <v>44691</v>
      </c>
      <c r="C806" s="1" t="n">
        <v>46046</v>
      </c>
      <c r="D806" t="inlineStr">
        <is>
          <t>NORRBOTTENS LÄN</t>
        </is>
      </c>
      <c r="E806" t="inlineStr">
        <is>
          <t>PAJALA</t>
        </is>
      </c>
      <c r="G806" t="n">
        <v>8</v>
      </c>
      <c r="H806" t="n">
        <v>0</v>
      </c>
      <c r="I806" t="n">
        <v>0</v>
      </c>
      <c r="J806" t="n">
        <v>0</v>
      </c>
      <c r="K806" t="n">
        <v>0</v>
      </c>
      <c r="L806" t="n">
        <v>0</v>
      </c>
      <c r="M806" t="n">
        <v>0</v>
      </c>
      <c r="N806" t="n">
        <v>0</v>
      </c>
      <c r="O806" t="n">
        <v>0</v>
      </c>
      <c r="P806" t="n">
        <v>0</v>
      </c>
      <c r="Q806" t="n">
        <v>0</v>
      </c>
      <c r="R806" s="2" t="inlineStr"/>
    </row>
    <row r="807" ht="15" customHeight="1">
      <c r="A807" t="inlineStr">
        <is>
          <t>A 29756-2022</t>
        </is>
      </c>
      <c r="B807" s="1" t="n">
        <v>44755</v>
      </c>
      <c r="C807" s="1" t="n">
        <v>46046</v>
      </c>
      <c r="D807" t="inlineStr">
        <is>
          <t>NORRBOTTENS LÄN</t>
        </is>
      </c>
      <c r="E807" t="inlineStr">
        <is>
          <t>PAJALA</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32682-2021</t>
        </is>
      </c>
      <c r="B808" s="1" t="n">
        <v>44375</v>
      </c>
      <c r="C808" s="1" t="n">
        <v>46046</v>
      </c>
      <c r="D808" t="inlineStr">
        <is>
          <t>NORRBOTTENS LÄN</t>
        </is>
      </c>
      <c r="E808" t="inlineStr">
        <is>
          <t>KIRUNA</t>
        </is>
      </c>
      <c r="G808" t="n">
        <v>9.4</v>
      </c>
      <c r="H808" t="n">
        <v>0</v>
      </c>
      <c r="I808" t="n">
        <v>0</v>
      </c>
      <c r="J808" t="n">
        <v>0</v>
      </c>
      <c r="K808" t="n">
        <v>0</v>
      </c>
      <c r="L808" t="n">
        <v>0</v>
      </c>
      <c r="M808" t="n">
        <v>0</v>
      </c>
      <c r="N808" t="n">
        <v>0</v>
      </c>
      <c r="O808" t="n">
        <v>0</v>
      </c>
      <c r="P808" t="n">
        <v>0</v>
      </c>
      <c r="Q808" t="n">
        <v>0</v>
      </c>
      <c r="R808" s="2" t="inlineStr"/>
    </row>
    <row r="809" ht="15" customHeight="1">
      <c r="A809" t="inlineStr">
        <is>
          <t>A 58759-2021</t>
        </is>
      </c>
      <c r="B809" s="1" t="n">
        <v>44489</v>
      </c>
      <c r="C809" s="1" t="n">
        <v>46046</v>
      </c>
      <c r="D809" t="inlineStr">
        <is>
          <t>NORRBOTTENS LÄN</t>
        </is>
      </c>
      <c r="E809" t="inlineStr">
        <is>
          <t>KALIX</t>
        </is>
      </c>
      <c r="G809" t="n">
        <v>2.7</v>
      </c>
      <c r="H809" t="n">
        <v>0</v>
      </c>
      <c r="I809" t="n">
        <v>0</v>
      </c>
      <c r="J809" t="n">
        <v>0</v>
      </c>
      <c r="K809" t="n">
        <v>0</v>
      </c>
      <c r="L809" t="n">
        <v>0</v>
      </c>
      <c r="M809" t="n">
        <v>0</v>
      </c>
      <c r="N809" t="n">
        <v>0</v>
      </c>
      <c r="O809" t="n">
        <v>0</v>
      </c>
      <c r="P809" t="n">
        <v>0</v>
      </c>
      <c r="Q809" t="n">
        <v>0</v>
      </c>
      <c r="R809" s="2" t="inlineStr"/>
    </row>
    <row r="810" ht="15" customHeight="1">
      <c r="A810" t="inlineStr">
        <is>
          <t>A 3951-2022</t>
        </is>
      </c>
      <c r="B810" s="1" t="n">
        <v>44587</v>
      </c>
      <c r="C810" s="1" t="n">
        <v>46046</v>
      </c>
      <c r="D810" t="inlineStr">
        <is>
          <t>NORRBOTTENS LÄN</t>
        </is>
      </c>
      <c r="E810" t="inlineStr">
        <is>
          <t>LULEÅ</t>
        </is>
      </c>
      <c r="G810" t="n">
        <v>2.7</v>
      </c>
      <c r="H810" t="n">
        <v>0</v>
      </c>
      <c r="I810" t="n">
        <v>0</v>
      </c>
      <c r="J810" t="n">
        <v>0</v>
      </c>
      <c r="K810" t="n">
        <v>0</v>
      </c>
      <c r="L810" t="n">
        <v>0</v>
      </c>
      <c r="M810" t="n">
        <v>0</v>
      </c>
      <c r="N810" t="n">
        <v>0</v>
      </c>
      <c r="O810" t="n">
        <v>0</v>
      </c>
      <c r="P810" t="n">
        <v>0</v>
      </c>
      <c r="Q810" t="n">
        <v>0</v>
      </c>
      <c r="R810" s="2" t="inlineStr"/>
    </row>
    <row r="811" ht="15" customHeight="1">
      <c r="A811" t="inlineStr">
        <is>
          <t>A 38039-2021</t>
        </is>
      </c>
      <c r="B811" s="1" t="n">
        <v>44404</v>
      </c>
      <c r="C811" s="1" t="n">
        <v>46046</v>
      </c>
      <c r="D811" t="inlineStr">
        <is>
          <t>NORRBOTTENS LÄN</t>
        </is>
      </c>
      <c r="E811" t="inlineStr">
        <is>
          <t>JOKKMOKK</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73348-2021</t>
        </is>
      </c>
      <c r="B812" s="1" t="n">
        <v>44550</v>
      </c>
      <c r="C812" s="1" t="n">
        <v>46046</v>
      </c>
      <c r="D812" t="inlineStr">
        <is>
          <t>NORRBOTTENS LÄN</t>
        </is>
      </c>
      <c r="E812" t="inlineStr">
        <is>
          <t>ÖVERKALIX</t>
        </is>
      </c>
      <c r="G812" t="n">
        <v>5.4</v>
      </c>
      <c r="H812" t="n">
        <v>0</v>
      </c>
      <c r="I812" t="n">
        <v>0</v>
      </c>
      <c r="J812" t="n">
        <v>0</v>
      </c>
      <c r="K812" t="n">
        <v>0</v>
      </c>
      <c r="L812" t="n">
        <v>0</v>
      </c>
      <c r="M812" t="n">
        <v>0</v>
      </c>
      <c r="N812" t="n">
        <v>0</v>
      </c>
      <c r="O812" t="n">
        <v>0</v>
      </c>
      <c r="P812" t="n">
        <v>0</v>
      </c>
      <c r="Q812" t="n">
        <v>0</v>
      </c>
      <c r="R812" s="2" t="inlineStr"/>
    </row>
    <row r="813" ht="15" customHeight="1">
      <c r="A813" t="inlineStr">
        <is>
          <t>A 19217-2022</t>
        </is>
      </c>
      <c r="B813" s="1" t="n">
        <v>44691</v>
      </c>
      <c r="C813" s="1" t="n">
        <v>46046</v>
      </c>
      <c r="D813" t="inlineStr">
        <is>
          <t>NORRBOTTENS LÄN</t>
        </is>
      </c>
      <c r="E813" t="inlineStr">
        <is>
          <t>PAJALA</t>
        </is>
      </c>
      <c r="G813" t="n">
        <v>2.6</v>
      </c>
      <c r="H813" t="n">
        <v>0</v>
      </c>
      <c r="I813" t="n">
        <v>0</v>
      </c>
      <c r="J813" t="n">
        <v>0</v>
      </c>
      <c r="K813" t="n">
        <v>0</v>
      </c>
      <c r="L813" t="n">
        <v>0</v>
      </c>
      <c r="M813" t="n">
        <v>0</v>
      </c>
      <c r="N813" t="n">
        <v>0</v>
      </c>
      <c r="O813" t="n">
        <v>0</v>
      </c>
      <c r="P813" t="n">
        <v>0</v>
      </c>
      <c r="Q813" t="n">
        <v>0</v>
      </c>
      <c r="R813" s="2" t="inlineStr"/>
    </row>
    <row r="814" ht="15" customHeight="1">
      <c r="A814" t="inlineStr">
        <is>
          <t>A 3389-2022</t>
        </is>
      </c>
      <c r="B814" s="1" t="n">
        <v>44585</v>
      </c>
      <c r="C814" s="1" t="n">
        <v>46046</v>
      </c>
      <c r="D814" t="inlineStr">
        <is>
          <t>NORRBOTTENS LÄN</t>
        </is>
      </c>
      <c r="E814" t="inlineStr">
        <is>
          <t>ÖVERTORNEÅ</t>
        </is>
      </c>
      <c r="G814" t="n">
        <v>3.1</v>
      </c>
      <c r="H814" t="n">
        <v>0</v>
      </c>
      <c r="I814" t="n">
        <v>0</v>
      </c>
      <c r="J814" t="n">
        <v>0</v>
      </c>
      <c r="K814" t="n">
        <v>0</v>
      </c>
      <c r="L814" t="n">
        <v>0</v>
      </c>
      <c r="M814" t="n">
        <v>0</v>
      </c>
      <c r="N814" t="n">
        <v>0</v>
      </c>
      <c r="O814" t="n">
        <v>0</v>
      </c>
      <c r="P814" t="n">
        <v>0</v>
      </c>
      <c r="Q814" t="n">
        <v>0</v>
      </c>
      <c r="R814" s="2" t="inlineStr"/>
    </row>
    <row r="815" ht="15" customHeight="1">
      <c r="A815" t="inlineStr">
        <is>
          <t>A 69749-2021</t>
        </is>
      </c>
      <c r="B815" s="1" t="n">
        <v>44532</v>
      </c>
      <c r="C815" s="1" t="n">
        <v>46046</v>
      </c>
      <c r="D815" t="inlineStr">
        <is>
          <t>NORRBOTTENS LÄN</t>
        </is>
      </c>
      <c r="E815" t="inlineStr">
        <is>
          <t>PAJALA</t>
        </is>
      </c>
      <c r="F815" t="inlineStr">
        <is>
          <t>Allmännings- och besparingsskogar</t>
        </is>
      </c>
      <c r="G815" t="n">
        <v>5</v>
      </c>
      <c r="H815" t="n">
        <v>0</v>
      </c>
      <c r="I815" t="n">
        <v>0</v>
      </c>
      <c r="J815" t="n">
        <v>0</v>
      </c>
      <c r="K815" t="n">
        <v>0</v>
      </c>
      <c r="L815" t="n">
        <v>0</v>
      </c>
      <c r="M815" t="n">
        <v>0</v>
      </c>
      <c r="N815" t="n">
        <v>0</v>
      </c>
      <c r="O815" t="n">
        <v>0</v>
      </c>
      <c r="P815" t="n">
        <v>0</v>
      </c>
      <c r="Q815" t="n">
        <v>0</v>
      </c>
      <c r="R815" s="2" t="inlineStr"/>
    </row>
    <row r="816" ht="15" customHeight="1">
      <c r="A816" t="inlineStr">
        <is>
          <t>A 44830-2021</t>
        </is>
      </c>
      <c r="B816" s="1" t="n">
        <v>44438</v>
      </c>
      <c r="C816" s="1" t="n">
        <v>46046</v>
      </c>
      <c r="D816" t="inlineStr">
        <is>
          <t>NORRBOTTENS LÄN</t>
        </is>
      </c>
      <c r="E816" t="inlineStr">
        <is>
          <t>ÖVERKALIX</t>
        </is>
      </c>
      <c r="G816" t="n">
        <v>1.8</v>
      </c>
      <c r="H816" t="n">
        <v>0</v>
      </c>
      <c r="I816" t="n">
        <v>0</v>
      </c>
      <c r="J816" t="n">
        <v>0</v>
      </c>
      <c r="K816" t="n">
        <v>0</v>
      </c>
      <c r="L816" t="n">
        <v>0</v>
      </c>
      <c r="M816" t="n">
        <v>0</v>
      </c>
      <c r="N816" t="n">
        <v>0</v>
      </c>
      <c r="O816" t="n">
        <v>0</v>
      </c>
      <c r="P816" t="n">
        <v>0</v>
      </c>
      <c r="Q816" t="n">
        <v>0</v>
      </c>
      <c r="R816" s="2" t="inlineStr"/>
    </row>
    <row r="817" ht="15" customHeight="1">
      <c r="A817" t="inlineStr">
        <is>
          <t>A 22988-2022</t>
        </is>
      </c>
      <c r="B817" s="1" t="n">
        <v>44718</v>
      </c>
      <c r="C817" s="1" t="n">
        <v>46046</v>
      </c>
      <c r="D817" t="inlineStr">
        <is>
          <t>NORRBOTTENS LÄN</t>
        </is>
      </c>
      <c r="E817" t="inlineStr">
        <is>
          <t>ÖVERKALIX</t>
        </is>
      </c>
      <c r="G817" t="n">
        <v>13.2</v>
      </c>
      <c r="H817" t="n">
        <v>0</v>
      </c>
      <c r="I817" t="n">
        <v>0</v>
      </c>
      <c r="J817" t="n">
        <v>0</v>
      </c>
      <c r="K817" t="n">
        <v>0</v>
      </c>
      <c r="L817" t="n">
        <v>0</v>
      </c>
      <c r="M817" t="n">
        <v>0</v>
      </c>
      <c r="N817" t="n">
        <v>0</v>
      </c>
      <c r="O817" t="n">
        <v>0</v>
      </c>
      <c r="P817" t="n">
        <v>0</v>
      </c>
      <c r="Q817" t="n">
        <v>0</v>
      </c>
      <c r="R817" s="2" t="inlineStr"/>
    </row>
    <row r="818" ht="15" customHeight="1">
      <c r="A818" t="inlineStr">
        <is>
          <t>A 38371-2022</t>
        </is>
      </c>
      <c r="B818" s="1" t="n">
        <v>44812</v>
      </c>
      <c r="C818" s="1" t="n">
        <v>46046</v>
      </c>
      <c r="D818" t="inlineStr">
        <is>
          <t>NORRBOTTENS LÄN</t>
        </is>
      </c>
      <c r="E818" t="inlineStr">
        <is>
          <t>KALIX</t>
        </is>
      </c>
      <c r="G818" t="n">
        <v>4.2</v>
      </c>
      <c r="H818" t="n">
        <v>0</v>
      </c>
      <c r="I818" t="n">
        <v>0</v>
      </c>
      <c r="J818" t="n">
        <v>0</v>
      </c>
      <c r="K818" t="n">
        <v>0</v>
      </c>
      <c r="L818" t="n">
        <v>0</v>
      </c>
      <c r="M818" t="n">
        <v>0</v>
      </c>
      <c r="N818" t="n">
        <v>0</v>
      </c>
      <c r="O818" t="n">
        <v>0</v>
      </c>
      <c r="P818" t="n">
        <v>0</v>
      </c>
      <c r="Q818" t="n">
        <v>0</v>
      </c>
      <c r="R818" s="2" t="inlineStr"/>
    </row>
    <row r="819" ht="15" customHeight="1">
      <c r="A819" t="inlineStr">
        <is>
          <t>A 66844-2021</t>
        </is>
      </c>
      <c r="B819" s="1" t="n">
        <v>44520</v>
      </c>
      <c r="C819" s="1" t="n">
        <v>46046</v>
      </c>
      <c r="D819" t="inlineStr">
        <is>
          <t>NORRBOTTENS LÄN</t>
        </is>
      </c>
      <c r="E819" t="inlineStr">
        <is>
          <t>ARJEPLOG</t>
        </is>
      </c>
      <c r="G819" t="n">
        <v>44.8</v>
      </c>
      <c r="H819" t="n">
        <v>0</v>
      </c>
      <c r="I819" t="n">
        <v>0</v>
      </c>
      <c r="J819" t="n">
        <v>0</v>
      </c>
      <c r="K819" t="n">
        <v>0</v>
      </c>
      <c r="L819" t="n">
        <v>0</v>
      </c>
      <c r="M819" t="n">
        <v>0</v>
      </c>
      <c r="N819" t="n">
        <v>0</v>
      </c>
      <c r="O819" t="n">
        <v>0</v>
      </c>
      <c r="P819" t="n">
        <v>0</v>
      </c>
      <c r="Q819" t="n">
        <v>0</v>
      </c>
      <c r="R819" s="2" t="inlineStr"/>
    </row>
    <row r="820" ht="15" customHeight="1">
      <c r="A820" t="inlineStr">
        <is>
          <t>A 47546-2022</t>
        </is>
      </c>
      <c r="B820" s="1" t="n">
        <v>44853.92756944444</v>
      </c>
      <c r="C820" s="1" t="n">
        <v>46046</v>
      </c>
      <c r="D820" t="inlineStr">
        <is>
          <t>NORRBOTTENS LÄN</t>
        </is>
      </c>
      <c r="E820" t="inlineStr">
        <is>
          <t>KALIX</t>
        </is>
      </c>
      <c r="G820" t="n">
        <v>0.5</v>
      </c>
      <c r="H820" t="n">
        <v>0</v>
      </c>
      <c r="I820" t="n">
        <v>0</v>
      </c>
      <c r="J820" t="n">
        <v>0</v>
      </c>
      <c r="K820" t="n">
        <v>0</v>
      </c>
      <c r="L820" t="n">
        <v>0</v>
      </c>
      <c r="M820" t="n">
        <v>0</v>
      </c>
      <c r="N820" t="n">
        <v>0</v>
      </c>
      <c r="O820" t="n">
        <v>0</v>
      </c>
      <c r="P820" t="n">
        <v>0</v>
      </c>
      <c r="Q820" t="n">
        <v>0</v>
      </c>
      <c r="R820" s="2" t="inlineStr"/>
    </row>
    <row r="821" ht="15" customHeight="1">
      <c r="A821" t="inlineStr">
        <is>
          <t>A 45018-2021</t>
        </is>
      </c>
      <c r="B821" s="1" t="n">
        <v>44438</v>
      </c>
      <c r="C821" s="1" t="n">
        <v>46046</v>
      </c>
      <c r="D821" t="inlineStr">
        <is>
          <t>NORRBOTTENS LÄN</t>
        </is>
      </c>
      <c r="E821" t="inlineStr">
        <is>
          <t>PAJALA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49284-2022</t>
        </is>
      </c>
      <c r="B822" s="1" t="n">
        <v>44861.45222222222</v>
      </c>
      <c r="C822" s="1" t="n">
        <v>46046</v>
      </c>
      <c r="D822" t="inlineStr">
        <is>
          <t>NORRBOTTENS LÄN</t>
        </is>
      </c>
      <c r="E822" t="inlineStr">
        <is>
          <t>HAPARANDA</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40248-2022</t>
        </is>
      </c>
      <c r="B823" s="1" t="n">
        <v>44820</v>
      </c>
      <c r="C823" s="1" t="n">
        <v>46046</v>
      </c>
      <c r="D823" t="inlineStr">
        <is>
          <t>NORRBOTTENS LÄN</t>
        </is>
      </c>
      <c r="E823" t="inlineStr">
        <is>
          <t>JOKKMOKK</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17000-2022</t>
        </is>
      </c>
      <c r="B824" s="1" t="n">
        <v>44676</v>
      </c>
      <c r="C824" s="1" t="n">
        <v>46046</v>
      </c>
      <c r="D824" t="inlineStr">
        <is>
          <t>NORRBOTTENS LÄN</t>
        </is>
      </c>
      <c r="E824" t="inlineStr">
        <is>
          <t>JOKKMOKK</t>
        </is>
      </c>
      <c r="G824" t="n">
        <v>36.6</v>
      </c>
      <c r="H824" t="n">
        <v>0</v>
      </c>
      <c r="I824" t="n">
        <v>0</v>
      </c>
      <c r="J824" t="n">
        <v>0</v>
      </c>
      <c r="K824" t="n">
        <v>0</v>
      </c>
      <c r="L824" t="n">
        <v>0</v>
      </c>
      <c r="M824" t="n">
        <v>0</v>
      </c>
      <c r="N824" t="n">
        <v>0</v>
      </c>
      <c r="O824" t="n">
        <v>0</v>
      </c>
      <c r="P824" t="n">
        <v>0</v>
      </c>
      <c r="Q824" t="n">
        <v>0</v>
      </c>
      <c r="R824" s="2" t="inlineStr"/>
    </row>
    <row r="825" ht="15" customHeight="1">
      <c r="A825" t="inlineStr">
        <is>
          <t>A 28542-2022</t>
        </is>
      </c>
      <c r="B825" s="1" t="n">
        <v>44748</v>
      </c>
      <c r="C825" s="1" t="n">
        <v>46046</v>
      </c>
      <c r="D825" t="inlineStr">
        <is>
          <t>NORRBOTTENS LÄN</t>
        </is>
      </c>
      <c r="E825" t="inlineStr">
        <is>
          <t>HAPARANDA</t>
        </is>
      </c>
      <c r="G825" t="n">
        <v>6</v>
      </c>
      <c r="H825" t="n">
        <v>0</v>
      </c>
      <c r="I825" t="n">
        <v>0</v>
      </c>
      <c r="J825" t="n">
        <v>0</v>
      </c>
      <c r="K825" t="n">
        <v>0</v>
      </c>
      <c r="L825" t="n">
        <v>0</v>
      </c>
      <c r="M825" t="n">
        <v>0</v>
      </c>
      <c r="N825" t="n">
        <v>0</v>
      </c>
      <c r="O825" t="n">
        <v>0</v>
      </c>
      <c r="P825" t="n">
        <v>0</v>
      </c>
      <c r="Q825" t="n">
        <v>0</v>
      </c>
      <c r="R825" s="2" t="inlineStr"/>
    </row>
    <row r="826" ht="15" customHeight="1">
      <c r="A826" t="inlineStr">
        <is>
          <t>A 63790-2021</t>
        </is>
      </c>
      <c r="B826" s="1" t="n">
        <v>44509</v>
      </c>
      <c r="C826" s="1" t="n">
        <v>46046</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3174-2022</t>
        </is>
      </c>
      <c r="B827" s="1" t="n">
        <v>44582</v>
      </c>
      <c r="C827" s="1" t="n">
        <v>46046</v>
      </c>
      <c r="D827" t="inlineStr">
        <is>
          <t>NORRBOTTENS LÄN</t>
        </is>
      </c>
      <c r="E827" t="inlineStr">
        <is>
          <t>ÖVERKALIX</t>
        </is>
      </c>
      <c r="G827" t="n">
        <v>0.5</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46046</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46046</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4822-2021</t>
        </is>
      </c>
      <c r="B830" s="1" t="n">
        <v>44223</v>
      </c>
      <c r="C830" s="1" t="n">
        <v>46046</v>
      </c>
      <c r="D830" t="inlineStr">
        <is>
          <t>NORRBOTTENS LÄN</t>
        </is>
      </c>
      <c r="E830" t="inlineStr">
        <is>
          <t>PAJALA</t>
        </is>
      </c>
      <c r="G830" t="n">
        <v>0.7</v>
      </c>
      <c r="H830" t="n">
        <v>0</v>
      </c>
      <c r="I830" t="n">
        <v>0</v>
      </c>
      <c r="J830" t="n">
        <v>0</v>
      </c>
      <c r="K830" t="n">
        <v>0</v>
      </c>
      <c r="L830" t="n">
        <v>0</v>
      </c>
      <c r="M830" t="n">
        <v>0</v>
      </c>
      <c r="N830" t="n">
        <v>0</v>
      </c>
      <c r="O830" t="n">
        <v>0</v>
      </c>
      <c r="P830" t="n">
        <v>0</v>
      </c>
      <c r="Q830" t="n">
        <v>0</v>
      </c>
      <c r="R830" s="2" t="inlineStr"/>
    </row>
    <row r="831" ht="15" customHeight="1">
      <c r="A831" t="inlineStr">
        <is>
          <t>A 35845-2021</t>
        </is>
      </c>
      <c r="B831" s="1" t="n">
        <v>44386.91877314815</v>
      </c>
      <c r="C831" s="1" t="n">
        <v>46046</v>
      </c>
      <c r="D831" t="inlineStr">
        <is>
          <t>NORRBOTTENS LÄN</t>
        </is>
      </c>
      <c r="E831" t="inlineStr">
        <is>
          <t>ÖVERKALIX</t>
        </is>
      </c>
      <c r="G831" t="n">
        <v>3</v>
      </c>
      <c r="H831" t="n">
        <v>0</v>
      </c>
      <c r="I831" t="n">
        <v>0</v>
      </c>
      <c r="J831" t="n">
        <v>0</v>
      </c>
      <c r="K831" t="n">
        <v>0</v>
      </c>
      <c r="L831" t="n">
        <v>0</v>
      </c>
      <c r="M831" t="n">
        <v>0</v>
      </c>
      <c r="N831" t="n">
        <v>0</v>
      </c>
      <c r="O831" t="n">
        <v>0</v>
      </c>
      <c r="P831" t="n">
        <v>0</v>
      </c>
      <c r="Q831" t="n">
        <v>0</v>
      </c>
      <c r="R831" s="2" t="inlineStr"/>
    </row>
    <row r="832" ht="15" customHeight="1">
      <c r="A832" t="inlineStr">
        <is>
          <t>A 52003-2021</t>
        </is>
      </c>
      <c r="B832" s="1" t="n">
        <v>44463</v>
      </c>
      <c r="C832" s="1" t="n">
        <v>46046</v>
      </c>
      <c r="D832" t="inlineStr">
        <is>
          <t>NORRBOTTENS LÄN</t>
        </is>
      </c>
      <c r="E832" t="inlineStr">
        <is>
          <t>PITEÅ</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36231-2021</t>
        </is>
      </c>
      <c r="B833" s="1" t="n">
        <v>44389</v>
      </c>
      <c r="C833" s="1" t="n">
        <v>46046</v>
      </c>
      <c r="D833" t="inlineStr">
        <is>
          <t>NORRBOTTENS LÄN</t>
        </is>
      </c>
      <c r="E833" t="inlineStr">
        <is>
          <t>PAJALA</t>
        </is>
      </c>
      <c r="G833" t="n">
        <v>1</v>
      </c>
      <c r="H833" t="n">
        <v>0</v>
      </c>
      <c r="I833" t="n">
        <v>0</v>
      </c>
      <c r="J833" t="n">
        <v>0</v>
      </c>
      <c r="K833" t="n">
        <v>0</v>
      </c>
      <c r="L833" t="n">
        <v>0</v>
      </c>
      <c r="M833" t="n">
        <v>0</v>
      </c>
      <c r="N833" t="n">
        <v>0</v>
      </c>
      <c r="O833" t="n">
        <v>0</v>
      </c>
      <c r="P833" t="n">
        <v>0</v>
      </c>
      <c r="Q833" t="n">
        <v>0</v>
      </c>
      <c r="R833" s="2" t="inlineStr"/>
    </row>
    <row r="834" ht="15" customHeight="1">
      <c r="A834" t="inlineStr">
        <is>
          <t>A 54525-2021</t>
        </is>
      </c>
      <c r="B834" s="1" t="n">
        <v>44473</v>
      </c>
      <c r="C834" s="1" t="n">
        <v>46046</v>
      </c>
      <c r="D834" t="inlineStr">
        <is>
          <t>NORRBOTTENS LÄN</t>
        </is>
      </c>
      <c r="E834" t="inlineStr">
        <is>
          <t>PAJALA</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55723-2021</t>
        </is>
      </c>
      <c r="B835" s="1" t="n">
        <v>44476</v>
      </c>
      <c r="C835" s="1" t="n">
        <v>46046</v>
      </c>
      <c r="D835" t="inlineStr">
        <is>
          <t>NORRBOTTENS LÄN</t>
        </is>
      </c>
      <c r="E835" t="inlineStr">
        <is>
          <t>PAJALA</t>
        </is>
      </c>
      <c r="G835" t="n">
        <v>3.4</v>
      </c>
      <c r="H835" t="n">
        <v>0</v>
      </c>
      <c r="I835" t="n">
        <v>0</v>
      </c>
      <c r="J835" t="n">
        <v>0</v>
      </c>
      <c r="K835" t="n">
        <v>0</v>
      </c>
      <c r="L835" t="n">
        <v>0</v>
      </c>
      <c r="M835" t="n">
        <v>0</v>
      </c>
      <c r="N835" t="n">
        <v>0</v>
      </c>
      <c r="O835" t="n">
        <v>0</v>
      </c>
      <c r="P835" t="n">
        <v>0</v>
      </c>
      <c r="Q835" t="n">
        <v>0</v>
      </c>
      <c r="R835" s="2" t="inlineStr"/>
    </row>
    <row r="836" ht="15" customHeight="1">
      <c r="A836" t="inlineStr">
        <is>
          <t>A 59568-2021</t>
        </is>
      </c>
      <c r="B836" s="1" t="n">
        <v>44491.61055555556</v>
      </c>
      <c r="C836" s="1" t="n">
        <v>46046</v>
      </c>
      <c r="D836" t="inlineStr">
        <is>
          <t>NORRBOTTENS LÄN</t>
        </is>
      </c>
      <c r="E836" t="inlineStr">
        <is>
          <t>LULEÅ</t>
        </is>
      </c>
      <c r="G836" t="n">
        <v>0.2</v>
      </c>
      <c r="H836" t="n">
        <v>0</v>
      </c>
      <c r="I836" t="n">
        <v>0</v>
      </c>
      <c r="J836" t="n">
        <v>0</v>
      </c>
      <c r="K836" t="n">
        <v>0</v>
      </c>
      <c r="L836" t="n">
        <v>0</v>
      </c>
      <c r="M836" t="n">
        <v>0</v>
      </c>
      <c r="N836" t="n">
        <v>0</v>
      </c>
      <c r="O836" t="n">
        <v>0</v>
      </c>
      <c r="P836" t="n">
        <v>0</v>
      </c>
      <c r="Q836" t="n">
        <v>0</v>
      </c>
      <c r="R836" s="2" t="inlineStr"/>
    </row>
    <row r="837" ht="15" customHeight="1">
      <c r="A837" t="inlineStr">
        <is>
          <t>A 8224-2021</t>
        </is>
      </c>
      <c r="B837" s="1" t="n">
        <v>44244</v>
      </c>
      <c r="C837" s="1" t="n">
        <v>46046</v>
      </c>
      <c r="D837" t="inlineStr">
        <is>
          <t>NORRBOTTENS LÄN</t>
        </is>
      </c>
      <c r="E837" t="inlineStr">
        <is>
          <t>ÖVERKALIX</t>
        </is>
      </c>
      <c r="G837" t="n">
        <v>1.2</v>
      </c>
      <c r="H837" t="n">
        <v>0</v>
      </c>
      <c r="I837" t="n">
        <v>0</v>
      </c>
      <c r="J837" t="n">
        <v>0</v>
      </c>
      <c r="K837" t="n">
        <v>0</v>
      </c>
      <c r="L837" t="n">
        <v>0</v>
      </c>
      <c r="M837" t="n">
        <v>0</v>
      </c>
      <c r="N837" t="n">
        <v>0</v>
      </c>
      <c r="O837" t="n">
        <v>0</v>
      </c>
      <c r="P837" t="n">
        <v>0</v>
      </c>
      <c r="Q837" t="n">
        <v>0</v>
      </c>
      <c r="R837" s="2" t="inlineStr"/>
    </row>
    <row r="838" ht="15" customHeight="1">
      <c r="A838" t="inlineStr">
        <is>
          <t>A 15157-2021</t>
        </is>
      </c>
      <c r="B838" s="1" t="n">
        <v>44284</v>
      </c>
      <c r="C838" s="1" t="n">
        <v>46046</v>
      </c>
      <c r="D838" t="inlineStr">
        <is>
          <t>NORRBOTTENS LÄN</t>
        </is>
      </c>
      <c r="E838" t="inlineStr">
        <is>
          <t>HAPARANDA</t>
        </is>
      </c>
      <c r="G838" t="n">
        <v>1</v>
      </c>
      <c r="H838" t="n">
        <v>0</v>
      </c>
      <c r="I838" t="n">
        <v>0</v>
      </c>
      <c r="J838" t="n">
        <v>0</v>
      </c>
      <c r="K838" t="n">
        <v>0</v>
      </c>
      <c r="L838" t="n">
        <v>0</v>
      </c>
      <c r="M838" t="n">
        <v>0</v>
      </c>
      <c r="N838" t="n">
        <v>0</v>
      </c>
      <c r="O838" t="n">
        <v>0</v>
      </c>
      <c r="P838" t="n">
        <v>0</v>
      </c>
      <c r="Q838" t="n">
        <v>0</v>
      </c>
      <c r="R838" s="2" t="inlineStr"/>
    </row>
    <row r="839" ht="15" customHeight="1">
      <c r="A839" t="inlineStr">
        <is>
          <t>A 70706-2021</t>
        </is>
      </c>
      <c r="B839" s="1" t="n">
        <v>44536</v>
      </c>
      <c r="C839" s="1" t="n">
        <v>46046</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73757-2021</t>
        </is>
      </c>
      <c r="B840" s="1" t="n">
        <v>44551</v>
      </c>
      <c r="C840" s="1" t="n">
        <v>46046</v>
      </c>
      <c r="D840" t="inlineStr">
        <is>
          <t>NORRBOTTENS LÄN</t>
        </is>
      </c>
      <c r="E840" t="inlineStr">
        <is>
          <t>ÖVERKALIX</t>
        </is>
      </c>
      <c r="G840" t="n">
        <v>3.3</v>
      </c>
      <c r="H840" t="n">
        <v>0</v>
      </c>
      <c r="I840" t="n">
        <v>0</v>
      </c>
      <c r="J840" t="n">
        <v>0</v>
      </c>
      <c r="K840" t="n">
        <v>0</v>
      </c>
      <c r="L840" t="n">
        <v>0</v>
      </c>
      <c r="M840" t="n">
        <v>0</v>
      </c>
      <c r="N840" t="n">
        <v>0</v>
      </c>
      <c r="O840" t="n">
        <v>0</v>
      </c>
      <c r="P840" t="n">
        <v>0</v>
      </c>
      <c r="Q840" t="n">
        <v>0</v>
      </c>
      <c r="R840" s="2" t="inlineStr"/>
    </row>
    <row r="841" ht="15" customHeight="1">
      <c r="A841" t="inlineStr">
        <is>
          <t>A 13091-2021</t>
        </is>
      </c>
      <c r="B841" s="1" t="n">
        <v>44271</v>
      </c>
      <c r="C841" s="1" t="n">
        <v>46046</v>
      </c>
      <c r="D841" t="inlineStr">
        <is>
          <t>NORRBOTTENS LÄN</t>
        </is>
      </c>
      <c r="E841" t="inlineStr">
        <is>
          <t>HAPARANDA</t>
        </is>
      </c>
      <c r="G841" t="n">
        <v>5.3</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46046</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70093-2021</t>
        </is>
      </c>
      <c r="B843" s="1" t="n">
        <v>44531</v>
      </c>
      <c r="C843" s="1" t="n">
        <v>46046</v>
      </c>
      <c r="D843" t="inlineStr">
        <is>
          <t>NORRBOTTENS LÄN</t>
        </is>
      </c>
      <c r="E843" t="inlineStr">
        <is>
          <t>PITEÅ</t>
        </is>
      </c>
      <c r="G843" t="n">
        <v>0.7</v>
      </c>
      <c r="H843" t="n">
        <v>0</v>
      </c>
      <c r="I843" t="n">
        <v>0</v>
      </c>
      <c r="J843" t="n">
        <v>0</v>
      </c>
      <c r="K843" t="n">
        <v>0</v>
      </c>
      <c r="L843" t="n">
        <v>0</v>
      </c>
      <c r="M843" t="n">
        <v>0</v>
      </c>
      <c r="N843" t="n">
        <v>0</v>
      </c>
      <c r="O843" t="n">
        <v>0</v>
      </c>
      <c r="P843" t="n">
        <v>0</v>
      </c>
      <c r="Q843" t="n">
        <v>0</v>
      </c>
      <c r="R843" s="2" t="inlineStr"/>
    </row>
    <row r="844" ht="15" customHeight="1">
      <c r="A844" t="inlineStr">
        <is>
          <t>A 15491-2021</t>
        </is>
      </c>
      <c r="B844" s="1" t="n">
        <v>44274</v>
      </c>
      <c r="C844" s="1" t="n">
        <v>46046</v>
      </c>
      <c r="D844" t="inlineStr">
        <is>
          <t>NORRBOTTENS LÄN</t>
        </is>
      </c>
      <c r="E844" t="inlineStr">
        <is>
          <t>BODEN</t>
        </is>
      </c>
      <c r="G844" t="n">
        <v>1</v>
      </c>
      <c r="H844" t="n">
        <v>0</v>
      </c>
      <c r="I844" t="n">
        <v>0</v>
      </c>
      <c r="J844" t="n">
        <v>0</v>
      </c>
      <c r="K844" t="n">
        <v>0</v>
      </c>
      <c r="L844" t="n">
        <v>0</v>
      </c>
      <c r="M844" t="n">
        <v>0</v>
      </c>
      <c r="N844" t="n">
        <v>0</v>
      </c>
      <c r="O844" t="n">
        <v>0</v>
      </c>
      <c r="P844" t="n">
        <v>0</v>
      </c>
      <c r="Q844" t="n">
        <v>0</v>
      </c>
      <c r="R844" s="2" t="inlineStr"/>
    </row>
    <row r="845" ht="15" customHeight="1">
      <c r="A845" t="inlineStr">
        <is>
          <t>A 17351-2021</t>
        </is>
      </c>
      <c r="B845" s="1" t="n">
        <v>44298</v>
      </c>
      <c r="C845" s="1" t="n">
        <v>46046</v>
      </c>
      <c r="D845" t="inlineStr">
        <is>
          <t>NORRBOTTENS LÄN</t>
        </is>
      </c>
      <c r="E845" t="inlineStr">
        <is>
          <t>KALIX</t>
        </is>
      </c>
      <c r="G845" t="n">
        <v>2.6</v>
      </c>
      <c r="H845" t="n">
        <v>0</v>
      </c>
      <c r="I845" t="n">
        <v>0</v>
      </c>
      <c r="J845" t="n">
        <v>0</v>
      </c>
      <c r="K845" t="n">
        <v>0</v>
      </c>
      <c r="L845" t="n">
        <v>0</v>
      </c>
      <c r="M845" t="n">
        <v>0</v>
      </c>
      <c r="N845" t="n">
        <v>0</v>
      </c>
      <c r="O845" t="n">
        <v>0</v>
      </c>
      <c r="P845" t="n">
        <v>0</v>
      </c>
      <c r="Q845" t="n">
        <v>0</v>
      </c>
      <c r="R845" s="2" t="inlineStr"/>
    </row>
    <row r="846" ht="15" customHeight="1">
      <c r="A846" t="inlineStr">
        <is>
          <t>A 48103-2021</t>
        </is>
      </c>
      <c r="B846" s="1" t="n">
        <v>44449.44953703704</v>
      </c>
      <c r="C846" s="1" t="n">
        <v>46046</v>
      </c>
      <c r="D846" t="inlineStr">
        <is>
          <t>NORRBOTTENS LÄN</t>
        </is>
      </c>
      <c r="E846" t="inlineStr">
        <is>
          <t>ÄLVSBYN</t>
        </is>
      </c>
      <c r="G846" t="n">
        <v>1.5</v>
      </c>
      <c r="H846" t="n">
        <v>0</v>
      </c>
      <c r="I846" t="n">
        <v>0</v>
      </c>
      <c r="J846" t="n">
        <v>0</v>
      </c>
      <c r="K846" t="n">
        <v>0</v>
      </c>
      <c r="L846" t="n">
        <v>0</v>
      </c>
      <c r="M846" t="n">
        <v>0</v>
      </c>
      <c r="N846" t="n">
        <v>0</v>
      </c>
      <c r="O846" t="n">
        <v>0</v>
      </c>
      <c r="P846" t="n">
        <v>0</v>
      </c>
      <c r="Q846" t="n">
        <v>0</v>
      </c>
      <c r="R846" s="2" t="inlineStr"/>
    </row>
    <row r="847" ht="15" customHeight="1">
      <c r="A847" t="inlineStr">
        <is>
          <t>A 23073-2021</t>
        </is>
      </c>
      <c r="B847" s="1" t="n">
        <v>44330.35358796296</v>
      </c>
      <c r="C847" s="1" t="n">
        <v>46046</v>
      </c>
      <c r="D847" t="inlineStr">
        <is>
          <t>NORRBOTTENS LÄN</t>
        </is>
      </c>
      <c r="E847" t="inlineStr">
        <is>
          <t>ÖVERKALIX</t>
        </is>
      </c>
      <c r="G847" t="n">
        <v>16</v>
      </c>
      <c r="H847" t="n">
        <v>0</v>
      </c>
      <c r="I847" t="n">
        <v>0</v>
      </c>
      <c r="J847" t="n">
        <v>0</v>
      </c>
      <c r="K847" t="n">
        <v>0</v>
      </c>
      <c r="L847" t="n">
        <v>0</v>
      </c>
      <c r="M847" t="n">
        <v>0</v>
      </c>
      <c r="N847" t="n">
        <v>0</v>
      </c>
      <c r="O847" t="n">
        <v>0</v>
      </c>
      <c r="P847" t="n">
        <v>0</v>
      </c>
      <c r="Q847" t="n">
        <v>0</v>
      </c>
      <c r="R847" s="2" t="inlineStr"/>
    </row>
    <row r="848" ht="15" customHeight="1">
      <c r="A848" t="inlineStr">
        <is>
          <t>A 62856-2021</t>
        </is>
      </c>
      <c r="B848" s="1" t="n">
        <v>44504.58203703703</v>
      </c>
      <c r="C848" s="1" t="n">
        <v>46046</v>
      </c>
      <c r="D848" t="inlineStr">
        <is>
          <t>NORRBOTTENS LÄN</t>
        </is>
      </c>
      <c r="E848" t="inlineStr">
        <is>
          <t>ÖVERTORNEÅ</t>
        </is>
      </c>
      <c r="G848" t="n">
        <v>1.8</v>
      </c>
      <c r="H848" t="n">
        <v>0</v>
      </c>
      <c r="I848" t="n">
        <v>0</v>
      </c>
      <c r="J848" t="n">
        <v>0</v>
      </c>
      <c r="K848" t="n">
        <v>0</v>
      </c>
      <c r="L848" t="n">
        <v>0</v>
      </c>
      <c r="M848" t="n">
        <v>0</v>
      </c>
      <c r="N848" t="n">
        <v>0</v>
      </c>
      <c r="O848" t="n">
        <v>0</v>
      </c>
      <c r="P848" t="n">
        <v>0</v>
      </c>
      <c r="Q848" t="n">
        <v>0</v>
      </c>
      <c r="R848" s="2" t="inlineStr"/>
    </row>
    <row r="849" ht="15" customHeight="1">
      <c r="A849" t="inlineStr">
        <is>
          <t>A 19364-2021</t>
        </is>
      </c>
      <c r="B849" s="1" t="n">
        <v>44309</v>
      </c>
      <c r="C849" s="1" t="n">
        <v>46046</v>
      </c>
      <c r="D849" t="inlineStr">
        <is>
          <t>NORRBOTTENS LÄN</t>
        </is>
      </c>
      <c r="E849" t="inlineStr">
        <is>
          <t>PITEÅ</t>
        </is>
      </c>
      <c r="G849" t="n">
        <v>5.4</v>
      </c>
      <c r="H849" t="n">
        <v>0</v>
      </c>
      <c r="I849" t="n">
        <v>0</v>
      </c>
      <c r="J849" t="n">
        <v>0</v>
      </c>
      <c r="K849" t="n">
        <v>0</v>
      </c>
      <c r="L849" t="n">
        <v>0</v>
      </c>
      <c r="M849" t="n">
        <v>0</v>
      </c>
      <c r="N849" t="n">
        <v>0</v>
      </c>
      <c r="O849" t="n">
        <v>0</v>
      </c>
      <c r="P849" t="n">
        <v>0</v>
      </c>
      <c r="Q849" t="n">
        <v>0</v>
      </c>
      <c r="R849" s="2" t="inlineStr"/>
    </row>
    <row r="850" ht="15" customHeight="1">
      <c r="A850" t="inlineStr">
        <is>
          <t>A 71242-2021</t>
        </is>
      </c>
      <c r="B850" s="1" t="n">
        <v>44538</v>
      </c>
      <c r="C850" s="1" t="n">
        <v>46046</v>
      </c>
      <c r="D850" t="inlineStr">
        <is>
          <t>NORRBOTTENS LÄN</t>
        </is>
      </c>
      <c r="E850" t="inlineStr">
        <is>
          <t>PITEÅ</t>
        </is>
      </c>
      <c r="G850" t="n">
        <v>1.8</v>
      </c>
      <c r="H850" t="n">
        <v>0</v>
      </c>
      <c r="I850" t="n">
        <v>0</v>
      </c>
      <c r="J850" t="n">
        <v>0</v>
      </c>
      <c r="K850" t="n">
        <v>0</v>
      </c>
      <c r="L850" t="n">
        <v>0</v>
      </c>
      <c r="M850" t="n">
        <v>0</v>
      </c>
      <c r="N850" t="n">
        <v>0</v>
      </c>
      <c r="O850" t="n">
        <v>0</v>
      </c>
      <c r="P850" t="n">
        <v>0</v>
      </c>
      <c r="Q850" t="n">
        <v>0</v>
      </c>
      <c r="R850" s="2" t="inlineStr"/>
    </row>
    <row r="851" ht="15" customHeight="1">
      <c r="A851" t="inlineStr">
        <is>
          <t>A 46077-2021</t>
        </is>
      </c>
      <c r="B851" s="1" t="n">
        <v>44442</v>
      </c>
      <c r="C851" s="1" t="n">
        <v>46046</v>
      </c>
      <c r="D851" t="inlineStr">
        <is>
          <t>NORRBOTTENS LÄN</t>
        </is>
      </c>
      <c r="E851" t="inlineStr">
        <is>
          <t>ARVIDSJAUR</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2099-2022</t>
        </is>
      </c>
      <c r="B852" s="1" t="n">
        <v>44577.70938657408</v>
      </c>
      <c r="C852" s="1" t="n">
        <v>46046</v>
      </c>
      <c r="D852" t="inlineStr">
        <is>
          <t>NORRBOTTENS LÄN</t>
        </is>
      </c>
      <c r="E852" t="inlineStr">
        <is>
          <t>KALIX</t>
        </is>
      </c>
      <c r="G852" t="n">
        <v>0.2</v>
      </c>
      <c r="H852" t="n">
        <v>0</v>
      </c>
      <c r="I852" t="n">
        <v>0</v>
      </c>
      <c r="J852" t="n">
        <v>0</v>
      </c>
      <c r="K852" t="n">
        <v>0</v>
      </c>
      <c r="L852" t="n">
        <v>0</v>
      </c>
      <c r="M852" t="n">
        <v>0</v>
      </c>
      <c r="N852" t="n">
        <v>0</v>
      </c>
      <c r="O852" t="n">
        <v>0</v>
      </c>
      <c r="P852" t="n">
        <v>0</v>
      </c>
      <c r="Q852" t="n">
        <v>0</v>
      </c>
      <c r="R852" s="2" t="inlineStr"/>
    </row>
    <row r="853" ht="15" customHeight="1">
      <c r="A853" t="inlineStr">
        <is>
          <t>A 2100-2022</t>
        </is>
      </c>
      <c r="B853" s="1" t="n">
        <v>44577</v>
      </c>
      <c r="C853" s="1" t="n">
        <v>46046</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7726-2021</t>
        </is>
      </c>
      <c r="B854" s="1" t="n">
        <v>44239</v>
      </c>
      <c r="C854" s="1" t="n">
        <v>46046</v>
      </c>
      <c r="D854" t="inlineStr">
        <is>
          <t>NORRBOTTENS LÄN</t>
        </is>
      </c>
      <c r="E854" t="inlineStr">
        <is>
          <t>LULEÅ</t>
        </is>
      </c>
      <c r="G854" t="n">
        <v>0.7</v>
      </c>
      <c r="H854" t="n">
        <v>0</v>
      </c>
      <c r="I854" t="n">
        <v>0</v>
      </c>
      <c r="J854" t="n">
        <v>0</v>
      </c>
      <c r="K854" t="n">
        <v>0</v>
      </c>
      <c r="L854" t="n">
        <v>0</v>
      </c>
      <c r="M854" t="n">
        <v>0</v>
      </c>
      <c r="N854" t="n">
        <v>0</v>
      </c>
      <c r="O854" t="n">
        <v>0</v>
      </c>
      <c r="P854" t="n">
        <v>0</v>
      </c>
      <c r="Q854" t="n">
        <v>0</v>
      </c>
      <c r="R854" s="2" t="inlineStr"/>
    </row>
    <row r="855" ht="15" customHeight="1">
      <c r="A855" t="inlineStr">
        <is>
          <t>A 47170-2022</t>
        </is>
      </c>
      <c r="B855" s="1" t="n">
        <v>44852.61033564815</v>
      </c>
      <c r="C855" s="1" t="n">
        <v>46046</v>
      </c>
      <c r="D855" t="inlineStr">
        <is>
          <t>NORRBOTTENS LÄN</t>
        </is>
      </c>
      <c r="E855" t="inlineStr">
        <is>
          <t>LULEÅ</t>
        </is>
      </c>
      <c r="G855" t="n">
        <v>7.7</v>
      </c>
      <c r="H855" t="n">
        <v>0</v>
      </c>
      <c r="I855" t="n">
        <v>0</v>
      </c>
      <c r="J855" t="n">
        <v>0</v>
      </c>
      <c r="K855" t="n">
        <v>0</v>
      </c>
      <c r="L855" t="n">
        <v>0</v>
      </c>
      <c r="M855" t="n">
        <v>0</v>
      </c>
      <c r="N855" t="n">
        <v>0</v>
      </c>
      <c r="O855" t="n">
        <v>0</v>
      </c>
      <c r="P855" t="n">
        <v>0</v>
      </c>
      <c r="Q855" t="n">
        <v>0</v>
      </c>
      <c r="R855" s="2" t="inlineStr"/>
    </row>
    <row r="856" ht="15" customHeight="1">
      <c r="A856" t="inlineStr">
        <is>
          <t>A 39410-2022</t>
        </is>
      </c>
      <c r="B856" s="1" t="n">
        <v>44817.94975694444</v>
      </c>
      <c r="C856" s="1" t="n">
        <v>46046</v>
      </c>
      <c r="D856" t="inlineStr">
        <is>
          <t>NORRBOTTENS LÄN</t>
        </is>
      </c>
      <c r="E856" t="inlineStr">
        <is>
          <t>PITEÅ</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9580-2022</t>
        </is>
      </c>
      <c r="B857" s="1" t="n">
        <v>44617</v>
      </c>
      <c r="C857" s="1" t="n">
        <v>46046</v>
      </c>
      <c r="D857" t="inlineStr">
        <is>
          <t>NORRBOTTENS LÄN</t>
        </is>
      </c>
      <c r="E857" t="inlineStr">
        <is>
          <t>LULEÅ</t>
        </is>
      </c>
      <c r="G857" t="n">
        <v>2.8</v>
      </c>
      <c r="H857" t="n">
        <v>0</v>
      </c>
      <c r="I857" t="n">
        <v>0</v>
      </c>
      <c r="J857" t="n">
        <v>0</v>
      </c>
      <c r="K857" t="n">
        <v>0</v>
      </c>
      <c r="L857" t="n">
        <v>0</v>
      </c>
      <c r="M857" t="n">
        <v>0</v>
      </c>
      <c r="N857" t="n">
        <v>0</v>
      </c>
      <c r="O857" t="n">
        <v>0</v>
      </c>
      <c r="P857" t="n">
        <v>0</v>
      </c>
      <c r="Q857" t="n">
        <v>0</v>
      </c>
      <c r="R857" s="2" t="inlineStr"/>
    </row>
    <row r="858" ht="15" customHeight="1">
      <c r="A858" t="inlineStr">
        <is>
          <t>A 18104-2022</t>
        </is>
      </c>
      <c r="B858" s="1" t="n">
        <v>44684</v>
      </c>
      <c r="C858" s="1" t="n">
        <v>46046</v>
      </c>
      <c r="D858" t="inlineStr">
        <is>
          <t>NORRBOTTENS LÄN</t>
        </is>
      </c>
      <c r="E858" t="inlineStr">
        <is>
          <t>GÄLLIVARE</t>
        </is>
      </c>
      <c r="G858" t="n">
        <v>8.4</v>
      </c>
      <c r="H858" t="n">
        <v>0</v>
      </c>
      <c r="I858" t="n">
        <v>0</v>
      </c>
      <c r="J858" t="n">
        <v>0</v>
      </c>
      <c r="K858" t="n">
        <v>0</v>
      </c>
      <c r="L858" t="n">
        <v>0</v>
      </c>
      <c r="M858" t="n">
        <v>0</v>
      </c>
      <c r="N858" t="n">
        <v>0</v>
      </c>
      <c r="O858" t="n">
        <v>0</v>
      </c>
      <c r="P858" t="n">
        <v>0</v>
      </c>
      <c r="Q858" t="n">
        <v>0</v>
      </c>
      <c r="R858" s="2" t="inlineStr"/>
    </row>
    <row r="859" ht="15" customHeight="1">
      <c r="A859" t="inlineStr">
        <is>
          <t>A 32521-2021</t>
        </is>
      </c>
      <c r="B859" s="1" t="n">
        <v>44374</v>
      </c>
      <c r="C859" s="1" t="n">
        <v>46046</v>
      </c>
      <c r="D859" t="inlineStr">
        <is>
          <t>NORRBOTTENS LÄN</t>
        </is>
      </c>
      <c r="E859" t="inlineStr">
        <is>
          <t>ÖVERKALIX</t>
        </is>
      </c>
      <c r="G859" t="n">
        <v>7.1</v>
      </c>
      <c r="H859" t="n">
        <v>0</v>
      </c>
      <c r="I859" t="n">
        <v>0</v>
      </c>
      <c r="J859" t="n">
        <v>0</v>
      </c>
      <c r="K859" t="n">
        <v>0</v>
      </c>
      <c r="L859" t="n">
        <v>0</v>
      </c>
      <c r="M859" t="n">
        <v>0</v>
      </c>
      <c r="N859" t="n">
        <v>0</v>
      </c>
      <c r="O859" t="n">
        <v>0</v>
      </c>
      <c r="P859" t="n">
        <v>0</v>
      </c>
      <c r="Q859" t="n">
        <v>0</v>
      </c>
      <c r="R859" s="2" t="inlineStr"/>
    </row>
    <row r="860" ht="15" customHeight="1">
      <c r="A860" t="inlineStr">
        <is>
          <t>A 14866-2021</t>
        </is>
      </c>
      <c r="B860" s="1" t="n">
        <v>44280</v>
      </c>
      <c r="C860" s="1" t="n">
        <v>46046</v>
      </c>
      <c r="D860" t="inlineStr">
        <is>
          <t>NORRBOTTENS LÄN</t>
        </is>
      </c>
      <c r="E860" t="inlineStr">
        <is>
          <t>ÄLVSBYN</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26406-2022</t>
        </is>
      </c>
      <c r="B861" s="1" t="n">
        <v>44735.94076388889</v>
      </c>
      <c r="C861" s="1" t="n">
        <v>46046</v>
      </c>
      <c r="D861" t="inlineStr">
        <is>
          <t>NORRBOTTENS LÄN</t>
        </is>
      </c>
      <c r="E861" t="inlineStr">
        <is>
          <t>ÄLVSBYN</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37114-2021</t>
        </is>
      </c>
      <c r="B862" s="1" t="n">
        <v>44393</v>
      </c>
      <c r="C862" s="1" t="n">
        <v>46046</v>
      </c>
      <c r="D862" t="inlineStr">
        <is>
          <t>NORRBOTTENS LÄN</t>
        </is>
      </c>
      <c r="E862" t="inlineStr">
        <is>
          <t>JOKKMOKK</t>
        </is>
      </c>
      <c r="F862" t="inlineStr">
        <is>
          <t>Övriga statliga verk och myndigheter</t>
        </is>
      </c>
      <c r="G862" t="n">
        <v>30</v>
      </c>
      <c r="H862" t="n">
        <v>0</v>
      </c>
      <c r="I862" t="n">
        <v>0</v>
      </c>
      <c r="J862" t="n">
        <v>0</v>
      </c>
      <c r="K862" t="n">
        <v>0</v>
      </c>
      <c r="L862" t="n">
        <v>0</v>
      </c>
      <c r="M862" t="n">
        <v>0</v>
      </c>
      <c r="N862" t="n">
        <v>0</v>
      </c>
      <c r="O862" t="n">
        <v>0</v>
      </c>
      <c r="P862" t="n">
        <v>0</v>
      </c>
      <c r="Q862" t="n">
        <v>0</v>
      </c>
      <c r="R862" s="2" t="inlineStr"/>
    </row>
    <row r="863" ht="15" customHeight="1">
      <c r="A863" t="inlineStr">
        <is>
          <t>A 48341-2022</t>
        </is>
      </c>
      <c r="B863" s="1" t="n">
        <v>44854</v>
      </c>
      <c r="C863" s="1" t="n">
        <v>46046</v>
      </c>
      <c r="D863" t="inlineStr">
        <is>
          <t>NORRBOTTENS LÄN</t>
        </is>
      </c>
      <c r="E863" t="inlineStr">
        <is>
          <t>LULEÅ</t>
        </is>
      </c>
      <c r="G863" t="n">
        <v>2.9</v>
      </c>
      <c r="H863" t="n">
        <v>0</v>
      </c>
      <c r="I863" t="n">
        <v>0</v>
      </c>
      <c r="J863" t="n">
        <v>0</v>
      </c>
      <c r="K863" t="n">
        <v>0</v>
      </c>
      <c r="L863" t="n">
        <v>0</v>
      </c>
      <c r="M863" t="n">
        <v>0</v>
      </c>
      <c r="N863" t="n">
        <v>0</v>
      </c>
      <c r="O863" t="n">
        <v>0</v>
      </c>
      <c r="P863" t="n">
        <v>0</v>
      </c>
      <c r="Q863" t="n">
        <v>0</v>
      </c>
      <c r="R863" s="2" t="inlineStr"/>
    </row>
    <row r="864" ht="15" customHeight="1">
      <c r="A864" t="inlineStr">
        <is>
          <t>A 21048-2021</t>
        </is>
      </c>
      <c r="B864" s="1" t="n">
        <v>44319</v>
      </c>
      <c r="C864" s="1" t="n">
        <v>46046</v>
      </c>
      <c r="D864" t="inlineStr">
        <is>
          <t>NORRBOTTENS LÄN</t>
        </is>
      </c>
      <c r="E864" t="inlineStr">
        <is>
          <t>PAJALA</t>
        </is>
      </c>
      <c r="F864" t="inlineStr">
        <is>
          <t>Allmännings- och besparingsskogar</t>
        </is>
      </c>
      <c r="G864" t="n">
        <v>26.5</v>
      </c>
      <c r="H864" t="n">
        <v>0</v>
      </c>
      <c r="I864" t="n">
        <v>0</v>
      </c>
      <c r="J864" t="n">
        <v>0</v>
      </c>
      <c r="K864" t="n">
        <v>0</v>
      </c>
      <c r="L864" t="n">
        <v>0</v>
      </c>
      <c r="M864" t="n">
        <v>0</v>
      </c>
      <c r="N864" t="n">
        <v>0</v>
      </c>
      <c r="O864" t="n">
        <v>0</v>
      </c>
      <c r="P864" t="n">
        <v>0</v>
      </c>
      <c r="Q864" t="n">
        <v>0</v>
      </c>
      <c r="R864" s="2" t="inlineStr"/>
    </row>
    <row r="865" ht="15" customHeight="1">
      <c r="A865" t="inlineStr">
        <is>
          <t>A 24386-2021</t>
        </is>
      </c>
      <c r="B865" s="1" t="n">
        <v>44337.45984953704</v>
      </c>
      <c r="C865" s="1" t="n">
        <v>46046</v>
      </c>
      <c r="D865" t="inlineStr">
        <is>
          <t>NORRBOTTENS LÄN</t>
        </is>
      </c>
      <c r="E865" t="inlineStr">
        <is>
          <t>HAPARANDA</t>
        </is>
      </c>
      <c r="G865" t="n">
        <v>3.4</v>
      </c>
      <c r="H865" t="n">
        <v>0</v>
      </c>
      <c r="I865" t="n">
        <v>0</v>
      </c>
      <c r="J865" t="n">
        <v>0</v>
      </c>
      <c r="K865" t="n">
        <v>0</v>
      </c>
      <c r="L865" t="n">
        <v>0</v>
      </c>
      <c r="M865" t="n">
        <v>0</v>
      </c>
      <c r="N865" t="n">
        <v>0</v>
      </c>
      <c r="O865" t="n">
        <v>0</v>
      </c>
      <c r="P865" t="n">
        <v>0</v>
      </c>
      <c r="Q865" t="n">
        <v>0</v>
      </c>
      <c r="R865" s="2" t="inlineStr"/>
    </row>
    <row r="866" ht="15" customHeight="1">
      <c r="A866" t="inlineStr">
        <is>
          <t>A 43294-2022</t>
        </is>
      </c>
      <c r="B866" s="1" t="n">
        <v>44833</v>
      </c>
      <c r="C866" s="1" t="n">
        <v>46046</v>
      </c>
      <c r="D866" t="inlineStr">
        <is>
          <t>NORRBOTTENS LÄN</t>
        </is>
      </c>
      <c r="E866" t="inlineStr">
        <is>
          <t>ÖVERTORNEÅ</t>
        </is>
      </c>
      <c r="G866" t="n">
        <v>1</v>
      </c>
      <c r="H866" t="n">
        <v>0</v>
      </c>
      <c r="I866" t="n">
        <v>0</v>
      </c>
      <c r="J866" t="n">
        <v>0</v>
      </c>
      <c r="K866" t="n">
        <v>0</v>
      </c>
      <c r="L866" t="n">
        <v>0</v>
      </c>
      <c r="M866" t="n">
        <v>0</v>
      </c>
      <c r="N866" t="n">
        <v>0</v>
      </c>
      <c r="O866" t="n">
        <v>0</v>
      </c>
      <c r="P866" t="n">
        <v>0</v>
      </c>
      <c r="Q866" t="n">
        <v>0</v>
      </c>
      <c r="R866" s="2" t="inlineStr"/>
    </row>
    <row r="867" ht="15" customHeight="1">
      <c r="A867" t="inlineStr">
        <is>
          <t>A 43781-2021</t>
        </is>
      </c>
      <c r="B867" s="1" t="n">
        <v>44433</v>
      </c>
      <c r="C867" s="1" t="n">
        <v>46046</v>
      </c>
      <c r="D867" t="inlineStr">
        <is>
          <t>NORRBOTTENS LÄN</t>
        </is>
      </c>
      <c r="E867" t="inlineStr">
        <is>
          <t>JOKKMOKK</t>
        </is>
      </c>
      <c r="G867" t="n">
        <v>1.7</v>
      </c>
      <c r="H867" t="n">
        <v>0</v>
      </c>
      <c r="I867" t="n">
        <v>0</v>
      </c>
      <c r="J867" t="n">
        <v>0</v>
      </c>
      <c r="K867" t="n">
        <v>0</v>
      </c>
      <c r="L867" t="n">
        <v>0</v>
      </c>
      <c r="M867" t="n">
        <v>0</v>
      </c>
      <c r="N867" t="n">
        <v>0</v>
      </c>
      <c r="O867" t="n">
        <v>0</v>
      </c>
      <c r="P867" t="n">
        <v>0</v>
      </c>
      <c r="Q867" t="n">
        <v>0</v>
      </c>
      <c r="R867" s="2" t="inlineStr"/>
    </row>
    <row r="868" ht="15" customHeight="1">
      <c r="A868" t="inlineStr">
        <is>
          <t>A 39701-2021</t>
        </is>
      </c>
      <c r="B868" s="1" t="n">
        <v>44414</v>
      </c>
      <c r="C868" s="1" t="n">
        <v>46046</v>
      </c>
      <c r="D868" t="inlineStr">
        <is>
          <t>NORRBOTTENS LÄN</t>
        </is>
      </c>
      <c r="E868" t="inlineStr">
        <is>
          <t>BODEN</t>
        </is>
      </c>
      <c r="G868" t="n">
        <v>2.5</v>
      </c>
      <c r="H868" t="n">
        <v>0</v>
      </c>
      <c r="I868" t="n">
        <v>0</v>
      </c>
      <c r="J868" t="n">
        <v>0</v>
      </c>
      <c r="K868" t="n">
        <v>0</v>
      </c>
      <c r="L868" t="n">
        <v>0</v>
      </c>
      <c r="M868" t="n">
        <v>0</v>
      </c>
      <c r="N868" t="n">
        <v>0</v>
      </c>
      <c r="O868" t="n">
        <v>0</v>
      </c>
      <c r="P868" t="n">
        <v>0</v>
      </c>
      <c r="Q868" t="n">
        <v>0</v>
      </c>
      <c r="R868" s="2" t="inlineStr"/>
    </row>
    <row r="869" ht="15" customHeight="1">
      <c r="A869" t="inlineStr">
        <is>
          <t>A 56274-2021</t>
        </is>
      </c>
      <c r="B869" s="1" t="n">
        <v>44479</v>
      </c>
      <c r="C869" s="1" t="n">
        <v>46046</v>
      </c>
      <c r="D869" t="inlineStr">
        <is>
          <t>NORRBOTTENS LÄN</t>
        </is>
      </c>
      <c r="E869" t="inlineStr">
        <is>
          <t>ARJEPLOG</t>
        </is>
      </c>
      <c r="G869" t="n">
        <v>6.6</v>
      </c>
      <c r="H869" t="n">
        <v>0</v>
      </c>
      <c r="I869" t="n">
        <v>0</v>
      </c>
      <c r="J869" t="n">
        <v>0</v>
      </c>
      <c r="K869" t="n">
        <v>0</v>
      </c>
      <c r="L869" t="n">
        <v>0</v>
      </c>
      <c r="M869" t="n">
        <v>0</v>
      </c>
      <c r="N869" t="n">
        <v>0</v>
      </c>
      <c r="O869" t="n">
        <v>0</v>
      </c>
      <c r="P869" t="n">
        <v>0</v>
      </c>
      <c r="Q869" t="n">
        <v>0</v>
      </c>
      <c r="R869" s="2" t="inlineStr"/>
    </row>
    <row r="870" ht="15" customHeight="1">
      <c r="A870" t="inlineStr">
        <is>
          <t>A 14886-2021</t>
        </is>
      </c>
      <c r="B870" s="1" t="n">
        <v>44280</v>
      </c>
      <c r="C870" s="1" t="n">
        <v>46046</v>
      </c>
      <c r="D870" t="inlineStr">
        <is>
          <t>NORRBOTTENS LÄN</t>
        </is>
      </c>
      <c r="E870" t="inlineStr">
        <is>
          <t>LULEÅ</t>
        </is>
      </c>
      <c r="G870" t="n">
        <v>0.6</v>
      </c>
      <c r="H870" t="n">
        <v>0</v>
      </c>
      <c r="I870" t="n">
        <v>0</v>
      </c>
      <c r="J870" t="n">
        <v>0</v>
      </c>
      <c r="K870" t="n">
        <v>0</v>
      </c>
      <c r="L870" t="n">
        <v>0</v>
      </c>
      <c r="M870" t="n">
        <v>0</v>
      </c>
      <c r="N870" t="n">
        <v>0</v>
      </c>
      <c r="O870" t="n">
        <v>0</v>
      </c>
      <c r="P870" t="n">
        <v>0</v>
      </c>
      <c r="Q870" t="n">
        <v>0</v>
      </c>
      <c r="R870" s="2" t="inlineStr"/>
    </row>
    <row r="871" ht="15" customHeight="1">
      <c r="A871" t="inlineStr">
        <is>
          <t>A 39673-2021</t>
        </is>
      </c>
      <c r="B871" s="1" t="n">
        <v>44414</v>
      </c>
      <c r="C871" s="1" t="n">
        <v>46046</v>
      </c>
      <c r="D871" t="inlineStr">
        <is>
          <t>NORRBOTTENS LÄN</t>
        </is>
      </c>
      <c r="E871" t="inlineStr">
        <is>
          <t>BODEN</t>
        </is>
      </c>
      <c r="G871" t="n">
        <v>2.7</v>
      </c>
      <c r="H871" t="n">
        <v>0</v>
      </c>
      <c r="I871" t="n">
        <v>0</v>
      </c>
      <c r="J871" t="n">
        <v>0</v>
      </c>
      <c r="K871" t="n">
        <v>0</v>
      </c>
      <c r="L871" t="n">
        <v>0</v>
      </c>
      <c r="M871" t="n">
        <v>0</v>
      </c>
      <c r="N871" t="n">
        <v>0</v>
      </c>
      <c r="O871" t="n">
        <v>0</v>
      </c>
      <c r="P871" t="n">
        <v>0</v>
      </c>
      <c r="Q871" t="n">
        <v>0</v>
      </c>
      <c r="R871" s="2" t="inlineStr"/>
    </row>
    <row r="872" ht="15" customHeight="1">
      <c r="A872" t="inlineStr">
        <is>
          <t>A 71955-2021</t>
        </is>
      </c>
      <c r="B872" s="1" t="n">
        <v>44543</v>
      </c>
      <c r="C872" s="1" t="n">
        <v>46046</v>
      </c>
      <c r="D872" t="inlineStr">
        <is>
          <t>NORRBOTTENS LÄN</t>
        </is>
      </c>
      <c r="E872" t="inlineStr">
        <is>
          <t>JOKKMOKK</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7469-2021</t>
        </is>
      </c>
      <c r="B873" s="1" t="n">
        <v>44238</v>
      </c>
      <c r="C873" s="1" t="n">
        <v>46046</v>
      </c>
      <c r="D873" t="inlineStr">
        <is>
          <t>NORRBOTTENS LÄN</t>
        </is>
      </c>
      <c r="E873" t="inlineStr">
        <is>
          <t>ÖVERTORNEÅ</t>
        </is>
      </c>
      <c r="G873" t="n">
        <v>2.3</v>
      </c>
      <c r="H873" t="n">
        <v>0</v>
      </c>
      <c r="I873" t="n">
        <v>0</v>
      </c>
      <c r="J873" t="n">
        <v>0</v>
      </c>
      <c r="K873" t="n">
        <v>0</v>
      </c>
      <c r="L873" t="n">
        <v>0</v>
      </c>
      <c r="M873" t="n">
        <v>0</v>
      </c>
      <c r="N873" t="n">
        <v>0</v>
      </c>
      <c r="O873" t="n">
        <v>0</v>
      </c>
      <c r="P873" t="n">
        <v>0</v>
      </c>
      <c r="Q873" t="n">
        <v>0</v>
      </c>
      <c r="R873" s="2" t="inlineStr"/>
    </row>
    <row r="874" ht="15" customHeight="1">
      <c r="A874" t="inlineStr">
        <is>
          <t>A 21847-2022</t>
        </is>
      </c>
      <c r="B874" s="1" t="n">
        <v>44711</v>
      </c>
      <c r="C874" s="1" t="n">
        <v>46046</v>
      </c>
      <c r="D874" t="inlineStr">
        <is>
          <t>NORRBOTTENS LÄN</t>
        </is>
      </c>
      <c r="E874" t="inlineStr">
        <is>
          <t>ÖVERKALIX</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71941-2021</t>
        </is>
      </c>
      <c r="B875" s="1" t="n">
        <v>44543</v>
      </c>
      <c r="C875" s="1" t="n">
        <v>46046</v>
      </c>
      <c r="D875" t="inlineStr">
        <is>
          <t>NORRBOTTENS LÄN</t>
        </is>
      </c>
      <c r="E875" t="inlineStr">
        <is>
          <t>GÄLLIVARE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71950-2021</t>
        </is>
      </c>
      <c r="B876" s="1" t="n">
        <v>44543</v>
      </c>
      <c r="C876" s="1" t="n">
        <v>46046</v>
      </c>
      <c r="D876" t="inlineStr">
        <is>
          <t>NORRBOTTENS LÄN</t>
        </is>
      </c>
      <c r="E876" t="inlineStr">
        <is>
          <t>JOKKMOKK</t>
        </is>
      </c>
      <c r="F876" t="inlineStr">
        <is>
          <t>Naturvårdsverket</t>
        </is>
      </c>
      <c r="G876" t="n">
        <v>13.3</v>
      </c>
      <c r="H876" t="n">
        <v>0</v>
      </c>
      <c r="I876" t="n">
        <v>0</v>
      </c>
      <c r="J876" t="n">
        <v>0</v>
      </c>
      <c r="K876" t="n">
        <v>0</v>
      </c>
      <c r="L876" t="n">
        <v>0</v>
      </c>
      <c r="M876" t="n">
        <v>0</v>
      </c>
      <c r="N876" t="n">
        <v>0</v>
      </c>
      <c r="O876" t="n">
        <v>0</v>
      </c>
      <c r="P876" t="n">
        <v>0</v>
      </c>
      <c r="Q876" t="n">
        <v>0</v>
      </c>
      <c r="R876" s="2" t="inlineStr"/>
    </row>
    <row r="877" ht="15" customHeight="1">
      <c r="A877" t="inlineStr">
        <is>
          <t>A 70334-2021</t>
        </is>
      </c>
      <c r="B877" s="1" t="n">
        <v>44536</v>
      </c>
      <c r="C877" s="1" t="n">
        <v>46046</v>
      </c>
      <c r="D877" t="inlineStr">
        <is>
          <t>NORRBOTTENS LÄN</t>
        </is>
      </c>
      <c r="E877" t="inlineStr">
        <is>
          <t>HAPARANDA</t>
        </is>
      </c>
      <c r="G877" t="n">
        <v>1.7</v>
      </c>
      <c r="H877" t="n">
        <v>0</v>
      </c>
      <c r="I877" t="n">
        <v>0</v>
      </c>
      <c r="J877" t="n">
        <v>0</v>
      </c>
      <c r="K877" t="n">
        <v>0</v>
      </c>
      <c r="L877" t="n">
        <v>0</v>
      </c>
      <c r="M877" t="n">
        <v>0</v>
      </c>
      <c r="N877" t="n">
        <v>0</v>
      </c>
      <c r="O877" t="n">
        <v>0</v>
      </c>
      <c r="P877" t="n">
        <v>0</v>
      </c>
      <c r="Q877" t="n">
        <v>0</v>
      </c>
      <c r="R877" s="2" t="inlineStr"/>
    </row>
    <row r="878" ht="15" customHeight="1">
      <c r="A878" t="inlineStr">
        <is>
          <t>A 18920-2022</t>
        </is>
      </c>
      <c r="B878" s="1" t="n">
        <v>44690</v>
      </c>
      <c r="C878" s="1" t="n">
        <v>46046</v>
      </c>
      <c r="D878" t="inlineStr">
        <is>
          <t>NORRBOTTENS LÄN</t>
        </is>
      </c>
      <c r="E878" t="inlineStr">
        <is>
          <t>ARVIDSJAUR</t>
        </is>
      </c>
      <c r="F878" t="inlineStr">
        <is>
          <t>Allmännings- och besparingsskogar</t>
        </is>
      </c>
      <c r="G878" t="n">
        <v>1.1</v>
      </c>
      <c r="H878" t="n">
        <v>0</v>
      </c>
      <c r="I878" t="n">
        <v>0</v>
      </c>
      <c r="J878" t="n">
        <v>0</v>
      </c>
      <c r="K878" t="n">
        <v>0</v>
      </c>
      <c r="L878" t="n">
        <v>0</v>
      </c>
      <c r="M878" t="n">
        <v>0</v>
      </c>
      <c r="N878" t="n">
        <v>0</v>
      </c>
      <c r="O878" t="n">
        <v>0</v>
      </c>
      <c r="P878" t="n">
        <v>0</v>
      </c>
      <c r="Q878" t="n">
        <v>0</v>
      </c>
      <c r="R878" s="2" t="inlineStr"/>
    </row>
    <row r="879" ht="15" customHeight="1">
      <c r="A879" t="inlineStr">
        <is>
          <t>A 29747-2022</t>
        </is>
      </c>
      <c r="B879" s="1" t="n">
        <v>44755</v>
      </c>
      <c r="C879" s="1" t="n">
        <v>46046</v>
      </c>
      <c r="D879" t="inlineStr">
        <is>
          <t>NORRBOTTENS LÄN</t>
        </is>
      </c>
      <c r="E879" t="inlineStr">
        <is>
          <t>PAJALA</t>
        </is>
      </c>
      <c r="G879" t="n">
        <v>4</v>
      </c>
      <c r="H879" t="n">
        <v>0</v>
      </c>
      <c r="I879" t="n">
        <v>0</v>
      </c>
      <c r="J879" t="n">
        <v>0</v>
      </c>
      <c r="K879" t="n">
        <v>0</v>
      </c>
      <c r="L879" t="n">
        <v>0</v>
      </c>
      <c r="M879" t="n">
        <v>0</v>
      </c>
      <c r="N879" t="n">
        <v>0</v>
      </c>
      <c r="O879" t="n">
        <v>0</v>
      </c>
      <c r="P879" t="n">
        <v>0</v>
      </c>
      <c r="Q879" t="n">
        <v>0</v>
      </c>
      <c r="R879" s="2" t="inlineStr"/>
    </row>
    <row r="880" ht="15" customHeight="1">
      <c r="A880" t="inlineStr">
        <is>
          <t>A 60133-2021</t>
        </is>
      </c>
      <c r="B880" s="1" t="n">
        <v>44494</v>
      </c>
      <c r="C880" s="1" t="n">
        <v>46046</v>
      </c>
      <c r="D880" t="inlineStr">
        <is>
          <t>NORRBOTTENS LÄN</t>
        </is>
      </c>
      <c r="E880" t="inlineStr">
        <is>
          <t>ÖVERTORNEÅ</t>
        </is>
      </c>
      <c r="G880" t="n">
        <v>1.9</v>
      </c>
      <c r="H880" t="n">
        <v>0</v>
      </c>
      <c r="I880" t="n">
        <v>0</v>
      </c>
      <c r="J880" t="n">
        <v>0</v>
      </c>
      <c r="K880" t="n">
        <v>0</v>
      </c>
      <c r="L880" t="n">
        <v>0</v>
      </c>
      <c r="M880" t="n">
        <v>0</v>
      </c>
      <c r="N880" t="n">
        <v>0</v>
      </c>
      <c r="O880" t="n">
        <v>0</v>
      </c>
      <c r="P880" t="n">
        <v>0</v>
      </c>
      <c r="Q880" t="n">
        <v>0</v>
      </c>
      <c r="R880" s="2" t="inlineStr"/>
    </row>
    <row r="881" ht="15" customHeight="1">
      <c r="A881" t="inlineStr">
        <is>
          <t>A 28488-2022</t>
        </is>
      </c>
      <c r="B881" s="1" t="n">
        <v>44747.94023148148</v>
      </c>
      <c r="C881" s="1" t="n">
        <v>46046</v>
      </c>
      <c r="D881" t="inlineStr">
        <is>
          <t>NORRBOTTENS LÄN</t>
        </is>
      </c>
      <c r="E881" t="inlineStr">
        <is>
          <t>PITEÅ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7690-2022</t>
        </is>
      </c>
      <c r="B882" s="1" t="n">
        <v>44607</v>
      </c>
      <c r="C882" s="1" t="n">
        <v>46046</v>
      </c>
      <c r="D882" t="inlineStr">
        <is>
          <t>NORRBOTTENS LÄN</t>
        </is>
      </c>
      <c r="E882" t="inlineStr">
        <is>
          <t>GÄLLIVARE</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70415-2021</t>
        </is>
      </c>
      <c r="B883" s="1" t="n">
        <v>44536</v>
      </c>
      <c r="C883" s="1" t="n">
        <v>46046</v>
      </c>
      <c r="D883" t="inlineStr">
        <is>
          <t>NORRBOTTENS LÄN</t>
        </is>
      </c>
      <c r="E883" t="inlineStr">
        <is>
          <t>ÖVERTORNEÅ</t>
        </is>
      </c>
      <c r="G883" t="n">
        <v>2.7</v>
      </c>
      <c r="H883" t="n">
        <v>0</v>
      </c>
      <c r="I883" t="n">
        <v>0</v>
      </c>
      <c r="J883" t="n">
        <v>0</v>
      </c>
      <c r="K883" t="n">
        <v>0</v>
      </c>
      <c r="L883" t="n">
        <v>0</v>
      </c>
      <c r="M883" t="n">
        <v>0</v>
      </c>
      <c r="N883" t="n">
        <v>0</v>
      </c>
      <c r="O883" t="n">
        <v>0</v>
      </c>
      <c r="P883" t="n">
        <v>0</v>
      </c>
      <c r="Q883" t="n">
        <v>0</v>
      </c>
      <c r="R883" s="2" t="inlineStr"/>
    </row>
    <row r="884" ht="15" customHeight="1">
      <c r="A884" t="inlineStr">
        <is>
          <t>A 29769-2022</t>
        </is>
      </c>
      <c r="B884" s="1" t="n">
        <v>44755</v>
      </c>
      <c r="C884" s="1" t="n">
        <v>46046</v>
      </c>
      <c r="D884" t="inlineStr">
        <is>
          <t>NORRBOTTENS LÄN</t>
        </is>
      </c>
      <c r="E884" t="inlineStr">
        <is>
          <t>PAJALA</t>
        </is>
      </c>
      <c r="G884" t="n">
        <v>3.7</v>
      </c>
      <c r="H884" t="n">
        <v>0</v>
      </c>
      <c r="I884" t="n">
        <v>0</v>
      </c>
      <c r="J884" t="n">
        <v>0</v>
      </c>
      <c r="K884" t="n">
        <v>0</v>
      </c>
      <c r="L884" t="n">
        <v>0</v>
      </c>
      <c r="M884" t="n">
        <v>0</v>
      </c>
      <c r="N884" t="n">
        <v>0</v>
      </c>
      <c r="O884" t="n">
        <v>0</v>
      </c>
      <c r="P884" t="n">
        <v>0</v>
      </c>
      <c r="Q884" t="n">
        <v>0</v>
      </c>
      <c r="R884" s="2" t="inlineStr"/>
    </row>
    <row r="885" ht="15" customHeight="1">
      <c r="A885" t="inlineStr">
        <is>
          <t>A 29793-2022</t>
        </is>
      </c>
      <c r="B885" s="1" t="n">
        <v>44755</v>
      </c>
      <c r="C885" s="1" t="n">
        <v>46046</v>
      </c>
      <c r="D885" t="inlineStr">
        <is>
          <t>NORRBOTTENS LÄN</t>
        </is>
      </c>
      <c r="E885" t="inlineStr">
        <is>
          <t>PAJALA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23465-2021</t>
        </is>
      </c>
      <c r="B886" s="1" t="n">
        <v>44333.92180555555</v>
      </c>
      <c r="C886" s="1" t="n">
        <v>46046</v>
      </c>
      <c r="D886" t="inlineStr">
        <is>
          <t>NORRBOTTENS LÄN</t>
        </is>
      </c>
      <c r="E886" t="inlineStr">
        <is>
          <t>PITEÅ</t>
        </is>
      </c>
      <c r="G886" t="n">
        <v>13.7</v>
      </c>
      <c r="H886" t="n">
        <v>0</v>
      </c>
      <c r="I886" t="n">
        <v>0</v>
      </c>
      <c r="J886" t="n">
        <v>0</v>
      </c>
      <c r="K886" t="n">
        <v>0</v>
      </c>
      <c r="L886" t="n">
        <v>0</v>
      </c>
      <c r="M886" t="n">
        <v>0</v>
      </c>
      <c r="N886" t="n">
        <v>0</v>
      </c>
      <c r="O886" t="n">
        <v>0</v>
      </c>
      <c r="P886" t="n">
        <v>0</v>
      </c>
      <c r="Q886" t="n">
        <v>0</v>
      </c>
      <c r="R886" s="2" t="inlineStr"/>
    </row>
    <row r="887" ht="15" customHeight="1">
      <c r="A887" t="inlineStr">
        <is>
          <t>A 39948-2021</t>
        </is>
      </c>
      <c r="B887" s="1" t="n">
        <v>44417.94082175926</v>
      </c>
      <c r="C887" s="1" t="n">
        <v>46046</v>
      </c>
      <c r="D887" t="inlineStr">
        <is>
          <t>NORRBOTTENS LÄN</t>
        </is>
      </c>
      <c r="E887" t="inlineStr">
        <is>
          <t>PITEÅ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40041-2021</t>
        </is>
      </c>
      <c r="B888" s="1" t="n">
        <v>44417</v>
      </c>
      <c r="C888" s="1" t="n">
        <v>46046</v>
      </c>
      <c r="D888" t="inlineStr">
        <is>
          <t>NORRBOTTENS LÄN</t>
        </is>
      </c>
      <c r="E888" t="inlineStr">
        <is>
          <t>PAJALA</t>
        </is>
      </c>
      <c r="G888" t="n">
        <v>26.1</v>
      </c>
      <c r="H888" t="n">
        <v>0</v>
      </c>
      <c r="I888" t="n">
        <v>0</v>
      </c>
      <c r="J888" t="n">
        <v>0</v>
      </c>
      <c r="K888" t="n">
        <v>0</v>
      </c>
      <c r="L888" t="n">
        <v>0</v>
      </c>
      <c r="M888" t="n">
        <v>0</v>
      </c>
      <c r="N888" t="n">
        <v>0</v>
      </c>
      <c r="O888" t="n">
        <v>0</v>
      </c>
      <c r="P888" t="n">
        <v>0</v>
      </c>
      <c r="Q888" t="n">
        <v>0</v>
      </c>
      <c r="R888" s="2" t="inlineStr"/>
    </row>
    <row r="889" ht="15" customHeight="1">
      <c r="A889" t="inlineStr">
        <is>
          <t>A 51063-2022</t>
        </is>
      </c>
      <c r="B889" s="1" t="n">
        <v>44868</v>
      </c>
      <c r="C889" s="1" t="n">
        <v>46046</v>
      </c>
      <c r="D889" t="inlineStr">
        <is>
          <t>NORRBOTTENS LÄN</t>
        </is>
      </c>
      <c r="E889" t="inlineStr">
        <is>
          <t>ÄLVSBYN</t>
        </is>
      </c>
      <c r="G889" t="n">
        <v>5</v>
      </c>
      <c r="H889" t="n">
        <v>0</v>
      </c>
      <c r="I889" t="n">
        <v>0</v>
      </c>
      <c r="J889" t="n">
        <v>0</v>
      </c>
      <c r="K889" t="n">
        <v>0</v>
      </c>
      <c r="L889" t="n">
        <v>0</v>
      </c>
      <c r="M889" t="n">
        <v>0</v>
      </c>
      <c r="N889" t="n">
        <v>0</v>
      </c>
      <c r="O889" t="n">
        <v>0</v>
      </c>
      <c r="P889" t="n">
        <v>0</v>
      </c>
      <c r="Q889" t="n">
        <v>0</v>
      </c>
      <c r="R889" s="2" t="inlineStr"/>
    </row>
    <row r="890" ht="15" customHeight="1">
      <c r="A890" t="inlineStr">
        <is>
          <t>A 29640-2021</t>
        </is>
      </c>
      <c r="B890" s="1" t="n">
        <v>44361</v>
      </c>
      <c r="C890" s="1" t="n">
        <v>46046</v>
      </c>
      <c r="D890" t="inlineStr">
        <is>
          <t>NORRBOTTENS LÄN</t>
        </is>
      </c>
      <c r="E890" t="inlineStr">
        <is>
          <t>PITEÅ</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22832-2022</t>
        </is>
      </c>
      <c r="B891" s="1" t="n">
        <v>44715</v>
      </c>
      <c r="C891" s="1" t="n">
        <v>46046</v>
      </c>
      <c r="D891" t="inlineStr">
        <is>
          <t>NORRBOTTENS LÄN</t>
        </is>
      </c>
      <c r="E891" t="inlineStr">
        <is>
          <t>ARVIDSJAUR</t>
        </is>
      </c>
      <c r="G891" t="n">
        <v>0.5</v>
      </c>
      <c r="H891" t="n">
        <v>0</v>
      </c>
      <c r="I891" t="n">
        <v>0</v>
      </c>
      <c r="J891" t="n">
        <v>0</v>
      </c>
      <c r="K891" t="n">
        <v>0</v>
      </c>
      <c r="L891" t="n">
        <v>0</v>
      </c>
      <c r="M891" t="n">
        <v>0</v>
      </c>
      <c r="N891" t="n">
        <v>0</v>
      </c>
      <c r="O891" t="n">
        <v>0</v>
      </c>
      <c r="P891" t="n">
        <v>0</v>
      </c>
      <c r="Q891" t="n">
        <v>0</v>
      </c>
      <c r="R891" s="2" t="inlineStr"/>
    </row>
    <row r="892" ht="15" customHeight="1">
      <c r="A892" t="inlineStr">
        <is>
          <t>A 22976-2022</t>
        </is>
      </c>
      <c r="B892" s="1" t="n">
        <v>44717</v>
      </c>
      <c r="C892" s="1" t="n">
        <v>46046</v>
      </c>
      <c r="D892" t="inlineStr">
        <is>
          <t>NORRBOTTENS LÄN</t>
        </is>
      </c>
      <c r="E892" t="inlineStr">
        <is>
          <t>ÖVERKALIX</t>
        </is>
      </c>
      <c r="G892" t="n">
        <v>2.8</v>
      </c>
      <c r="H892" t="n">
        <v>0</v>
      </c>
      <c r="I892" t="n">
        <v>0</v>
      </c>
      <c r="J892" t="n">
        <v>0</v>
      </c>
      <c r="K892" t="n">
        <v>0</v>
      </c>
      <c r="L892" t="n">
        <v>0</v>
      </c>
      <c r="M892" t="n">
        <v>0</v>
      </c>
      <c r="N892" t="n">
        <v>0</v>
      </c>
      <c r="O892" t="n">
        <v>0</v>
      </c>
      <c r="P892" t="n">
        <v>0</v>
      </c>
      <c r="Q892" t="n">
        <v>0</v>
      </c>
      <c r="R892" s="2" t="inlineStr"/>
    </row>
    <row r="893" ht="15" customHeight="1">
      <c r="A893" t="inlineStr">
        <is>
          <t>A 26179-2021</t>
        </is>
      </c>
      <c r="B893" s="1" t="n">
        <v>44344</v>
      </c>
      <c r="C893" s="1" t="n">
        <v>46046</v>
      </c>
      <c r="D893" t="inlineStr">
        <is>
          <t>NORRBOTTENS LÄN</t>
        </is>
      </c>
      <c r="E893" t="inlineStr">
        <is>
          <t>KALIX</t>
        </is>
      </c>
      <c r="G893" t="n">
        <v>1.7</v>
      </c>
      <c r="H893" t="n">
        <v>0</v>
      </c>
      <c r="I893" t="n">
        <v>0</v>
      </c>
      <c r="J893" t="n">
        <v>0</v>
      </c>
      <c r="K893" t="n">
        <v>0</v>
      </c>
      <c r="L893" t="n">
        <v>0</v>
      </c>
      <c r="M893" t="n">
        <v>0</v>
      </c>
      <c r="N893" t="n">
        <v>0</v>
      </c>
      <c r="O893" t="n">
        <v>0</v>
      </c>
      <c r="P893" t="n">
        <v>0</v>
      </c>
      <c r="Q893" t="n">
        <v>0</v>
      </c>
      <c r="R893" s="2" t="inlineStr"/>
    </row>
    <row r="894" ht="15" customHeight="1">
      <c r="A894" t="inlineStr">
        <is>
          <t>A 71921-2021</t>
        </is>
      </c>
      <c r="B894" s="1" t="n">
        <v>44543</v>
      </c>
      <c r="C894" s="1" t="n">
        <v>46046</v>
      </c>
      <c r="D894" t="inlineStr">
        <is>
          <t>NORRBOTTENS LÄN</t>
        </is>
      </c>
      <c r="E894" t="inlineStr">
        <is>
          <t>JOKKMOKK</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32108-2022</t>
        </is>
      </c>
      <c r="B895" s="1" t="n">
        <v>44778.92490740741</v>
      </c>
      <c r="C895" s="1" t="n">
        <v>46046</v>
      </c>
      <c r="D895" t="inlineStr">
        <is>
          <t>NORRBOTTENS LÄN</t>
        </is>
      </c>
      <c r="E895" t="inlineStr">
        <is>
          <t>LULEÅ</t>
        </is>
      </c>
      <c r="G895" t="n">
        <v>0.9</v>
      </c>
      <c r="H895" t="n">
        <v>0</v>
      </c>
      <c r="I895" t="n">
        <v>0</v>
      </c>
      <c r="J895" t="n">
        <v>0</v>
      </c>
      <c r="K895" t="n">
        <v>0</v>
      </c>
      <c r="L895" t="n">
        <v>0</v>
      </c>
      <c r="M895" t="n">
        <v>0</v>
      </c>
      <c r="N895" t="n">
        <v>0</v>
      </c>
      <c r="O895" t="n">
        <v>0</v>
      </c>
      <c r="P895" t="n">
        <v>0</v>
      </c>
      <c r="Q895" t="n">
        <v>0</v>
      </c>
      <c r="R895" s="2" t="inlineStr"/>
    </row>
    <row r="896" ht="15" customHeight="1">
      <c r="A896" t="inlineStr">
        <is>
          <t>A 71944-2021</t>
        </is>
      </c>
      <c r="B896" s="1" t="n">
        <v>44543</v>
      </c>
      <c r="C896" s="1" t="n">
        <v>46046</v>
      </c>
      <c r="D896" t="inlineStr">
        <is>
          <t>NORRBOTTENS LÄN</t>
        </is>
      </c>
      <c r="E896" t="inlineStr">
        <is>
          <t>JOKKMOKK</t>
        </is>
      </c>
      <c r="G896" t="n">
        <v>1.2</v>
      </c>
      <c r="H896" t="n">
        <v>0</v>
      </c>
      <c r="I896" t="n">
        <v>0</v>
      </c>
      <c r="J896" t="n">
        <v>0</v>
      </c>
      <c r="K896" t="n">
        <v>0</v>
      </c>
      <c r="L896" t="n">
        <v>0</v>
      </c>
      <c r="M896" t="n">
        <v>0</v>
      </c>
      <c r="N896" t="n">
        <v>0</v>
      </c>
      <c r="O896" t="n">
        <v>0</v>
      </c>
      <c r="P896" t="n">
        <v>0</v>
      </c>
      <c r="Q896" t="n">
        <v>0</v>
      </c>
      <c r="R896" s="2" t="inlineStr"/>
    </row>
    <row r="897" ht="15" customHeight="1">
      <c r="A897" t="inlineStr">
        <is>
          <t>A 73645-2021</t>
        </is>
      </c>
      <c r="B897" s="1" t="n">
        <v>44550</v>
      </c>
      <c r="C897" s="1" t="n">
        <v>46046</v>
      </c>
      <c r="D897" t="inlineStr">
        <is>
          <t>NORRBOTTENS LÄN</t>
        </is>
      </c>
      <c r="E897" t="inlineStr">
        <is>
          <t>LULEÅ</t>
        </is>
      </c>
      <c r="G897" t="n">
        <v>1</v>
      </c>
      <c r="H897" t="n">
        <v>0</v>
      </c>
      <c r="I897" t="n">
        <v>0</v>
      </c>
      <c r="J897" t="n">
        <v>0</v>
      </c>
      <c r="K897" t="n">
        <v>0</v>
      </c>
      <c r="L897" t="n">
        <v>0</v>
      </c>
      <c r="M897" t="n">
        <v>0</v>
      </c>
      <c r="N897" t="n">
        <v>0</v>
      </c>
      <c r="O897" t="n">
        <v>0</v>
      </c>
      <c r="P897" t="n">
        <v>0</v>
      </c>
      <c r="Q897" t="n">
        <v>0</v>
      </c>
      <c r="R897" s="2" t="inlineStr"/>
    </row>
    <row r="898" ht="15" customHeight="1">
      <c r="A898" t="inlineStr">
        <is>
          <t>A 73648-2021</t>
        </is>
      </c>
      <c r="B898" s="1" t="n">
        <v>44552.44517361111</v>
      </c>
      <c r="C898" s="1" t="n">
        <v>46046</v>
      </c>
      <c r="D898" t="inlineStr">
        <is>
          <t>NORRBOTTENS LÄN</t>
        </is>
      </c>
      <c r="E898" t="inlineStr">
        <is>
          <t>ÄLVSBYN</t>
        </is>
      </c>
      <c r="G898" t="n">
        <v>1</v>
      </c>
      <c r="H898" t="n">
        <v>0</v>
      </c>
      <c r="I898" t="n">
        <v>0</v>
      </c>
      <c r="J898" t="n">
        <v>0</v>
      </c>
      <c r="K898" t="n">
        <v>0</v>
      </c>
      <c r="L898" t="n">
        <v>0</v>
      </c>
      <c r="M898" t="n">
        <v>0</v>
      </c>
      <c r="N898" t="n">
        <v>0</v>
      </c>
      <c r="O898" t="n">
        <v>0</v>
      </c>
      <c r="P898" t="n">
        <v>0</v>
      </c>
      <c r="Q898" t="n">
        <v>0</v>
      </c>
      <c r="R898" s="2" t="inlineStr"/>
    </row>
    <row r="899" ht="15" customHeight="1">
      <c r="A899" t="inlineStr">
        <is>
          <t>A 27136-2021</t>
        </is>
      </c>
      <c r="B899" s="1" t="n">
        <v>44350</v>
      </c>
      <c r="C899" s="1" t="n">
        <v>46046</v>
      </c>
      <c r="D899" t="inlineStr">
        <is>
          <t>NORRBOTTENS LÄN</t>
        </is>
      </c>
      <c r="E899" t="inlineStr">
        <is>
          <t>BODEN</t>
        </is>
      </c>
      <c r="G899" t="n">
        <v>0.4</v>
      </c>
      <c r="H899" t="n">
        <v>0</v>
      </c>
      <c r="I899" t="n">
        <v>0</v>
      </c>
      <c r="J899" t="n">
        <v>0</v>
      </c>
      <c r="K899" t="n">
        <v>0</v>
      </c>
      <c r="L899" t="n">
        <v>0</v>
      </c>
      <c r="M899" t="n">
        <v>0</v>
      </c>
      <c r="N899" t="n">
        <v>0</v>
      </c>
      <c r="O899" t="n">
        <v>0</v>
      </c>
      <c r="P899" t="n">
        <v>0</v>
      </c>
      <c r="Q899" t="n">
        <v>0</v>
      </c>
      <c r="R899" s="2" t="inlineStr"/>
    </row>
    <row r="900" ht="15" customHeight="1">
      <c r="A900" t="inlineStr">
        <is>
          <t>A 52188-2022</t>
        </is>
      </c>
      <c r="B900" s="1" t="n">
        <v>44868</v>
      </c>
      <c r="C900" s="1" t="n">
        <v>46046</v>
      </c>
      <c r="D900" t="inlineStr">
        <is>
          <t>NORRBOTTENS LÄN</t>
        </is>
      </c>
      <c r="E900" t="inlineStr">
        <is>
          <t>LULEÅ</t>
        </is>
      </c>
      <c r="G900" t="n">
        <v>0.3</v>
      </c>
      <c r="H900" t="n">
        <v>0</v>
      </c>
      <c r="I900" t="n">
        <v>0</v>
      </c>
      <c r="J900" t="n">
        <v>0</v>
      </c>
      <c r="K900" t="n">
        <v>0</v>
      </c>
      <c r="L900" t="n">
        <v>0</v>
      </c>
      <c r="M900" t="n">
        <v>0</v>
      </c>
      <c r="N900" t="n">
        <v>0</v>
      </c>
      <c r="O900" t="n">
        <v>0</v>
      </c>
      <c r="P900" t="n">
        <v>0</v>
      </c>
      <c r="Q900" t="n">
        <v>0</v>
      </c>
      <c r="R900" s="2" t="inlineStr"/>
    </row>
    <row r="901" ht="15" customHeight="1">
      <c r="A901" t="inlineStr">
        <is>
          <t>A 61594-2021</t>
        </is>
      </c>
      <c r="B901" s="1" t="n">
        <v>44497</v>
      </c>
      <c r="C901" s="1" t="n">
        <v>46046</v>
      </c>
      <c r="D901" t="inlineStr">
        <is>
          <t>NORRBOTTENS LÄN</t>
        </is>
      </c>
      <c r="E901" t="inlineStr">
        <is>
          <t>KALIX</t>
        </is>
      </c>
      <c r="G901" t="n">
        <v>0.5</v>
      </c>
      <c r="H901" t="n">
        <v>0</v>
      </c>
      <c r="I901" t="n">
        <v>0</v>
      </c>
      <c r="J901" t="n">
        <v>0</v>
      </c>
      <c r="K901" t="n">
        <v>0</v>
      </c>
      <c r="L901" t="n">
        <v>0</v>
      </c>
      <c r="M901" t="n">
        <v>0</v>
      </c>
      <c r="N901" t="n">
        <v>0</v>
      </c>
      <c r="O901" t="n">
        <v>0</v>
      </c>
      <c r="P901" t="n">
        <v>0</v>
      </c>
      <c r="Q901" t="n">
        <v>0</v>
      </c>
      <c r="R901" s="2" t="inlineStr"/>
    </row>
    <row r="902" ht="15" customHeight="1">
      <c r="A902" t="inlineStr">
        <is>
          <t>A 59483-2021</t>
        </is>
      </c>
      <c r="B902" s="1" t="n">
        <v>44491.52248842592</v>
      </c>
      <c r="C902" s="1" t="n">
        <v>46046</v>
      </c>
      <c r="D902" t="inlineStr">
        <is>
          <t>NORRBOTTENS LÄN</t>
        </is>
      </c>
      <c r="E902" t="inlineStr">
        <is>
          <t>ÄLVSBYN</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59487-2021</t>
        </is>
      </c>
      <c r="B903" s="1" t="n">
        <v>44491</v>
      </c>
      <c r="C903" s="1" t="n">
        <v>46046</v>
      </c>
      <c r="D903" t="inlineStr">
        <is>
          <t>NORRBOTTENS LÄN</t>
        </is>
      </c>
      <c r="E903" t="inlineStr">
        <is>
          <t>ÄLVSBYN</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70321-2021</t>
        </is>
      </c>
      <c r="B904" s="1" t="n">
        <v>44536</v>
      </c>
      <c r="C904" s="1" t="n">
        <v>46046</v>
      </c>
      <c r="D904" t="inlineStr">
        <is>
          <t>NORRBOTTENS LÄN</t>
        </is>
      </c>
      <c r="E904" t="inlineStr">
        <is>
          <t>HAPARANDA</t>
        </is>
      </c>
      <c r="G904" t="n">
        <v>2</v>
      </c>
      <c r="H904" t="n">
        <v>0</v>
      </c>
      <c r="I904" t="n">
        <v>0</v>
      </c>
      <c r="J904" t="n">
        <v>0</v>
      </c>
      <c r="K904" t="n">
        <v>0</v>
      </c>
      <c r="L904" t="n">
        <v>0</v>
      </c>
      <c r="M904" t="n">
        <v>0</v>
      </c>
      <c r="N904" t="n">
        <v>0</v>
      </c>
      <c r="O904" t="n">
        <v>0</v>
      </c>
      <c r="P904" t="n">
        <v>0</v>
      </c>
      <c r="Q904" t="n">
        <v>0</v>
      </c>
      <c r="R904" s="2" t="inlineStr"/>
    </row>
    <row r="905" ht="15" customHeight="1">
      <c r="A905" t="inlineStr">
        <is>
          <t>A 46067-2022</t>
        </is>
      </c>
      <c r="B905" s="1" t="n">
        <v>44845</v>
      </c>
      <c r="C905" s="1" t="n">
        <v>46046</v>
      </c>
      <c r="D905" t="inlineStr">
        <is>
          <t>NORRBOTTENS LÄN</t>
        </is>
      </c>
      <c r="E905" t="inlineStr">
        <is>
          <t>ARVIDSJAUR</t>
        </is>
      </c>
      <c r="G905" t="n">
        <v>0.9</v>
      </c>
      <c r="H905" t="n">
        <v>0</v>
      </c>
      <c r="I905" t="n">
        <v>0</v>
      </c>
      <c r="J905" t="n">
        <v>0</v>
      </c>
      <c r="K905" t="n">
        <v>0</v>
      </c>
      <c r="L905" t="n">
        <v>0</v>
      </c>
      <c r="M905" t="n">
        <v>0</v>
      </c>
      <c r="N905" t="n">
        <v>0</v>
      </c>
      <c r="O905" t="n">
        <v>0</v>
      </c>
      <c r="P905" t="n">
        <v>0</v>
      </c>
      <c r="Q905" t="n">
        <v>0</v>
      </c>
      <c r="R905" s="2" t="inlineStr"/>
    </row>
    <row r="906" ht="15" customHeight="1">
      <c r="A906" t="inlineStr">
        <is>
          <t>A 41827-2021</t>
        </is>
      </c>
      <c r="B906" s="1" t="n">
        <v>44425.921875</v>
      </c>
      <c r="C906" s="1" t="n">
        <v>46046</v>
      </c>
      <c r="D906" t="inlineStr">
        <is>
          <t>NORRBOTTENS LÄN</t>
        </is>
      </c>
      <c r="E906" t="inlineStr">
        <is>
          <t>PAJALA</t>
        </is>
      </c>
      <c r="G906" t="n">
        <v>2.3</v>
      </c>
      <c r="H906" t="n">
        <v>0</v>
      </c>
      <c r="I906" t="n">
        <v>0</v>
      </c>
      <c r="J906" t="n">
        <v>0</v>
      </c>
      <c r="K906" t="n">
        <v>0</v>
      </c>
      <c r="L906" t="n">
        <v>0</v>
      </c>
      <c r="M906" t="n">
        <v>0</v>
      </c>
      <c r="N906" t="n">
        <v>0</v>
      </c>
      <c r="O906" t="n">
        <v>0</v>
      </c>
      <c r="P906" t="n">
        <v>0</v>
      </c>
      <c r="Q906" t="n">
        <v>0</v>
      </c>
      <c r="R906" s="2" t="inlineStr"/>
    </row>
    <row r="907" ht="15" customHeight="1">
      <c r="A907" t="inlineStr">
        <is>
          <t>A 37551-2021</t>
        </is>
      </c>
      <c r="B907" s="1" t="n">
        <v>44399</v>
      </c>
      <c r="C907" s="1" t="n">
        <v>46046</v>
      </c>
      <c r="D907" t="inlineStr">
        <is>
          <t>NORRBOTTENS LÄN</t>
        </is>
      </c>
      <c r="E907" t="inlineStr">
        <is>
          <t>GÄLLIVARE</t>
        </is>
      </c>
      <c r="G907" t="n">
        <v>0.6</v>
      </c>
      <c r="H907" t="n">
        <v>0</v>
      </c>
      <c r="I907" t="n">
        <v>0</v>
      </c>
      <c r="J907" t="n">
        <v>0</v>
      </c>
      <c r="K907" t="n">
        <v>0</v>
      </c>
      <c r="L907" t="n">
        <v>0</v>
      </c>
      <c r="M907" t="n">
        <v>0</v>
      </c>
      <c r="N907" t="n">
        <v>0</v>
      </c>
      <c r="O907" t="n">
        <v>0</v>
      </c>
      <c r="P907" t="n">
        <v>0</v>
      </c>
      <c r="Q907" t="n">
        <v>0</v>
      </c>
      <c r="R907" s="2" t="inlineStr"/>
    </row>
    <row r="908" ht="15" customHeight="1">
      <c r="A908" t="inlineStr">
        <is>
          <t>A 45205-2022</t>
        </is>
      </c>
      <c r="B908" s="1" t="n">
        <v>44840</v>
      </c>
      <c r="C908" s="1" t="n">
        <v>46046</v>
      </c>
      <c r="D908" t="inlineStr">
        <is>
          <t>NORRBOTTENS LÄN</t>
        </is>
      </c>
      <c r="E908" t="inlineStr">
        <is>
          <t>KIRUNA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30005-2022</t>
        </is>
      </c>
      <c r="B909" s="1" t="n">
        <v>44756</v>
      </c>
      <c r="C909" s="1" t="n">
        <v>46046</v>
      </c>
      <c r="D909" t="inlineStr">
        <is>
          <t>NORRBOTTENS LÄN</t>
        </is>
      </c>
      <c r="E909" t="inlineStr">
        <is>
          <t>KALIX</t>
        </is>
      </c>
      <c r="G909" t="n">
        <v>8.1</v>
      </c>
      <c r="H909" t="n">
        <v>0</v>
      </c>
      <c r="I909" t="n">
        <v>0</v>
      </c>
      <c r="J909" t="n">
        <v>0</v>
      </c>
      <c r="K909" t="n">
        <v>0</v>
      </c>
      <c r="L909" t="n">
        <v>0</v>
      </c>
      <c r="M909" t="n">
        <v>0</v>
      </c>
      <c r="N909" t="n">
        <v>0</v>
      </c>
      <c r="O909" t="n">
        <v>0</v>
      </c>
      <c r="P909" t="n">
        <v>0</v>
      </c>
      <c r="Q909" t="n">
        <v>0</v>
      </c>
      <c r="R909" s="2" t="inlineStr"/>
    </row>
    <row r="910" ht="15" customHeight="1">
      <c r="A910" t="inlineStr">
        <is>
          <t>A 49886-2022</t>
        </is>
      </c>
      <c r="B910" s="1" t="n">
        <v>44864.66456018519</v>
      </c>
      <c r="C910" s="1" t="n">
        <v>46046</v>
      </c>
      <c r="D910" t="inlineStr">
        <is>
          <t>NORRBOTTENS LÄN</t>
        </is>
      </c>
      <c r="E910" t="inlineStr">
        <is>
          <t>ÖVERTORNEÅ</t>
        </is>
      </c>
      <c r="G910" t="n">
        <v>2</v>
      </c>
      <c r="H910" t="n">
        <v>0</v>
      </c>
      <c r="I910" t="n">
        <v>0</v>
      </c>
      <c r="J910" t="n">
        <v>0</v>
      </c>
      <c r="K910" t="n">
        <v>0</v>
      </c>
      <c r="L910" t="n">
        <v>0</v>
      </c>
      <c r="M910" t="n">
        <v>0</v>
      </c>
      <c r="N910" t="n">
        <v>0</v>
      </c>
      <c r="O910" t="n">
        <v>0</v>
      </c>
      <c r="P910" t="n">
        <v>0</v>
      </c>
      <c r="Q910" t="n">
        <v>0</v>
      </c>
      <c r="R910" s="2" t="inlineStr"/>
    </row>
    <row r="911" ht="15" customHeight="1">
      <c r="A911" t="inlineStr">
        <is>
          <t>A 2097-2022</t>
        </is>
      </c>
      <c r="B911" s="1" t="n">
        <v>44577.69899305556</v>
      </c>
      <c r="C911" s="1" t="n">
        <v>46046</v>
      </c>
      <c r="D911" t="inlineStr">
        <is>
          <t>NORRBOTTENS LÄN</t>
        </is>
      </c>
      <c r="E911" t="inlineStr">
        <is>
          <t>KALIX</t>
        </is>
      </c>
      <c r="G911" t="n">
        <v>0.1</v>
      </c>
      <c r="H911" t="n">
        <v>0</v>
      </c>
      <c r="I911" t="n">
        <v>0</v>
      </c>
      <c r="J911" t="n">
        <v>0</v>
      </c>
      <c r="K911" t="n">
        <v>0</v>
      </c>
      <c r="L911" t="n">
        <v>0</v>
      </c>
      <c r="M911" t="n">
        <v>0</v>
      </c>
      <c r="N911" t="n">
        <v>0</v>
      </c>
      <c r="O911" t="n">
        <v>0</v>
      </c>
      <c r="P911" t="n">
        <v>0</v>
      </c>
      <c r="Q911" t="n">
        <v>0</v>
      </c>
      <c r="R911" s="2" t="inlineStr"/>
    </row>
    <row r="912" ht="15" customHeight="1">
      <c r="A912" t="inlineStr">
        <is>
          <t>A 29706-2022</t>
        </is>
      </c>
      <c r="B912" s="1" t="n">
        <v>44755.41444444445</v>
      </c>
      <c r="C912" s="1" t="n">
        <v>46046</v>
      </c>
      <c r="D912" t="inlineStr">
        <is>
          <t>NORRBOTTENS LÄN</t>
        </is>
      </c>
      <c r="E912" t="inlineStr">
        <is>
          <t>ÖVERKALIX</t>
        </is>
      </c>
      <c r="F912" t="inlineStr">
        <is>
          <t>Sveaskog</t>
        </is>
      </c>
      <c r="G912" t="n">
        <v>3.3</v>
      </c>
      <c r="H912" t="n">
        <v>0</v>
      </c>
      <c r="I912" t="n">
        <v>0</v>
      </c>
      <c r="J912" t="n">
        <v>0</v>
      </c>
      <c r="K912" t="n">
        <v>0</v>
      </c>
      <c r="L912" t="n">
        <v>0</v>
      </c>
      <c r="M912" t="n">
        <v>0</v>
      </c>
      <c r="N912" t="n">
        <v>0</v>
      </c>
      <c r="O912" t="n">
        <v>0</v>
      </c>
      <c r="P912" t="n">
        <v>0</v>
      </c>
      <c r="Q912" t="n">
        <v>0</v>
      </c>
      <c r="R912" s="2" t="inlineStr"/>
      <c r="U912">
        <f>HYPERLINK("https://klasma.github.io/Logging_2513/knärot/A 29706-2022 karta knärot.png", "A 29706-2022")</f>
        <v/>
      </c>
      <c r="V912">
        <f>HYPERLINK("https://klasma.github.io/Logging_2513/klagomål/A 29706-2022 FSC-klagomål.docx", "A 29706-2022")</f>
        <v/>
      </c>
      <c r="W912">
        <f>HYPERLINK("https://klasma.github.io/Logging_2513/klagomålsmail/A 29706-2022 FSC-klagomål mail.docx", "A 29706-2022")</f>
        <v/>
      </c>
      <c r="X912">
        <f>HYPERLINK("https://klasma.github.io/Logging_2513/tillsyn/A 29706-2022 tillsynsbegäran.docx", "A 29706-2022")</f>
        <v/>
      </c>
      <c r="Y912">
        <f>HYPERLINK("https://klasma.github.io/Logging_2513/tillsynsmail/A 29706-2022 tillsynsbegäran mail.docx", "A 29706-2022")</f>
        <v/>
      </c>
    </row>
    <row r="913" ht="15" customHeight="1">
      <c r="A913" t="inlineStr">
        <is>
          <t>A 49845-2022</t>
        </is>
      </c>
      <c r="B913" s="1" t="n">
        <v>44862</v>
      </c>
      <c r="C913" s="1" t="n">
        <v>46046</v>
      </c>
      <c r="D913" t="inlineStr">
        <is>
          <t>NORRBOTTENS LÄN</t>
        </is>
      </c>
      <c r="E913" t="inlineStr">
        <is>
          <t>KALIX</t>
        </is>
      </c>
      <c r="G913" t="n">
        <v>4</v>
      </c>
      <c r="H913" t="n">
        <v>0</v>
      </c>
      <c r="I913" t="n">
        <v>0</v>
      </c>
      <c r="J913" t="n">
        <v>0</v>
      </c>
      <c r="K913" t="n">
        <v>0</v>
      </c>
      <c r="L913" t="n">
        <v>0</v>
      </c>
      <c r="M913" t="n">
        <v>0</v>
      </c>
      <c r="N913" t="n">
        <v>0</v>
      </c>
      <c r="O913" t="n">
        <v>0</v>
      </c>
      <c r="P913" t="n">
        <v>0</v>
      </c>
      <c r="Q913" t="n">
        <v>0</v>
      </c>
      <c r="R913" s="2" t="inlineStr"/>
    </row>
    <row r="914" ht="15" customHeight="1">
      <c r="A914" t="inlineStr">
        <is>
          <t>A 42787-2021</t>
        </is>
      </c>
      <c r="B914" s="1" t="n">
        <v>44428</v>
      </c>
      <c r="C914" s="1" t="n">
        <v>46046</v>
      </c>
      <c r="D914" t="inlineStr">
        <is>
          <t>NORRBOTTENS LÄN</t>
        </is>
      </c>
      <c r="E914" t="inlineStr">
        <is>
          <t>PITEÅ</t>
        </is>
      </c>
      <c r="G914" t="n">
        <v>18.3</v>
      </c>
      <c r="H914" t="n">
        <v>0</v>
      </c>
      <c r="I914" t="n">
        <v>0</v>
      </c>
      <c r="J914" t="n">
        <v>0</v>
      </c>
      <c r="K914" t="n">
        <v>0</v>
      </c>
      <c r="L914" t="n">
        <v>0</v>
      </c>
      <c r="M914" t="n">
        <v>0</v>
      </c>
      <c r="N914" t="n">
        <v>0</v>
      </c>
      <c r="O914" t="n">
        <v>0</v>
      </c>
      <c r="P914" t="n">
        <v>0</v>
      </c>
      <c r="Q914" t="n">
        <v>0</v>
      </c>
      <c r="R914" s="2" t="inlineStr"/>
    </row>
    <row r="915" ht="15" customHeight="1">
      <c r="A915" t="inlineStr">
        <is>
          <t>A 6907-2022</t>
        </is>
      </c>
      <c r="B915" s="1" t="n">
        <v>44602.92184027778</v>
      </c>
      <c r="C915" s="1" t="n">
        <v>46046</v>
      </c>
      <c r="D915" t="inlineStr">
        <is>
          <t>NORRBOTTENS LÄN</t>
        </is>
      </c>
      <c r="E915" t="inlineStr">
        <is>
          <t>ÖVERKALIX</t>
        </is>
      </c>
      <c r="G915" t="n">
        <v>0.5</v>
      </c>
      <c r="H915" t="n">
        <v>0</v>
      </c>
      <c r="I915" t="n">
        <v>0</v>
      </c>
      <c r="J915" t="n">
        <v>0</v>
      </c>
      <c r="K915" t="n">
        <v>0</v>
      </c>
      <c r="L915" t="n">
        <v>0</v>
      </c>
      <c r="M915" t="n">
        <v>0</v>
      </c>
      <c r="N915" t="n">
        <v>0</v>
      </c>
      <c r="O915" t="n">
        <v>0</v>
      </c>
      <c r="P915" t="n">
        <v>0</v>
      </c>
      <c r="Q915" t="n">
        <v>0</v>
      </c>
      <c r="R915" s="2" t="inlineStr"/>
    </row>
    <row r="916" ht="15" customHeight="1">
      <c r="A916" t="inlineStr">
        <is>
          <t>A 6913-2022</t>
        </is>
      </c>
      <c r="B916" s="1" t="n">
        <v>44602.93728009259</v>
      </c>
      <c r="C916" s="1" t="n">
        <v>46046</v>
      </c>
      <c r="D916" t="inlineStr">
        <is>
          <t>NORRBOTTENS LÄN</t>
        </is>
      </c>
      <c r="E916" t="inlineStr">
        <is>
          <t>PAJALA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70413-2021</t>
        </is>
      </c>
      <c r="B917" s="1" t="n">
        <v>44536</v>
      </c>
      <c r="C917" s="1" t="n">
        <v>46046</v>
      </c>
      <c r="D917" t="inlineStr">
        <is>
          <t>NORRBOTTENS LÄN</t>
        </is>
      </c>
      <c r="E917" t="inlineStr">
        <is>
          <t>ÖVERTORNEÅ</t>
        </is>
      </c>
      <c r="G917" t="n">
        <v>11</v>
      </c>
      <c r="H917" t="n">
        <v>0</v>
      </c>
      <c r="I917" t="n">
        <v>0</v>
      </c>
      <c r="J917" t="n">
        <v>0</v>
      </c>
      <c r="K917" t="n">
        <v>0</v>
      </c>
      <c r="L917" t="n">
        <v>0</v>
      </c>
      <c r="M917" t="n">
        <v>0</v>
      </c>
      <c r="N917" t="n">
        <v>0</v>
      </c>
      <c r="O917" t="n">
        <v>0</v>
      </c>
      <c r="P917" t="n">
        <v>0</v>
      </c>
      <c r="Q917" t="n">
        <v>0</v>
      </c>
      <c r="R917" s="2" t="inlineStr"/>
    </row>
    <row r="918" ht="15" customHeight="1">
      <c r="A918" t="inlineStr">
        <is>
          <t>A 29730-2021</t>
        </is>
      </c>
      <c r="B918" s="1" t="n">
        <v>44362</v>
      </c>
      <c r="C918" s="1" t="n">
        <v>46046</v>
      </c>
      <c r="D918" t="inlineStr">
        <is>
          <t>NORRBOTTENS LÄN</t>
        </is>
      </c>
      <c r="E918" t="inlineStr">
        <is>
          <t>LULEÅ</t>
        </is>
      </c>
      <c r="F918" t="inlineStr">
        <is>
          <t>Kyrkan</t>
        </is>
      </c>
      <c r="G918" t="n">
        <v>1.5</v>
      </c>
      <c r="H918" t="n">
        <v>0</v>
      </c>
      <c r="I918" t="n">
        <v>0</v>
      </c>
      <c r="J918" t="n">
        <v>0</v>
      </c>
      <c r="K918" t="n">
        <v>0</v>
      </c>
      <c r="L918" t="n">
        <v>0</v>
      </c>
      <c r="M918" t="n">
        <v>0</v>
      </c>
      <c r="N918" t="n">
        <v>0</v>
      </c>
      <c r="O918" t="n">
        <v>0</v>
      </c>
      <c r="P918" t="n">
        <v>0</v>
      </c>
      <c r="Q918" t="n">
        <v>0</v>
      </c>
      <c r="R918" s="2" t="inlineStr"/>
    </row>
    <row r="919" ht="15" customHeight="1">
      <c r="A919" t="inlineStr">
        <is>
          <t>A 15246-2021</t>
        </is>
      </c>
      <c r="B919" s="1" t="n">
        <v>44284.52182870371</v>
      </c>
      <c r="C919" s="1" t="n">
        <v>46046</v>
      </c>
      <c r="D919" t="inlineStr">
        <is>
          <t>NORRBOTTENS LÄN</t>
        </is>
      </c>
      <c r="E919" t="inlineStr">
        <is>
          <t>ÖVERTORNEÅ</t>
        </is>
      </c>
      <c r="G919" t="n">
        <v>0.6</v>
      </c>
      <c r="H919" t="n">
        <v>0</v>
      </c>
      <c r="I919" t="n">
        <v>0</v>
      </c>
      <c r="J919" t="n">
        <v>0</v>
      </c>
      <c r="K919" t="n">
        <v>0</v>
      </c>
      <c r="L919" t="n">
        <v>0</v>
      </c>
      <c r="M919" t="n">
        <v>0</v>
      </c>
      <c r="N919" t="n">
        <v>0</v>
      </c>
      <c r="O919" t="n">
        <v>0</v>
      </c>
      <c r="P919" t="n">
        <v>0</v>
      </c>
      <c r="Q919" t="n">
        <v>0</v>
      </c>
      <c r="R919" s="2" t="inlineStr"/>
    </row>
    <row r="920" ht="15" customHeight="1">
      <c r="A920" t="inlineStr">
        <is>
          <t>A 49190-2022</t>
        </is>
      </c>
      <c r="B920" s="1" t="n">
        <v>44860.95458333333</v>
      </c>
      <c r="C920" s="1" t="n">
        <v>46046</v>
      </c>
      <c r="D920" t="inlineStr">
        <is>
          <t>NORRBOTTENS LÄN</t>
        </is>
      </c>
      <c r="E920" t="inlineStr">
        <is>
          <t>GÄLLIVARE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61112-2021</t>
        </is>
      </c>
      <c r="B921" s="1" t="n">
        <v>44498</v>
      </c>
      <c r="C921" s="1" t="n">
        <v>46046</v>
      </c>
      <c r="D921" t="inlineStr">
        <is>
          <t>NORRBOTTENS LÄN</t>
        </is>
      </c>
      <c r="E921" t="inlineStr">
        <is>
          <t>PITEÅ</t>
        </is>
      </c>
      <c r="G921" t="n">
        <v>0.4</v>
      </c>
      <c r="H921" t="n">
        <v>0</v>
      </c>
      <c r="I921" t="n">
        <v>0</v>
      </c>
      <c r="J921" t="n">
        <v>0</v>
      </c>
      <c r="K921" t="n">
        <v>0</v>
      </c>
      <c r="L921" t="n">
        <v>0</v>
      </c>
      <c r="M921" t="n">
        <v>0</v>
      </c>
      <c r="N921" t="n">
        <v>0</v>
      </c>
      <c r="O921" t="n">
        <v>0</v>
      </c>
      <c r="P921" t="n">
        <v>0</v>
      </c>
      <c r="Q921" t="n">
        <v>0</v>
      </c>
      <c r="R921" s="2" t="inlineStr"/>
    </row>
    <row r="922" ht="15" customHeight="1">
      <c r="A922" t="inlineStr">
        <is>
          <t>A 11259-2021</t>
        </is>
      </c>
      <c r="B922" s="1" t="n">
        <v>44260</v>
      </c>
      <c r="C922" s="1" t="n">
        <v>46046</v>
      </c>
      <c r="D922" t="inlineStr">
        <is>
          <t>NORRBOTTENS LÄN</t>
        </is>
      </c>
      <c r="E922" t="inlineStr">
        <is>
          <t>KIRUNA</t>
        </is>
      </c>
      <c r="G922" t="n">
        <v>11.7</v>
      </c>
      <c r="H922" t="n">
        <v>0</v>
      </c>
      <c r="I922" t="n">
        <v>0</v>
      </c>
      <c r="J922" t="n">
        <v>0</v>
      </c>
      <c r="K922" t="n">
        <v>0</v>
      </c>
      <c r="L922" t="n">
        <v>0</v>
      </c>
      <c r="M922" t="n">
        <v>0</v>
      </c>
      <c r="N922" t="n">
        <v>0</v>
      </c>
      <c r="O922" t="n">
        <v>0</v>
      </c>
      <c r="P922" t="n">
        <v>0</v>
      </c>
      <c r="Q922" t="n">
        <v>0</v>
      </c>
      <c r="R922" s="2" t="inlineStr"/>
    </row>
    <row r="923" ht="15" customHeight="1">
      <c r="A923" t="inlineStr">
        <is>
          <t>A 67272-2021</t>
        </is>
      </c>
      <c r="B923" s="1" t="n">
        <v>44523</v>
      </c>
      <c r="C923" s="1" t="n">
        <v>46046</v>
      </c>
      <c r="D923" t="inlineStr">
        <is>
          <t>NORRBOTTENS LÄN</t>
        </is>
      </c>
      <c r="E923" t="inlineStr">
        <is>
          <t>PAJALA</t>
        </is>
      </c>
      <c r="F923" t="inlineStr">
        <is>
          <t>Allmännings- och besparingsskogar</t>
        </is>
      </c>
      <c r="G923" t="n">
        <v>2.2</v>
      </c>
      <c r="H923" t="n">
        <v>0</v>
      </c>
      <c r="I923" t="n">
        <v>0</v>
      </c>
      <c r="J923" t="n">
        <v>0</v>
      </c>
      <c r="K923" t="n">
        <v>0</v>
      </c>
      <c r="L923" t="n">
        <v>0</v>
      </c>
      <c r="M923" t="n">
        <v>0</v>
      </c>
      <c r="N923" t="n">
        <v>0</v>
      </c>
      <c r="O923" t="n">
        <v>0</v>
      </c>
      <c r="P923" t="n">
        <v>0</v>
      </c>
      <c r="Q923" t="n">
        <v>0</v>
      </c>
      <c r="R923" s="2" t="inlineStr"/>
    </row>
    <row r="924" ht="15" customHeight="1">
      <c r="A924" t="inlineStr">
        <is>
          <t>A 27596-2021</t>
        </is>
      </c>
      <c r="B924" s="1" t="n">
        <v>44354.25563657407</v>
      </c>
      <c r="C924" s="1" t="n">
        <v>46046</v>
      </c>
      <c r="D924" t="inlineStr">
        <is>
          <t>NORRBOTTENS LÄN</t>
        </is>
      </c>
      <c r="E924" t="inlineStr">
        <is>
          <t>BODEN</t>
        </is>
      </c>
      <c r="F924" t="inlineStr">
        <is>
          <t>Sveaskog</t>
        </is>
      </c>
      <c r="G924" t="n">
        <v>4.6</v>
      </c>
      <c r="H924" t="n">
        <v>0</v>
      </c>
      <c r="I924" t="n">
        <v>0</v>
      </c>
      <c r="J924" t="n">
        <v>0</v>
      </c>
      <c r="K924" t="n">
        <v>0</v>
      </c>
      <c r="L924" t="n">
        <v>0</v>
      </c>
      <c r="M924" t="n">
        <v>0</v>
      </c>
      <c r="N924" t="n">
        <v>0</v>
      </c>
      <c r="O924" t="n">
        <v>0</v>
      </c>
      <c r="P924" t="n">
        <v>0</v>
      </c>
      <c r="Q924" t="n">
        <v>0</v>
      </c>
      <c r="R924" s="2" t="inlineStr"/>
    </row>
    <row r="925" ht="15" customHeight="1">
      <c r="A925" t="inlineStr">
        <is>
          <t>A 38188-2021</t>
        </is>
      </c>
      <c r="B925" s="1" t="n">
        <v>44405</v>
      </c>
      <c r="C925" s="1" t="n">
        <v>46046</v>
      </c>
      <c r="D925" t="inlineStr">
        <is>
          <t>NORRBOTTENS LÄN</t>
        </is>
      </c>
      <c r="E925" t="inlineStr">
        <is>
          <t>GÄLLIVARE</t>
        </is>
      </c>
      <c r="G925" t="n">
        <v>13</v>
      </c>
      <c r="H925" t="n">
        <v>0</v>
      </c>
      <c r="I925" t="n">
        <v>0</v>
      </c>
      <c r="J925" t="n">
        <v>0</v>
      </c>
      <c r="K925" t="n">
        <v>0</v>
      </c>
      <c r="L925" t="n">
        <v>0</v>
      </c>
      <c r="M925" t="n">
        <v>0</v>
      </c>
      <c r="N925" t="n">
        <v>0</v>
      </c>
      <c r="O925" t="n">
        <v>0</v>
      </c>
      <c r="P925" t="n">
        <v>0</v>
      </c>
      <c r="Q925" t="n">
        <v>0</v>
      </c>
      <c r="R925" s="2" t="inlineStr"/>
    </row>
    <row r="926" ht="15" customHeight="1">
      <c r="A926" t="inlineStr">
        <is>
          <t>A 50917-2021</t>
        </is>
      </c>
      <c r="B926" s="1" t="n">
        <v>44460</v>
      </c>
      <c r="C926" s="1" t="n">
        <v>46046</v>
      </c>
      <c r="D926" t="inlineStr">
        <is>
          <t>NORRBOTTENS LÄN</t>
        </is>
      </c>
      <c r="E926" t="inlineStr">
        <is>
          <t>ÄLVSBYN</t>
        </is>
      </c>
      <c r="G926" t="n">
        <v>3.9</v>
      </c>
      <c r="H926" t="n">
        <v>0</v>
      </c>
      <c r="I926" t="n">
        <v>0</v>
      </c>
      <c r="J926" t="n">
        <v>0</v>
      </c>
      <c r="K926" t="n">
        <v>0</v>
      </c>
      <c r="L926" t="n">
        <v>0</v>
      </c>
      <c r="M926" t="n">
        <v>0</v>
      </c>
      <c r="N926" t="n">
        <v>0</v>
      </c>
      <c r="O926" t="n">
        <v>0</v>
      </c>
      <c r="P926" t="n">
        <v>0</v>
      </c>
      <c r="Q926" t="n">
        <v>0</v>
      </c>
      <c r="R926" s="2" t="inlineStr"/>
    </row>
    <row r="927" ht="15" customHeight="1">
      <c r="A927" t="inlineStr">
        <is>
          <t>A 44853-2021</t>
        </is>
      </c>
      <c r="B927" s="1" t="n">
        <v>44438</v>
      </c>
      <c r="C927" s="1" t="n">
        <v>46046</v>
      </c>
      <c r="D927" t="inlineStr">
        <is>
          <t>NORRBOTTENS LÄN</t>
        </is>
      </c>
      <c r="E927" t="inlineStr">
        <is>
          <t>GÄLLIVARE</t>
        </is>
      </c>
      <c r="G927" t="n">
        <v>3.7</v>
      </c>
      <c r="H927" t="n">
        <v>0</v>
      </c>
      <c r="I927" t="n">
        <v>0</v>
      </c>
      <c r="J927" t="n">
        <v>0</v>
      </c>
      <c r="K927" t="n">
        <v>0</v>
      </c>
      <c r="L927" t="n">
        <v>0</v>
      </c>
      <c r="M927" t="n">
        <v>0</v>
      </c>
      <c r="N927" t="n">
        <v>0</v>
      </c>
      <c r="O927" t="n">
        <v>0</v>
      </c>
      <c r="P927" t="n">
        <v>0</v>
      </c>
      <c r="Q927" t="n">
        <v>0</v>
      </c>
      <c r="R927" s="2" t="inlineStr"/>
    </row>
    <row r="928" ht="15" customHeight="1">
      <c r="A928" t="inlineStr">
        <is>
          <t>A 11833-2022</t>
        </is>
      </c>
      <c r="B928" s="1" t="n">
        <v>44634</v>
      </c>
      <c r="C928" s="1" t="n">
        <v>46046</v>
      </c>
      <c r="D928" t="inlineStr">
        <is>
          <t>NORRBOTTENS LÄN</t>
        </is>
      </c>
      <c r="E928" t="inlineStr">
        <is>
          <t>LULEÅ</t>
        </is>
      </c>
      <c r="G928" t="n">
        <v>1.4</v>
      </c>
      <c r="H928" t="n">
        <v>0</v>
      </c>
      <c r="I928" t="n">
        <v>0</v>
      </c>
      <c r="J928" t="n">
        <v>0</v>
      </c>
      <c r="K928" t="n">
        <v>0</v>
      </c>
      <c r="L928" t="n">
        <v>0</v>
      </c>
      <c r="M928" t="n">
        <v>0</v>
      </c>
      <c r="N928" t="n">
        <v>0</v>
      </c>
      <c r="O928" t="n">
        <v>0</v>
      </c>
      <c r="P928" t="n">
        <v>0</v>
      </c>
      <c r="Q928" t="n">
        <v>0</v>
      </c>
      <c r="R928" s="2" t="inlineStr"/>
    </row>
    <row r="929" ht="15" customHeight="1">
      <c r="A929" t="inlineStr">
        <is>
          <t>A 48335-2021</t>
        </is>
      </c>
      <c r="B929" s="1" t="n">
        <v>44451</v>
      </c>
      <c r="C929" s="1" t="n">
        <v>46046</v>
      </c>
      <c r="D929" t="inlineStr">
        <is>
          <t>NORRBOTTENS LÄN</t>
        </is>
      </c>
      <c r="E929" t="inlineStr">
        <is>
          <t>PAJALA</t>
        </is>
      </c>
      <c r="G929" t="n">
        <v>0.9</v>
      </c>
      <c r="H929" t="n">
        <v>0</v>
      </c>
      <c r="I929" t="n">
        <v>0</v>
      </c>
      <c r="J929" t="n">
        <v>0</v>
      </c>
      <c r="K929" t="n">
        <v>0</v>
      </c>
      <c r="L929" t="n">
        <v>0</v>
      </c>
      <c r="M929" t="n">
        <v>0</v>
      </c>
      <c r="N929" t="n">
        <v>0</v>
      </c>
      <c r="O929" t="n">
        <v>0</v>
      </c>
      <c r="P929" t="n">
        <v>0</v>
      </c>
      <c r="Q929" t="n">
        <v>0</v>
      </c>
      <c r="R929" s="2" t="inlineStr"/>
    </row>
    <row r="930" ht="15" customHeight="1">
      <c r="A930" t="inlineStr">
        <is>
          <t>A 16530-2022</t>
        </is>
      </c>
      <c r="B930" s="1" t="n">
        <v>44671</v>
      </c>
      <c r="C930" s="1" t="n">
        <v>46046</v>
      </c>
      <c r="D930" t="inlineStr">
        <is>
          <t>NORRBOTTENS LÄN</t>
        </is>
      </c>
      <c r="E930" t="inlineStr">
        <is>
          <t>BODEN</t>
        </is>
      </c>
      <c r="G930" t="n">
        <v>8.9</v>
      </c>
      <c r="H930" t="n">
        <v>0</v>
      </c>
      <c r="I930" t="n">
        <v>0</v>
      </c>
      <c r="J930" t="n">
        <v>0</v>
      </c>
      <c r="K930" t="n">
        <v>0</v>
      </c>
      <c r="L930" t="n">
        <v>0</v>
      </c>
      <c r="M930" t="n">
        <v>0</v>
      </c>
      <c r="N930" t="n">
        <v>0</v>
      </c>
      <c r="O930" t="n">
        <v>0</v>
      </c>
      <c r="P930" t="n">
        <v>0</v>
      </c>
      <c r="Q930" t="n">
        <v>0</v>
      </c>
      <c r="R930" s="2" t="inlineStr"/>
    </row>
    <row r="931" ht="15" customHeight="1">
      <c r="A931" t="inlineStr">
        <is>
          <t>A 64384-2021</t>
        </is>
      </c>
      <c r="B931" s="1" t="n">
        <v>44511</v>
      </c>
      <c r="C931" s="1" t="n">
        <v>46046</v>
      </c>
      <c r="D931" t="inlineStr">
        <is>
          <t>NORRBOTTENS LÄN</t>
        </is>
      </c>
      <c r="E931" t="inlineStr">
        <is>
          <t>ARVIDSJAUR</t>
        </is>
      </c>
      <c r="G931" t="n">
        <v>6.9</v>
      </c>
      <c r="H931" t="n">
        <v>0</v>
      </c>
      <c r="I931" t="n">
        <v>0</v>
      </c>
      <c r="J931" t="n">
        <v>0</v>
      </c>
      <c r="K931" t="n">
        <v>0</v>
      </c>
      <c r="L931" t="n">
        <v>0</v>
      </c>
      <c r="M931" t="n">
        <v>0</v>
      </c>
      <c r="N931" t="n">
        <v>0</v>
      </c>
      <c r="O931" t="n">
        <v>0</v>
      </c>
      <c r="P931" t="n">
        <v>0</v>
      </c>
      <c r="Q931" t="n">
        <v>0</v>
      </c>
      <c r="R931" s="2" t="inlineStr"/>
    </row>
    <row r="932" ht="15" customHeight="1">
      <c r="A932" t="inlineStr">
        <is>
          <t>A 67103-2021</t>
        </is>
      </c>
      <c r="B932" s="1" t="n">
        <v>44522</v>
      </c>
      <c r="C932" s="1" t="n">
        <v>46046</v>
      </c>
      <c r="D932" t="inlineStr">
        <is>
          <t>NORRBOTTENS LÄN</t>
        </is>
      </c>
      <c r="E932" t="inlineStr">
        <is>
          <t>ÄLVSBYN</t>
        </is>
      </c>
      <c r="G932" t="n">
        <v>4</v>
      </c>
      <c r="H932" t="n">
        <v>0</v>
      </c>
      <c r="I932" t="n">
        <v>0</v>
      </c>
      <c r="J932" t="n">
        <v>0</v>
      </c>
      <c r="K932" t="n">
        <v>0</v>
      </c>
      <c r="L932" t="n">
        <v>0</v>
      </c>
      <c r="M932" t="n">
        <v>0</v>
      </c>
      <c r="N932" t="n">
        <v>0</v>
      </c>
      <c r="O932" t="n">
        <v>0</v>
      </c>
      <c r="P932" t="n">
        <v>0</v>
      </c>
      <c r="Q932" t="n">
        <v>0</v>
      </c>
      <c r="R932" s="2" t="inlineStr"/>
    </row>
    <row r="933" ht="15" customHeight="1">
      <c r="A933" t="inlineStr">
        <is>
          <t>A 48118-2022</t>
        </is>
      </c>
      <c r="B933" s="1" t="n">
        <v>44857.51459490741</v>
      </c>
      <c r="C933" s="1" t="n">
        <v>46046</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57958-2021</t>
        </is>
      </c>
      <c r="B934" s="1" t="n">
        <v>44487</v>
      </c>
      <c r="C934" s="1" t="n">
        <v>46046</v>
      </c>
      <c r="D934" t="inlineStr">
        <is>
          <t>NORRBOTTENS LÄN</t>
        </is>
      </c>
      <c r="E934" t="inlineStr">
        <is>
          <t>ARVIDSJAUR</t>
        </is>
      </c>
      <c r="F934" t="inlineStr">
        <is>
          <t>Sveaskog</t>
        </is>
      </c>
      <c r="G934" t="n">
        <v>5.5</v>
      </c>
      <c r="H934" t="n">
        <v>0</v>
      </c>
      <c r="I934" t="n">
        <v>0</v>
      </c>
      <c r="J934" t="n">
        <v>0</v>
      </c>
      <c r="K934" t="n">
        <v>0</v>
      </c>
      <c r="L934" t="n">
        <v>0</v>
      </c>
      <c r="M934" t="n">
        <v>0</v>
      </c>
      <c r="N934" t="n">
        <v>0</v>
      </c>
      <c r="O934" t="n">
        <v>0</v>
      </c>
      <c r="P934" t="n">
        <v>0</v>
      </c>
      <c r="Q934" t="n">
        <v>0</v>
      </c>
      <c r="R934" s="2" t="inlineStr"/>
    </row>
    <row r="935" ht="15" customHeight="1">
      <c r="A935" t="inlineStr">
        <is>
          <t>A 74231-2021</t>
        </is>
      </c>
      <c r="B935" s="1" t="n">
        <v>44553</v>
      </c>
      <c r="C935" s="1" t="n">
        <v>46046</v>
      </c>
      <c r="D935" t="inlineStr">
        <is>
          <t>NORRBOTTENS LÄN</t>
        </is>
      </c>
      <c r="E935" t="inlineStr">
        <is>
          <t>ÖVERTORNEÅ</t>
        </is>
      </c>
      <c r="G935" t="n">
        <v>5.5</v>
      </c>
      <c r="H935" t="n">
        <v>0</v>
      </c>
      <c r="I935" t="n">
        <v>0</v>
      </c>
      <c r="J935" t="n">
        <v>0</v>
      </c>
      <c r="K935" t="n">
        <v>0</v>
      </c>
      <c r="L935" t="n">
        <v>0</v>
      </c>
      <c r="M935" t="n">
        <v>0</v>
      </c>
      <c r="N935" t="n">
        <v>0</v>
      </c>
      <c r="O935" t="n">
        <v>0</v>
      </c>
      <c r="P935" t="n">
        <v>0</v>
      </c>
      <c r="Q935" t="n">
        <v>0</v>
      </c>
      <c r="R935" s="2" t="inlineStr"/>
    </row>
    <row r="936" ht="15" customHeight="1">
      <c r="A936" t="inlineStr">
        <is>
          <t>A 74232-2021</t>
        </is>
      </c>
      <c r="B936" s="1" t="n">
        <v>44553</v>
      </c>
      <c r="C936" s="1" t="n">
        <v>46046</v>
      </c>
      <c r="D936" t="inlineStr">
        <is>
          <t>NORRBOTTENS LÄN</t>
        </is>
      </c>
      <c r="E936" t="inlineStr">
        <is>
          <t>ÖVERTORNEÅ</t>
        </is>
      </c>
      <c r="G936" t="n">
        <v>8.4</v>
      </c>
      <c r="H936" t="n">
        <v>0</v>
      </c>
      <c r="I936" t="n">
        <v>0</v>
      </c>
      <c r="J936" t="n">
        <v>0</v>
      </c>
      <c r="K936" t="n">
        <v>0</v>
      </c>
      <c r="L936" t="n">
        <v>0</v>
      </c>
      <c r="M936" t="n">
        <v>0</v>
      </c>
      <c r="N936" t="n">
        <v>0</v>
      </c>
      <c r="O936" t="n">
        <v>0</v>
      </c>
      <c r="P936" t="n">
        <v>0</v>
      </c>
      <c r="Q936" t="n">
        <v>0</v>
      </c>
      <c r="R936" s="2" t="inlineStr"/>
    </row>
    <row r="937" ht="15" customHeight="1">
      <c r="A937" t="inlineStr">
        <is>
          <t>A 41691-2021</t>
        </is>
      </c>
      <c r="B937" s="1" t="n">
        <v>44424</v>
      </c>
      <c r="C937" s="1" t="n">
        <v>46046</v>
      </c>
      <c r="D937" t="inlineStr">
        <is>
          <t>NORRBOTTENS LÄN</t>
        </is>
      </c>
      <c r="E937" t="inlineStr">
        <is>
          <t>ÖVERKALIX</t>
        </is>
      </c>
      <c r="G937" t="n">
        <v>5</v>
      </c>
      <c r="H937" t="n">
        <v>0</v>
      </c>
      <c r="I937" t="n">
        <v>0</v>
      </c>
      <c r="J937" t="n">
        <v>0</v>
      </c>
      <c r="K937" t="n">
        <v>0</v>
      </c>
      <c r="L937" t="n">
        <v>0</v>
      </c>
      <c r="M937" t="n">
        <v>0</v>
      </c>
      <c r="N937" t="n">
        <v>0</v>
      </c>
      <c r="O937" t="n">
        <v>0</v>
      </c>
      <c r="P937" t="n">
        <v>0</v>
      </c>
      <c r="Q937" t="n">
        <v>0</v>
      </c>
      <c r="R937" s="2" t="inlineStr"/>
    </row>
    <row r="938" ht="15" customHeight="1">
      <c r="A938" t="inlineStr">
        <is>
          <t>A 58975-2021</t>
        </is>
      </c>
      <c r="B938" s="1" t="n">
        <v>44489.94650462963</v>
      </c>
      <c r="C938" s="1" t="n">
        <v>46046</v>
      </c>
      <c r="D938" t="inlineStr">
        <is>
          <t>NORRBOTTENS LÄN</t>
        </is>
      </c>
      <c r="E938" t="inlineStr">
        <is>
          <t>BODEN</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59049-2021</t>
        </is>
      </c>
      <c r="B939" s="1" t="n">
        <v>44490</v>
      </c>
      <c r="C939" s="1" t="n">
        <v>46046</v>
      </c>
      <c r="D939" t="inlineStr">
        <is>
          <t>NORRBOTTENS LÄN</t>
        </is>
      </c>
      <c r="E939" t="inlineStr">
        <is>
          <t>ARVIDSJAUR</t>
        </is>
      </c>
      <c r="F939" t="inlineStr">
        <is>
          <t>Sveaskog</t>
        </is>
      </c>
      <c r="G939" t="n">
        <v>6.8</v>
      </c>
      <c r="H939" t="n">
        <v>0</v>
      </c>
      <c r="I939" t="n">
        <v>0</v>
      </c>
      <c r="J939" t="n">
        <v>0</v>
      </c>
      <c r="K939" t="n">
        <v>0</v>
      </c>
      <c r="L939" t="n">
        <v>0</v>
      </c>
      <c r="M939" t="n">
        <v>0</v>
      </c>
      <c r="N939" t="n">
        <v>0</v>
      </c>
      <c r="O939" t="n">
        <v>0</v>
      </c>
      <c r="P939" t="n">
        <v>0</v>
      </c>
      <c r="Q939" t="n">
        <v>0</v>
      </c>
      <c r="R939" s="2" t="inlineStr"/>
    </row>
    <row r="940" ht="15" customHeight="1">
      <c r="A940" t="inlineStr">
        <is>
          <t>A 52713-2021</t>
        </is>
      </c>
      <c r="B940" s="1" t="n">
        <v>44466.93474537037</v>
      </c>
      <c r="C940" s="1" t="n">
        <v>46046</v>
      </c>
      <c r="D940" t="inlineStr">
        <is>
          <t>NORRBOTTENS LÄN</t>
        </is>
      </c>
      <c r="E940" t="inlineStr">
        <is>
          <t>ÖVERKALIX</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46046</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47629-2021</t>
        </is>
      </c>
      <c r="B942" s="1" t="n">
        <v>44448</v>
      </c>
      <c r="C942" s="1" t="n">
        <v>46046</v>
      </c>
      <c r="D942" t="inlineStr">
        <is>
          <t>NORRBOTTENS LÄN</t>
        </is>
      </c>
      <c r="E942" t="inlineStr">
        <is>
          <t>ÖVERKALIX</t>
        </is>
      </c>
      <c r="G942" t="n">
        <v>1.8</v>
      </c>
      <c r="H942" t="n">
        <v>0</v>
      </c>
      <c r="I942" t="n">
        <v>0</v>
      </c>
      <c r="J942" t="n">
        <v>0</v>
      </c>
      <c r="K942" t="n">
        <v>0</v>
      </c>
      <c r="L942" t="n">
        <v>0</v>
      </c>
      <c r="M942" t="n">
        <v>0</v>
      </c>
      <c r="N942" t="n">
        <v>0</v>
      </c>
      <c r="O942" t="n">
        <v>0</v>
      </c>
      <c r="P942" t="n">
        <v>0</v>
      </c>
      <c r="Q942" t="n">
        <v>0</v>
      </c>
      <c r="R942" s="2" t="inlineStr"/>
    </row>
    <row r="943" ht="15" customHeight="1">
      <c r="A943" t="inlineStr">
        <is>
          <t>A 19219-2022</t>
        </is>
      </c>
      <c r="B943" s="1" t="n">
        <v>44691</v>
      </c>
      <c r="C943" s="1" t="n">
        <v>46046</v>
      </c>
      <c r="D943" t="inlineStr">
        <is>
          <t>NORRBOTTENS LÄN</t>
        </is>
      </c>
      <c r="E943" t="inlineStr">
        <is>
          <t>PAJALA</t>
        </is>
      </c>
      <c r="G943" t="n">
        <v>1</v>
      </c>
      <c r="H943" t="n">
        <v>0</v>
      </c>
      <c r="I943" t="n">
        <v>0</v>
      </c>
      <c r="J943" t="n">
        <v>0</v>
      </c>
      <c r="K943" t="n">
        <v>0</v>
      </c>
      <c r="L943" t="n">
        <v>0</v>
      </c>
      <c r="M943" t="n">
        <v>0</v>
      </c>
      <c r="N943" t="n">
        <v>0</v>
      </c>
      <c r="O943" t="n">
        <v>0</v>
      </c>
      <c r="P943" t="n">
        <v>0</v>
      </c>
      <c r="Q943" t="n">
        <v>0</v>
      </c>
      <c r="R943" s="2" t="inlineStr"/>
    </row>
    <row r="944" ht="15" customHeight="1">
      <c r="A944" t="inlineStr">
        <is>
          <t>A 19227-2022</t>
        </is>
      </c>
      <c r="B944" s="1" t="n">
        <v>44691</v>
      </c>
      <c r="C944" s="1" t="n">
        <v>46046</v>
      </c>
      <c r="D944" t="inlineStr">
        <is>
          <t>NORRBOTTENS LÄN</t>
        </is>
      </c>
      <c r="E944" t="inlineStr">
        <is>
          <t>PAJALA</t>
        </is>
      </c>
      <c r="G944" t="n">
        <v>8.5</v>
      </c>
      <c r="H944" t="n">
        <v>0</v>
      </c>
      <c r="I944" t="n">
        <v>0</v>
      </c>
      <c r="J944" t="n">
        <v>0</v>
      </c>
      <c r="K944" t="n">
        <v>0</v>
      </c>
      <c r="L944" t="n">
        <v>0</v>
      </c>
      <c r="M944" t="n">
        <v>0</v>
      </c>
      <c r="N944" t="n">
        <v>0</v>
      </c>
      <c r="O944" t="n">
        <v>0</v>
      </c>
      <c r="P944" t="n">
        <v>0</v>
      </c>
      <c r="Q944" t="n">
        <v>0</v>
      </c>
      <c r="R944" s="2" t="inlineStr"/>
    </row>
    <row r="945" ht="15" customHeight="1">
      <c r="A945" t="inlineStr">
        <is>
          <t>A 19230-2022</t>
        </is>
      </c>
      <c r="B945" s="1" t="n">
        <v>44691</v>
      </c>
      <c r="C945" s="1" t="n">
        <v>46046</v>
      </c>
      <c r="D945" t="inlineStr">
        <is>
          <t>NORRBOTTENS LÄN</t>
        </is>
      </c>
      <c r="E945" t="inlineStr">
        <is>
          <t>PAJALA</t>
        </is>
      </c>
      <c r="G945" t="n">
        <v>18.7</v>
      </c>
      <c r="H945" t="n">
        <v>0</v>
      </c>
      <c r="I945" t="n">
        <v>0</v>
      </c>
      <c r="J945" t="n">
        <v>0</v>
      </c>
      <c r="K945" t="n">
        <v>0</v>
      </c>
      <c r="L945" t="n">
        <v>0</v>
      </c>
      <c r="M945" t="n">
        <v>0</v>
      </c>
      <c r="N945" t="n">
        <v>0</v>
      </c>
      <c r="O945" t="n">
        <v>0</v>
      </c>
      <c r="P945" t="n">
        <v>0</v>
      </c>
      <c r="Q945" t="n">
        <v>0</v>
      </c>
      <c r="R945" s="2" t="inlineStr"/>
    </row>
    <row r="946" ht="15" customHeight="1">
      <c r="A946" t="inlineStr">
        <is>
          <t>A 12010-2022</t>
        </is>
      </c>
      <c r="B946" s="1" t="n">
        <v>44635</v>
      </c>
      <c r="C946" s="1" t="n">
        <v>46046</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34471-2022</t>
        </is>
      </c>
      <c r="B947" s="1" t="n">
        <v>44792</v>
      </c>
      <c r="C947" s="1" t="n">
        <v>46046</v>
      </c>
      <c r="D947" t="inlineStr">
        <is>
          <t>NORRBOTTENS LÄN</t>
        </is>
      </c>
      <c r="E947" t="inlineStr">
        <is>
          <t>ARVIDSJAUR</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34474-2022</t>
        </is>
      </c>
      <c r="B948" s="1" t="n">
        <v>44792</v>
      </c>
      <c r="C948" s="1" t="n">
        <v>46046</v>
      </c>
      <c r="D948" t="inlineStr">
        <is>
          <t>NORRBOTTENS LÄN</t>
        </is>
      </c>
      <c r="E948" t="inlineStr">
        <is>
          <t>ARVIDSJAUR</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55226-2022</t>
        </is>
      </c>
      <c r="B949" s="1" t="n">
        <v>44886.96305555556</v>
      </c>
      <c r="C949" s="1" t="n">
        <v>46046</v>
      </c>
      <c r="D949" t="inlineStr">
        <is>
          <t>NORRBOTTENS LÄN</t>
        </is>
      </c>
      <c r="E949" t="inlineStr">
        <is>
          <t>GÄLLIVARE</t>
        </is>
      </c>
      <c r="F949" t="inlineStr">
        <is>
          <t>SCA</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16186-2022</t>
        </is>
      </c>
      <c r="B950" s="1" t="n">
        <v>44669</v>
      </c>
      <c r="C950" s="1" t="n">
        <v>46046</v>
      </c>
      <c r="D950" t="inlineStr">
        <is>
          <t>NORRBOTTENS LÄN</t>
        </is>
      </c>
      <c r="E950" t="inlineStr">
        <is>
          <t>KALIX</t>
        </is>
      </c>
      <c r="G950" t="n">
        <v>6.8</v>
      </c>
      <c r="H950" t="n">
        <v>0</v>
      </c>
      <c r="I950" t="n">
        <v>0</v>
      </c>
      <c r="J950" t="n">
        <v>0</v>
      </c>
      <c r="K950" t="n">
        <v>0</v>
      </c>
      <c r="L950" t="n">
        <v>0</v>
      </c>
      <c r="M950" t="n">
        <v>0</v>
      </c>
      <c r="N950" t="n">
        <v>0</v>
      </c>
      <c r="O950" t="n">
        <v>0</v>
      </c>
      <c r="P950" t="n">
        <v>0</v>
      </c>
      <c r="Q950" t="n">
        <v>0</v>
      </c>
      <c r="R950" s="2" t="inlineStr"/>
    </row>
    <row r="951" ht="15" customHeight="1">
      <c r="A951" t="inlineStr">
        <is>
          <t>A 49843-2022</t>
        </is>
      </c>
      <c r="B951" s="1" t="n">
        <v>44862</v>
      </c>
      <c r="C951" s="1" t="n">
        <v>46046</v>
      </c>
      <c r="D951" t="inlineStr">
        <is>
          <t>NORRBOTTENS LÄN</t>
        </is>
      </c>
      <c r="E951" t="inlineStr">
        <is>
          <t>ÖVERKALIX</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8358-2021</t>
        </is>
      </c>
      <c r="B952" s="1" t="n">
        <v>44244</v>
      </c>
      <c r="C952" s="1" t="n">
        <v>46046</v>
      </c>
      <c r="D952" t="inlineStr">
        <is>
          <t>NORRBOTTENS LÄN</t>
        </is>
      </c>
      <c r="E952" t="inlineStr">
        <is>
          <t>JOKKMOKK</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31977-2022</t>
        </is>
      </c>
      <c r="B953" s="1" t="n">
        <v>44777</v>
      </c>
      <c r="C953" s="1" t="n">
        <v>46046</v>
      </c>
      <c r="D953" t="inlineStr">
        <is>
          <t>NORRBOTTENS LÄN</t>
        </is>
      </c>
      <c r="E953" t="inlineStr">
        <is>
          <t>PITEÅ</t>
        </is>
      </c>
      <c r="F953" t="inlineStr">
        <is>
          <t>SCA</t>
        </is>
      </c>
      <c r="G953" t="n">
        <v>13.7</v>
      </c>
      <c r="H953" t="n">
        <v>0</v>
      </c>
      <c r="I953" t="n">
        <v>0</v>
      </c>
      <c r="J953" t="n">
        <v>0</v>
      </c>
      <c r="K953" t="n">
        <v>0</v>
      </c>
      <c r="L953" t="n">
        <v>0</v>
      </c>
      <c r="M953" t="n">
        <v>0</v>
      </c>
      <c r="N953" t="n">
        <v>0</v>
      </c>
      <c r="O953" t="n">
        <v>0</v>
      </c>
      <c r="P953" t="n">
        <v>0</v>
      </c>
      <c r="Q953" t="n">
        <v>0</v>
      </c>
      <c r="R953" s="2" t="inlineStr"/>
    </row>
    <row r="954" ht="15" customHeight="1">
      <c r="A954" t="inlineStr">
        <is>
          <t>A 18914-2022</t>
        </is>
      </c>
      <c r="B954" s="1" t="n">
        <v>44690</v>
      </c>
      <c r="C954" s="1" t="n">
        <v>46046</v>
      </c>
      <c r="D954" t="inlineStr">
        <is>
          <t>NORRBOTTENS LÄN</t>
        </is>
      </c>
      <c r="E954" t="inlineStr">
        <is>
          <t>ARVIDSJAUR</t>
        </is>
      </c>
      <c r="F954" t="inlineStr">
        <is>
          <t>Allmännings- och besparingsskogar</t>
        </is>
      </c>
      <c r="G954" t="n">
        <v>0.5</v>
      </c>
      <c r="H954" t="n">
        <v>0</v>
      </c>
      <c r="I954" t="n">
        <v>0</v>
      </c>
      <c r="J954" t="n">
        <v>0</v>
      </c>
      <c r="K954" t="n">
        <v>0</v>
      </c>
      <c r="L954" t="n">
        <v>0</v>
      </c>
      <c r="M954" t="n">
        <v>0</v>
      </c>
      <c r="N954" t="n">
        <v>0</v>
      </c>
      <c r="O954" t="n">
        <v>0</v>
      </c>
      <c r="P954" t="n">
        <v>0</v>
      </c>
      <c r="Q954" t="n">
        <v>0</v>
      </c>
      <c r="R954" s="2" t="inlineStr"/>
    </row>
    <row r="955" ht="15" customHeight="1">
      <c r="A955" t="inlineStr">
        <is>
          <t>A 56275-2021</t>
        </is>
      </c>
      <c r="B955" s="1" t="n">
        <v>44479</v>
      </c>
      <c r="C955" s="1" t="n">
        <v>46046</v>
      </c>
      <c r="D955" t="inlineStr">
        <is>
          <t>NORRBOTTENS LÄN</t>
        </is>
      </c>
      <c r="E955" t="inlineStr">
        <is>
          <t>ARJEPLOG</t>
        </is>
      </c>
      <c r="G955" t="n">
        <v>16.2</v>
      </c>
      <c r="H955" t="n">
        <v>0</v>
      </c>
      <c r="I955" t="n">
        <v>0</v>
      </c>
      <c r="J955" t="n">
        <v>0</v>
      </c>
      <c r="K955" t="n">
        <v>0</v>
      </c>
      <c r="L955" t="n">
        <v>0</v>
      </c>
      <c r="M955" t="n">
        <v>0</v>
      </c>
      <c r="N955" t="n">
        <v>0</v>
      </c>
      <c r="O955" t="n">
        <v>0</v>
      </c>
      <c r="P955" t="n">
        <v>0</v>
      </c>
      <c r="Q955" t="n">
        <v>0</v>
      </c>
      <c r="R955" s="2" t="inlineStr"/>
    </row>
    <row r="956" ht="15" customHeight="1">
      <c r="A956" t="inlineStr">
        <is>
          <t>A 56277-2021</t>
        </is>
      </c>
      <c r="B956" s="1" t="n">
        <v>44479</v>
      </c>
      <c r="C956" s="1" t="n">
        <v>46046</v>
      </c>
      <c r="D956" t="inlineStr">
        <is>
          <t>NORRBOTTENS LÄN</t>
        </is>
      </c>
      <c r="E956" t="inlineStr">
        <is>
          <t>ARJEPLOG</t>
        </is>
      </c>
      <c r="G956" t="n">
        <v>19.4</v>
      </c>
      <c r="H956" t="n">
        <v>0</v>
      </c>
      <c r="I956" t="n">
        <v>0</v>
      </c>
      <c r="J956" t="n">
        <v>0</v>
      </c>
      <c r="K956" t="n">
        <v>0</v>
      </c>
      <c r="L956" t="n">
        <v>0</v>
      </c>
      <c r="M956" t="n">
        <v>0</v>
      </c>
      <c r="N956" t="n">
        <v>0</v>
      </c>
      <c r="O956" t="n">
        <v>0</v>
      </c>
      <c r="P956" t="n">
        <v>0</v>
      </c>
      <c r="Q956" t="n">
        <v>0</v>
      </c>
      <c r="R956" s="2" t="inlineStr"/>
    </row>
    <row r="957" ht="15" customHeight="1">
      <c r="A957" t="inlineStr">
        <is>
          <t>A 60686-2021</t>
        </is>
      </c>
      <c r="B957" s="1" t="n">
        <v>44496</v>
      </c>
      <c r="C957" s="1" t="n">
        <v>46046</v>
      </c>
      <c r="D957" t="inlineStr">
        <is>
          <t>NORRBOTTENS LÄN</t>
        </is>
      </c>
      <c r="E957" t="inlineStr">
        <is>
          <t>PAJALA</t>
        </is>
      </c>
      <c r="G957" t="n">
        <v>13.5</v>
      </c>
      <c r="H957" t="n">
        <v>0</v>
      </c>
      <c r="I957" t="n">
        <v>0</v>
      </c>
      <c r="J957" t="n">
        <v>0</v>
      </c>
      <c r="K957" t="n">
        <v>0</v>
      </c>
      <c r="L957" t="n">
        <v>0</v>
      </c>
      <c r="M957" t="n">
        <v>0</v>
      </c>
      <c r="N957" t="n">
        <v>0</v>
      </c>
      <c r="O957" t="n">
        <v>0</v>
      </c>
      <c r="P957" t="n">
        <v>0</v>
      </c>
      <c r="Q957" t="n">
        <v>0</v>
      </c>
      <c r="R957" s="2" t="inlineStr"/>
    </row>
    <row r="958" ht="15" customHeight="1">
      <c r="A958" t="inlineStr">
        <is>
          <t>A 34368-2021</t>
        </is>
      </c>
      <c r="B958" s="1" t="n">
        <v>44379</v>
      </c>
      <c r="C958" s="1" t="n">
        <v>46046</v>
      </c>
      <c r="D958" t="inlineStr">
        <is>
          <t>NORRBOTTENS LÄN</t>
        </is>
      </c>
      <c r="E958" t="inlineStr">
        <is>
          <t>KALIX</t>
        </is>
      </c>
      <c r="G958" t="n">
        <v>1</v>
      </c>
      <c r="H958" t="n">
        <v>0</v>
      </c>
      <c r="I958" t="n">
        <v>0</v>
      </c>
      <c r="J958" t="n">
        <v>0</v>
      </c>
      <c r="K958" t="n">
        <v>0</v>
      </c>
      <c r="L958" t="n">
        <v>0</v>
      </c>
      <c r="M958" t="n">
        <v>0</v>
      </c>
      <c r="N958" t="n">
        <v>0</v>
      </c>
      <c r="O958" t="n">
        <v>0</v>
      </c>
      <c r="P958" t="n">
        <v>0</v>
      </c>
      <c r="Q958" t="n">
        <v>0</v>
      </c>
      <c r="R958" s="2" t="inlineStr"/>
    </row>
    <row r="959" ht="15" customHeight="1">
      <c r="A959" t="inlineStr">
        <is>
          <t>A 20752-2021</t>
        </is>
      </c>
      <c r="B959" s="1" t="n">
        <v>44313</v>
      </c>
      <c r="C959" s="1" t="n">
        <v>46046</v>
      </c>
      <c r="D959" t="inlineStr">
        <is>
          <t>NORRBOTTENS LÄN</t>
        </is>
      </c>
      <c r="E959" t="inlineStr">
        <is>
          <t>BODEN</t>
        </is>
      </c>
      <c r="G959" t="n">
        <v>9</v>
      </c>
      <c r="H959" t="n">
        <v>0</v>
      </c>
      <c r="I959" t="n">
        <v>0</v>
      </c>
      <c r="J959" t="n">
        <v>0</v>
      </c>
      <c r="K959" t="n">
        <v>0</v>
      </c>
      <c r="L959" t="n">
        <v>0</v>
      </c>
      <c r="M959" t="n">
        <v>0</v>
      </c>
      <c r="N959" t="n">
        <v>0</v>
      </c>
      <c r="O959" t="n">
        <v>0</v>
      </c>
      <c r="P959" t="n">
        <v>0</v>
      </c>
      <c r="Q959" t="n">
        <v>0</v>
      </c>
      <c r="R959" s="2" t="inlineStr"/>
    </row>
    <row r="960" ht="15" customHeight="1">
      <c r="A960" t="inlineStr">
        <is>
          <t>A 51993-2021</t>
        </is>
      </c>
      <c r="B960" s="1" t="n">
        <v>44463.32685185185</v>
      </c>
      <c r="C960" s="1" t="n">
        <v>46046</v>
      </c>
      <c r="D960" t="inlineStr">
        <is>
          <t>NORRBOTTENS LÄN</t>
        </is>
      </c>
      <c r="E960" t="inlineStr">
        <is>
          <t>ÄLVSBYN</t>
        </is>
      </c>
      <c r="G960" t="n">
        <v>5.5</v>
      </c>
      <c r="H960" t="n">
        <v>0</v>
      </c>
      <c r="I960" t="n">
        <v>0</v>
      </c>
      <c r="J960" t="n">
        <v>0</v>
      </c>
      <c r="K960" t="n">
        <v>0</v>
      </c>
      <c r="L960" t="n">
        <v>0</v>
      </c>
      <c r="M960" t="n">
        <v>0</v>
      </c>
      <c r="N960" t="n">
        <v>0</v>
      </c>
      <c r="O960" t="n">
        <v>0</v>
      </c>
      <c r="P960" t="n">
        <v>0</v>
      </c>
      <c r="Q960" t="n">
        <v>0</v>
      </c>
      <c r="R960" s="2" t="inlineStr"/>
    </row>
    <row r="961" ht="15" customHeight="1">
      <c r="A961" t="inlineStr">
        <is>
          <t>A 27220-2021</t>
        </is>
      </c>
      <c r="B961" s="1" t="n">
        <v>44350.87983796297</v>
      </c>
      <c r="C961" s="1" t="n">
        <v>46046</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27241-2021</t>
        </is>
      </c>
      <c r="B962" s="1" t="n">
        <v>44350</v>
      </c>
      <c r="C962" s="1" t="n">
        <v>46046</v>
      </c>
      <c r="D962" t="inlineStr">
        <is>
          <t>NORRBOTTENS LÄN</t>
        </is>
      </c>
      <c r="E962" t="inlineStr">
        <is>
          <t>BODEN</t>
        </is>
      </c>
      <c r="G962" t="n">
        <v>7.6</v>
      </c>
      <c r="H962" t="n">
        <v>0</v>
      </c>
      <c r="I962" t="n">
        <v>0</v>
      </c>
      <c r="J962" t="n">
        <v>0</v>
      </c>
      <c r="K962" t="n">
        <v>0</v>
      </c>
      <c r="L962" t="n">
        <v>0</v>
      </c>
      <c r="M962" t="n">
        <v>0</v>
      </c>
      <c r="N962" t="n">
        <v>0</v>
      </c>
      <c r="O962" t="n">
        <v>0</v>
      </c>
      <c r="P962" t="n">
        <v>0</v>
      </c>
      <c r="Q962" t="n">
        <v>0</v>
      </c>
      <c r="R962" s="2" t="inlineStr"/>
    </row>
    <row r="963" ht="15" customHeight="1">
      <c r="A963" t="inlineStr">
        <is>
          <t>A 51963-2021</t>
        </is>
      </c>
      <c r="B963" s="1" t="n">
        <v>44463.27165509259</v>
      </c>
      <c r="C963" s="1" t="n">
        <v>46046</v>
      </c>
      <c r="D963" t="inlineStr">
        <is>
          <t>NORRBOTTENS LÄN</t>
        </is>
      </c>
      <c r="E963" t="inlineStr">
        <is>
          <t>BODEN</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39711-2021</t>
        </is>
      </c>
      <c r="B964" s="1" t="n">
        <v>44414</v>
      </c>
      <c r="C964" s="1" t="n">
        <v>46046</v>
      </c>
      <c r="D964" t="inlineStr">
        <is>
          <t>NORRBOTTENS LÄN</t>
        </is>
      </c>
      <c r="E964" t="inlineStr">
        <is>
          <t>BODEN</t>
        </is>
      </c>
      <c r="G964" t="n">
        <v>7</v>
      </c>
      <c r="H964" t="n">
        <v>0</v>
      </c>
      <c r="I964" t="n">
        <v>0</v>
      </c>
      <c r="J964" t="n">
        <v>0</v>
      </c>
      <c r="K964" t="n">
        <v>0</v>
      </c>
      <c r="L964" t="n">
        <v>0</v>
      </c>
      <c r="M964" t="n">
        <v>0</v>
      </c>
      <c r="N964" t="n">
        <v>0</v>
      </c>
      <c r="O964" t="n">
        <v>0</v>
      </c>
      <c r="P964" t="n">
        <v>0</v>
      </c>
      <c r="Q964" t="n">
        <v>0</v>
      </c>
      <c r="R964" s="2" t="inlineStr"/>
    </row>
    <row r="965" ht="15" customHeight="1">
      <c r="A965" t="inlineStr">
        <is>
          <t>A 39740-2021</t>
        </is>
      </c>
      <c r="B965" s="1" t="n">
        <v>44414</v>
      </c>
      <c r="C965" s="1" t="n">
        <v>46046</v>
      </c>
      <c r="D965" t="inlineStr">
        <is>
          <t>NORRBOTTENS LÄN</t>
        </is>
      </c>
      <c r="E965" t="inlineStr">
        <is>
          <t>BODEN</t>
        </is>
      </c>
      <c r="G965" t="n">
        <v>3.5</v>
      </c>
      <c r="H965" t="n">
        <v>0</v>
      </c>
      <c r="I965" t="n">
        <v>0</v>
      </c>
      <c r="J965" t="n">
        <v>0</v>
      </c>
      <c r="K965" t="n">
        <v>0</v>
      </c>
      <c r="L965" t="n">
        <v>0</v>
      </c>
      <c r="M965" t="n">
        <v>0</v>
      </c>
      <c r="N965" t="n">
        <v>0</v>
      </c>
      <c r="O965" t="n">
        <v>0</v>
      </c>
      <c r="P965" t="n">
        <v>0</v>
      </c>
      <c r="Q965" t="n">
        <v>0</v>
      </c>
      <c r="R965" s="2" t="inlineStr"/>
    </row>
    <row r="966" ht="15" customHeight="1">
      <c r="A966" t="inlineStr">
        <is>
          <t>A 47277-2022</t>
        </is>
      </c>
      <c r="B966" s="1" t="n">
        <v>44852</v>
      </c>
      <c r="C966" s="1" t="n">
        <v>46046</v>
      </c>
      <c r="D966" t="inlineStr">
        <is>
          <t>NORRBOTTENS LÄN</t>
        </is>
      </c>
      <c r="E966" t="inlineStr">
        <is>
          <t>BODEN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12789-2022</t>
        </is>
      </c>
      <c r="B967" s="1" t="n">
        <v>44642</v>
      </c>
      <c r="C967" s="1" t="n">
        <v>46046</v>
      </c>
      <c r="D967" t="inlineStr">
        <is>
          <t>NORRBOTTENS LÄN</t>
        </is>
      </c>
      <c r="E967" t="inlineStr">
        <is>
          <t>ARJEPLOG</t>
        </is>
      </c>
      <c r="F967" t="inlineStr">
        <is>
          <t>Övriga statliga verk och myndigheter</t>
        </is>
      </c>
      <c r="G967" t="n">
        <v>56.1</v>
      </c>
      <c r="H967" t="n">
        <v>0</v>
      </c>
      <c r="I967" t="n">
        <v>0</v>
      </c>
      <c r="J967" t="n">
        <v>0</v>
      </c>
      <c r="K967" t="n">
        <v>0</v>
      </c>
      <c r="L967" t="n">
        <v>0</v>
      </c>
      <c r="M967" t="n">
        <v>0</v>
      </c>
      <c r="N967" t="n">
        <v>0</v>
      </c>
      <c r="O967" t="n">
        <v>0</v>
      </c>
      <c r="P967" t="n">
        <v>0</v>
      </c>
      <c r="Q967" t="n">
        <v>0</v>
      </c>
      <c r="R967" s="2" t="inlineStr"/>
    </row>
    <row r="968" ht="15" customHeight="1">
      <c r="A968" t="inlineStr">
        <is>
          <t>A 15133-2022</t>
        </is>
      </c>
      <c r="B968" s="1" t="n">
        <v>44658</v>
      </c>
      <c r="C968" s="1" t="n">
        <v>46046</v>
      </c>
      <c r="D968" t="inlineStr">
        <is>
          <t>NORRBOTTENS LÄN</t>
        </is>
      </c>
      <c r="E968" t="inlineStr">
        <is>
          <t>ÖVERKALIX</t>
        </is>
      </c>
      <c r="G968" t="n">
        <v>7.9</v>
      </c>
      <c r="H968" t="n">
        <v>0</v>
      </c>
      <c r="I968" t="n">
        <v>0</v>
      </c>
      <c r="J968" t="n">
        <v>0</v>
      </c>
      <c r="K968" t="n">
        <v>0</v>
      </c>
      <c r="L968" t="n">
        <v>0</v>
      </c>
      <c r="M968" t="n">
        <v>0</v>
      </c>
      <c r="N968" t="n">
        <v>0</v>
      </c>
      <c r="O968" t="n">
        <v>0</v>
      </c>
      <c r="P968" t="n">
        <v>0</v>
      </c>
      <c r="Q968" t="n">
        <v>0</v>
      </c>
      <c r="R968" s="2" t="inlineStr"/>
    </row>
    <row r="969" ht="15" customHeight="1">
      <c r="A969" t="inlineStr">
        <is>
          <t>A 36768-2021</t>
        </is>
      </c>
      <c r="B969" s="1" t="n">
        <v>44392</v>
      </c>
      <c r="C969" s="1" t="n">
        <v>46046</v>
      </c>
      <c r="D969" t="inlineStr">
        <is>
          <t>NORRBOTTENS LÄN</t>
        </is>
      </c>
      <c r="E969" t="inlineStr">
        <is>
          <t>PAJALA</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14891-2021</t>
        </is>
      </c>
      <c r="B970" s="1" t="n">
        <v>44280</v>
      </c>
      <c r="C970" s="1" t="n">
        <v>46046</v>
      </c>
      <c r="D970" t="inlineStr">
        <is>
          <t>NORRBOTTENS LÄN</t>
        </is>
      </c>
      <c r="E970" t="inlineStr">
        <is>
          <t>LULEÅ</t>
        </is>
      </c>
      <c r="G970" t="n">
        <v>0.3</v>
      </c>
      <c r="H970" t="n">
        <v>0</v>
      </c>
      <c r="I970" t="n">
        <v>0</v>
      </c>
      <c r="J970" t="n">
        <v>0</v>
      </c>
      <c r="K970" t="n">
        <v>0</v>
      </c>
      <c r="L970" t="n">
        <v>0</v>
      </c>
      <c r="M970" t="n">
        <v>0</v>
      </c>
      <c r="N970" t="n">
        <v>0</v>
      </c>
      <c r="O970" t="n">
        <v>0</v>
      </c>
      <c r="P970" t="n">
        <v>0</v>
      </c>
      <c r="Q970" t="n">
        <v>0</v>
      </c>
      <c r="R970" s="2" t="inlineStr"/>
    </row>
    <row r="971" ht="15" customHeight="1">
      <c r="A971" t="inlineStr">
        <is>
          <t>A 73589-2021</t>
        </is>
      </c>
      <c r="B971" s="1" t="n">
        <v>44552.36655092592</v>
      </c>
      <c r="C971" s="1" t="n">
        <v>46046</v>
      </c>
      <c r="D971" t="inlineStr">
        <is>
          <t>NORRBOTTENS LÄN</t>
        </is>
      </c>
      <c r="E971" t="inlineStr">
        <is>
          <t>ÄLVSBYN</t>
        </is>
      </c>
      <c r="G971" t="n">
        <v>4.7</v>
      </c>
      <c r="H971" t="n">
        <v>0</v>
      </c>
      <c r="I971" t="n">
        <v>0</v>
      </c>
      <c r="J971" t="n">
        <v>0</v>
      </c>
      <c r="K971" t="n">
        <v>0</v>
      </c>
      <c r="L971" t="n">
        <v>0</v>
      </c>
      <c r="M971" t="n">
        <v>0</v>
      </c>
      <c r="N971" t="n">
        <v>0</v>
      </c>
      <c r="O971" t="n">
        <v>0</v>
      </c>
      <c r="P971" t="n">
        <v>0</v>
      </c>
      <c r="Q971" t="n">
        <v>0</v>
      </c>
      <c r="R971" s="2" t="inlineStr"/>
    </row>
    <row r="972" ht="15" customHeight="1">
      <c r="A972" t="inlineStr">
        <is>
          <t>A 15958-2021</t>
        </is>
      </c>
      <c r="B972" s="1" t="n">
        <v>44287</v>
      </c>
      <c r="C972" s="1" t="n">
        <v>46046</v>
      </c>
      <c r="D972" t="inlineStr">
        <is>
          <t>NORRBOTTENS LÄN</t>
        </is>
      </c>
      <c r="E972" t="inlineStr">
        <is>
          <t>KALIX</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29877-2022</t>
        </is>
      </c>
      <c r="B973" s="1" t="n">
        <v>44756</v>
      </c>
      <c r="C973" s="1" t="n">
        <v>46046</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20695-2022</t>
        </is>
      </c>
      <c r="B974" s="1" t="n">
        <v>44700</v>
      </c>
      <c r="C974" s="1" t="n">
        <v>46046</v>
      </c>
      <c r="D974" t="inlineStr">
        <is>
          <t>NORRBOTTENS LÄN</t>
        </is>
      </c>
      <c r="E974" t="inlineStr">
        <is>
          <t>PAJALA</t>
        </is>
      </c>
      <c r="G974" t="n">
        <v>15.3</v>
      </c>
      <c r="H974" t="n">
        <v>0</v>
      </c>
      <c r="I974" t="n">
        <v>0</v>
      </c>
      <c r="J974" t="n">
        <v>0</v>
      </c>
      <c r="K974" t="n">
        <v>0</v>
      </c>
      <c r="L974" t="n">
        <v>0</v>
      </c>
      <c r="M974" t="n">
        <v>0</v>
      </c>
      <c r="N974" t="n">
        <v>0</v>
      </c>
      <c r="O974" t="n">
        <v>0</v>
      </c>
      <c r="P974" t="n">
        <v>0</v>
      </c>
      <c r="Q974" t="n">
        <v>0</v>
      </c>
      <c r="R974" s="2" t="inlineStr"/>
    </row>
    <row r="975" ht="15" customHeight="1">
      <c r="A975" t="inlineStr">
        <is>
          <t>A 37798-2022</t>
        </is>
      </c>
      <c r="B975" s="1" t="n">
        <v>44810</v>
      </c>
      <c r="C975" s="1" t="n">
        <v>46046</v>
      </c>
      <c r="D975" t="inlineStr">
        <is>
          <t>NORRBOTTENS LÄN</t>
        </is>
      </c>
      <c r="E975" t="inlineStr">
        <is>
          <t>JOKKMOKK</t>
        </is>
      </c>
      <c r="G975" t="n">
        <v>0.3</v>
      </c>
      <c r="H975" t="n">
        <v>0</v>
      </c>
      <c r="I975" t="n">
        <v>0</v>
      </c>
      <c r="J975" t="n">
        <v>0</v>
      </c>
      <c r="K975" t="n">
        <v>0</v>
      </c>
      <c r="L975" t="n">
        <v>0</v>
      </c>
      <c r="M975" t="n">
        <v>0</v>
      </c>
      <c r="N975" t="n">
        <v>0</v>
      </c>
      <c r="O975" t="n">
        <v>0</v>
      </c>
      <c r="P975" t="n">
        <v>0</v>
      </c>
      <c r="Q975" t="n">
        <v>0</v>
      </c>
      <c r="R975" s="2" t="inlineStr"/>
    </row>
    <row r="976" ht="15" customHeight="1">
      <c r="A976" t="inlineStr">
        <is>
          <t>A 30027-2021</t>
        </is>
      </c>
      <c r="B976" s="1" t="n">
        <v>44363</v>
      </c>
      <c r="C976" s="1" t="n">
        <v>46046</v>
      </c>
      <c r="D976" t="inlineStr">
        <is>
          <t>NORRBOTTENS LÄN</t>
        </is>
      </c>
      <c r="E976" t="inlineStr">
        <is>
          <t>LULEÅ</t>
        </is>
      </c>
      <c r="G976" t="n">
        <v>5.8</v>
      </c>
      <c r="H976" t="n">
        <v>0</v>
      </c>
      <c r="I976" t="n">
        <v>0</v>
      </c>
      <c r="J976" t="n">
        <v>0</v>
      </c>
      <c r="K976" t="n">
        <v>0</v>
      </c>
      <c r="L976" t="n">
        <v>0</v>
      </c>
      <c r="M976" t="n">
        <v>0</v>
      </c>
      <c r="N976" t="n">
        <v>0</v>
      </c>
      <c r="O976" t="n">
        <v>0</v>
      </c>
      <c r="P976" t="n">
        <v>0</v>
      </c>
      <c r="Q976" t="n">
        <v>0</v>
      </c>
      <c r="R976" s="2" t="inlineStr"/>
    </row>
    <row r="977" ht="15" customHeight="1">
      <c r="A977" t="inlineStr">
        <is>
          <t>A 54653-2022</t>
        </is>
      </c>
      <c r="B977" s="1" t="n">
        <v>44883.4337962963</v>
      </c>
      <c r="C977" s="1" t="n">
        <v>46046</v>
      </c>
      <c r="D977" t="inlineStr">
        <is>
          <t>NORRBOTTENS LÄN</t>
        </is>
      </c>
      <c r="E977" t="inlineStr">
        <is>
          <t>HAPARANDA</t>
        </is>
      </c>
      <c r="G977" t="n">
        <v>1.5</v>
      </c>
      <c r="H977" t="n">
        <v>0</v>
      </c>
      <c r="I977" t="n">
        <v>0</v>
      </c>
      <c r="J977" t="n">
        <v>0</v>
      </c>
      <c r="K977" t="n">
        <v>0</v>
      </c>
      <c r="L977" t="n">
        <v>0</v>
      </c>
      <c r="M977" t="n">
        <v>0</v>
      </c>
      <c r="N977" t="n">
        <v>0</v>
      </c>
      <c r="O977" t="n">
        <v>0</v>
      </c>
      <c r="P977" t="n">
        <v>0</v>
      </c>
      <c r="Q977" t="n">
        <v>0</v>
      </c>
      <c r="R977" s="2" t="inlineStr"/>
    </row>
    <row r="978" ht="15" customHeight="1">
      <c r="A978" t="inlineStr">
        <is>
          <t>A 4016-2022</t>
        </is>
      </c>
      <c r="B978" s="1" t="n">
        <v>44587</v>
      </c>
      <c r="C978" s="1" t="n">
        <v>46046</v>
      </c>
      <c r="D978" t="inlineStr">
        <is>
          <t>NORRBOTTENS LÄN</t>
        </is>
      </c>
      <c r="E978" t="inlineStr">
        <is>
          <t>GÄLLIVARE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71936-2021</t>
        </is>
      </c>
      <c r="B979" s="1" t="n">
        <v>44543</v>
      </c>
      <c r="C979" s="1" t="n">
        <v>46046</v>
      </c>
      <c r="D979" t="inlineStr">
        <is>
          <t>NORRBOTTENS LÄN</t>
        </is>
      </c>
      <c r="E979" t="inlineStr">
        <is>
          <t>JOKKMOKK</t>
        </is>
      </c>
      <c r="F979" t="inlineStr">
        <is>
          <t>SCA</t>
        </is>
      </c>
      <c r="G979" t="n">
        <v>6.9</v>
      </c>
      <c r="H979" t="n">
        <v>0</v>
      </c>
      <c r="I979" t="n">
        <v>0</v>
      </c>
      <c r="J979" t="n">
        <v>0</v>
      </c>
      <c r="K979" t="n">
        <v>0</v>
      </c>
      <c r="L979" t="n">
        <v>0</v>
      </c>
      <c r="M979" t="n">
        <v>0</v>
      </c>
      <c r="N979" t="n">
        <v>0</v>
      </c>
      <c r="O979" t="n">
        <v>0</v>
      </c>
      <c r="P979" t="n">
        <v>0</v>
      </c>
      <c r="Q979" t="n">
        <v>0</v>
      </c>
      <c r="R979" s="2" t="inlineStr"/>
    </row>
    <row r="980" ht="15" customHeight="1">
      <c r="A980" t="inlineStr">
        <is>
          <t>A 37594-2022</t>
        </is>
      </c>
      <c r="B980" s="1" t="n">
        <v>44809</v>
      </c>
      <c r="C980" s="1" t="n">
        <v>46046</v>
      </c>
      <c r="D980" t="inlineStr">
        <is>
          <t>NORRBOTTENS LÄN</t>
        </is>
      </c>
      <c r="E980" t="inlineStr">
        <is>
          <t>BODEN</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3772-2022</t>
        </is>
      </c>
      <c r="B981" s="1" t="n">
        <v>44586</v>
      </c>
      <c r="C981" s="1" t="n">
        <v>46046</v>
      </c>
      <c r="D981" t="inlineStr">
        <is>
          <t>NORRBOTTENS LÄN</t>
        </is>
      </c>
      <c r="E981" t="inlineStr">
        <is>
          <t>JOKKMOKK</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3776-2022</t>
        </is>
      </c>
      <c r="B982" s="1" t="n">
        <v>44586.93454861111</v>
      </c>
      <c r="C982" s="1" t="n">
        <v>46046</v>
      </c>
      <c r="D982" t="inlineStr">
        <is>
          <t>NORRBOTTENS LÄN</t>
        </is>
      </c>
      <c r="E982" t="inlineStr">
        <is>
          <t>JOKKMOKK</t>
        </is>
      </c>
      <c r="F982" t="inlineStr">
        <is>
          <t>SCA</t>
        </is>
      </c>
      <c r="G982" t="n">
        <v>8</v>
      </c>
      <c r="H982" t="n">
        <v>0</v>
      </c>
      <c r="I982" t="n">
        <v>0</v>
      </c>
      <c r="J982" t="n">
        <v>0</v>
      </c>
      <c r="K982" t="n">
        <v>0</v>
      </c>
      <c r="L982" t="n">
        <v>0</v>
      </c>
      <c r="M982" t="n">
        <v>0</v>
      </c>
      <c r="N982" t="n">
        <v>0</v>
      </c>
      <c r="O982" t="n">
        <v>0</v>
      </c>
      <c r="P982" t="n">
        <v>0</v>
      </c>
      <c r="Q982" t="n">
        <v>0</v>
      </c>
      <c r="R982" s="2" t="inlineStr"/>
    </row>
    <row r="983" ht="15" customHeight="1">
      <c r="A983" t="inlineStr">
        <is>
          <t>A 44370-2021</t>
        </is>
      </c>
      <c r="B983" s="1" t="n">
        <v>44435.45611111111</v>
      </c>
      <c r="C983" s="1" t="n">
        <v>46046</v>
      </c>
      <c r="D983" t="inlineStr">
        <is>
          <t>NORRBOTTENS LÄN</t>
        </is>
      </c>
      <c r="E983" t="inlineStr">
        <is>
          <t>ÖVERKALIX</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33497-2022</t>
        </is>
      </c>
      <c r="B984" s="1" t="n">
        <v>44788.92688657407</v>
      </c>
      <c r="C984" s="1" t="n">
        <v>46046</v>
      </c>
      <c r="D984" t="inlineStr">
        <is>
          <t>NORRBOTTENS LÄN</t>
        </is>
      </c>
      <c r="E984" t="inlineStr">
        <is>
          <t>ÖVERKALIX</t>
        </is>
      </c>
      <c r="G984" t="n">
        <v>0.5</v>
      </c>
      <c r="H984" t="n">
        <v>0</v>
      </c>
      <c r="I984" t="n">
        <v>0</v>
      </c>
      <c r="J984" t="n">
        <v>0</v>
      </c>
      <c r="K984" t="n">
        <v>0</v>
      </c>
      <c r="L984" t="n">
        <v>0</v>
      </c>
      <c r="M984" t="n">
        <v>0</v>
      </c>
      <c r="N984" t="n">
        <v>0</v>
      </c>
      <c r="O984" t="n">
        <v>0</v>
      </c>
      <c r="P984" t="n">
        <v>0</v>
      </c>
      <c r="Q984" t="n">
        <v>0</v>
      </c>
      <c r="R984" s="2" t="inlineStr"/>
    </row>
    <row r="985" ht="15" customHeight="1">
      <c r="A985" t="inlineStr">
        <is>
          <t>A 50729-2022</t>
        </is>
      </c>
      <c r="B985" s="1" t="n">
        <v>44862</v>
      </c>
      <c r="C985" s="1" t="n">
        <v>46046</v>
      </c>
      <c r="D985" t="inlineStr">
        <is>
          <t>NORRBOTTENS LÄN</t>
        </is>
      </c>
      <c r="E985" t="inlineStr">
        <is>
          <t>GÄLLIVARE</t>
        </is>
      </c>
      <c r="F985" t="inlineStr">
        <is>
          <t>SCA</t>
        </is>
      </c>
      <c r="G985" t="n">
        <v>19.8</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46046</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10395-2022</t>
        </is>
      </c>
      <c r="B987" s="1" t="n">
        <v>44622</v>
      </c>
      <c r="C987" s="1" t="n">
        <v>46046</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39689-2021</t>
        </is>
      </c>
      <c r="B988" s="1" t="n">
        <v>44414</v>
      </c>
      <c r="C988" s="1" t="n">
        <v>46046</v>
      </c>
      <c r="D988" t="inlineStr">
        <is>
          <t>NORRBOTTENS LÄN</t>
        </is>
      </c>
      <c r="E988" t="inlineStr">
        <is>
          <t>BODEN</t>
        </is>
      </c>
      <c r="G988" t="n">
        <v>1.5</v>
      </c>
      <c r="H988" t="n">
        <v>0</v>
      </c>
      <c r="I988" t="n">
        <v>0</v>
      </c>
      <c r="J988" t="n">
        <v>0</v>
      </c>
      <c r="K988" t="n">
        <v>0</v>
      </c>
      <c r="L988" t="n">
        <v>0</v>
      </c>
      <c r="M988" t="n">
        <v>0</v>
      </c>
      <c r="N988" t="n">
        <v>0</v>
      </c>
      <c r="O988" t="n">
        <v>0</v>
      </c>
      <c r="P988" t="n">
        <v>0</v>
      </c>
      <c r="Q988" t="n">
        <v>0</v>
      </c>
      <c r="R988" s="2" t="inlineStr"/>
    </row>
    <row r="989" ht="15" customHeight="1">
      <c r="A989" t="inlineStr">
        <is>
          <t>A 38722-2022</t>
        </is>
      </c>
      <c r="B989" s="1" t="n">
        <v>44815</v>
      </c>
      <c r="C989" s="1" t="n">
        <v>46046</v>
      </c>
      <c r="D989" t="inlineStr">
        <is>
          <t>NORRBOTTENS LÄN</t>
        </is>
      </c>
      <c r="E989" t="inlineStr">
        <is>
          <t>BODEN</t>
        </is>
      </c>
      <c r="F989" t="inlineStr">
        <is>
          <t>Övriga statliga verk och myndigheter</t>
        </is>
      </c>
      <c r="G989" t="n">
        <v>8.5</v>
      </c>
      <c r="H989" t="n">
        <v>0</v>
      </c>
      <c r="I989" t="n">
        <v>0</v>
      </c>
      <c r="J989" t="n">
        <v>0</v>
      </c>
      <c r="K989" t="n">
        <v>0</v>
      </c>
      <c r="L989" t="n">
        <v>0</v>
      </c>
      <c r="M989" t="n">
        <v>0</v>
      </c>
      <c r="N989" t="n">
        <v>0</v>
      </c>
      <c r="O989" t="n">
        <v>0</v>
      </c>
      <c r="P989" t="n">
        <v>0</v>
      </c>
      <c r="Q989" t="n">
        <v>0</v>
      </c>
      <c r="R989" s="2" t="inlineStr"/>
    </row>
    <row r="990" ht="15" customHeight="1">
      <c r="A990" t="inlineStr">
        <is>
          <t>A 52168-2022</t>
        </is>
      </c>
      <c r="B990" s="1" t="n">
        <v>44868</v>
      </c>
      <c r="C990" s="1" t="n">
        <v>46046</v>
      </c>
      <c r="D990" t="inlineStr">
        <is>
          <t>NORRBOTTENS LÄN</t>
        </is>
      </c>
      <c r="E990" t="inlineStr">
        <is>
          <t>LULEÅ</t>
        </is>
      </c>
      <c r="G990" t="n">
        <v>4.6</v>
      </c>
      <c r="H990" t="n">
        <v>0</v>
      </c>
      <c r="I990" t="n">
        <v>0</v>
      </c>
      <c r="J990" t="n">
        <v>0</v>
      </c>
      <c r="K990" t="n">
        <v>0</v>
      </c>
      <c r="L990" t="n">
        <v>0</v>
      </c>
      <c r="M990" t="n">
        <v>0</v>
      </c>
      <c r="N990" t="n">
        <v>0</v>
      </c>
      <c r="O990" t="n">
        <v>0</v>
      </c>
      <c r="P990" t="n">
        <v>0</v>
      </c>
      <c r="Q990" t="n">
        <v>0</v>
      </c>
      <c r="R990" s="2" t="inlineStr"/>
    </row>
    <row r="991" ht="15" customHeight="1">
      <c r="A991" t="inlineStr">
        <is>
          <t>A 39695-2021</t>
        </is>
      </c>
      <c r="B991" s="1" t="n">
        <v>44414</v>
      </c>
      <c r="C991" s="1" t="n">
        <v>46046</v>
      </c>
      <c r="D991" t="inlineStr">
        <is>
          <t>NORRBOTTENS LÄN</t>
        </is>
      </c>
      <c r="E991" t="inlineStr">
        <is>
          <t>BODEN</t>
        </is>
      </c>
      <c r="G991" t="n">
        <v>2.5</v>
      </c>
      <c r="H991" t="n">
        <v>0</v>
      </c>
      <c r="I991" t="n">
        <v>0</v>
      </c>
      <c r="J991" t="n">
        <v>0</v>
      </c>
      <c r="K991" t="n">
        <v>0</v>
      </c>
      <c r="L991" t="n">
        <v>0</v>
      </c>
      <c r="M991" t="n">
        <v>0</v>
      </c>
      <c r="N991" t="n">
        <v>0</v>
      </c>
      <c r="O991" t="n">
        <v>0</v>
      </c>
      <c r="P991" t="n">
        <v>0</v>
      </c>
      <c r="Q991" t="n">
        <v>0</v>
      </c>
      <c r="R991" s="2" t="inlineStr"/>
    </row>
    <row r="992" ht="15" customHeight="1">
      <c r="A992" t="inlineStr">
        <is>
          <t>A 49869-2022</t>
        </is>
      </c>
      <c r="B992" s="1" t="n">
        <v>44862</v>
      </c>
      <c r="C992" s="1" t="n">
        <v>46046</v>
      </c>
      <c r="D992" t="inlineStr">
        <is>
          <t>NORRBOTTENS LÄN</t>
        </is>
      </c>
      <c r="E992" t="inlineStr">
        <is>
          <t>GÄLLIVARE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49870-2022</t>
        </is>
      </c>
      <c r="B993" s="1" t="n">
        <v>44862</v>
      </c>
      <c r="C993" s="1" t="n">
        <v>46046</v>
      </c>
      <c r="D993" t="inlineStr">
        <is>
          <t>NORRBOTTENS LÄN</t>
        </is>
      </c>
      <c r="E993" t="inlineStr">
        <is>
          <t>GÄLLIVARE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38183-2021</t>
        </is>
      </c>
      <c r="B994" s="1" t="n">
        <v>44405</v>
      </c>
      <c r="C994" s="1" t="n">
        <v>46046</v>
      </c>
      <c r="D994" t="inlineStr">
        <is>
          <t>NORRBOTTENS LÄN</t>
        </is>
      </c>
      <c r="E994" t="inlineStr">
        <is>
          <t>GÄLLIVARE</t>
        </is>
      </c>
      <c r="G994" t="n">
        <v>6</v>
      </c>
      <c r="H994" t="n">
        <v>0</v>
      </c>
      <c r="I994" t="n">
        <v>0</v>
      </c>
      <c r="J994" t="n">
        <v>0</v>
      </c>
      <c r="K994" t="n">
        <v>0</v>
      </c>
      <c r="L994" t="n">
        <v>0</v>
      </c>
      <c r="M994" t="n">
        <v>0</v>
      </c>
      <c r="N994" t="n">
        <v>0</v>
      </c>
      <c r="O994" t="n">
        <v>0</v>
      </c>
      <c r="P994" t="n">
        <v>0</v>
      </c>
      <c r="Q994" t="n">
        <v>0</v>
      </c>
      <c r="R994" s="2" t="inlineStr"/>
    </row>
    <row r="995" ht="15" customHeight="1">
      <c r="A995" t="inlineStr">
        <is>
          <t>A 38186-2021</t>
        </is>
      </c>
      <c r="B995" s="1" t="n">
        <v>44405</v>
      </c>
      <c r="C995" s="1" t="n">
        <v>46046</v>
      </c>
      <c r="D995" t="inlineStr">
        <is>
          <t>NORRBOTTENS LÄN</t>
        </is>
      </c>
      <c r="E995" t="inlineStr">
        <is>
          <t>GÄLLIVARE</t>
        </is>
      </c>
      <c r="G995" t="n">
        <v>2</v>
      </c>
      <c r="H995" t="n">
        <v>0</v>
      </c>
      <c r="I995" t="n">
        <v>0</v>
      </c>
      <c r="J995" t="n">
        <v>0</v>
      </c>
      <c r="K995" t="n">
        <v>0</v>
      </c>
      <c r="L995" t="n">
        <v>0</v>
      </c>
      <c r="M995" t="n">
        <v>0</v>
      </c>
      <c r="N995" t="n">
        <v>0</v>
      </c>
      <c r="O995" t="n">
        <v>0</v>
      </c>
      <c r="P995" t="n">
        <v>0</v>
      </c>
      <c r="Q995" t="n">
        <v>0</v>
      </c>
      <c r="R995" s="2" t="inlineStr"/>
    </row>
    <row r="996" ht="15" customHeight="1">
      <c r="A996" t="inlineStr">
        <is>
          <t>A 49949-2021</t>
        </is>
      </c>
      <c r="B996" s="1" t="n">
        <v>44456.41886574074</v>
      </c>
      <c r="C996" s="1" t="n">
        <v>46046</v>
      </c>
      <c r="D996" t="inlineStr">
        <is>
          <t>NORRBOTTENS LÄN</t>
        </is>
      </c>
      <c r="E996" t="inlineStr">
        <is>
          <t>KALIX</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13577-2022</t>
        </is>
      </c>
      <c r="B997" s="1" t="n">
        <v>44648</v>
      </c>
      <c r="C997" s="1" t="n">
        <v>46046</v>
      </c>
      <c r="D997" t="inlineStr">
        <is>
          <t>NORRBOTTENS LÄN</t>
        </is>
      </c>
      <c r="E997" t="inlineStr">
        <is>
          <t>BODEN</t>
        </is>
      </c>
      <c r="F997" t="inlineStr">
        <is>
          <t>Sveaskog</t>
        </is>
      </c>
      <c r="G997" t="n">
        <v>6</v>
      </c>
      <c r="H997" t="n">
        <v>0</v>
      </c>
      <c r="I997" t="n">
        <v>0</v>
      </c>
      <c r="J997" t="n">
        <v>0</v>
      </c>
      <c r="K997" t="n">
        <v>0</v>
      </c>
      <c r="L997" t="n">
        <v>0</v>
      </c>
      <c r="M997" t="n">
        <v>0</v>
      </c>
      <c r="N997" t="n">
        <v>0</v>
      </c>
      <c r="O997" t="n">
        <v>0</v>
      </c>
      <c r="P997" t="n">
        <v>0</v>
      </c>
      <c r="Q997" t="n">
        <v>0</v>
      </c>
      <c r="R997" s="2" t="inlineStr"/>
    </row>
    <row r="998" ht="15" customHeight="1">
      <c r="A998" t="inlineStr">
        <is>
          <t>A 36459-2022</t>
        </is>
      </c>
      <c r="B998" s="1" t="n">
        <v>44804</v>
      </c>
      <c r="C998" s="1" t="n">
        <v>46046</v>
      </c>
      <c r="D998" t="inlineStr">
        <is>
          <t>NORRBOTTENS LÄN</t>
        </is>
      </c>
      <c r="E998" t="inlineStr">
        <is>
          <t>ARVIDSJAUR</t>
        </is>
      </c>
      <c r="G998" t="n">
        <v>3.5</v>
      </c>
      <c r="H998" t="n">
        <v>0</v>
      </c>
      <c r="I998" t="n">
        <v>0</v>
      </c>
      <c r="J998" t="n">
        <v>0</v>
      </c>
      <c r="K998" t="n">
        <v>0</v>
      </c>
      <c r="L998" t="n">
        <v>0</v>
      </c>
      <c r="M998" t="n">
        <v>0</v>
      </c>
      <c r="N998" t="n">
        <v>0</v>
      </c>
      <c r="O998" t="n">
        <v>0</v>
      </c>
      <c r="P998" t="n">
        <v>0</v>
      </c>
      <c r="Q998" t="n">
        <v>0</v>
      </c>
      <c r="R998" s="2" t="inlineStr"/>
    </row>
    <row r="999" ht="15" customHeight="1">
      <c r="A999" t="inlineStr">
        <is>
          <t>A 34085-2021</t>
        </is>
      </c>
      <c r="B999" s="1" t="n">
        <v>44379</v>
      </c>
      <c r="C999" s="1" t="n">
        <v>46046</v>
      </c>
      <c r="D999" t="inlineStr">
        <is>
          <t>NORRBOTTENS LÄN</t>
        </is>
      </c>
      <c r="E999" t="inlineStr">
        <is>
          <t>PAJALA</t>
        </is>
      </c>
      <c r="G999" t="n">
        <v>3.2</v>
      </c>
      <c r="H999" t="n">
        <v>0</v>
      </c>
      <c r="I999" t="n">
        <v>0</v>
      </c>
      <c r="J999" t="n">
        <v>0</v>
      </c>
      <c r="K999" t="n">
        <v>0</v>
      </c>
      <c r="L999" t="n">
        <v>0</v>
      </c>
      <c r="M999" t="n">
        <v>0</v>
      </c>
      <c r="N999" t="n">
        <v>0</v>
      </c>
      <c r="O999" t="n">
        <v>0</v>
      </c>
      <c r="P999" t="n">
        <v>0</v>
      </c>
      <c r="Q999" t="n">
        <v>0</v>
      </c>
      <c r="R999" s="2" t="inlineStr"/>
    </row>
    <row r="1000" ht="15" customHeight="1">
      <c r="A1000" t="inlineStr">
        <is>
          <t>A 29955-2021</t>
        </is>
      </c>
      <c r="B1000" s="1" t="n">
        <v>44362</v>
      </c>
      <c r="C1000" s="1" t="n">
        <v>46046</v>
      </c>
      <c r="D1000" t="inlineStr">
        <is>
          <t>NORRBOTTENS LÄN</t>
        </is>
      </c>
      <c r="E1000" t="inlineStr">
        <is>
          <t>JOKKMOKK</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9978-2022</t>
        </is>
      </c>
      <c r="B1001" s="1" t="n">
        <v>44621</v>
      </c>
      <c r="C1001" s="1" t="n">
        <v>46046</v>
      </c>
      <c r="D1001" t="inlineStr">
        <is>
          <t>NORRBOTTENS LÄN</t>
        </is>
      </c>
      <c r="E1001" t="inlineStr">
        <is>
          <t>ARVIDSJAUR</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46046</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46046</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40026-2021</t>
        </is>
      </c>
      <c r="B1004" s="1" t="n">
        <v>44417</v>
      </c>
      <c r="C1004" s="1" t="n">
        <v>46046</v>
      </c>
      <c r="D1004" t="inlineStr">
        <is>
          <t>NORRBOTTENS LÄN</t>
        </is>
      </c>
      <c r="E1004" t="inlineStr">
        <is>
          <t>ÖVERKALIX</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46046</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38696-2021</t>
        </is>
      </c>
      <c r="B1006" s="1" t="n">
        <v>44406</v>
      </c>
      <c r="C1006" s="1" t="n">
        <v>46046</v>
      </c>
      <c r="D1006" t="inlineStr">
        <is>
          <t>NORRBOTTENS LÄN</t>
        </is>
      </c>
      <c r="E1006" t="inlineStr">
        <is>
          <t>ÖVERTORNEÅ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46790-2021</t>
        </is>
      </c>
      <c r="B1007" s="1" t="n">
        <v>44445</v>
      </c>
      <c r="C1007" s="1" t="n">
        <v>46046</v>
      </c>
      <c r="D1007" t="inlineStr">
        <is>
          <t>NORRBOTTENS LÄN</t>
        </is>
      </c>
      <c r="E1007" t="inlineStr">
        <is>
          <t>ÖVERKALIX</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74437-2021</t>
        </is>
      </c>
      <c r="B1008" s="1" t="n">
        <v>44558</v>
      </c>
      <c r="C1008" s="1" t="n">
        <v>46046</v>
      </c>
      <c r="D1008" t="inlineStr">
        <is>
          <t>NORRBOTTENS LÄN</t>
        </is>
      </c>
      <c r="E1008" t="inlineStr">
        <is>
          <t>LULEÅ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64083-2021</t>
        </is>
      </c>
      <c r="B1009" s="1" t="n">
        <v>44509</v>
      </c>
      <c r="C1009" s="1" t="n">
        <v>46046</v>
      </c>
      <c r="D1009" t="inlineStr">
        <is>
          <t>NORRBOTTENS LÄN</t>
        </is>
      </c>
      <c r="E1009" t="inlineStr">
        <is>
          <t>HAPARANDA</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57816-2021</t>
        </is>
      </c>
      <c r="B1010" s="1" t="n">
        <v>44484</v>
      </c>
      <c r="C1010" s="1" t="n">
        <v>46046</v>
      </c>
      <c r="D1010" t="inlineStr">
        <is>
          <t>NORRBOTTENS LÄN</t>
        </is>
      </c>
      <c r="E1010" t="inlineStr">
        <is>
          <t>ÄLVSBYN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15714-2022</t>
        </is>
      </c>
      <c r="B1011" s="1" t="n">
        <v>44663</v>
      </c>
      <c r="C1011" s="1" t="n">
        <v>46046</v>
      </c>
      <c r="D1011" t="inlineStr">
        <is>
          <t>NORRBOTTENS LÄN</t>
        </is>
      </c>
      <c r="E1011" t="inlineStr">
        <is>
          <t>JOKKMOKK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7692-2022</t>
        </is>
      </c>
      <c r="B1012" s="1" t="n">
        <v>44607</v>
      </c>
      <c r="C1012" s="1" t="n">
        <v>46046</v>
      </c>
      <c r="D1012" t="inlineStr">
        <is>
          <t>NORRBOTTENS LÄN</t>
        </is>
      </c>
      <c r="E1012" t="inlineStr">
        <is>
          <t>ÖVERKALIX</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43861-2022</t>
        </is>
      </c>
      <c r="B1013" s="1" t="n">
        <v>44838.42710648148</v>
      </c>
      <c r="C1013" s="1" t="n">
        <v>46046</v>
      </c>
      <c r="D1013" t="inlineStr">
        <is>
          <t>NORRBOTTENS LÄN</t>
        </is>
      </c>
      <c r="E1013" t="inlineStr">
        <is>
          <t>PITEÅ</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46605-2022</t>
        </is>
      </c>
      <c r="B1014" s="1" t="n">
        <v>44848</v>
      </c>
      <c r="C1014" s="1" t="n">
        <v>46046</v>
      </c>
      <c r="D1014" t="inlineStr">
        <is>
          <t>NORRBOTTENS LÄN</t>
        </is>
      </c>
      <c r="E1014" t="inlineStr">
        <is>
          <t>PITEÅ</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51902-2021</t>
        </is>
      </c>
      <c r="B1015" s="1" t="n">
        <v>44462.92758101852</v>
      </c>
      <c r="C1015" s="1" t="n">
        <v>46046</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15239-2021</t>
        </is>
      </c>
      <c r="B1016" s="1" t="n">
        <v>44284.50615740741</v>
      </c>
      <c r="C1016" s="1" t="n">
        <v>46046</v>
      </c>
      <c r="D1016" t="inlineStr">
        <is>
          <t>NORRBOTTENS LÄN</t>
        </is>
      </c>
      <c r="E1016" t="inlineStr">
        <is>
          <t>ÖVERTORNEÅ</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53752-2022</t>
        </is>
      </c>
      <c r="B1017" s="1" t="n">
        <v>44875</v>
      </c>
      <c r="C1017" s="1" t="n">
        <v>46046</v>
      </c>
      <c r="D1017" t="inlineStr">
        <is>
          <t>NORRBOTTENS LÄN</t>
        </is>
      </c>
      <c r="E1017" t="inlineStr">
        <is>
          <t>KIRUNA</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23272-2022</t>
        </is>
      </c>
      <c r="B1018" s="1" t="n">
        <v>44720</v>
      </c>
      <c r="C1018" s="1" t="n">
        <v>46046</v>
      </c>
      <c r="D1018" t="inlineStr">
        <is>
          <t>NORRBOTTENS LÄN</t>
        </is>
      </c>
      <c r="E1018" t="inlineStr">
        <is>
          <t>KALIX</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44304-2022</t>
        </is>
      </c>
      <c r="B1019" s="1" t="n">
        <v>44839.62422453704</v>
      </c>
      <c r="C1019" s="1" t="n">
        <v>46046</v>
      </c>
      <c r="D1019" t="inlineStr">
        <is>
          <t>NORRBOTTENS LÄN</t>
        </is>
      </c>
      <c r="E1019" t="inlineStr">
        <is>
          <t>PITEÅ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47247-2022</t>
        </is>
      </c>
      <c r="B1020" s="1" t="n">
        <v>44852</v>
      </c>
      <c r="C1020" s="1" t="n">
        <v>46046</v>
      </c>
      <c r="D1020" t="inlineStr">
        <is>
          <t>NORRBOTTENS LÄN</t>
        </is>
      </c>
      <c r="E1020" t="inlineStr">
        <is>
          <t>LULEÅ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43750-2022</t>
        </is>
      </c>
      <c r="B1021" s="1" t="n">
        <v>44837</v>
      </c>
      <c r="C1021" s="1" t="n">
        <v>46046</v>
      </c>
      <c r="D1021" t="inlineStr">
        <is>
          <t>NORRBOTTENS LÄN</t>
        </is>
      </c>
      <c r="E1021" t="inlineStr">
        <is>
          <t>PAJALA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54359-2022</t>
        </is>
      </c>
      <c r="B1022" s="1" t="n">
        <v>44879</v>
      </c>
      <c r="C1022" s="1" t="n">
        <v>46046</v>
      </c>
      <c r="D1022" t="inlineStr">
        <is>
          <t>NORRBOTTENS LÄN</t>
        </is>
      </c>
      <c r="E1022" t="inlineStr">
        <is>
          <t>PAJALA</t>
        </is>
      </c>
      <c r="G1022" t="n">
        <v>40.7</v>
      </c>
      <c r="H1022" t="n">
        <v>0</v>
      </c>
      <c r="I1022" t="n">
        <v>0</v>
      </c>
      <c r="J1022" t="n">
        <v>0</v>
      </c>
      <c r="K1022" t="n">
        <v>0</v>
      </c>
      <c r="L1022" t="n">
        <v>0</v>
      </c>
      <c r="M1022" t="n">
        <v>0</v>
      </c>
      <c r="N1022" t="n">
        <v>0</v>
      </c>
      <c r="O1022" t="n">
        <v>0</v>
      </c>
      <c r="P1022" t="n">
        <v>0</v>
      </c>
      <c r="Q1022" t="n">
        <v>0</v>
      </c>
      <c r="R1022" s="2" t="inlineStr"/>
    </row>
    <row r="1023" ht="15" customHeight="1">
      <c r="A1023" t="inlineStr">
        <is>
          <t>A 3089-2022</t>
        </is>
      </c>
      <c r="B1023" s="1" t="n">
        <v>44582</v>
      </c>
      <c r="C1023" s="1" t="n">
        <v>46046</v>
      </c>
      <c r="D1023" t="inlineStr">
        <is>
          <t>NORRBOTTENS LÄN</t>
        </is>
      </c>
      <c r="E1023" t="inlineStr">
        <is>
          <t>PITEÅ</t>
        </is>
      </c>
      <c r="G1023" t="n">
        <v>43.8</v>
      </c>
      <c r="H1023" t="n">
        <v>0</v>
      </c>
      <c r="I1023" t="n">
        <v>0</v>
      </c>
      <c r="J1023" t="n">
        <v>0</v>
      </c>
      <c r="K1023" t="n">
        <v>0</v>
      </c>
      <c r="L1023" t="n">
        <v>0</v>
      </c>
      <c r="M1023" t="n">
        <v>0</v>
      </c>
      <c r="N1023" t="n">
        <v>0</v>
      </c>
      <c r="O1023" t="n">
        <v>0</v>
      </c>
      <c r="P1023" t="n">
        <v>0</v>
      </c>
      <c r="Q1023" t="n">
        <v>0</v>
      </c>
      <c r="R1023" s="2" t="inlineStr"/>
    </row>
    <row r="1024" ht="15" customHeight="1">
      <c r="A1024" t="inlineStr">
        <is>
          <t>A 3093-2022</t>
        </is>
      </c>
      <c r="B1024" s="1" t="n">
        <v>44582</v>
      </c>
      <c r="C1024" s="1" t="n">
        <v>46046</v>
      </c>
      <c r="D1024" t="inlineStr">
        <is>
          <t>NORRBOTTENS LÄN</t>
        </is>
      </c>
      <c r="E1024" t="inlineStr">
        <is>
          <t>PITEÅ</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54862-2022</t>
        </is>
      </c>
      <c r="B1025" s="1" t="n">
        <v>44884.77400462963</v>
      </c>
      <c r="C1025" s="1" t="n">
        <v>46046</v>
      </c>
      <c r="D1025" t="inlineStr">
        <is>
          <t>NORRBOTTENS LÄN</t>
        </is>
      </c>
      <c r="E1025" t="inlineStr">
        <is>
          <t>PAJALA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28274-2022</t>
        </is>
      </c>
      <c r="B1026" s="1" t="n">
        <v>44746.92638888889</v>
      </c>
      <c r="C1026" s="1" t="n">
        <v>46046</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54418-2022</t>
        </is>
      </c>
      <c r="B1027" s="1" t="n">
        <v>44879</v>
      </c>
      <c r="C1027" s="1" t="n">
        <v>46046</v>
      </c>
      <c r="D1027" t="inlineStr">
        <is>
          <t>NORRBOTTENS LÄN</t>
        </is>
      </c>
      <c r="E1027" t="inlineStr">
        <is>
          <t>KALIX</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46307-2022</t>
        </is>
      </c>
      <c r="B1028" s="1" t="n">
        <v>44847</v>
      </c>
      <c r="C1028" s="1" t="n">
        <v>46046</v>
      </c>
      <c r="D1028" t="inlineStr">
        <is>
          <t>NORRBOTTENS LÄN</t>
        </is>
      </c>
      <c r="E1028" t="inlineStr">
        <is>
          <t>ÄLVSBYN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31812-2022</t>
        </is>
      </c>
      <c r="B1029" s="1" t="n">
        <v>44776.66797453703</v>
      </c>
      <c r="C1029" s="1" t="n">
        <v>46046</v>
      </c>
      <c r="D1029" t="inlineStr">
        <is>
          <t>NORRBOTTENS LÄN</t>
        </is>
      </c>
      <c r="E1029" t="inlineStr">
        <is>
          <t>KALIX</t>
        </is>
      </c>
      <c r="F1029" t="inlineStr">
        <is>
          <t>Sveaskog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39377-2022</t>
        </is>
      </c>
      <c r="B1030" s="1" t="n">
        <v>44817</v>
      </c>
      <c r="C1030" s="1" t="n">
        <v>46046</v>
      </c>
      <c r="D1030" t="inlineStr">
        <is>
          <t>NORRBOTTENS LÄN</t>
        </is>
      </c>
      <c r="E1030" t="inlineStr">
        <is>
          <t>GÄLLIVARE</t>
        </is>
      </c>
      <c r="F1030" t="inlineStr">
        <is>
          <t>SCA</t>
        </is>
      </c>
      <c r="G1030" t="n">
        <v>11.8</v>
      </c>
      <c r="H1030" t="n">
        <v>0</v>
      </c>
      <c r="I1030" t="n">
        <v>0</v>
      </c>
      <c r="J1030" t="n">
        <v>0</v>
      </c>
      <c r="K1030" t="n">
        <v>0</v>
      </c>
      <c r="L1030" t="n">
        <v>0</v>
      </c>
      <c r="M1030" t="n">
        <v>0</v>
      </c>
      <c r="N1030" t="n">
        <v>0</v>
      </c>
      <c r="O1030" t="n">
        <v>0</v>
      </c>
      <c r="P1030" t="n">
        <v>0</v>
      </c>
      <c r="Q1030" t="n">
        <v>0</v>
      </c>
      <c r="R1030" s="2" t="inlineStr"/>
    </row>
    <row r="1031" ht="15" customHeight="1">
      <c r="A1031" t="inlineStr">
        <is>
          <t>A 39379-2022</t>
        </is>
      </c>
      <c r="B1031" s="1" t="n">
        <v>44817.94689814815</v>
      </c>
      <c r="C1031" s="1" t="n">
        <v>46046</v>
      </c>
      <c r="D1031" t="inlineStr">
        <is>
          <t>NORRBOTTENS LÄN</t>
        </is>
      </c>
      <c r="E1031" t="inlineStr">
        <is>
          <t>GÄLLIVARE</t>
        </is>
      </c>
      <c r="F1031" t="inlineStr">
        <is>
          <t>SCA</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39444-2022</t>
        </is>
      </c>
      <c r="B1032" s="1" t="n">
        <v>44818</v>
      </c>
      <c r="C1032" s="1" t="n">
        <v>46046</v>
      </c>
      <c r="D1032" t="inlineStr">
        <is>
          <t>NORRBOTTENS LÄN</t>
        </is>
      </c>
      <c r="E1032" t="inlineStr">
        <is>
          <t>ÄLVSBYN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47808-2022</t>
        </is>
      </c>
      <c r="B1033" s="1" t="n">
        <v>44854</v>
      </c>
      <c r="C1033" s="1" t="n">
        <v>46046</v>
      </c>
      <c r="D1033" t="inlineStr">
        <is>
          <t>NORRBOTTENS LÄN</t>
        </is>
      </c>
      <c r="E1033" t="inlineStr">
        <is>
          <t>GÄLLIVARE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37119-2022</t>
        </is>
      </c>
      <c r="B1034" s="1" t="n">
        <v>44806</v>
      </c>
      <c r="C1034" s="1" t="n">
        <v>46046</v>
      </c>
      <c r="D1034" t="inlineStr">
        <is>
          <t>NORRBOTTENS LÄN</t>
        </is>
      </c>
      <c r="E1034" t="inlineStr">
        <is>
          <t>ARVIDSJAUR</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41159-2022</t>
        </is>
      </c>
      <c r="B1035" s="1" t="n">
        <v>44825</v>
      </c>
      <c r="C1035" s="1" t="n">
        <v>46046</v>
      </c>
      <c r="D1035" t="inlineStr">
        <is>
          <t>NORRBOTTENS LÄN</t>
        </is>
      </c>
      <c r="E1035" t="inlineStr">
        <is>
          <t>ÄLVSBYN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24453-2021</t>
        </is>
      </c>
      <c r="B1036" s="1" t="n">
        <v>44337</v>
      </c>
      <c r="C1036" s="1" t="n">
        <v>46046</v>
      </c>
      <c r="D1036" t="inlineStr">
        <is>
          <t>NORRBOTTENS LÄN</t>
        </is>
      </c>
      <c r="E1036" t="inlineStr">
        <is>
          <t>LULEÅ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30690-2021</t>
        </is>
      </c>
      <c r="B1037" s="1" t="n">
        <v>44365</v>
      </c>
      <c r="C1037" s="1" t="n">
        <v>46046</v>
      </c>
      <c r="D1037" t="inlineStr">
        <is>
          <t>NORRBOTTENS LÄN</t>
        </is>
      </c>
      <c r="E1037" t="inlineStr">
        <is>
          <t>HAPARANDA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3843-2022</t>
        </is>
      </c>
      <c r="B1038" s="1" t="n">
        <v>44586</v>
      </c>
      <c r="C1038" s="1" t="n">
        <v>46046</v>
      </c>
      <c r="D1038" t="inlineStr">
        <is>
          <t>NORRBOTTENS LÄN</t>
        </is>
      </c>
      <c r="E1038" t="inlineStr">
        <is>
          <t>LULEÅ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53769-2022</t>
        </is>
      </c>
      <c r="B1039" s="1" t="n">
        <v>44880</v>
      </c>
      <c r="C1039" s="1" t="n">
        <v>46046</v>
      </c>
      <c r="D1039" t="inlineStr">
        <is>
          <t>NORRBOTTENS LÄN</t>
        </is>
      </c>
      <c r="E1039" t="inlineStr">
        <is>
          <t>KALIX</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7468-2021</t>
        </is>
      </c>
      <c r="B1040" s="1" t="n">
        <v>44239</v>
      </c>
      <c r="C1040" s="1" t="n">
        <v>46046</v>
      </c>
      <c r="D1040" t="inlineStr">
        <is>
          <t>NORRBOTTENS LÄN</t>
        </is>
      </c>
      <c r="E1040" t="inlineStr">
        <is>
          <t>LULEÅ</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22278-2021</t>
        </is>
      </c>
      <c r="B1041" s="1" t="n">
        <v>44326.44082175926</v>
      </c>
      <c r="C1041" s="1" t="n">
        <v>46046</v>
      </c>
      <c r="D1041" t="inlineStr">
        <is>
          <t>NORRBOTTENS LÄN</t>
        </is>
      </c>
      <c r="E1041" t="inlineStr">
        <is>
          <t>PITEÅ</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4792-2021</t>
        </is>
      </c>
      <c r="B1042" s="1" t="n">
        <v>44225</v>
      </c>
      <c r="C1042" s="1" t="n">
        <v>46046</v>
      </c>
      <c r="D1042" t="inlineStr">
        <is>
          <t>NORRBOTTENS LÄN</t>
        </is>
      </c>
      <c r="E1042" t="inlineStr">
        <is>
          <t>ÖVERTORNEÅ</t>
        </is>
      </c>
      <c r="G1042" t="n">
        <v>48.7</v>
      </c>
      <c r="H1042" t="n">
        <v>0</v>
      </c>
      <c r="I1042" t="n">
        <v>0</v>
      </c>
      <c r="J1042" t="n">
        <v>0</v>
      </c>
      <c r="K1042" t="n">
        <v>0</v>
      </c>
      <c r="L1042" t="n">
        <v>0</v>
      </c>
      <c r="M1042" t="n">
        <v>0</v>
      </c>
      <c r="N1042" t="n">
        <v>0</v>
      </c>
      <c r="O1042" t="n">
        <v>0</v>
      </c>
      <c r="P1042" t="n">
        <v>0</v>
      </c>
      <c r="Q1042" t="n">
        <v>0</v>
      </c>
      <c r="R1042" s="2" t="inlineStr"/>
    </row>
    <row r="1043" ht="15" customHeight="1">
      <c r="A1043" t="inlineStr">
        <is>
          <t>A 11717-2022</t>
        </is>
      </c>
      <c r="B1043" s="1" t="n">
        <v>44634</v>
      </c>
      <c r="C1043" s="1" t="n">
        <v>46046</v>
      </c>
      <c r="D1043" t="inlineStr">
        <is>
          <t>NORRBOTTENS LÄN</t>
        </is>
      </c>
      <c r="E1043" t="inlineStr">
        <is>
          <t>PAJALA</t>
        </is>
      </c>
      <c r="F1043" t="inlineStr">
        <is>
          <t>Allmännings- och besparingsskogar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48364-2021</t>
        </is>
      </c>
      <c r="B1044" s="1" t="n">
        <v>44451</v>
      </c>
      <c r="C1044" s="1" t="n">
        <v>46046</v>
      </c>
      <c r="D1044" t="inlineStr">
        <is>
          <t>NORRBOTTENS LÄN</t>
        </is>
      </c>
      <c r="E1044" t="inlineStr">
        <is>
          <t>PAJALA</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13740-2021</t>
        </is>
      </c>
      <c r="B1045" s="1" t="n">
        <v>44274</v>
      </c>
      <c r="C1045" s="1" t="n">
        <v>46046</v>
      </c>
      <c r="D1045" t="inlineStr">
        <is>
          <t>NORRBOTTENS LÄN</t>
        </is>
      </c>
      <c r="E1045" t="inlineStr">
        <is>
          <t>BODEN</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4848-2022</t>
        </is>
      </c>
      <c r="B1046" s="1" t="n">
        <v>44592.92069444444</v>
      </c>
      <c r="C1046" s="1" t="n">
        <v>46046</v>
      </c>
      <c r="D1046" t="inlineStr">
        <is>
          <t>NORRBOTTENS LÄN</t>
        </is>
      </c>
      <c r="E1046" t="inlineStr">
        <is>
          <t>PAJALA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48746-2021</t>
        </is>
      </c>
      <c r="B1047" s="1" t="n">
        <v>44452</v>
      </c>
      <c r="C1047" s="1" t="n">
        <v>46046</v>
      </c>
      <c r="D1047" t="inlineStr">
        <is>
          <t>NORRBOTTENS LÄN</t>
        </is>
      </c>
      <c r="E1047" t="inlineStr">
        <is>
          <t>ÖVERTORNEÅ</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43678-2021</t>
        </is>
      </c>
      <c r="B1048" s="1" t="n">
        <v>44433</v>
      </c>
      <c r="C1048" s="1" t="n">
        <v>46046</v>
      </c>
      <c r="D1048" t="inlineStr">
        <is>
          <t>NORRBOTTENS LÄN</t>
        </is>
      </c>
      <c r="E1048" t="inlineStr">
        <is>
          <t>ARVIDSJAUR</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15800-2022</t>
        </is>
      </c>
      <c r="B1049" s="1" t="n">
        <v>44663.90741898148</v>
      </c>
      <c r="C1049" s="1" t="n">
        <v>46046</v>
      </c>
      <c r="D1049" t="inlineStr">
        <is>
          <t>NORRBOTTENS LÄN</t>
        </is>
      </c>
      <c r="E1049" t="inlineStr">
        <is>
          <t>PAJALA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13717-2022</t>
        </is>
      </c>
      <c r="B1050" s="1" t="n">
        <v>44648</v>
      </c>
      <c r="C1050" s="1" t="n">
        <v>46046</v>
      </c>
      <c r="D1050" t="inlineStr">
        <is>
          <t>NORRBOTTENS LÄN</t>
        </is>
      </c>
      <c r="E1050" t="inlineStr">
        <is>
          <t>ÖVERKALIX</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46046</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8112-2022</t>
        </is>
      </c>
      <c r="B1052" s="1" t="n">
        <v>44609</v>
      </c>
      <c r="C1052" s="1" t="n">
        <v>46046</v>
      </c>
      <c r="D1052" t="inlineStr">
        <is>
          <t>NORRBOTTENS LÄN</t>
        </is>
      </c>
      <c r="E1052" t="inlineStr">
        <is>
          <t>BODEN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8125-2022</t>
        </is>
      </c>
      <c r="B1053" s="1" t="n">
        <v>44609</v>
      </c>
      <c r="C1053" s="1" t="n">
        <v>46046</v>
      </c>
      <c r="D1053" t="inlineStr">
        <is>
          <t>NORRBOTTENS LÄN</t>
        </is>
      </c>
      <c r="E1053" t="inlineStr">
        <is>
          <t>BODEN</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17784-2021</t>
        </is>
      </c>
      <c r="B1054" s="1" t="n">
        <v>44300</v>
      </c>
      <c r="C1054" s="1" t="n">
        <v>46046</v>
      </c>
      <c r="D1054" t="inlineStr">
        <is>
          <t>NORRBOTTENS LÄN</t>
        </is>
      </c>
      <c r="E1054" t="inlineStr">
        <is>
          <t>ÄLVSBYN</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52001-2021</t>
        </is>
      </c>
      <c r="B1055" s="1" t="n">
        <v>44463</v>
      </c>
      <c r="C1055" s="1" t="n">
        <v>46046</v>
      </c>
      <c r="D1055" t="inlineStr">
        <is>
          <t>NORRBOTTENS LÄN</t>
        </is>
      </c>
      <c r="E1055" t="inlineStr">
        <is>
          <t>PITEÅ</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46046</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15194-2022</t>
        </is>
      </c>
      <c r="B1057" s="1" t="n">
        <v>44658.62795138889</v>
      </c>
      <c r="C1057" s="1" t="n">
        <v>46046</v>
      </c>
      <c r="D1057" t="inlineStr">
        <is>
          <t>NORRBOTTENS LÄN</t>
        </is>
      </c>
      <c r="E1057" t="inlineStr">
        <is>
          <t>LULEÅ</t>
        </is>
      </c>
      <c r="G1057" t="n">
        <v>26.9</v>
      </c>
      <c r="H1057" t="n">
        <v>0</v>
      </c>
      <c r="I1057" t="n">
        <v>0</v>
      </c>
      <c r="J1057" t="n">
        <v>0</v>
      </c>
      <c r="K1057" t="n">
        <v>0</v>
      </c>
      <c r="L1057" t="n">
        <v>0</v>
      </c>
      <c r="M1057" t="n">
        <v>0</v>
      </c>
      <c r="N1057" t="n">
        <v>0</v>
      </c>
      <c r="O1057" t="n">
        <v>0</v>
      </c>
      <c r="P1057" t="n">
        <v>0</v>
      </c>
      <c r="Q1057" t="n">
        <v>0</v>
      </c>
      <c r="R1057" s="2" t="inlineStr"/>
    </row>
    <row r="1058" ht="15" customHeight="1">
      <c r="A1058" t="inlineStr">
        <is>
          <t>A 10619-2021</t>
        </is>
      </c>
      <c r="B1058" s="1" t="n">
        <v>44258</v>
      </c>
      <c r="C1058" s="1" t="n">
        <v>46046</v>
      </c>
      <c r="D1058" t="inlineStr">
        <is>
          <t>NORRBOTTENS LÄN</t>
        </is>
      </c>
      <c r="E1058" t="inlineStr">
        <is>
          <t>ÖVERTORNEÅ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46046</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4247-2021</t>
        </is>
      </c>
      <c r="B1060" s="1" t="n">
        <v>44223</v>
      </c>
      <c r="C1060" s="1" t="n">
        <v>46046</v>
      </c>
      <c r="D1060" t="inlineStr">
        <is>
          <t>NORRBOTTENS LÄN</t>
        </is>
      </c>
      <c r="E1060" t="inlineStr">
        <is>
          <t>BODEN</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8721-2021</t>
        </is>
      </c>
      <c r="B1061" s="1" t="n">
        <v>44246</v>
      </c>
      <c r="C1061" s="1" t="n">
        <v>46046</v>
      </c>
      <c r="D1061" t="inlineStr">
        <is>
          <t>NORRBOTTENS LÄN</t>
        </is>
      </c>
      <c r="E1061" t="inlineStr">
        <is>
          <t>ARJEPLOG</t>
        </is>
      </c>
      <c r="F1061" t="inlineStr">
        <is>
          <t>Sveaskog</t>
        </is>
      </c>
      <c r="G1061" t="n">
        <v>48.3</v>
      </c>
      <c r="H1061" t="n">
        <v>0</v>
      </c>
      <c r="I1061" t="n">
        <v>0</v>
      </c>
      <c r="J1061" t="n">
        <v>0</v>
      </c>
      <c r="K1061" t="n">
        <v>0</v>
      </c>
      <c r="L1061" t="n">
        <v>0</v>
      </c>
      <c r="M1061" t="n">
        <v>0</v>
      </c>
      <c r="N1061" t="n">
        <v>0</v>
      </c>
      <c r="O1061" t="n">
        <v>0</v>
      </c>
      <c r="P1061" t="n">
        <v>0</v>
      </c>
      <c r="Q1061" t="n">
        <v>0</v>
      </c>
      <c r="R1061" s="2" t="inlineStr"/>
    </row>
    <row r="1062" ht="15" customHeight="1">
      <c r="A1062" t="inlineStr">
        <is>
          <t>A 6110-2022</t>
        </is>
      </c>
      <c r="B1062" s="1" t="n">
        <v>44599</v>
      </c>
      <c r="C1062" s="1" t="n">
        <v>46046</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50362-2021</t>
        </is>
      </c>
      <c r="B1063" s="1" t="n">
        <v>44459</v>
      </c>
      <c r="C1063" s="1" t="n">
        <v>46046</v>
      </c>
      <c r="D1063" t="inlineStr">
        <is>
          <t>NORRBOTTENS LÄN</t>
        </is>
      </c>
      <c r="E1063" t="inlineStr">
        <is>
          <t>KALIX</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73907-2021</t>
        </is>
      </c>
      <c r="B1064" s="1" t="n">
        <v>44552</v>
      </c>
      <c r="C1064" s="1" t="n">
        <v>46046</v>
      </c>
      <c r="D1064" t="inlineStr">
        <is>
          <t>NORRBOTTENS LÄN</t>
        </is>
      </c>
      <c r="E1064" t="inlineStr">
        <is>
          <t>LULEÅ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15884-2021</t>
        </is>
      </c>
      <c r="B1065" s="1" t="n">
        <v>44286</v>
      </c>
      <c r="C1065" s="1" t="n">
        <v>46046</v>
      </c>
      <c r="D1065" t="inlineStr">
        <is>
          <t>NORRBOTTENS LÄN</t>
        </is>
      </c>
      <c r="E1065" t="inlineStr">
        <is>
          <t>BODEN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15956-2021</t>
        </is>
      </c>
      <c r="B1066" s="1" t="n">
        <v>44286</v>
      </c>
      <c r="C1066" s="1" t="n">
        <v>46046</v>
      </c>
      <c r="D1066" t="inlineStr">
        <is>
          <t>NORRBOTTENS LÄN</t>
        </is>
      </c>
      <c r="E1066" t="inlineStr">
        <is>
          <t>KALIX</t>
        </is>
      </c>
      <c r="G1066" t="n">
        <v>16.8</v>
      </c>
      <c r="H1066" t="n">
        <v>0</v>
      </c>
      <c r="I1066" t="n">
        <v>0</v>
      </c>
      <c r="J1066" t="n">
        <v>0</v>
      </c>
      <c r="K1066" t="n">
        <v>0</v>
      </c>
      <c r="L1066" t="n">
        <v>0</v>
      </c>
      <c r="M1066" t="n">
        <v>0</v>
      </c>
      <c r="N1066" t="n">
        <v>0</v>
      </c>
      <c r="O1066" t="n">
        <v>0</v>
      </c>
      <c r="P1066" t="n">
        <v>0</v>
      </c>
      <c r="Q1066" t="n">
        <v>0</v>
      </c>
      <c r="R1066" s="2" t="inlineStr"/>
    </row>
    <row r="1067" ht="15" customHeight="1">
      <c r="A1067" t="inlineStr">
        <is>
          <t>A 9527-2022</t>
        </is>
      </c>
      <c r="B1067" s="1" t="n">
        <v>44617</v>
      </c>
      <c r="C1067" s="1" t="n">
        <v>46046</v>
      </c>
      <c r="D1067" t="inlineStr">
        <is>
          <t>NORRBOTTENS LÄN</t>
        </is>
      </c>
      <c r="E1067" t="inlineStr">
        <is>
          <t>BODEN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10778-2022</t>
        </is>
      </c>
      <c r="B1068" s="1" t="n">
        <v>44627</v>
      </c>
      <c r="C1068" s="1" t="n">
        <v>46046</v>
      </c>
      <c r="D1068" t="inlineStr">
        <is>
          <t>NORRBOTTENS LÄN</t>
        </is>
      </c>
      <c r="E1068" t="inlineStr">
        <is>
          <t>PAJALA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61370-2021</t>
        </is>
      </c>
      <c r="B1069" s="1" t="n">
        <v>44499</v>
      </c>
      <c r="C1069" s="1" t="n">
        <v>46046</v>
      </c>
      <c r="D1069" t="inlineStr">
        <is>
          <t>NORRBOTTENS LÄN</t>
        </is>
      </c>
      <c r="E1069" t="inlineStr">
        <is>
          <t>PITEÅ</t>
        </is>
      </c>
      <c r="G1069" t="n">
        <v>18.2</v>
      </c>
      <c r="H1069" t="n">
        <v>0</v>
      </c>
      <c r="I1069" t="n">
        <v>0</v>
      </c>
      <c r="J1069" t="n">
        <v>0</v>
      </c>
      <c r="K1069" t="n">
        <v>0</v>
      </c>
      <c r="L1069" t="n">
        <v>0</v>
      </c>
      <c r="M1069" t="n">
        <v>0</v>
      </c>
      <c r="N1069" t="n">
        <v>0</v>
      </c>
      <c r="O1069" t="n">
        <v>0</v>
      </c>
      <c r="P1069" t="n">
        <v>0</v>
      </c>
      <c r="Q1069" t="n">
        <v>0</v>
      </c>
      <c r="R1069" s="2" t="inlineStr"/>
    </row>
    <row r="1070" ht="15" customHeight="1">
      <c r="A1070" t="inlineStr">
        <is>
          <t>A 28276-2022</t>
        </is>
      </c>
      <c r="B1070" s="1" t="n">
        <v>44746</v>
      </c>
      <c r="C1070" s="1" t="n">
        <v>46046</v>
      </c>
      <c r="D1070" t="inlineStr">
        <is>
          <t>NORRBOTTENS LÄN</t>
        </is>
      </c>
      <c r="E1070" t="inlineStr">
        <is>
          <t>LULEÅ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13859-2021</t>
        </is>
      </c>
      <c r="B1071" s="1" t="n">
        <v>44277</v>
      </c>
      <c r="C1071" s="1" t="n">
        <v>46046</v>
      </c>
      <c r="D1071" t="inlineStr">
        <is>
          <t>NORRBOTTENS LÄN</t>
        </is>
      </c>
      <c r="E1071" t="inlineStr">
        <is>
          <t>ÖVERTORNEÅ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13866-2021</t>
        </is>
      </c>
      <c r="B1072" s="1" t="n">
        <v>44277</v>
      </c>
      <c r="C1072" s="1" t="n">
        <v>46046</v>
      </c>
      <c r="D1072" t="inlineStr">
        <is>
          <t>NORRBOTTENS LÄN</t>
        </is>
      </c>
      <c r="E1072" t="inlineStr">
        <is>
          <t>ÖVERTORNEÅ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11847-2021</t>
        </is>
      </c>
      <c r="B1073" s="1" t="n">
        <v>44264</v>
      </c>
      <c r="C1073" s="1" t="n">
        <v>46046</v>
      </c>
      <c r="D1073" t="inlineStr">
        <is>
          <t>NORRBOTTENS LÄN</t>
        </is>
      </c>
      <c r="E1073" t="inlineStr">
        <is>
          <t>LULEÅ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43780-2021</t>
        </is>
      </c>
      <c r="B1074" s="1" t="n">
        <v>44433</v>
      </c>
      <c r="C1074" s="1" t="n">
        <v>46046</v>
      </c>
      <c r="D1074" t="inlineStr">
        <is>
          <t>NORRBOTTENS LÄN</t>
        </is>
      </c>
      <c r="E1074" t="inlineStr">
        <is>
          <t>JOKKMOKK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52869-2021</t>
        </is>
      </c>
      <c r="B1075" s="1" t="n">
        <v>44466</v>
      </c>
      <c r="C1075" s="1" t="n">
        <v>46046</v>
      </c>
      <c r="D1075" t="inlineStr">
        <is>
          <t>NORRBOTTENS LÄN</t>
        </is>
      </c>
      <c r="E1075" t="inlineStr">
        <is>
          <t>ÖVERKALIX</t>
        </is>
      </c>
      <c r="G1075" t="n">
        <v>12.6</v>
      </c>
      <c r="H1075" t="n">
        <v>0</v>
      </c>
      <c r="I1075" t="n">
        <v>0</v>
      </c>
      <c r="J1075" t="n">
        <v>0</v>
      </c>
      <c r="K1075" t="n">
        <v>0</v>
      </c>
      <c r="L1075" t="n">
        <v>0</v>
      </c>
      <c r="M1075" t="n">
        <v>0</v>
      </c>
      <c r="N1075" t="n">
        <v>0</v>
      </c>
      <c r="O1075" t="n">
        <v>0</v>
      </c>
      <c r="P1075" t="n">
        <v>0</v>
      </c>
      <c r="Q1075" t="n">
        <v>0</v>
      </c>
      <c r="R1075" s="2" t="inlineStr"/>
    </row>
    <row r="1076" ht="15" customHeight="1">
      <c r="A1076" t="inlineStr">
        <is>
          <t>A 54842-2022</t>
        </is>
      </c>
      <c r="B1076" s="1" t="n">
        <v>44883</v>
      </c>
      <c r="C1076" s="1" t="n">
        <v>46046</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13744-2021</t>
        </is>
      </c>
      <c r="B1077" s="1" t="n">
        <v>44274</v>
      </c>
      <c r="C1077" s="1" t="n">
        <v>46046</v>
      </c>
      <c r="D1077" t="inlineStr">
        <is>
          <t>NORRBOTTENS LÄN</t>
        </is>
      </c>
      <c r="E1077" t="inlineStr">
        <is>
          <t>BODEN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12576-2022</t>
        </is>
      </c>
      <c r="B1078" s="1" t="n">
        <v>44638</v>
      </c>
      <c r="C1078" s="1" t="n">
        <v>46046</v>
      </c>
      <c r="D1078" t="inlineStr">
        <is>
          <t>NORRBOTTENS LÄN</t>
        </is>
      </c>
      <c r="E1078" t="inlineStr">
        <is>
          <t>JOKKMOKK</t>
        </is>
      </c>
      <c r="F1078" t="inlineStr">
        <is>
          <t>SCA</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8889-2021</t>
        </is>
      </c>
      <c r="B1079" s="1" t="n">
        <v>44248</v>
      </c>
      <c r="C1079" s="1" t="n">
        <v>46046</v>
      </c>
      <c r="D1079" t="inlineStr">
        <is>
          <t>NORRBOTTENS LÄN</t>
        </is>
      </c>
      <c r="E1079" t="inlineStr">
        <is>
          <t>BODEN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65110-2021</t>
        </is>
      </c>
      <c r="B1080" s="1" t="n">
        <v>44515</v>
      </c>
      <c r="C1080" s="1" t="n">
        <v>46046</v>
      </c>
      <c r="D1080" t="inlineStr">
        <is>
          <t>NORRBOTTENS LÄN</t>
        </is>
      </c>
      <c r="E1080" t="inlineStr">
        <is>
          <t>ÖVERTORNEÅ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13592-2022</t>
        </is>
      </c>
      <c r="B1081" s="1" t="n">
        <v>44648</v>
      </c>
      <c r="C1081" s="1" t="n">
        <v>46046</v>
      </c>
      <c r="D1081" t="inlineStr">
        <is>
          <t>NORRBOTTENS LÄN</t>
        </is>
      </c>
      <c r="E1081" t="inlineStr">
        <is>
          <t>BODEN</t>
        </is>
      </c>
      <c r="F1081" t="inlineStr">
        <is>
          <t>Sveaskog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60948-2021</t>
        </is>
      </c>
      <c r="B1082" s="1" t="n">
        <v>44497</v>
      </c>
      <c r="C1082" s="1" t="n">
        <v>46046</v>
      </c>
      <c r="D1082" t="inlineStr">
        <is>
          <t>NORRBOTTENS LÄN</t>
        </is>
      </c>
      <c r="E1082" t="inlineStr">
        <is>
          <t>ÖVERTORNEÅ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9838-2021</t>
        </is>
      </c>
      <c r="B1083" s="1" t="n">
        <v>44252</v>
      </c>
      <c r="C1083" s="1" t="n">
        <v>46046</v>
      </c>
      <c r="D1083" t="inlineStr">
        <is>
          <t>NORRBOTTENS LÄN</t>
        </is>
      </c>
      <c r="E1083" t="inlineStr">
        <is>
          <t>ÖVERTORNEÅ</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9842-2021</t>
        </is>
      </c>
      <c r="B1084" s="1" t="n">
        <v>44252</v>
      </c>
      <c r="C1084" s="1" t="n">
        <v>46046</v>
      </c>
      <c r="D1084" t="inlineStr">
        <is>
          <t>NORRBOTTENS LÄN</t>
        </is>
      </c>
      <c r="E1084" t="inlineStr">
        <is>
          <t>ÖVERTORNEÅ</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53640-2021</t>
        </is>
      </c>
      <c r="B1085" s="1" t="n">
        <v>44469.40788194445</v>
      </c>
      <c r="C1085" s="1" t="n">
        <v>46046</v>
      </c>
      <c r="D1085" t="inlineStr">
        <is>
          <t>NORRBOTTENS LÄN</t>
        </is>
      </c>
      <c r="E1085" t="inlineStr">
        <is>
          <t>KALIX</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11793-2022</t>
        </is>
      </c>
      <c r="B1086" s="1" t="n">
        <v>44634</v>
      </c>
      <c r="C1086" s="1" t="n">
        <v>46046</v>
      </c>
      <c r="D1086" t="inlineStr">
        <is>
          <t>NORRBOTTENS LÄN</t>
        </is>
      </c>
      <c r="E1086" t="inlineStr">
        <is>
          <t>LULEÅ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32378-2021</t>
        </is>
      </c>
      <c r="B1087" s="1" t="n">
        <v>44371.61725694445</v>
      </c>
      <c r="C1087" s="1" t="n">
        <v>46046</v>
      </c>
      <c r="D1087" t="inlineStr">
        <is>
          <t>NORRBOTTENS LÄN</t>
        </is>
      </c>
      <c r="E1087" t="inlineStr">
        <is>
          <t>LULEÅ</t>
        </is>
      </c>
      <c r="F1087" t="inlineStr">
        <is>
          <t>Sveaskog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32448-2021</t>
        </is>
      </c>
      <c r="B1088" s="1" t="n">
        <v>44371</v>
      </c>
      <c r="C1088" s="1" t="n">
        <v>46046</v>
      </c>
      <c r="D1088" t="inlineStr">
        <is>
          <t>NORRBOTTENS LÄN</t>
        </is>
      </c>
      <c r="E1088" t="inlineStr">
        <is>
          <t>KALIX</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45185-2021</t>
        </is>
      </c>
      <c r="B1089" s="1" t="n">
        <v>44439</v>
      </c>
      <c r="C1089" s="1" t="n">
        <v>46046</v>
      </c>
      <c r="D1089" t="inlineStr">
        <is>
          <t>NORRBOTTENS LÄN</t>
        </is>
      </c>
      <c r="E1089" t="inlineStr">
        <is>
          <t>BODEN</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55536-2022</t>
        </is>
      </c>
      <c r="B1090" s="1" t="n">
        <v>44887.95318287037</v>
      </c>
      <c r="C1090" s="1" t="n">
        <v>46046</v>
      </c>
      <c r="D1090" t="inlineStr">
        <is>
          <t>NORRBOTTENS LÄN</t>
        </is>
      </c>
      <c r="E1090" t="inlineStr">
        <is>
          <t>BODEN</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39759-2022</t>
        </is>
      </c>
      <c r="B1091" s="1" t="n">
        <v>44819</v>
      </c>
      <c r="C1091" s="1" t="n">
        <v>46046</v>
      </c>
      <c r="D1091" t="inlineStr">
        <is>
          <t>NORRBOTTENS LÄN</t>
        </is>
      </c>
      <c r="E1091" t="inlineStr">
        <is>
          <t>ARVIDSJAUR</t>
        </is>
      </c>
      <c r="F1091" t="inlineStr">
        <is>
          <t>Sveaskog</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49030-2021</t>
        </is>
      </c>
      <c r="B1092" s="1" t="n">
        <v>44453</v>
      </c>
      <c r="C1092" s="1" t="n">
        <v>46046</v>
      </c>
      <c r="D1092" t="inlineStr">
        <is>
          <t>NORRBOTTENS LÄN</t>
        </is>
      </c>
      <c r="E1092" t="inlineStr">
        <is>
          <t>PITEÅ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15075-2021</t>
        </is>
      </c>
      <c r="B1093" s="1" t="n">
        <v>44281</v>
      </c>
      <c r="C1093" s="1" t="n">
        <v>46046</v>
      </c>
      <c r="D1093" t="inlineStr">
        <is>
          <t>NORRBOTTENS LÄN</t>
        </is>
      </c>
      <c r="E1093" t="inlineStr">
        <is>
          <t>ÖVERKALIX</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23546-2022</t>
        </is>
      </c>
      <c r="B1094" s="1" t="n">
        <v>44721</v>
      </c>
      <c r="C1094" s="1" t="n">
        <v>46046</v>
      </c>
      <c r="D1094" t="inlineStr">
        <is>
          <t>NORRBOTTENS LÄN</t>
        </is>
      </c>
      <c r="E1094" t="inlineStr">
        <is>
          <t>BODEN</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17781-2021</t>
        </is>
      </c>
      <c r="B1095" s="1" t="n">
        <v>44300</v>
      </c>
      <c r="C1095" s="1" t="n">
        <v>46046</v>
      </c>
      <c r="D1095" t="inlineStr">
        <is>
          <t>NORRBOTTENS LÄN</t>
        </is>
      </c>
      <c r="E1095" t="inlineStr">
        <is>
          <t>KALIX</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71833-2021</t>
        </is>
      </c>
      <c r="B1096" s="1" t="n">
        <v>44543.62024305556</v>
      </c>
      <c r="C1096" s="1" t="n">
        <v>46046</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30114-2022</t>
        </is>
      </c>
      <c r="B1097" s="1" t="n">
        <v>44757.40704861111</v>
      </c>
      <c r="C1097" s="1" t="n">
        <v>46046</v>
      </c>
      <c r="D1097" t="inlineStr">
        <is>
          <t>NORRBOTTENS LÄN</t>
        </is>
      </c>
      <c r="E1097" t="inlineStr">
        <is>
          <t>ÖVERTORNEÅ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15159-2021</t>
        </is>
      </c>
      <c r="B1098" s="1" t="n">
        <v>44284</v>
      </c>
      <c r="C1098" s="1" t="n">
        <v>46046</v>
      </c>
      <c r="D1098" t="inlineStr">
        <is>
          <t>NORRBOTTENS LÄN</t>
        </is>
      </c>
      <c r="E1098" t="inlineStr">
        <is>
          <t>BODEN</t>
        </is>
      </c>
      <c r="F1098" t="inlineStr">
        <is>
          <t>Övriga statliga verk och myndigheter</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21787-2021</t>
        </is>
      </c>
      <c r="B1099" s="1" t="n">
        <v>44319</v>
      </c>
      <c r="C1099" s="1" t="n">
        <v>46046</v>
      </c>
      <c r="D1099" t="inlineStr">
        <is>
          <t>NORRBOTTENS LÄN</t>
        </is>
      </c>
      <c r="E1099" t="inlineStr">
        <is>
          <t>KALIX</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21790-2021</t>
        </is>
      </c>
      <c r="B1100" s="1" t="n">
        <v>44319</v>
      </c>
      <c r="C1100" s="1" t="n">
        <v>46046</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21792-2021</t>
        </is>
      </c>
      <c r="B1101" s="1" t="n">
        <v>44319</v>
      </c>
      <c r="C1101" s="1" t="n">
        <v>46046</v>
      </c>
      <c r="D1101" t="inlineStr">
        <is>
          <t>NORRBOTTENS LÄN</t>
        </is>
      </c>
      <c r="E1101" t="inlineStr">
        <is>
          <t>KALIX</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10553-2022</t>
        </is>
      </c>
      <c r="B1102" s="1" t="n">
        <v>44623.93768518518</v>
      </c>
      <c r="C1102" s="1" t="n">
        <v>46046</v>
      </c>
      <c r="D1102" t="inlineStr">
        <is>
          <t>NORRBOTTENS LÄN</t>
        </is>
      </c>
      <c r="E1102" t="inlineStr">
        <is>
          <t>ÖVERKALIX</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10648-2022</t>
        </is>
      </c>
      <c r="B1103" s="1" t="n">
        <v>44624</v>
      </c>
      <c r="C1103" s="1" t="n">
        <v>46046</v>
      </c>
      <c r="D1103" t="inlineStr">
        <is>
          <t>NORRBOTTENS LÄN</t>
        </is>
      </c>
      <c r="E1103" t="inlineStr">
        <is>
          <t>ARVIDSJAUR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46032-2021</t>
        </is>
      </c>
      <c r="B1104" s="1" t="n">
        <v>44441</v>
      </c>
      <c r="C1104" s="1" t="n">
        <v>46046</v>
      </c>
      <c r="D1104" t="inlineStr">
        <is>
          <t>NORRBOTTENS LÄN</t>
        </is>
      </c>
      <c r="E1104" t="inlineStr">
        <is>
          <t>ÖVERTORNEÅ</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48211-2021</t>
        </is>
      </c>
      <c r="B1105" s="1" t="n">
        <v>44449</v>
      </c>
      <c r="C1105" s="1" t="n">
        <v>46046</v>
      </c>
      <c r="D1105" t="inlineStr">
        <is>
          <t>NORRBOTTENS LÄN</t>
        </is>
      </c>
      <c r="E1105" t="inlineStr">
        <is>
          <t>PAJALA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33903-2021</t>
        </is>
      </c>
      <c r="B1106" s="1" t="n">
        <v>44378</v>
      </c>
      <c r="C1106" s="1" t="n">
        <v>46046</v>
      </c>
      <c r="D1106" t="inlineStr">
        <is>
          <t>NORRBOTTENS LÄN</t>
        </is>
      </c>
      <c r="E1106" t="inlineStr">
        <is>
          <t>BODEN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30672-2021</t>
        </is>
      </c>
      <c r="B1107" s="1" t="n">
        <v>44365.38575231482</v>
      </c>
      <c r="C1107" s="1" t="n">
        <v>46046</v>
      </c>
      <c r="D1107" t="inlineStr">
        <is>
          <t>NORRBOTTENS LÄN</t>
        </is>
      </c>
      <c r="E1107" t="inlineStr">
        <is>
          <t>ÖVERKALIX</t>
        </is>
      </c>
      <c r="F1107" t="inlineStr">
        <is>
          <t>Sveaskog</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30688-2021</t>
        </is>
      </c>
      <c r="B1108" s="1" t="n">
        <v>44365.40936342593</v>
      </c>
      <c r="C1108" s="1" t="n">
        <v>46046</v>
      </c>
      <c r="D1108" t="inlineStr">
        <is>
          <t>NORRBOTTENS LÄN</t>
        </is>
      </c>
      <c r="E1108" t="inlineStr">
        <is>
          <t>ÖVERTORNEÅ</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21748-2021</t>
        </is>
      </c>
      <c r="B1109" s="1" t="n">
        <v>44322.55153935185</v>
      </c>
      <c r="C1109" s="1" t="n">
        <v>46046</v>
      </c>
      <c r="D1109" t="inlineStr">
        <is>
          <t>NORRBOTTENS LÄN</t>
        </is>
      </c>
      <c r="E1109" t="inlineStr">
        <is>
          <t>HAPARANDA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39409-2022</t>
        </is>
      </c>
      <c r="B1110" s="1" t="n">
        <v>44817.94969907407</v>
      </c>
      <c r="C1110" s="1" t="n">
        <v>46046</v>
      </c>
      <c r="D1110" t="inlineStr">
        <is>
          <t>NORRBOTTENS LÄN</t>
        </is>
      </c>
      <c r="E1110" t="inlineStr">
        <is>
          <t>PITEÅ</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59558-2021</t>
        </is>
      </c>
      <c r="B1111" s="1" t="n">
        <v>44491.60335648148</v>
      </c>
      <c r="C1111" s="1" t="n">
        <v>46046</v>
      </c>
      <c r="D1111" t="inlineStr">
        <is>
          <t>NORRBOTTENS LÄN</t>
        </is>
      </c>
      <c r="E1111" t="inlineStr">
        <is>
          <t>LULEÅ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52573-2022</t>
        </is>
      </c>
      <c r="B1112" s="1" t="n">
        <v>44874</v>
      </c>
      <c r="C1112" s="1" t="n">
        <v>46046</v>
      </c>
      <c r="D1112" t="inlineStr">
        <is>
          <t>NORRBOTTENS LÄN</t>
        </is>
      </c>
      <c r="E1112" t="inlineStr">
        <is>
          <t>ARJEPLOG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32653-2022</t>
        </is>
      </c>
      <c r="B1113" s="1" t="n">
        <v>44783</v>
      </c>
      <c r="C1113" s="1" t="n">
        <v>46046</v>
      </c>
      <c r="D1113" t="inlineStr">
        <is>
          <t>NORRBOTTENS LÄN</t>
        </is>
      </c>
      <c r="E1113" t="inlineStr">
        <is>
          <t>LULEÅ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56073-2021</t>
        </is>
      </c>
      <c r="B1114" s="1" t="n">
        <v>44477</v>
      </c>
      <c r="C1114" s="1" t="n">
        <v>46046</v>
      </c>
      <c r="D1114" t="inlineStr">
        <is>
          <t>NORRBOTTENS LÄN</t>
        </is>
      </c>
      <c r="E1114" t="inlineStr">
        <is>
          <t>LULEÅ</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34962-2021</t>
        </is>
      </c>
      <c r="B1115" s="1" t="n">
        <v>44382</v>
      </c>
      <c r="C1115" s="1" t="n">
        <v>46046</v>
      </c>
      <c r="D1115" t="inlineStr">
        <is>
          <t>NORRBOTTENS LÄN</t>
        </is>
      </c>
      <c r="E1115" t="inlineStr">
        <is>
          <t>ARVIDSJAUR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46046</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56888-2021</t>
        </is>
      </c>
      <c r="B1117" s="1" t="n">
        <v>44481</v>
      </c>
      <c r="C1117" s="1" t="n">
        <v>46046</v>
      </c>
      <c r="D1117" t="inlineStr">
        <is>
          <t>NORRBOTTENS LÄN</t>
        </is>
      </c>
      <c r="E1117" t="inlineStr">
        <is>
          <t>PITEÅ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52345-2021</t>
        </is>
      </c>
      <c r="B1118" s="1" t="n">
        <v>44464</v>
      </c>
      <c r="C1118" s="1" t="n">
        <v>46046</v>
      </c>
      <c r="D1118" t="inlineStr">
        <is>
          <t>NORRBOTTENS LÄN</t>
        </is>
      </c>
      <c r="E1118" t="inlineStr">
        <is>
          <t>BODEN</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12834-2022</t>
        </is>
      </c>
      <c r="B1119" s="1" t="n">
        <v>44642</v>
      </c>
      <c r="C1119" s="1" t="n">
        <v>46046</v>
      </c>
      <c r="D1119" t="inlineStr">
        <is>
          <t>NORRBOTTENS LÄN</t>
        </is>
      </c>
      <c r="E1119" t="inlineStr">
        <is>
          <t>PAJALA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13576-2021</t>
        </is>
      </c>
      <c r="B1120" s="1" t="n">
        <v>44273.94385416667</v>
      </c>
      <c r="C1120" s="1" t="n">
        <v>46046</v>
      </c>
      <c r="D1120" t="inlineStr">
        <is>
          <t>NORRBOTTENS LÄN</t>
        </is>
      </c>
      <c r="E1120" t="inlineStr">
        <is>
          <t>ÖVERTORNEÅ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30004-2022</t>
        </is>
      </c>
      <c r="B1121" s="1" t="n">
        <v>44756.92539351852</v>
      </c>
      <c r="C1121" s="1" t="n">
        <v>46046</v>
      </c>
      <c r="D1121" t="inlineStr">
        <is>
          <t>NORRBOTTENS LÄN</t>
        </is>
      </c>
      <c r="E1121" t="inlineStr">
        <is>
          <t>HAPARANDA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71270-2021</t>
        </is>
      </c>
      <c r="B1122" s="1" t="n">
        <v>44538</v>
      </c>
      <c r="C1122" s="1" t="n">
        <v>46046</v>
      </c>
      <c r="D1122" t="inlineStr">
        <is>
          <t>NORRBOTTENS LÄN</t>
        </is>
      </c>
      <c r="E1122" t="inlineStr">
        <is>
          <t>PITEÅ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24789-2021</t>
        </is>
      </c>
      <c r="B1123" s="1" t="n">
        <v>44340</v>
      </c>
      <c r="C1123" s="1" t="n">
        <v>46046</v>
      </c>
      <c r="D1123" t="inlineStr">
        <is>
          <t>NORRBOTTENS LÄN</t>
        </is>
      </c>
      <c r="E1123" t="inlineStr">
        <is>
          <t>KIRUNA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25695-2022</t>
        </is>
      </c>
      <c r="B1124" s="1" t="n">
        <v>44733.359375</v>
      </c>
      <c r="C1124" s="1" t="n">
        <v>46046</v>
      </c>
      <c r="D1124" t="inlineStr">
        <is>
          <t>NORRBOTTENS LÄN</t>
        </is>
      </c>
      <c r="E1124" t="inlineStr">
        <is>
          <t>ÖVERTORNEÅ</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51391-2022</t>
        </is>
      </c>
      <c r="B1125" s="1" t="n">
        <v>44869</v>
      </c>
      <c r="C1125" s="1" t="n">
        <v>46046</v>
      </c>
      <c r="D1125" t="inlineStr">
        <is>
          <t>NORRBOTTENS LÄN</t>
        </is>
      </c>
      <c r="E1125" t="inlineStr">
        <is>
          <t>PAJALA</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17650-2021</t>
        </is>
      </c>
      <c r="B1126" s="1" t="n">
        <v>44300</v>
      </c>
      <c r="C1126" s="1" t="n">
        <v>46046</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46046</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21023-2021</t>
        </is>
      </c>
      <c r="B1128" s="1" t="n">
        <v>44319</v>
      </c>
      <c r="C1128" s="1" t="n">
        <v>46046</v>
      </c>
      <c r="D1128" t="inlineStr">
        <is>
          <t>NORRBOTTENS LÄN</t>
        </is>
      </c>
      <c r="E1128" t="inlineStr">
        <is>
          <t>HAPARANDA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57984-2021</t>
        </is>
      </c>
      <c r="B1129" s="1" t="n">
        <v>44487</v>
      </c>
      <c r="C1129" s="1" t="n">
        <v>46046</v>
      </c>
      <c r="D1129" t="inlineStr">
        <is>
          <t>NORRBOTTENS LÄN</t>
        </is>
      </c>
      <c r="E1129" t="inlineStr">
        <is>
          <t>ARVIDSJAUR</t>
        </is>
      </c>
      <c r="F1129" t="inlineStr">
        <is>
          <t>Sveaskog</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27060-2021</t>
        </is>
      </c>
      <c r="B1130" s="1" t="n">
        <v>44350</v>
      </c>
      <c r="C1130" s="1" t="n">
        <v>46046</v>
      </c>
      <c r="D1130" t="inlineStr">
        <is>
          <t>NORRBOTTENS LÄN</t>
        </is>
      </c>
      <c r="E1130" t="inlineStr">
        <is>
          <t>KALIX</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21797-2021</t>
        </is>
      </c>
      <c r="B1131" s="1" t="n">
        <v>44322</v>
      </c>
      <c r="C1131" s="1" t="n">
        <v>46046</v>
      </c>
      <c r="D1131" t="inlineStr">
        <is>
          <t>NORRBOTTENS LÄN</t>
        </is>
      </c>
      <c r="E1131" t="inlineStr">
        <is>
          <t>ARVIDSJAUR</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46046</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50087-2021</t>
        </is>
      </c>
      <c r="B1133" s="1" t="n">
        <v>44456.59774305556</v>
      </c>
      <c r="C1133" s="1" t="n">
        <v>46046</v>
      </c>
      <c r="D1133" t="inlineStr">
        <is>
          <t>NORRBOTTENS LÄN</t>
        </is>
      </c>
      <c r="E1133" t="inlineStr">
        <is>
          <t>LULEÅ</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18578-2021</t>
        </is>
      </c>
      <c r="B1134" s="1" t="n">
        <v>44305</v>
      </c>
      <c r="C1134" s="1" t="n">
        <v>46046</v>
      </c>
      <c r="D1134" t="inlineStr">
        <is>
          <t>NORRBOTTENS LÄN</t>
        </is>
      </c>
      <c r="E1134" t="inlineStr">
        <is>
          <t>ÖVERTORNEÅ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46046</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46046</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18248-2022</t>
        </is>
      </c>
      <c r="B1137" s="1" t="n">
        <v>44685</v>
      </c>
      <c r="C1137" s="1" t="n">
        <v>46046</v>
      </c>
      <c r="D1137" t="inlineStr">
        <is>
          <t>NORRBOTTENS LÄN</t>
        </is>
      </c>
      <c r="E1137" t="inlineStr">
        <is>
          <t>JOKKMOKK</t>
        </is>
      </c>
      <c r="F1137" t="inlineStr">
        <is>
          <t>Övriga statliga verk och myndigheter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72279-2021</t>
        </is>
      </c>
      <c r="B1138" s="1" t="n">
        <v>44543</v>
      </c>
      <c r="C1138" s="1" t="n">
        <v>46046</v>
      </c>
      <c r="D1138" t="inlineStr">
        <is>
          <t>NORRBOTTENS LÄN</t>
        </is>
      </c>
      <c r="E1138" t="inlineStr">
        <is>
          <t>ARJEPLOG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29557-2021</t>
        </is>
      </c>
      <c r="B1139" s="1" t="n">
        <v>44361</v>
      </c>
      <c r="C1139" s="1" t="n">
        <v>46046</v>
      </c>
      <c r="D1139" t="inlineStr">
        <is>
          <t>NORRBOTTENS LÄN</t>
        </is>
      </c>
      <c r="E1139" t="inlineStr">
        <is>
          <t>PITEÅ</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46046</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62115-2021</t>
        </is>
      </c>
      <c r="B1141" s="1" t="n">
        <v>44502</v>
      </c>
      <c r="C1141" s="1" t="n">
        <v>46046</v>
      </c>
      <c r="D1141" t="inlineStr">
        <is>
          <t>NORRBOTTENS LÄN</t>
        </is>
      </c>
      <c r="E1141" t="inlineStr">
        <is>
          <t>PITEÅ</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25070-2021</t>
        </is>
      </c>
      <c r="B1142" s="1" t="n">
        <v>44341.63340277778</v>
      </c>
      <c r="C1142" s="1" t="n">
        <v>46046</v>
      </c>
      <c r="D1142" t="inlineStr">
        <is>
          <t>NORRBOTTENS LÄN</t>
        </is>
      </c>
      <c r="E1142" t="inlineStr">
        <is>
          <t>ÖVERKALIX</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35908-2021</t>
        </is>
      </c>
      <c r="B1143" s="1" t="n">
        <v>44387</v>
      </c>
      <c r="C1143" s="1" t="n">
        <v>46046</v>
      </c>
      <c r="D1143" t="inlineStr">
        <is>
          <t>NORRBOTTENS LÄN</t>
        </is>
      </c>
      <c r="E1143" t="inlineStr">
        <is>
          <t>PAJALA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35994-2021</t>
        </is>
      </c>
      <c r="B1144" s="1" t="n">
        <v>44386</v>
      </c>
      <c r="C1144" s="1" t="n">
        <v>46046</v>
      </c>
      <c r="D1144" t="inlineStr">
        <is>
          <t>NORRBOTTENS LÄN</t>
        </is>
      </c>
      <c r="E1144" t="inlineStr">
        <is>
          <t>PITEÅ</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36538-2021</t>
        </is>
      </c>
      <c r="B1145" s="1" t="n">
        <v>44391</v>
      </c>
      <c r="C1145" s="1" t="n">
        <v>46046</v>
      </c>
      <c r="D1145" t="inlineStr">
        <is>
          <t>NORRBOTTENS LÄN</t>
        </is>
      </c>
      <c r="E1145" t="inlineStr">
        <is>
          <t>KALIX</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27702-2021</t>
        </is>
      </c>
      <c r="B1146" s="1" t="n">
        <v>44354</v>
      </c>
      <c r="C1146" s="1" t="n">
        <v>46046</v>
      </c>
      <c r="D1146" t="inlineStr">
        <is>
          <t>NORRBOTTENS LÄN</t>
        </is>
      </c>
      <c r="E1146" t="inlineStr">
        <is>
          <t>KALIX</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58806-2021</t>
        </is>
      </c>
      <c r="B1147" s="1" t="n">
        <v>44489</v>
      </c>
      <c r="C1147" s="1" t="n">
        <v>46046</v>
      </c>
      <c r="D1147" t="inlineStr">
        <is>
          <t>NORRBOTTENS LÄN</t>
        </is>
      </c>
      <c r="E1147" t="inlineStr">
        <is>
          <t>ARVIDSJAUR</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34525-2021</t>
        </is>
      </c>
      <c r="B1148" s="1" t="n">
        <v>44382</v>
      </c>
      <c r="C1148" s="1" t="n">
        <v>46046</v>
      </c>
      <c r="D1148" t="inlineStr">
        <is>
          <t>NORRBOTTENS LÄN</t>
        </is>
      </c>
      <c r="E1148" t="inlineStr">
        <is>
          <t>KALIX</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32373-2021</t>
        </is>
      </c>
      <c r="B1149" s="1" t="n">
        <v>44371.60706018518</v>
      </c>
      <c r="C1149" s="1" t="n">
        <v>46046</v>
      </c>
      <c r="D1149" t="inlineStr">
        <is>
          <t>NORRBOTTENS LÄN</t>
        </is>
      </c>
      <c r="E1149" t="inlineStr">
        <is>
          <t>BODEN</t>
        </is>
      </c>
      <c r="F1149" t="inlineStr">
        <is>
          <t>Sveaskog</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52751-2022</t>
        </is>
      </c>
      <c r="B1150" s="1" t="n">
        <v>44875</v>
      </c>
      <c r="C1150" s="1" t="n">
        <v>46046</v>
      </c>
      <c r="D1150" t="inlineStr">
        <is>
          <t>NORRBOTTENS LÄN</t>
        </is>
      </c>
      <c r="E1150" t="inlineStr">
        <is>
          <t>PAJALA</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71368-2021</t>
        </is>
      </c>
      <c r="B1151" s="1" t="n">
        <v>44539</v>
      </c>
      <c r="C1151" s="1" t="n">
        <v>46046</v>
      </c>
      <c r="D1151" t="inlineStr">
        <is>
          <t>NORRBOTTENS LÄN</t>
        </is>
      </c>
      <c r="E1151" t="inlineStr">
        <is>
          <t>JOKKMOKK</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64889-2021</t>
        </is>
      </c>
      <c r="B1152" s="1" t="n">
        <v>44512</v>
      </c>
      <c r="C1152" s="1" t="n">
        <v>46046</v>
      </c>
      <c r="D1152" t="inlineStr">
        <is>
          <t>NORRBOTTENS LÄN</t>
        </is>
      </c>
      <c r="E1152" t="inlineStr">
        <is>
          <t>KALIX</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21425-2021</t>
        </is>
      </c>
      <c r="B1153" s="1" t="n">
        <v>44321</v>
      </c>
      <c r="C1153" s="1" t="n">
        <v>46046</v>
      </c>
      <c r="D1153" t="inlineStr">
        <is>
          <t>NORRBOTTENS LÄN</t>
        </is>
      </c>
      <c r="E1153" t="inlineStr">
        <is>
          <t>GÄLLIVARE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42335-2021</t>
        </is>
      </c>
      <c r="B1154" s="1" t="n">
        <v>44427</v>
      </c>
      <c r="C1154" s="1" t="n">
        <v>46046</v>
      </c>
      <c r="D1154" t="inlineStr">
        <is>
          <t>NORRBOTTENS LÄN</t>
        </is>
      </c>
      <c r="E1154" t="inlineStr">
        <is>
          <t>PAJALA</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58855-2021</t>
        </is>
      </c>
      <c r="B1155" s="1" t="n">
        <v>44489</v>
      </c>
      <c r="C1155" s="1" t="n">
        <v>46046</v>
      </c>
      <c r="D1155" t="inlineStr">
        <is>
          <t>NORRBOTTENS LÄN</t>
        </is>
      </c>
      <c r="E1155" t="inlineStr">
        <is>
          <t>ARVIDSJAUR</t>
        </is>
      </c>
      <c r="F1155" t="inlineStr">
        <is>
          <t>Sveaskog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68307-2021</t>
        </is>
      </c>
      <c r="B1156" s="1" t="n">
        <v>44526</v>
      </c>
      <c r="C1156" s="1" t="n">
        <v>46046</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34495-2021</t>
        </is>
      </c>
      <c r="B1157" s="1" t="n">
        <v>44379</v>
      </c>
      <c r="C1157" s="1" t="n">
        <v>46046</v>
      </c>
      <c r="D1157" t="inlineStr">
        <is>
          <t>NORRBOTTENS LÄN</t>
        </is>
      </c>
      <c r="E1157" t="inlineStr">
        <is>
          <t>LULEÅ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36017-2021</t>
        </is>
      </c>
      <c r="B1158" s="1" t="n">
        <v>44389.38752314815</v>
      </c>
      <c r="C1158" s="1" t="n">
        <v>46046</v>
      </c>
      <c r="D1158" t="inlineStr">
        <is>
          <t>NORRBOTTENS LÄN</t>
        </is>
      </c>
      <c r="E1158" t="inlineStr">
        <is>
          <t>BODEN</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36026-2021</t>
        </is>
      </c>
      <c r="B1159" s="1" t="n">
        <v>44386</v>
      </c>
      <c r="C1159" s="1" t="n">
        <v>46046</v>
      </c>
      <c r="D1159" t="inlineStr">
        <is>
          <t>NORRBOTTENS LÄN</t>
        </is>
      </c>
      <c r="E1159" t="inlineStr">
        <is>
          <t>KALIX</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3010-2022</t>
        </is>
      </c>
      <c r="B1160" s="1" t="n">
        <v>44581.9221875</v>
      </c>
      <c r="C1160" s="1" t="n">
        <v>46046</v>
      </c>
      <c r="D1160" t="inlineStr">
        <is>
          <t>NORRBOTTENS LÄN</t>
        </is>
      </c>
      <c r="E1160" t="inlineStr">
        <is>
          <t>ÖVERTORNEÅ</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3095-2022</t>
        </is>
      </c>
      <c r="B1161" s="1" t="n">
        <v>44582</v>
      </c>
      <c r="C1161" s="1" t="n">
        <v>46046</v>
      </c>
      <c r="D1161" t="inlineStr">
        <is>
          <t>NORRBOTTENS LÄN</t>
        </is>
      </c>
      <c r="E1161" t="inlineStr">
        <is>
          <t>PITEÅ</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74235-2021</t>
        </is>
      </c>
      <c r="B1162" s="1" t="n">
        <v>44553</v>
      </c>
      <c r="C1162" s="1" t="n">
        <v>46046</v>
      </c>
      <c r="D1162" t="inlineStr">
        <is>
          <t>NORRBOTTENS LÄN</t>
        </is>
      </c>
      <c r="E1162" t="inlineStr">
        <is>
          <t>ÖVERTORNEÅ</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10393-2021</t>
        </is>
      </c>
      <c r="B1163" s="1" t="n">
        <v>44257</v>
      </c>
      <c r="C1163" s="1" t="n">
        <v>46046</v>
      </c>
      <c r="D1163" t="inlineStr">
        <is>
          <t>NORRBOTTENS LÄN</t>
        </is>
      </c>
      <c r="E1163" t="inlineStr">
        <is>
          <t>PITEÅ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38156-2021</t>
        </is>
      </c>
      <c r="B1164" s="1" t="n">
        <v>44405</v>
      </c>
      <c r="C1164" s="1" t="n">
        <v>46046</v>
      </c>
      <c r="D1164" t="inlineStr">
        <is>
          <t>NORRBOTTENS LÄN</t>
        </is>
      </c>
      <c r="E1164" t="inlineStr">
        <is>
          <t>ÖVERTORNEÅ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38187-2021</t>
        </is>
      </c>
      <c r="B1165" s="1" t="n">
        <v>44405</v>
      </c>
      <c r="C1165" s="1" t="n">
        <v>46046</v>
      </c>
      <c r="D1165" t="inlineStr">
        <is>
          <t>NORRBOTTENS LÄN</t>
        </is>
      </c>
      <c r="E1165" t="inlineStr">
        <is>
          <t>GÄLLIVARE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33147-2021</t>
        </is>
      </c>
      <c r="B1166" s="1" t="n">
        <v>44376.67407407407</v>
      </c>
      <c r="C1166" s="1" t="n">
        <v>46046</v>
      </c>
      <c r="D1166" t="inlineStr">
        <is>
          <t>NORRBOTTENS LÄN</t>
        </is>
      </c>
      <c r="E1166" t="inlineStr">
        <is>
          <t>LULEÅ</t>
        </is>
      </c>
      <c r="F1166" t="inlineStr">
        <is>
          <t>Sveaskog</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47062-2022</t>
        </is>
      </c>
      <c r="B1167" s="1" t="n">
        <v>44851</v>
      </c>
      <c r="C1167" s="1" t="n">
        <v>46046</v>
      </c>
      <c r="D1167" t="inlineStr">
        <is>
          <t>NORRBOTTENS LÄN</t>
        </is>
      </c>
      <c r="E1167" t="inlineStr">
        <is>
          <t>KALIX</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44751-2022</t>
        </is>
      </c>
      <c r="B1168" s="1" t="n">
        <v>44840</v>
      </c>
      <c r="C1168" s="1" t="n">
        <v>46046</v>
      </c>
      <c r="D1168" t="inlineStr">
        <is>
          <t>NORRBOTTENS LÄN</t>
        </is>
      </c>
      <c r="E1168" t="inlineStr">
        <is>
          <t>ARJEPLOG</t>
        </is>
      </c>
      <c r="F1168" t="inlineStr">
        <is>
          <t>SCA</t>
        </is>
      </c>
      <c r="G1168" t="n">
        <v>26.1</v>
      </c>
      <c r="H1168" t="n">
        <v>0</v>
      </c>
      <c r="I1168" t="n">
        <v>0</v>
      </c>
      <c r="J1168" t="n">
        <v>0</v>
      </c>
      <c r="K1168" t="n">
        <v>0</v>
      </c>
      <c r="L1168" t="n">
        <v>0</v>
      </c>
      <c r="M1168" t="n">
        <v>0</v>
      </c>
      <c r="N1168" t="n">
        <v>0</v>
      </c>
      <c r="O1168" t="n">
        <v>0</v>
      </c>
      <c r="P1168" t="n">
        <v>0</v>
      </c>
      <c r="Q1168" t="n">
        <v>0</v>
      </c>
      <c r="R1168" s="2" t="inlineStr"/>
    </row>
    <row r="1169" ht="15" customHeight="1">
      <c r="A1169" t="inlineStr">
        <is>
          <t>A 33097-2022</t>
        </is>
      </c>
      <c r="B1169" s="1" t="n">
        <v>44785</v>
      </c>
      <c r="C1169" s="1" t="n">
        <v>46046</v>
      </c>
      <c r="D1169" t="inlineStr">
        <is>
          <t>NORRBOTTENS LÄN</t>
        </is>
      </c>
      <c r="E1169" t="inlineStr">
        <is>
          <t>ÖVERTORNEÅ</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10788-2022</t>
        </is>
      </c>
      <c r="B1170" s="1" t="n">
        <v>44627</v>
      </c>
      <c r="C1170" s="1" t="n">
        <v>46046</v>
      </c>
      <c r="D1170" t="inlineStr">
        <is>
          <t>NORRBOTTENS LÄN</t>
        </is>
      </c>
      <c r="E1170" t="inlineStr">
        <is>
          <t>PAJALA</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68914-2021</t>
        </is>
      </c>
      <c r="B1171" s="1" t="n">
        <v>44530.47554398148</v>
      </c>
      <c r="C1171" s="1" t="n">
        <v>46046</v>
      </c>
      <c r="D1171" t="inlineStr">
        <is>
          <t>NORRBOTTENS LÄN</t>
        </is>
      </c>
      <c r="E1171" t="inlineStr">
        <is>
          <t>BODEN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60730-2021</t>
        </is>
      </c>
      <c r="B1172" s="1" t="n">
        <v>44496</v>
      </c>
      <c r="C1172" s="1" t="n">
        <v>46046</v>
      </c>
      <c r="D1172" t="inlineStr">
        <is>
          <t>NORRBOTTENS LÄN</t>
        </is>
      </c>
      <c r="E1172" t="inlineStr">
        <is>
          <t>PITEÅ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29775-2021</t>
        </is>
      </c>
      <c r="B1173" s="1" t="n">
        <v>44362</v>
      </c>
      <c r="C1173" s="1" t="n">
        <v>46046</v>
      </c>
      <c r="D1173" t="inlineStr">
        <is>
          <t>NORRBOTTENS LÄN</t>
        </is>
      </c>
      <c r="E1173" t="inlineStr">
        <is>
          <t>ÖVERKALIX</t>
        </is>
      </c>
      <c r="F1173" t="inlineStr">
        <is>
          <t>Sveaskog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58343-2021</t>
        </is>
      </c>
      <c r="B1174" s="1" t="n">
        <v>44488.41368055555</v>
      </c>
      <c r="C1174" s="1" t="n">
        <v>46046</v>
      </c>
      <c r="D1174" t="inlineStr">
        <is>
          <t>NORRBOTTENS LÄN</t>
        </is>
      </c>
      <c r="E1174" t="inlineStr">
        <is>
          <t>GÄLLIVARE</t>
        </is>
      </c>
      <c r="F1174" t="inlineStr">
        <is>
          <t>Sveaskog</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33159-2022</t>
        </is>
      </c>
      <c r="B1175" s="1" t="n">
        <v>44785.58358796296</v>
      </c>
      <c r="C1175" s="1" t="n">
        <v>46046</v>
      </c>
      <c r="D1175" t="inlineStr">
        <is>
          <t>NORRBOTTENS LÄN</t>
        </is>
      </c>
      <c r="E1175" t="inlineStr">
        <is>
          <t>KALIX</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73341-2021</t>
        </is>
      </c>
      <c r="B1176" s="1" t="n">
        <v>44550</v>
      </c>
      <c r="C1176" s="1" t="n">
        <v>46046</v>
      </c>
      <c r="D1176" t="inlineStr">
        <is>
          <t>NORRBOTTENS LÄN</t>
        </is>
      </c>
      <c r="E1176" t="inlineStr">
        <is>
          <t>GÄLLIVARE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58944-2021</t>
        </is>
      </c>
      <c r="B1177" s="1" t="n">
        <v>44489.92234953704</v>
      </c>
      <c r="C1177" s="1" t="n">
        <v>46046</v>
      </c>
      <c r="D1177" t="inlineStr">
        <is>
          <t>NORRBOTTENS LÄN</t>
        </is>
      </c>
      <c r="E1177" t="inlineStr">
        <is>
          <t>PITEÅ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40713-2022</t>
        </is>
      </c>
      <c r="B1178" s="1" t="n">
        <v>44820</v>
      </c>
      <c r="C1178" s="1" t="n">
        <v>46046</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16478-2022</t>
        </is>
      </c>
      <c r="B1179" s="1" t="n">
        <v>44671</v>
      </c>
      <c r="C1179" s="1" t="n">
        <v>46046</v>
      </c>
      <c r="D1179" t="inlineStr">
        <is>
          <t>NORRBOTTENS LÄN</t>
        </is>
      </c>
      <c r="E1179" t="inlineStr">
        <is>
          <t>BODEN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7685-2022</t>
        </is>
      </c>
      <c r="B1180" s="1" t="n">
        <v>44607.9409837963</v>
      </c>
      <c r="C1180" s="1" t="n">
        <v>46046</v>
      </c>
      <c r="D1180" t="inlineStr">
        <is>
          <t>NORRBOTTENS LÄN</t>
        </is>
      </c>
      <c r="E1180" t="inlineStr">
        <is>
          <t>GÄLLIVARE</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34084-2021</t>
        </is>
      </c>
      <c r="B1181" s="1" t="n">
        <v>44378</v>
      </c>
      <c r="C1181" s="1" t="n">
        <v>46046</v>
      </c>
      <c r="D1181" t="inlineStr">
        <is>
          <t>NORRBOTTENS LÄN</t>
        </is>
      </c>
      <c r="E1181" t="inlineStr">
        <is>
          <t>JOKKMOKK</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23063-2021</t>
        </is>
      </c>
      <c r="B1182" s="1" t="n">
        <v>44329.85693287037</v>
      </c>
      <c r="C1182" s="1" t="n">
        <v>46046</v>
      </c>
      <c r="D1182" t="inlineStr">
        <is>
          <t>NORRBOTTENS LÄN</t>
        </is>
      </c>
      <c r="E1182" t="inlineStr">
        <is>
          <t>ÄLVSBYN</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31453-2021</t>
        </is>
      </c>
      <c r="B1183" s="1" t="n">
        <v>44369</v>
      </c>
      <c r="C1183" s="1" t="n">
        <v>46046</v>
      </c>
      <c r="D1183" t="inlineStr">
        <is>
          <t>NORRBOTTENS LÄN</t>
        </is>
      </c>
      <c r="E1183" t="inlineStr">
        <is>
          <t>ARVIDSJAUR</t>
        </is>
      </c>
      <c r="F1183" t="inlineStr">
        <is>
          <t>Sveaskog</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710-2022</t>
        </is>
      </c>
      <c r="B1184" s="1" t="n">
        <v>44566</v>
      </c>
      <c r="C1184" s="1" t="n">
        <v>46046</v>
      </c>
      <c r="D1184" t="inlineStr">
        <is>
          <t>NORRBOTTENS LÄN</t>
        </is>
      </c>
      <c r="E1184" t="inlineStr">
        <is>
          <t>BODEN</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714-2022</t>
        </is>
      </c>
      <c r="B1185" s="1" t="n">
        <v>44566</v>
      </c>
      <c r="C1185" s="1" t="n">
        <v>46046</v>
      </c>
      <c r="D1185" t="inlineStr">
        <is>
          <t>NORRBOTTENS LÄN</t>
        </is>
      </c>
      <c r="E1185" t="inlineStr">
        <is>
          <t>BODEN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6181-2022</t>
        </is>
      </c>
      <c r="B1186" s="1" t="n">
        <v>44600.31258101852</v>
      </c>
      <c r="C1186" s="1" t="n">
        <v>46046</v>
      </c>
      <c r="D1186" t="inlineStr">
        <is>
          <t>NORRBOTTENS LÄN</t>
        </is>
      </c>
      <c r="E1186" t="inlineStr">
        <is>
          <t>BODEN</t>
        </is>
      </c>
      <c r="F1186" t="inlineStr">
        <is>
          <t>Sveaskog</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74163-2021</t>
        </is>
      </c>
      <c r="B1187" s="1" t="n">
        <v>44557</v>
      </c>
      <c r="C1187" s="1" t="n">
        <v>46046</v>
      </c>
      <c r="D1187" t="inlineStr">
        <is>
          <t>NORRBOTTENS LÄN</t>
        </is>
      </c>
      <c r="E1187" t="inlineStr">
        <is>
          <t>ÖVERTORNEÅ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3431-2022</t>
        </is>
      </c>
      <c r="B1188" s="1" t="n">
        <v>44585</v>
      </c>
      <c r="C1188" s="1" t="n">
        <v>46046</v>
      </c>
      <c r="D1188" t="inlineStr">
        <is>
          <t>NORRBOTTENS LÄN</t>
        </is>
      </c>
      <c r="E1188" t="inlineStr">
        <is>
          <t>ÖVERTORNEÅ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16987-2022</t>
        </is>
      </c>
      <c r="B1189" s="1" t="n">
        <v>44676.60796296296</v>
      </c>
      <c r="C1189" s="1" t="n">
        <v>46046</v>
      </c>
      <c r="D1189" t="inlineStr">
        <is>
          <t>NORRBOTTENS LÄN</t>
        </is>
      </c>
      <c r="E1189" t="inlineStr">
        <is>
          <t>LULEÅ</t>
        </is>
      </c>
      <c r="G1189" t="n">
        <v>29.9</v>
      </c>
      <c r="H1189" t="n">
        <v>0</v>
      </c>
      <c r="I1189" t="n">
        <v>0</v>
      </c>
      <c r="J1189" t="n">
        <v>0</v>
      </c>
      <c r="K1189" t="n">
        <v>0</v>
      </c>
      <c r="L1189" t="n">
        <v>0</v>
      </c>
      <c r="M1189" t="n">
        <v>0</v>
      </c>
      <c r="N1189" t="n">
        <v>0</v>
      </c>
      <c r="O1189" t="n">
        <v>0</v>
      </c>
      <c r="P1189" t="n">
        <v>0</v>
      </c>
      <c r="Q1189" t="n">
        <v>0</v>
      </c>
      <c r="R1189" s="2" t="inlineStr"/>
    </row>
    <row r="1190" ht="15" customHeight="1">
      <c r="A1190" t="inlineStr">
        <is>
          <t>A 43783-2021</t>
        </is>
      </c>
      <c r="B1190" s="1" t="n">
        <v>44433</v>
      </c>
      <c r="C1190" s="1" t="n">
        <v>46046</v>
      </c>
      <c r="D1190" t="inlineStr">
        <is>
          <t>NORRBOTTENS LÄN</t>
        </is>
      </c>
      <c r="E1190" t="inlineStr">
        <is>
          <t>JOKKMOKK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43785-2021</t>
        </is>
      </c>
      <c r="B1191" s="1" t="n">
        <v>44433</v>
      </c>
      <c r="C1191" s="1" t="n">
        <v>46046</v>
      </c>
      <c r="D1191" t="inlineStr">
        <is>
          <t>NORRBOTTENS LÄN</t>
        </is>
      </c>
      <c r="E1191" t="inlineStr">
        <is>
          <t>JOKKMOKK</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71945-2021</t>
        </is>
      </c>
      <c r="B1192" s="1" t="n">
        <v>44543</v>
      </c>
      <c r="C1192" s="1" t="n">
        <v>46046</v>
      </c>
      <c r="D1192" t="inlineStr">
        <is>
          <t>NORRBOTTENS LÄN</t>
        </is>
      </c>
      <c r="E1192" t="inlineStr">
        <is>
          <t>PITEÅ</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71947-2021</t>
        </is>
      </c>
      <c r="B1193" s="1" t="n">
        <v>44543</v>
      </c>
      <c r="C1193" s="1" t="n">
        <v>46046</v>
      </c>
      <c r="D1193" t="inlineStr">
        <is>
          <t>NORRBOTTENS LÄN</t>
        </is>
      </c>
      <c r="E1193" t="inlineStr">
        <is>
          <t>JOKKMOKK</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71954-2021</t>
        </is>
      </c>
      <c r="B1194" s="1" t="n">
        <v>44543</v>
      </c>
      <c r="C1194" s="1" t="n">
        <v>46046</v>
      </c>
      <c r="D1194" t="inlineStr">
        <is>
          <t>NORRBOTTENS LÄN</t>
        </is>
      </c>
      <c r="E1194" t="inlineStr">
        <is>
          <t>JOKKMOKK</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29608-2021</t>
        </is>
      </c>
      <c r="B1195" s="1" t="n">
        <v>44361</v>
      </c>
      <c r="C1195" s="1" t="n">
        <v>46046</v>
      </c>
      <c r="D1195" t="inlineStr">
        <is>
          <t>NORRBOTTENS LÄN</t>
        </is>
      </c>
      <c r="E1195" t="inlineStr">
        <is>
          <t>GÄLLIVARE</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34444-2021</t>
        </is>
      </c>
      <c r="B1196" s="1" t="n">
        <v>44381</v>
      </c>
      <c r="C1196" s="1" t="n">
        <v>46046</v>
      </c>
      <c r="D1196" t="inlineStr">
        <is>
          <t>NORRBOTTENS LÄN</t>
        </is>
      </c>
      <c r="E1196" t="inlineStr">
        <is>
          <t>KALIX</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36612-2021</t>
        </is>
      </c>
      <c r="B1197" s="1" t="n">
        <v>44391.67774305555</v>
      </c>
      <c r="C1197" s="1" t="n">
        <v>46046</v>
      </c>
      <c r="D1197" t="inlineStr">
        <is>
          <t>NORRBOTTENS LÄN</t>
        </is>
      </c>
      <c r="E1197" t="inlineStr">
        <is>
          <t>PAJALA</t>
        </is>
      </c>
      <c r="F1197" t="inlineStr">
        <is>
          <t>Sveaskog</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44527-2021</t>
        </is>
      </c>
      <c r="B1198" s="1" t="n">
        <v>44435.62583333333</v>
      </c>
      <c r="C1198" s="1" t="n">
        <v>46046</v>
      </c>
      <c r="D1198" t="inlineStr">
        <is>
          <t>NORRBOTTENS LÄN</t>
        </is>
      </c>
      <c r="E1198" t="inlineStr">
        <is>
          <t>KALIX</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36233-2021</t>
        </is>
      </c>
      <c r="B1199" s="1" t="n">
        <v>44389.93957175926</v>
      </c>
      <c r="C1199" s="1" t="n">
        <v>46046</v>
      </c>
      <c r="D1199" t="inlineStr">
        <is>
          <t>NORRBOTTENS LÄN</t>
        </is>
      </c>
      <c r="E1199" t="inlineStr">
        <is>
          <t>GÄLLIVARE</t>
        </is>
      </c>
      <c r="F1199" t="inlineStr">
        <is>
          <t>SCA</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66353-2021</t>
        </is>
      </c>
      <c r="B1200" s="1" t="n">
        <v>44518</v>
      </c>
      <c r="C1200" s="1" t="n">
        <v>46046</v>
      </c>
      <c r="D1200" t="inlineStr">
        <is>
          <t>NORRBOTTENS LÄN</t>
        </is>
      </c>
      <c r="E1200" t="inlineStr">
        <is>
          <t>PAJALA</t>
        </is>
      </c>
      <c r="G1200" t="n">
        <v>22.5</v>
      </c>
      <c r="H1200" t="n">
        <v>0</v>
      </c>
      <c r="I1200" t="n">
        <v>0</v>
      </c>
      <c r="J1200" t="n">
        <v>0</v>
      </c>
      <c r="K1200" t="n">
        <v>0</v>
      </c>
      <c r="L1200" t="n">
        <v>0</v>
      </c>
      <c r="M1200" t="n">
        <v>0</v>
      </c>
      <c r="N1200" t="n">
        <v>0</v>
      </c>
      <c r="O1200" t="n">
        <v>0</v>
      </c>
      <c r="P1200" t="n">
        <v>0</v>
      </c>
      <c r="Q1200" t="n">
        <v>0</v>
      </c>
      <c r="R1200" s="2" t="inlineStr"/>
    </row>
    <row r="1201" ht="15" customHeight="1">
      <c r="A1201" t="inlineStr">
        <is>
          <t>A 50322-2022</t>
        </is>
      </c>
      <c r="B1201" s="1" t="n">
        <v>44865</v>
      </c>
      <c r="C1201" s="1" t="n">
        <v>46046</v>
      </c>
      <c r="D1201" t="inlineStr">
        <is>
          <t>NORRBOTTENS LÄN</t>
        </is>
      </c>
      <c r="E1201" t="inlineStr">
        <is>
          <t>BODEN</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27108-2022</t>
        </is>
      </c>
      <c r="B1202" s="1" t="n">
        <v>44741</v>
      </c>
      <c r="C1202" s="1" t="n">
        <v>46046</v>
      </c>
      <c r="D1202" t="inlineStr">
        <is>
          <t>NORRBOTTENS LÄN</t>
        </is>
      </c>
      <c r="E1202" t="inlineStr">
        <is>
          <t>LULEÅ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44525-2021</t>
        </is>
      </c>
      <c r="B1203" s="1" t="n">
        <v>44435</v>
      </c>
      <c r="C1203" s="1" t="n">
        <v>46046</v>
      </c>
      <c r="D1203" t="inlineStr">
        <is>
          <t>NORRBOTTENS LÄN</t>
        </is>
      </c>
      <c r="E1203" t="inlineStr">
        <is>
          <t>KALIX</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31456-2022</t>
        </is>
      </c>
      <c r="B1204" s="1" t="n">
        <v>44774.94194444444</v>
      </c>
      <c r="C1204" s="1" t="n">
        <v>46046</v>
      </c>
      <c r="D1204" t="inlineStr">
        <is>
          <t>NORRBOTTENS LÄN</t>
        </is>
      </c>
      <c r="E1204" t="inlineStr">
        <is>
          <t>ÖVERKALIX</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34636-2021</t>
        </is>
      </c>
      <c r="B1205" s="1" t="n">
        <v>44382</v>
      </c>
      <c r="C1205" s="1" t="n">
        <v>46046</v>
      </c>
      <c r="D1205" t="inlineStr">
        <is>
          <t>NORRBOTTENS LÄN</t>
        </is>
      </c>
      <c r="E1205" t="inlineStr">
        <is>
          <t>ARVIDSJAUR</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74276-2021</t>
        </is>
      </c>
      <c r="B1206" s="1" t="n">
        <v>44558</v>
      </c>
      <c r="C1206" s="1" t="n">
        <v>46046</v>
      </c>
      <c r="D1206" t="inlineStr">
        <is>
          <t>NORRBOTTENS LÄN</t>
        </is>
      </c>
      <c r="E1206" t="inlineStr">
        <is>
          <t>LULEÅ</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41541-2021</t>
        </is>
      </c>
      <c r="B1207" s="1" t="n">
        <v>44424</v>
      </c>
      <c r="C1207" s="1" t="n">
        <v>46046</v>
      </c>
      <c r="D1207" t="inlineStr">
        <is>
          <t>NORRBOTTENS LÄN</t>
        </is>
      </c>
      <c r="E1207" t="inlineStr">
        <is>
          <t>ÖVERKALIX</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46259-2021</t>
        </is>
      </c>
      <c r="B1208" s="1" t="n">
        <v>44442</v>
      </c>
      <c r="C1208" s="1" t="n">
        <v>46046</v>
      </c>
      <c r="D1208" t="inlineStr">
        <is>
          <t>NORRBOTTENS LÄN</t>
        </is>
      </c>
      <c r="E1208" t="inlineStr">
        <is>
          <t>PAJALA</t>
        </is>
      </c>
      <c r="G1208" t="n">
        <v>15.3</v>
      </c>
      <c r="H1208" t="n">
        <v>0</v>
      </c>
      <c r="I1208" t="n">
        <v>0</v>
      </c>
      <c r="J1208" t="n">
        <v>0</v>
      </c>
      <c r="K1208" t="n">
        <v>0</v>
      </c>
      <c r="L1208" t="n">
        <v>0</v>
      </c>
      <c r="M1208" t="n">
        <v>0</v>
      </c>
      <c r="N1208" t="n">
        <v>0</v>
      </c>
      <c r="O1208" t="n">
        <v>0</v>
      </c>
      <c r="P1208" t="n">
        <v>0</v>
      </c>
      <c r="Q1208" t="n">
        <v>0</v>
      </c>
      <c r="R1208" s="2" t="inlineStr"/>
    </row>
    <row r="1209" ht="15" customHeight="1">
      <c r="A1209" t="inlineStr">
        <is>
          <t>A 7470-2021</t>
        </is>
      </c>
      <c r="B1209" s="1" t="n">
        <v>44238</v>
      </c>
      <c r="C1209" s="1" t="n">
        <v>46046</v>
      </c>
      <c r="D1209" t="inlineStr">
        <is>
          <t>NORRBOTTENS LÄN</t>
        </is>
      </c>
      <c r="E1209" t="inlineStr">
        <is>
          <t>ÖVERTORNEÅ</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7472-2021</t>
        </is>
      </c>
      <c r="B1210" s="1" t="n">
        <v>44238</v>
      </c>
      <c r="C1210" s="1" t="n">
        <v>46046</v>
      </c>
      <c r="D1210" t="inlineStr">
        <is>
          <t>NORRBOTTENS LÄN</t>
        </is>
      </c>
      <c r="E1210" t="inlineStr">
        <is>
          <t>ÖVERTORNEÅ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7315-2021</t>
        </is>
      </c>
      <c r="B1211" s="1" t="n">
        <v>44238</v>
      </c>
      <c r="C1211" s="1" t="n">
        <v>46046</v>
      </c>
      <c r="D1211" t="inlineStr">
        <is>
          <t>NORRBOTTENS LÄN</t>
        </is>
      </c>
      <c r="E1211" t="inlineStr">
        <is>
          <t>PITEÅ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52253-2021</t>
        </is>
      </c>
      <c r="B1212" s="1" t="n">
        <v>44463</v>
      </c>
      <c r="C1212" s="1" t="n">
        <v>46046</v>
      </c>
      <c r="D1212" t="inlineStr">
        <is>
          <t>NORRBOTTENS LÄN</t>
        </is>
      </c>
      <c r="E1212" t="inlineStr">
        <is>
          <t>ÄLVSBYN</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32095-2021</t>
        </is>
      </c>
      <c r="B1213" s="1" t="n">
        <v>44370</v>
      </c>
      <c r="C1213" s="1" t="n">
        <v>46046</v>
      </c>
      <c r="D1213" t="inlineStr">
        <is>
          <t>NORRBOTTENS LÄN</t>
        </is>
      </c>
      <c r="E1213" t="inlineStr">
        <is>
          <t>PITEÅ</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49761-2021</t>
        </is>
      </c>
      <c r="B1214" s="1" t="n">
        <v>44455</v>
      </c>
      <c r="C1214" s="1" t="n">
        <v>46046</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49773-2021</t>
        </is>
      </c>
      <c r="B1215" s="1" t="n">
        <v>44455</v>
      </c>
      <c r="C1215" s="1" t="n">
        <v>46046</v>
      </c>
      <c r="D1215" t="inlineStr">
        <is>
          <t>NORRBOTTENS LÄN</t>
        </is>
      </c>
      <c r="E1215" t="inlineStr">
        <is>
          <t>ÄLVSBYN</t>
        </is>
      </c>
      <c r="F1215" t="inlineStr">
        <is>
          <t>Sveaskog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31446-2021</t>
        </is>
      </c>
      <c r="B1216" s="1" t="n">
        <v>44369</v>
      </c>
      <c r="C1216" s="1" t="n">
        <v>46046</v>
      </c>
      <c r="D1216" t="inlineStr">
        <is>
          <t>NORRBOTTENS LÄN</t>
        </is>
      </c>
      <c r="E1216" t="inlineStr">
        <is>
          <t>ARVIDSJAUR</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42288-2021</t>
        </is>
      </c>
      <c r="B1217" s="1" t="n">
        <v>44427.35393518519</v>
      </c>
      <c r="C1217" s="1" t="n">
        <v>46046</v>
      </c>
      <c r="D1217" t="inlineStr">
        <is>
          <t>NORRBOTTENS LÄN</t>
        </is>
      </c>
      <c r="E1217" t="inlineStr">
        <is>
          <t>PAJALA</t>
        </is>
      </c>
      <c r="F1217" t="inlineStr">
        <is>
          <t>Sveaskog</t>
        </is>
      </c>
      <c r="G1217" t="n">
        <v>37.3</v>
      </c>
      <c r="H1217" t="n">
        <v>0</v>
      </c>
      <c r="I1217" t="n">
        <v>0</v>
      </c>
      <c r="J1217" t="n">
        <v>0</v>
      </c>
      <c r="K1217" t="n">
        <v>0</v>
      </c>
      <c r="L1217" t="n">
        <v>0</v>
      </c>
      <c r="M1217" t="n">
        <v>0</v>
      </c>
      <c r="N1217" t="n">
        <v>0</v>
      </c>
      <c r="O1217" t="n">
        <v>0</v>
      </c>
      <c r="P1217" t="n">
        <v>0</v>
      </c>
      <c r="Q1217" t="n">
        <v>0</v>
      </c>
      <c r="R1217" s="2" t="inlineStr"/>
    </row>
    <row r="1218" ht="15" customHeight="1">
      <c r="A1218" t="inlineStr">
        <is>
          <t>A 52993-2022</t>
        </is>
      </c>
      <c r="B1218" s="1" t="n">
        <v>44875.92814814814</v>
      </c>
      <c r="C1218" s="1" t="n">
        <v>46046</v>
      </c>
      <c r="D1218" t="inlineStr">
        <is>
          <t>NORRBOTTENS LÄN</t>
        </is>
      </c>
      <c r="E1218" t="inlineStr">
        <is>
          <t>ÖVERKALIX</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73782-2021</t>
        </is>
      </c>
      <c r="B1219" s="1" t="n">
        <v>44552</v>
      </c>
      <c r="C1219" s="1" t="n">
        <v>46046</v>
      </c>
      <c r="D1219" t="inlineStr">
        <is>
          <t>NORRBOTTENS LÄN</t>
        </is>
      </c>
      <c r="E1219" t="inlineStr">
        <is>
          <t>ARVIDSJAUR</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10188-2021</t>
        </is>
      </c>
      <c r="B1220" s="1" t="n">
        <v>44256</v>
      </c>
      <c r="C1220" s="1" t="n">
        <v>46046</v>
      </c>
      <c r="D1220" t="inlineStr">
        <is>
          <t>NORRBOTTENS LÄN</t>
        </is>
      </c>
      <c r="E1220" t="inlineStr">
        <is>
          <t>ÖVERTORNEÅ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71922-2021</t>
        </is>
      </c>
      <c r="B1221" s="1" t="n">
        <v>44543</v>
      </c>
      <c r="C1221" s="1" t="n">
        <v>46046</v>
      </c>
      <c r="D1221" t="inlineStr">
        <is>
          <t>NORRBOTTENS LÄN</t>
        </is>
      </c>
      <c r="E1221" t="inlineStr">
        <is>
          <t>JOKKMOKK</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1091-2022</t>
        </is>
      </c>
      <c r="B1222" s="1" t="n">
        <v>44571.92197916667</v>
      </c>
      <c r="C1222" s="1" t="n">
        <v>46046</v>
      </c>
      <c r="D1222" t="inlineStr">
        <is>
          <t>NORRBOTTENS LÄN</t>
        </is>
      </c>
      <c r="E1222" t="inlineStr">
        <is>
          <t>ÖVERTORNEÅ</t>
        </is>
      </c>
      <c r="G1222" t="n">
        <v>10.7</v>
      </c>
      <c r="H1222" t="n">
        <v>0</v>
      </c>
      <c r="I1222" t="n">
        <v>0</v>
      </c>
      <c r="J1222" t="n">
        <v>0</v>
      </c>
      <c r="K1222" t="n">
        <v>0</v>
      </c>
      <c r="L1222" t="n">
        <v>0</v>
      </c>
      <c r="M1222" t="n">
        <v>0</v>
      </c>
      <c r="N1222" t="n">
        <v>0</v>
      </c>
      <c r="O1222" t="n">
        <v>0</v>
      </c>
      <c r="P1222" t="n">
        <v>0</v>
      </c>
      <c r="Q1222" t="n">
        <v>0</v>
      </c>
      <c r="R1222" s="2" t="inlineStr"/>
    </row>
    <row r="1223" ht="15" customHeight="1">
      <c r="A1223" t="inlineStr">
        <is>
          <t>A 13552-2022</t>
        </is>
      </c>
      <c r="B1223" s="1" t="n">
        <v>44648</v>
      </c>
      <c r="C1223" s="1" t="n">
        <v>46046</v>
      </c>
      <c r="D1223" t="inlineStr">
        <is>
          <t>NORRBOTTENS LÄN</t>
        </is>
      </c>
      <c r="E1223" t="inlineStr">
        <is>
          <t>BODEN</t>
        </is>
      </c>
      <c r="F1223" t="inlineStr">
        <is>
          <t>Sveaskog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19259-2022</t>
        </is>
      </c>
      <c r="B1224" s="1" t="n">
        <v>44691</v>
      </c>
      <c r="C1224" s="1" t="n">
        <v>46046</v>
      </c>
      <c r="D1224" t="inlineStr">
        <is>
          <t>NORRBOTTENS LÄN</t>
        </is>
      </c>
      <c r="E1224" t="inlineStr">
        <is>
          <t>PAJALA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5290-2022</t>
        </is>
      </c>
      <c r="B1225" s="1" t="n">
        <v>44592</v>
      </c>
      <c r="C1225" s="1" t="n">
        <v>46046</v>
      </c>
      <c r="D1225" t="inlineStr">
        <is>
          <t>NORRBOTTENS LÄN</t>
        </is>
      </c>
      <c r="E1225" t="inlineStr">
        <is>
          <t>PITEÅ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40152-2022</t>
        </is>
      </c>
      <c r="B1226" s="1" t="n">
        <v>44818</v>
      </c>
      <c r="C1226" s="1" t="n">
        <v>46046</v>
      </c>
      <c r="D1226" t="inlineStr">
        <is>
          <t>NORRBOTTENS LÄN</t>
        </is>
      </c>
      <c r="E1226" t="inlineStr">
        <is>
          <t>PITEÅ</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74433-2021</t>
        </is>
      </c>
      <c r="B1227" s="1" t="n">
        <v>44558</v>
      </c>
      <c r="C1227" s="1" t="n">
        <v>46046</v>
      </c>
      <c r="D1227" t="inlineStr">
        <is>
          <t>NORRBOTTENS LÄN</t>
        </is>
      </c>
      <c r="E1227" t="inlineStr">
        <is>
          <t>LULEÅ</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15047-2022</t>
        </is>
      </c>
      <c r="B1228" s="1" t="n">
        <v>44657</v>
      </c>
      <c r="C1228" s="1" t="n">
        <v>46046</v>
      </c>
      <c r="D1228" t="inlineStr">
        <is>
          <t>NORRBOTTENS LÄN</t>
        </is>
      </c>
      <c r="E1228" t="inlineStr">
        <is>
          <t>LULEÅ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64085-2021</t>
        </is>
      </c>
      <c r="B1229" s="1" t="n">
        <v>44509</v>
      </c>
      <c r="C1229" s="1" t="n">
        <v>46046</v>
      </c>
      <c r="D1229" t="inlineStr">
        <is>
          <t>NORRBOTTENS LÄN</t>
        </is>
      </c>
      <c r="E1229" t="inlineStr">
        <is>
          <t>HAPARANDA</t>
        </is>
      </c>
      <c r="G1229" t="n">
        <v>10</v>
      </c>
      <c r="H1229" t="n">
        <v>0</v>
      </c>
      <c r="I1229" t="n">
        <v>0</v>
      </c>
      <c r="J1229" t="n">
        <v>0</v>
      </c>
      <c r="K1229" t="n">
        <v>0</v>
      </c>
      <c r="L1229" t="n">
        <v>0</v>
      </c>
      <c r="M1229" t="n">
        <v>0</v>
      </c>
      <c r="N1229" t="n">
        <v>0</v>
      </c>
      <c r="O1229" t="n">
        <v>0</v>
      </c>
      <c r="P1229" t="n">
        <v>0</v>
      </c>
      <c r="Q1229" t="n">
        <v>0</v>
      </c>
      <c r="R1229" s="2" t="inlineStr"/>
    </row>
    <row r="1230" ht="15" customHeight="1">
      <c r="A1230" t="inlineStr">
        <is>
          <t>A 64088-2021</t>
        </is>
      </c>
      <c r="B1230" s="1" t="n">
        <v>44509</v>
      </c>
      <c r="C1230" s="1" t="n">
        <v>46046</v>
      </c>
      <c r="D1230" t="inlineStr">
        <is>
          <t>NORRBOTTENS LÄN</t>
        </is>
      </c>
      <c r="E1230" t="inlineStr">
        <is>
          <t>HAPARANDA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56278-2021</t>
        </is>
      </c>
      <c r="B1231" s="1" t="n">
        <v>44479</v>
      </c>
      <c r="C1231" s="1" t="n">
        <v>46046</v>
      </c>
      <c r="D1231" t="inlineStr">
        <is>
          <t>NORRBOTTENS LÄN</t>
        </is>
      </c>
      <c r="E1231" t="inlineStr">
        <is>
          <t>ARJEPLOG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11208-2022</t>
        </is>
      </c>
      <c r="B1232" s="1" t="n">
        <v>44629</v>
      </c>
      <c r="C1232" s="1" t="n">
        <v>46046</v>
      </c>
      <c r="D1232" t="inlineStr">
        <is>
          <t>NORRBOTTENS LÄN</t>
        </is>
      </c>
      <c r="E1232" t="inlineStr">
        <is>
          <t>PAJALA</t>
        </is>
      </c>
      <c r="F1232" t="inlineStr">
        <is>
          <t>Allmännings- och besparingsskogar</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8898-2021</t>
        </is>
      </c>
      <c r="B1233" s="1" t="n">
        <v>44245</v>
      </c>
      <c r="C1233" s="1" t="n">
        <v>46046</v>
      </c>
      <c r="D1233" t="inlineStr">
        <is>
          <t>NORRBOTTENS LÄN</t>
        </is>
      </c>
      <c r="E1233" t="inlineStr">
        <is>
          <t>ÖVERTORNEÅ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43687-2021</t>
        </is>
      </c>
      <c r="B1234" s="1" t="n">
        <v>44433</v>
      </c>
      <c r="C1234" s="1" t="n">
        <v>46046</v>
      </c>
      <c r="D1234" t="inlineStr">
        <is>
          <t>NORRBOTTENS LÄN</t>
        </is>
      </c>
      <c r="E1234" t="inlineStr">
        <is>
          <t>ÖVERKALIX</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46881-2021</t>
        </is>
      </c>
      <c r="B1235" s="1" t="n">
        <v>44446</v>
      </c>
      <c r="C1235" s="1" t="n">
        <v>46046</v>
      </c>
      <c r="D1235" t="inlineStr">
        <is>
          <t>NORRBOTTENS LÄN</t>
        </is>
      </c>
      <c r="E1235" t="inlineStr">
        <is>
          <t>ÄLVSBYN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45398-2021</t>
        </is>
      </c>
      <c r="B1236" s="1" t="n">
        <v>44440</v>
      </c>
      <c r="C1236" s="1" t="n">
        <v>46046</v>
      </c>
      <c r="D1236" t="inlineStr">
        <is>
          <t>NORRBOTTENS LÄN</t>
        </is>
      </c>
      <c r="E1236" t="inlineStr">
        <is>
          <t>ARVIDSJAUR</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54818-2021</t>
        </is>
      </c>
      <c r="B1237" s="1" t="n">
        <v>44473</v>
      </c>
      <c r="C1237" s="1" t="n">
        <v>46046</v>
      </c>
      <c r="D1237" t="inlineStr">
        <is>
          <t>NORRBOTTENS LÄN</t>
        </is>
      </c>
      <c r="E1237" t="inlineStr">
        <is>
          <t>BODEN</t>
        </is>
      </c>
      <c r="F1237" t="inlineStr">
        <is>
          <t>SCA</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36921-2021</t>
        </is>
      </c>
      <c r="B1238" s="1" t="n">
        <v>44393</v>
      </c>
      <c r="C1238" s="1" t="n">
        <v>46046</v>
      </c>
      <c r="D1238" t="inlineStr">
        <is>
          <t>NORRBOTTENS LÄN</t>
        </is>
      </c>
      <c r="E1238" t="inlineStr">
        <is>
          <t>ÖVERKALIX</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23065-2021</t>
        </is>
      </c>
      <c r="B1239" s="1" t="n">
        <v>44329.91831018519</v>
      </c>
      <c r="C1239" s="1" t="n">
        <v>46046</v>
      </c>
      <c r="D1239" t="inlineStr">
        <is>
          <t>NORRBOTTENS LÄN</t>
        </is>
      </c>
      <c r="E1239" t="inlineStr">
        <is>
          <t>ÖVERKALIX</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4536-2022</t>
        </is>
      </c>
      <c r="B1240" s="1" t="n">
        <v>44590.4933912037</v>
      </c>
      <c r="C1240" s="1" t="n">
        <v>46046</v>
      </c>
      <c r="D1240" t="inlineStr">
        <is>
          <t>NORRBOTTENS LÄN</t>
        </is>
      </c>
      <c r="E1240" t="inlineStr">
        <is>
          <t>PITEÅ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8855-2021</t>
        </is>
      </c>
      <c r="B1241" s="1" t="n">
        <v>44246</v>
      </c>
      <c r="C1241" s="1" t="n">
        <v>46046</v>
      </c>
      <c r="D1241" t="inlineStr">
        <is>
          <t>NORRBOTTENS LÄN</t>
        </is>
      </c>
      <c r="E1241" t="inlineStr">
        <is>
          <t>JOKKMOKK</t>
        </is>
      </c>
      <c r="F1241" t="inlineStr">
        <is>
          <t>SCA</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39286-2021</t>
        </is>
      </c>
      <c r="B1242" s="1" t="n">
        <v>44413.64061342592</v>
      </c>
      <c r="C1242" s="1" t="n">
        <v>46046</v>
      </c>
      <c r="D1242" t="inlineStr">
        <is>
          <t>NORRBOTTENS LÄN</t>
        </is>
      </c>
      <c r="E1242" t="inlineStr">
        <is>
          <t>PAJALA</t>
        </is>
      </c>
      <c r="F1242" t="inlineStr">
        <is>
          <t>Sveaskog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43433-2021</t>
        </is>
      </c>
      <c r="B1243" s="1" t="n">
        <v>44432.654375</v>
      </c>
      <c r="C1243" s="1" t="n">
        <v>46046</v>
      </c>
      <c r="D1243" t="inlineStr">
        <is>
          <t>NORRBOTTENS LÄN</t>
        </is>
      </c>
      <c r="E1243" t="inlineStr">
        <is>
          <t>ÖVERKALIX</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18449-2021</t>
        </is>
      </c>
      <c r="B1244" s="1" t="n">
        <v>44305</v>
      </c>
      <c r="C1244" s="1" t="n">
        <v>46046</v>
      </c>
      <c r="D1244" t="inlineStr">
        <is>
          <t>NORRBOTTENS LÄN</t>
        </is>
      </c>
      <c r="E1244" t="inlineStr">
        <is>
          <t>ÖVERTORNEÅ</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29176-2022</t>
        </is>
      </c>
      <c r="B1245" s="1" t="n">
        <v>44750.53711805555</v>
      </c>
      <c r="C1245" s="1" t="n">
        <v>46046</v>
      </c>
      <c r="D1245" t="inlineStr">
        <is>
          <t>NORRBOTTENS LÄN</t>
        </is>
      </c>
      <c r="E1245" t="inlineStr">
        <is>
          <t>ÄLVSBYN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72031-2021</t>
        </is>
      </c>
      <c r="B1246" s="1" t="n">
        <v>44544</v>
      </c>
      <c r="C1246" s="1" t="n">
        <v>46046</v>
      </c>
      <c r="D1246" t="inlineStr">
        <is>
          <t>NORRBOTTENS LÄN</t>
        </is>
      </c>
      <c r="E1246" t="inlineStr">
        <is>
          <t>KALIX</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21856-2022</t>
        </is>
      </c>
      <c r="B1247" s="1" t="n">
        <v>44708</v>
      </c>
      <c r="C1247" s="1" t="n">
        <v>46046</v>
      </c>
      <c r="D1247" t="inlineStr">
        <is>
          <t>NORRBOTTENS LÄN</t>
        </is>
      </c>
      <c r="E1247" t="inlineStr">
        <is>
          <t>PITEÅ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46973-2021</t>
        </is>
      </c>
      <c r="B1248" s="1" t="n">
        <v>44446</v>
      </c>
      <c r="C1248" s="1" t="n">
        <v>46046</v>
      </c>
      <c r="D1248" t="inlineStr">
        <is>
          <t>NORRBOTTENS LÄN</t>
        </is>
      </c>
      <c r="E1248" t="inlineStr">
        <is>
          <t>ÖVERTORNEÅ</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3783-2022</t>
        </is>
      </c>
      <c r="B1249" s="1" t="n">
        <v>44586.93534722222</v>
      </c>
      <c r="C1249" s="1" t="n">
        <v>46046</v>
      </c>
      <c r="D1249" t="inlineStr">
        <is>
          <t>NORRBOTTENS LÄN</t>
        </is>
      </c>
      <c r="E1249" t="inlineStr">
        <is>
          <t>JOKKMOKK</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54609-2022</t>
        </is>
      </c>
      <c r="B1250" s="1" t="n">
        <v>44883</v>
      </c>
      <c r="C1250" s="1" t="n">
        <v>46046</v>
      </c>
      <c r="D1250" t="inlineStr">
        <is>
          <t>NORRBOTTENS LÄN</t>
        </is>
      </c>
      <c r="E1250" t="inlineStr">
        <is>
          <t>ARVIDSJAUR</t>
        </is>
      </c>
      <c r="F1250" t="inlineStr">
        <is>
          <t>Sveaskog</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73539-2021</t>
        </is>
      </c>
      <c r="B1251" s="1" t="n">
        <v>44550</v>
      </c>
      <c r="C1251" s="1" t="n">
        <v>46046</v>
      </c>
      <c r="D1251" t="inlineStr">
        <is>
          <t>NORRBOTTENS LÄN</t>
        </is>
      </c>
      <c r="E1251" t="inlineStr">
        <is>
          <t>LULEÅ</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45002-2021</t>
        </is>
      </c>
      <c r="B1252" s="1" t="n">
        <v>44438</v>
      </c>
      <c r="C1252" s="1" t="n">
        <v>46046</v>
      </c>
      <c r="D1252" t="inlineStr">
        <is>
          <t>NORRBOTTENS LÄN</t>
        </is>
      </c>
      <c r="E1252" t="inlineStr">
        <is>
          <t>BODEN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71927-2021</t>
        </is>
      </c>
      <c r="B1253" s="1" t="n">
        <v>44543.94331018518</v>
      </c>
      <c r="C1253" s="1" t="n">
        <v>46046</v>
      </c>
      <c r="D1253" t="inlineStr">
        <is>
          <t>NORRBOTTENS LÄN</t>
        </is>
      </c>
      <c r="E1253" t="inlineStr">
        <is>
          <t>JOKKMOKK</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71937-2021</t>
        </is>
      </c>
      <c r="B1254" s="1" t="n">
        <v>44543.94414351852</v>
      </c>
      <c r="C1254" s="1" t="n">
        <v>46046</v>
      </c>
      <c r="D1254" t="inlineStr">
        <is>
          <t>NORRBOTTENS LÄN</t>
        </is>
      </c>
      <c r="E1254" t="inlineStr">
        <is>
          <t>JOKKMOKK</t>
        </is>
      </c>
      <c r="F1254" t="inlineStr">
        <is>
          <t>Naturvårdsverket</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52333-2022</t>
        </is>
      </c>
      <c r="B1255" s="1" t="n">
        <v>44873.92946759259</v>
      </c>
      <c r="C1255" s="1" t="n">
        <v>46046</v>
      </c>
      <c r="D1255" t="inlineStr">
        <is>
          <t>NORRBOTTENS LÄN</t>
        </is>
      </c>
      <c r="E1255" t="inlineStr">
        <is>
          <t>PAJALA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52340-2022</t>
        </is>
      </c>
      <c r="B1256" s="1" t="n">
        <v>44873.92978009259</v>
      </c>
      <c r="C1256" s="1" t="n">
        <v>46046</v>
      </c>
      <c r="D1256" t="inlineStr">
        <is>
          <t>NORRBOTTENS LÄN</t>
        </is>
      </c>
      <c r="E1256" t="inlineStr">
        <is>
          <t>PAJALA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27571-2022</t>
        </is>
      </c>
      <c r="B1257" s="1" t="n">
        <v>44742.94322916667</v>
      </c>
      <c r="C1257" s="1" t="n">
        <v>46046</v>
      </c>
      <c r="D1257" t="inlineStr">
        <is>
          <t>NORRBOTTENS LÄN</t>
        </is>
      </c>
      <c r="E1257" t="inlineStr">
        <is>
          <t>PITEÅ</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49245-2022</t>
        </is>
      </c>
      <c r="B1258" s="1" t="n">
        <v>44861</v>
      </c>
      <c r="C1258" s="1" t="n">
        <v>46046</v>
      </c>
      <c r="D1258" t="inlineStr">
        <is>
          <t>NORRBOTTENS LÄN</t>
        </is>
      </c>
      <c r="E1258" t="inlineStr">
        <is>
          <t>HAPARANDA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9497-2022</t>
        </is>
      </c>
      <c r="B1259" s="1" t="n">
        <v>44616</v>
      </c>
      <c r="C1259" s="1" t="n">
        <v>46046</v>
      </c>
      <c r="D1259" t="inlineStr">
        <is>
          <t>NORRBOTTENS LÄN</t>
        </is>
      </c>
      <c r="E1259" t="inlineStr">
        <is>
          <t>PITEÅ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39914-2022</t>
        </is>
      </c>
      <c r="B1260" s="1" t="n">
        <v>44819.76788194444</v>
      </c>
      <c r="C1260" s="1" t="n">
        <v>46046</v>
      </c>
      <c r="D1260" t="inlineStr">
        <is>
          <t>NORRBOTTENS LÄN</t>
        </is>
      </c>
      <c r="E1260" t="inlineStr">
        <is>
          <t>ÄLVSBYN</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38896-2022</t>
        </is>
      </c>
      <c r="B1261" s="1" t="n">
        <v>44816</v>
      </c>
      <c r="C1261" s="1" t="n">
        <v>46046</v>
      </c>
      <c r="D1261" t="inlineStr">
        <is>
          <t>NORRBOTTENS LÄN</t>
        </is>
      </c>
      <c r="E1261" t="inlineStr">
        <is>
          <t>PITEÅ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52476-2022</t>
        </is>
      </c>
      <c r="B1262" s="1" t="n">
        <v>44874.48328703704</v>
      </c>
      <c r="C1262" s="1" t="n">
        <v>46046</v>
      </c>
      <c r="D1262" t="inlineStr">
        <is>
          <t>NORRBOTTENS LÄN</t>
        </is>
      </c>
      <c r="E1262" t="inlineStr">
        <is>
          <t>KALIX</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9582-2022</t>
        </is>
      </c>
      <c r="B1263" s="1" t="n">
        <v>44617</v>
      </c>
      <c r="C1263" s="1" t="n">
        <v>46046</v>
      </c>
      <c r="D1263" t="inlineStr">
        <is>
          <t>NORRBOTTENS LÄN</t>
        </is>
      </c>
      <c r="E1263" t="inlineStr">
        <is>
          <t>LULEÅ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73713-2021</t>
        </is>
      </c>
      <c r="B1264" s="1" t="n">
        <v>44552</v>
      </c>
      <c r="C1264" s="1" t="n">
        <v>46046</v>
      </c>
      <c r="D1264" t="inlineStr">
        <is>
          <t>NORRBOTTENS LÄN</t>
        </is>
      </c>
      <c r="E1264" t="inlineStr">
        <is>
          <t>PAJALA</t>
        </is>
      </c>
      <c r="F1264" t="inlineStr">
        <is>
          <t>Sveaskog</t>
        </is>
      </c>
      <c r="G1264" t="n">
        <v>13.3</v>
      </c>
      <c r="H1264" t="n">
        <v>0</v>
      </c>
      <c r="I1264" t="n">
        <v>0</v>
      </c>
      <c r="J1264" t="n">
        <v>0</v>
      </c>
      <c r="K1264" t="n">
        <v>0</v>
      </c>
      <c r="L1264" t="n">
        <v>0</v>
      </c>
      <c r="M1264" t="n">
        <v>0</v>
      </c>
      <c r="N1264" t="n">
        <v>0</v>
      </c>
      <c r="O1264" t="n">
        <v>0</v>
      </c>
      <c r="P1264" t="n">
        <v>0</v>
      </c>
      <c r="Q1264" t="n">
        <v>0</v>
      </c>
      <c r="R1264" s="2" t="inlineStr"/>
    </row>
    <row r="1265" ht="15" customHeight="1">
      <c r="A1265" t="inlineStr">
        <is>
          <t>A 34656-2022</t>
        </is>
      </c>
      <c r="B1265" s="1" t="n">
        <v>44795</v>
      </c>
      <c r="C1265" s="1" t="n">
        <v>46046</v>
      </c>
      <c r="D1265" t="inlineStr">
        <is>
          <t>NORRBOTTENS LÄN</t>
        </is>
      </c>
      <c r="E1265" t="inlineStr">
        <is>
          <t>ÄLVSBYN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38112-2022</t>
        </is>
      </c>
      <c r="B1266" s="1" t="n">
        <v>44811</v>
      </c>
      <c r="C1266" s="1" t="n">
        <v>46046</v>
      </c>
      <c r="D1266" t="inlineStr">
        <is>
          <t>NORRBOTTENS LÄN</t>
        </is>
      </c>
      <c r="E1266" t="inlineStr">
        <is>
          <t>PITEÅ</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69110-2021</t>
        </is>
      </c>
      <c r="B1267" s="1" t="n">
        <v>44530</v>
      </c>
      <c r="C1267" s="1" t="n">
        <v>46046</v>
      </c>
      <c r="D1267" t="inlineStr">
        <is>
          <t>NORRBOTTENS LÄN</t>
        </is>
      </c>
      <c r="E1267" t="inlineStr">
        <is>
          <t>ÖVERKALIX</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69124-2021</t>
        </is>
      </c>
      <c r="B1268" s="1" t="n">
        <v>44530</v>
      </c>
      <c r="C1268" s="1" t="n">
        <v>46046</v>
      </c>
      <c r="D1268" t="inlineStr">
        <is>
          <t>NORRBOTTENS LÄN</t>
        </is>
      </c>
      <c r="E1268" t="inlineStr">
        <is>
          <t>BODEN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19620-2022</t>
        </is>
      </c>
      <c r="B1269" s="1" t="n">
        <v>44694</v>
      </c>
      <c r="C1269" s="1" t="n">
        <v>46046</v>
      </c>
      <c r="D1269" t="inlineStr">
        <is>
          <t>NORRBOTTENS LÄN</t>
        </is>
      </c>
      <c r="E1269" t="inlineStr">
        <is>
          <t>ARJEPLOG</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33643-2022</t>
        </is>
      </c>
      <c r="B1270" s="1" t="n">
        <v>44789</v>
      </c>
      <c r="C1270" s="1" t="n">
        <v>46046</v>
      </c>
      <c r="D1270" t="inlineStr">
        <is>
          <t>NORRBOTTENS LÄN</t>
        </is>
      </c>
      <c r="E1270" t="inlineStr">
        <is>
          <t>LULEÅ</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37837-2022</t>
        </is>
      </c>
      <c r="B1271" s="1" t="n">
        <v>44810</v>
      </c>
      <c r="C1271" s="1" t="n">
        <v>46046</v>
      </c>
      <c r="D1271" t="inlineStr">
        <is>
          <t>NORRBOTTENS LÄN</t>
        </is>
      </c>
      <c r="E1271" t="inlineStr">
        <is>
          <t>ÖVERTORNEÅ</t>
        </is>
      </c>
      <c r="F1271" t="inlineStr">
        <is>
          <t>Sveaskog</t>
        </is>
      </c>
      <c r="G1271" t="n">
        <v>8.5</v>
      </c>
      <c r="H1271" t="n">
        <v>0</v>
      </c>
      <c r="I1271" t="n">
        <v>0</v>
      </c>
      <c r="J1271" t="n">
        <v>0</v>
      </c>
      <c r="K1271" t="n">
        <v>0</v>
      </c>
      <c r="L1271" t="n">
        <v>0</v>
      </c>
      <c r="M1271" t="n">
        <v>0</v>
      </c>
      <c r="N1271" t="n">
        <v>0</v>
      </c>
      <c r="O1271" t="n">
        <v>0</v>
      </c>
      <c r="P1271" t="n">
        <v>0</v>
      </c>
      <c r="Q1271" t="n">
        <v>0</v>
      </c>
      <c r="R1271" s="2" t="inlineStr"/>
    </row>
    <row r="1272" ht="15" customHeight="1">
      <c r="A1272" t="inlineStr">
        <is>
          <t>A 19391-2022</t>
        </is>
      </c>
      <c r="B1272" s="1" t="n">
        <v>44692.93740740741</v>
      </c>
      <c r="C1272" s="1" t="n">
        <v>46046</v>
      </c>
      <c r="D1272" t="inlineStr">
        <is>
          <t>NORRBOTTENS LÄN</t>
        </is>
      </c>
      <c r="E1272" t="inlineStr">
        <is>
          <t>LULEÅ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26234-2021</t>
        </is>
      </c>
      <c r="B1273" s="1" t="n">
        <v>44347</v>
      </c>
      <c r="C1273" s="1" t="n">
        <v>46046</v>
      </c>
      <c r="D1273" t="inlineStr">
        <is>
          <t>NORRBOTTENS LÄN</t>
        </is>
      </c>
      <c r="E1273" t="inlineStr">
        <is>
          <t>LULEÅ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51328-2021</t>
        </is>
      </c>
      <c r="B1274" s="1" t="n">
        <v>44461.62384259259</v>
      </c>
      <c r="C1274" s="1" t="n">
        <v>46046</v>
      </c>
      <c r="D1274" t="inlineStr">
        <is>
          <t>NORRBOTTENS LÄN</t>
        </is>
      </c>
      <c r="E1274" t="inlineStr">
        <is>
          <t>BODEN</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56467-2021</t>
        </is>
      </c>
      <c r="B1275" s="1" t="n">
        <v>44480</v>
      </c>
      <c r="C1275" s="1" t="n">
        <v>46046</v>
      </c>
      <c r="D1275" t="inlineStr">
        <is>
          <t>NORRBOTTENS LÄN</t>
        </is>
      </c>
      <c r="E1275" t="inlineStr">
        <is>
          <t>BODEN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34875-2022</t>
        </is>
      </c>
      <c r="B1276" s="1" t="n">
        <v>44796</v>
      </c>
      <c r="C1276" s="1" t="n">
        <v>46046</v>
      </c>
      <c r="D1276" t="inlineStr">
        <is>
          <t>NORRBOTTENS LÄN</t>
        </is>
      </c>
      <c r="E1276" t="inlineStr">
        <is>
          <t>ÖVERTORNEÅ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34894-2022</t>
        </is>
      </c>
      <c r="B1277" s="1" t="n">
        <v>44796</v>
      </c>
      <c r="C1277" s="1" t="n">
        <v>46046</v>
      </c>
      <c r="D1277" t="inlineStr">
        <is>
          <t>NORRBOTTENS LÄN</t>
        </is>
      </c>
      <c r="E1277" t="inlineStr">
        <is>
          <t>PAJALA</t>
        </is>
      </c>
      <c r="F1277" t="inlineStr">
        <is>
          <t>Sveaskog</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73905-2021</t>
        </is>
      </c>
      <c r="B1278" s="1" t="n">
        <v>44552</v>
      </c>
      <c r="C1278" s="1" t="n">
        <v>46046</v>
      </c>
      <c r="D1278" t="inlineStr">
        <is>
          <t>NORRBOTTENS LÄN</t>
        </is>
      </c>
      <c r="E1278" t="inlineStr">
        <is>
          <t>LULEÅ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54220-2021</t>
        </is>
      </c>
      <c r="B1279" s="1" t="n">
        <v>44470</v>
      </c>
      <c r="C1279" s="1" t="n">
        <v>46046</v>
      </c>
      <c r="D1279" t="inlineStr">
        <is>
          <t>NORRBOTTENS LÄN</t>
        </is>
      </c>
      <c r="E1279" t="inlineStr">
        <is>
          <t>ÖVERKALIX</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34466-2022</t>
        </is>
      </c>
      <c r="B1280" s="1" t="n">
        <v>44792</v>
      </c>
      <c r="C1280" s="1" t="n">
        <v>46046</v>
      </c>
      <c r="D1280" t="inlineStr">
        <is>
          <t>NORRBOTTENS LÄN</t>
        </is>
      </c>
      <c r="E1280" t="inlineStr">
        <is>
          <t>ARVIDSJAUR</t>
        </is>
      </c>
      <c r="F1280" t="inlineStr">
        <is>
          <t>Sveaskog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74440-2021</t>
        </is>
      </c>
      <c r="B1281" s="1" t="n">
        <v>44558</v>
      </c>
      <c r="C1281" s="1" t="n">
        <v>46046</v>
      </c>
      <c r="D1281" t="inlineStr">
        <is>
          <t>NORRBOTTENS LÄN</t>
        </is>
      </c>
      <c r="E1281" t="inlineStr">
        <is>
          <t>LULEÅ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54997-2022</t>
        </is>
      </c>
      <c r="B1282" s="1" t="n">
        <v>44886.50350694444</v>
      </c>
      <c r="C1282" s="1" t="n">
        <v>46046</v>
      </c>
      <c r="D1282" t="inlineStr">
        <is>
          <t>NORRBOTTENS LÄN</t>
        </is>
      </c>
      <c r="E1282" t="inlineStr">
        <is>
          <t>HAPARANDA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55074-2022</t>
        </is>
      </c>
      <c r="B1283" s="1" t="n">
        <v>44886.59451388889</v>
      </c>
      <c r="C1283" s="1" t="n">
        <v>46046</v>
      </c>
      <c r="D1283" t="inlineStr">
        <is>
          <t>NORRBOTTENS LÄN</t>
        </is>
      </c>
      <c r="E1283" t="inlineStr">
        <is>
          <t>PITEÅ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52147-2021</t>
        </is>
      </c>
      <c r="B1284" s="1" t="n">
        <v>44462</v>
      </c>
      <c r="C1284" s="1" t="n">
        <v>46046</v>
      </c>
      <c r="D1284" t="inlineStr">
        <is>
          <t>NORRBOTTENS LÄN</t>
        </is>
      </c>
      <c r="E1284" t="inlineStr">
        <is>
          <t>PAJALA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52391-2021</t>
        </is>
      </c>
      <c r="B1285" s="1" t="n">
        <v>44465.91761574074</v>
      </c>
      <c r="C1285" s="1" t="n">
        <v>46046</v>
      </c>
      <c r="D1285" t="inlineStr">
        <is>
          <t>NORRBOTTENS LÄN</t>
        </is>
      </c>
      <c r="E1285" t="inlineStr">
        <is>
          <t>HAPARANDA</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13864-2021</t>
        </is>
      </c>
      <c r="B1286" s="1" t="n">
        <v>44277</v>
      </c>
      <c r="C1286" s="1" t="n">
        <v>46046</v>
      </c>
      <c r="D1286" t="inlineStr">
        <is>
          <t>NORRBOTTENS LÄN</t>
        </is>
      </c>
      <c r="E1286" t="inlineStr">
        <is>
          <t>ÖVERTORNEÅ</t>
        </is>
      </c>
      <c r="G1286" t="n">
        <v>48.3</v>
      </c>
      <c r="H1286" t="n">
        <v>0</v>
      </c>
      <c r="I1286" t="n">
        <v>0</v>
      </c>
      <c r="J1286" t="n">
        <v>0</v>
      </c>
      <c r="K1286" t="n">
        <v>0</v>
      </c>
      <c r="L1286" t="n">
        <v>0</v>
      </c>
      <c r="M1286" t="n">
        <v>0</v>
      </c>
      <c r="N1286" t="n">
        <v>0</v>
      </c>
      <c r="O1286" t="n">
        <v>0</v>
      </c>
      <c r="P1286" t="n">
        <v>0</v>
      </c>
      <c r="Q1286" t="n">
        <v>0</v>
      </c>
      <c r="R1286" s="2" t="inlineStr"/>
    </row>
    <row r="1287" ht="15" customHeight="1">
      <c r="A1287" t="inlineStr">
        <is>
          <t>A 27781-2022</t>
        </is>
      </c>
      <c r="B1287" s="1" t="n">
        <v>44743</v>
      </c>
      <c r="C1287" s="1" t="n">
        <v>46046</v>
      </c>
      <c r="D1287" t="inlineStr">
        <is>
          <t>NORRBOTTENS LÄN</t>
        </is>
      </c>
      <c r="E1287" t="inlineStr">
        <is>
          <t>JOKKMOKK</t>
        </is>
      </c>
      <c r="F1287" t="inlineStr">
        <is>
          <t>Sveaskog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64304-2021</t>
        </is>
      </c>
      <c r="B1288" s="1" t="n">
        <v>44510</v>
      </c>
      <c r="C1288" s="1" t="n">
        <v>46046</v>
      </c>
      <c r="D1288" t="inlineStr">
        <is>
          <t>NORRBOTTENS LÄN</t>
        </is>
      </c>
      <c r="E1288" t="inlineStr">
        <is>
          <t>ÖVERKALIX</t>
        </is>
      </c>
      <c r="F1288" t="inlineStr">
        <is>
          <t>SCA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50468-2021</t>
        </is>
      </c>
      <c r="B1289" s="1" t="n">
        <v>44459</v>
      </c>
      <c r="C1289" s="1" t="n">
        <v>46046</v>
      </c>
      <c r="D1289" t="inlineStr">
        <is>
          <t>NORRBOTTENS LÄN</t>
        </is>
      </c>
      <c r="E1289" t="inlineStr">
        <is>
          <t>LULEÅ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39833-2021</t>
        </is>
      </c>
      <c r="B1290" s="1" t="n">
        <v>44414</v>
      </c>
      <c r="C1290" s="1" t="n">
        <v>46046</v>
      </c>
      <c r="D1290" t="inlineStr">
        <is>
          <t>NORRBOTTENS LÄN</t>
        </is>
      </c>
      <c r="E1290" t="inlineStr">
        <is>
          <t>BODEN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19802-2021</t>
        </is>
      </c>
      <c r="B1291" s="1" t="n">
        <v>44312</v>
      </c>
      <c r="C1291" s="1" t="n">
        <v>46046</v>
      </c>
      <c r="D1291" t="inlineStr">
        <is>
          <t>NORRBOTTENS LÄN</t>
        </is>
      </c>
      <c r="E1291" t="inlineStr">
        <is>
          <t>ÖVERKALIX</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62649-2021</t>
        </is>
      </c>
      <c r="B1292" s="1" t="n">
        <v>44503</v>
      </c>
      <c r="C1292" s="1" t="n">
        <v>46046</v>
      </c>
      <c r="D1292" t="inlineStr">
        <is>
          <t>NORRBOTTENS LÄN</t>
        </is>
      </c>
      <c r="E1292" t="inlineStr">
        <is>
          <t>PITEÅ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29337-2021</t>
        </is>
      </c>
      <c r="B1293" s="1" t="n">
        <v>44361.44074074074</v>
      </c>
      <c r="C1293" s="1" t="n">
        <v>46046</v>
      </c>
      <c r="D1293" t="inlineStr">
        <is>
          <t>NORRBOTTENS LÄN</t>
        </is>
      </c>
      <c r="E1293" t="inlineStr">
        <is>
          <t>KALIX</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29708-2022</t>
        </is>
      </c>
      <c r="B1294" s="1" t="n">
        <v>44755</v>
      </c>
      <c r="C1294" s="1" t="n">
        <v>46046</v>
      </c>
      <c r="D1294" t="inlineStr">
        <is>
          <t>NORRBOTTENS LÄN</t>
        </is>
      </c>
      <c r="E1294" t="inlineStr">
        <is>
          <t>PAJALA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446-2022</t>
        </is>
      </c>
      <c r="B1295" s="1" t="n">
        <v>44565</v>
      </c>
      <c r="C1295" s="1" t="n">
        <v>46046</v>
      </c>
      <c r="D1295" t="inlineStr">
        <is>
          <t>NORRBOTTENS LÄN</t>
        </is>
      </c>
      <c r="E1295" t="inlineStr">
        <is>
          <t>BODEN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1447-2022</t>
        </is>
      </c>
      <c r="B1296" s="1" t="n">
        <v>44573.46630787037</v>
      </c>
      <c r="C1296" s="1" t="n">
        <v>46046</v>
      </c>
      <c r="D1296" t="inlineStr">
        <is>
          <t>NORRBOTTENS LÄN</t>
        </is>
      </c>
      <c r="E1296" t="inlineStr">
        <is>
          <t>BODEN</t>
        </is>
      </c>
      <c r="F1296" t="inlineStr">
        <is>
          <t>Sveaskog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26013-2022</t>
        </is>
      </c>
      <c r="B1297" s="1" t="n">
        <v>44734</v>
      </c>
      <c r="C1297" s="1" t="n">
        <v>46046</v>
      </c>
      <c r="D1297" t="inlineStr">
        <is>
          <t>NORRBOTTENS LÄN</t>
        </is>
      </c>
      <c r="E1297" t="inlineStr">
        <is>
          <t>BODEN</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31243-2021</t>
        </is>
      </c>
      <c r="B1298" s="1" t="n">
        <v>44368</v>
      </c>
      <c r="C1298" s="1" t="n">
        <v>46046</v>
      </c>
      <c r="D1298" t="inlineStr">
        <is>
          <t>NORRBOTTENS LÄN</t>
        </is>
      </c>
      <c r="E1298" t="inlineStr">
        <is>
          <t>KALIX</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68569-2021</t>
        </is>
      </c>
      <c r="B1299" s="1" t="n">
        <v>44529</v>
      </c>
      <c r="C1299" s="1" t="n">
        <v>46046</v>
      </c>
      <c r="D1299" t="inlineStr">
        <is>
          <t>NORRBOTTENS LÄN</t>
        </is>
      </c>
      <c r="E1299" t="inlineStr">
        <is>
          <t>BODEN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15796-2022</t>
        </is>
      </c>
      <c r="B1300" s="1" t="n">
        <v>44663.88578703703</v>
      </c>
      <c r="C1300" s="1" t="n">
        <v>46046</v>
      </c>
      <c r="D1300" t="inlineStr">
        <is>
          <t>NORRBOTTENS LÄN</t>
        </is>
      </c>
      <c r="E1300" t="inlineStr">
        <is>
          <t>PAJALA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40427-2022</t>
        </is>
      </c>
      <c r="B1301" s="1" t="n">
        <v>44823</v>
      </c>
      <c r="C1301" s="1" t="n">
        <v>46046</v>
      </c>
      <c r="D1301" t="inlineStr">
        <is>
          <t>NORRBOTTENS LÄN</t>
        </is>
      </c>
      <c r="E1301" t="inlineStr">
        <is>
          <t>GÄLLIVARE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48366-2021</t>
        </is>
      </c>
      <c r="B1302" s="1" t="n">
        <v>44451</v>
      </c>
      <c r="C1302" s="1" t="n">
        <v>46046</v>
      </c>
      <c r="D1302" t="inlineStr">
        <is>
          <t>NORRBOTTENS LÄN</t>
        </is>
      </c>
      <c r="E1302" t="inlineStr">
        <is>
          <t>PAJALA</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48367-2021</t>
        </is>
      </c>
      <c r="B1303" s="1" t="n">
        <v>44451</v>
      </c>
      <c r="C1303" s="1" t="n">
        <v>46046</v>
      </c>
      <c r="D1303" t="inlineStr">
        <is>
          <t>NORRBOTTENS LÄN</t>
        </is>
      </c>
      <c r="E1303" t="inlineStr">
        <is>
          <t>PAJALA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14380-2021</t>
        </is>
      </c>
      <c r="B1304" s="1" t="n">
        <v>44279.38570601852</v>
      </c>
      <c r="C1304" s="1" t="n">
        <v>46046</v>
      </c>
      <c r="D1304" t="inlineStr">
        <is>
          <t>NORRBOTTENS LÄN</t>
        </is>
      </c>
      <c r="E1304" t="inlineStr">
        <is>
          <t>BODEN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34929-2021</t>
        </is>
      </c>
      <c r="B1305" s="1" t="n">
        <v>44383</v>
      </c>
      <c r="C1305" s="1" t="n">
        <v>46046</v>
      </c>
      <c r="D1305" t="inlineStr">
        <is>
          <t>NORRBOTTENS LÄN</t>
        </is>
      </c>
      <c r="E1305" t="inlineStr">
        <is>
          <t>PAJALA</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34944-2021</t>
        </is>
      </c>
      <c r="B1306" s="1" t="n">
        <v>44383</v>
      </c>
      <c r="C1306" s="1" t="n">
        <v>46046</v>
      </c>
      <c r="D1306" t="inlineStr">
        <is>
          <t>NORRBOTTENS LÄN</t>
        </is>
      </c>
      <c r="E1306" t="inlineStr">
        <is>
          <t>PAJALA</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34950-2021</t>
        </is>
      </c>
      <c r="B1307" s="1" t="n">
        <v>44383</v>
      </c>
      <c r="C1307" s="1" t="n">
        <v>46046</v>
      </c>
      <c r="D1307" t="inlineStr">
        <is>
          <t>NORRBOTTENS LÄN</t>
        </is>
      </c>
      <c r="E1307" t="inlineStr">
        <is>
          <t>PAJALA</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35752-2022</t>
        </is>
      </c>
      <c r="B1308" s="1" t="n">
        <v>44799.94413194444</v>
      </c>
      <c r="C1308" s="1" t="n">
        <v>46046</v>
      </c>
      <c r="D1308" t="inlineStr">
        <is>
          <t>NORRBOTTENS LÄN</t>
        </is>
      </c>
      <c r="E1308" t="inlineStr">
        <is>
          <t>BODEN</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35753-2022</t>
        </is>
      </c>
      <c r="B1309" s="1" t="n">
        <v>44799.94417824074</v>
      </c>
      <c r="C1309" s="1" t="n">
        <v>46046</v>
      </c>
      <c r="D1309" t="inlineStr">
        <is>
          <t>NORRBOTTENS LÄN</t>
        </is>
      </c>
      <c r="E1309" t="inlineStr">
        <is>
          <t>BODEN</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35766-2022</t>
        </is>
      </c>
      <c r="B1310" s="1" t="n">
        <v>44800</v>
      </c>
      <c r="C1310" s="1" t="n">
        <v>46046</v>
      </c>
      <c r="D1310" t="inlineStr">
        <is>
          <t>NORRBOTTENS LÄN</t>
        </is>
      </c>
      <c r="E1310" t="inlineStr">
        <is>
          <t>LULEÅ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711-2022</t>
        </is>
      </c>
      <c r="B1311" s="1" t="n">
        <v>44566</v>
      </c>
      <c r="C1311" s="1" t="n">
        <v>46046</v>
      </c>
      <c r="D1311" t="inlineStr">
        <is>
          <t>NORRBOTTENS LÄN</t>
        </is>
      </c>
      <c r="E1311" t="inlineStr">
        <is>
          <t>BODEN</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20753-2021</t>
        </is>
      </c>
      <c r="B1312" s="1" t="n">
        <v>44313</v>
      </c>
      <c r="C1312" s="1" t="n">
        <v>46046</v>
      </c>
      <c r="D1312" t="inlineStr">
        <is>
          <t>NORRBOTTENS LÄN</t>
        </is>
      </c>
      <c r="E1312" t="inlineStr">
        <is>
          <t>BODEN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20756-2021</t>
        </is>
      </c>
      <c r="B1313" s="1" t="n">
        <v>44313</v>
      </c>
      <c r="C1313" s="1" t="n">
        <v>46046</v>
      </c>
      <c r="D1313" t="inlineStr">
        <is>
          <t>NORRBOTTENS LÄN</t>
        </is>
      </c>
      <c r="E1313" t="inlineStr">
        <is>
          <t>BODEN</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12195-2022</t>
        </is>
      </c>
      <c r="B1314" s="1" t="n">
        <v>44636.94204861111</v>
      </c>
      <c r="C1314" s="1" t="n">
        <v>46046</v>
      </c>
      <c r="D1314" t="inlineStr">
        <is>
          <t>NORRBOTTENS LÄN</t>
        </is>
      </c>
      <c r="E1314" t="inlineStr">
        <is>
          <t>KALIX</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29073-2021</t>
        </is>
      </c>
      <c r="B1315" s="1" t="n">
        <v>44358</v>
      </c>
      <c r="C1315" s="1" t="n">
        <v>46046</v>
      </c>
      <c r="D1315" t="inlineStr">
        <is>
          <t>NORRBOTTENS LÄN</t>
        </is>
      </c>
      <c r="E1315" t="inlineStr">
        <is>
          <t>JOKKMOKK</t>
        </is>
      </c>
      <c r="F1315" t="inlineStr">
        <is>
          <t>Sveaskog</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46046</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46046</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34527-2021</t>
        </is>
      </c>
      <c r="B1318" s="1" t="n">
        <v>44382</v>
      </c>
      <c r="C1318" s="1" t="n">
        <v>46046</v>
      </c>
      <c r="D1318" t="inlineStr">
        <is>
          <t>NORRBOTTENS LÄN</t>
        </is>
      </c>
      <c r="E1318" t="inlineStr">
        <is>
          <t>KALIX</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39784-2021</t>
        </is>
      </c>
      <c r="B1319" s="1" t="n">
        <v>44417</v>
      </c>
      <c r="C1319" s="1" t="n">
        <v>46046</v>
      </c>
      <c r="D1319" t="inlineStr">
        <is>
          <t>NORRBOTTENS LÄN</t>
        </is>
      </c>
      <c r="E1319" t="inlineStr">
        <is>
          <t>JOKKMOKK</t>
        </is>
      </c>
      <c r="F1319" t="inlineStr">
        <is>
          <t>Naturvårdsverket</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38360-2022</t>
        </is>
      </c>
      <c r="B1320" s="1" t="n">
        <v>44812</v>
      </c>
      <c r="C1320" s="1" t="n">
        <v>46046</v>
      </c>
      <c r="D1320" t="inlineStr">
        <is>
          <t>NORRBOTTENS LÄN</t>
        </is>
      </c>
      <c r="E1320" t="inlineStr">
        <is>
          <t>ARVIDSJAUR</t>
        </is>
      </c>
      <c r="F1320" t="inlineStr">
        <is>
          <t>Sveaskog</t>
        </is>
      </c>
      <c r="G1320" t="n">
        <v>21.2</v>
      </c>
      <c r="H1320" t="n">
        <v>0</v>
      </c>
      <c r="I1320" t="n">
        <v>0</v>
      </c>
      <c r="J1320" t="n">
        <v>0</v>
      </c>
      <c r="K1320" t="n">
        <v>0</v>
      </c>
      <c r="L1320" t="n">
        <v>0</v>
      </c>
      <c r="M1320" t="n">
        <v>0</v>
      </c>
      <c r="N1320" t="n">
        <v>0</v>
      </c>
      <c r="O1320" t="n">
        <v>0</v>
      </c>
      <c r="P1320" t="n">
        <v>0</v>
      </c>
      <c r="Q1320" t="n">
        <v>0</v>
      </c>
      <c r="R1320" s="2" t="inlineStr"/>
    </row>
    <row r="1321" ht="15" customHeight="1">
      <c r="A1321" t="inlineStr">
        <is>
          <t>A 9530-2022</t>
        </is>
      </c>
      <c r="B1321" s="1" t="n">
        <v>44617</v>
      </c>
      <c r="C1321" s="1" t="n">
        <v>46046</v>
      </c>
      <c r="D1321" t="inlineStr">
        <is>
          <t>NORRBOTTENS LÄN</t>
        </is>
      </c>
      <c r="E1321" t="inlineStr">
        <is>
          <t>BODEN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39971-2022</t>
        </is>
      </c>
      <c r="B1322" s="1" t="n">
        <v>44820.29530092593</v>
      </c>
      <c r="C1322" s="1" t="n">
        <v>46046</v>
      </c>
      <c r="D1322" t="inlineStr">
        <is>
          <t>NORRBOTTENS LÄN</t>
        </is>
      </c>
      <c r="E1322" t="inlineStr">
        <is>
          <t>BODEN</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35579-2022</t>
        </is>
      </c>
      <c r="B1323" s="1" t="n">
        <v>44799</v>
      </c>
      <c r="C1323" s="1" t="n">
        <v>46046</v>
      </c>
      <c r="D1323" t="inlineStr">
        <is>
          <t>NORRBOTTENS LÄN</t>
        </is>
      </c>
      <c r="E1323" t="inlineStr">
        <is>
          <t>GÄLLIVARE</t>
        </is>
      </c>
      <c r="F1323" t="inlineStr">
        <is>
          <t>Allmännings- och besparingsskogar</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16549-2022</t>
        </is>
      </c>
      <c r="B1324" s="1" t="n">
        <v>44672</v>
      </c>
      <c r="C1324" s="1" t="n">
        <v>46046</v>
      </c>
      <c r="D1324" t="inlineStr">
        <is>
          <t>NORRBOTTENS LÄN</t>
        </is>
      </c>
      <c r="E1324" t="inlineStr">
        <is>
          <t>GÄLLIVARE</t>
        </is>
      </c>
      <c r="G1324" t="n">
        <v>25.9</v>
      </c>
      <c r="H1324" t="n">
        <v>0</v>
      </c>
      <c r="I1324" t="n">
        <v>0</v>
      </c>
      <c r="J1324" t="n">
        <v>0</v>
      </c>
      <c r="K1324" t="n">
        <v>0</v>
      </c>
      <c r="L1324" t="n">
        <v>0</v>
      </c>
      <c r="M1324" t="n">
        <v>0</v>
      </c>
      <c r="N1324" t="n">
        <v>0</v>
      </c>
      <c r="O1324" t="n">
        <v>0</v>
      </c>
      <c r="P1324" t="n">
        <v>0</v>
      </c>
      <c r="Q1324" t="n">
        <v>0</v>
      </c>
      <c r="R1324" s="2" t="inlineStr"/>
    </row>
    <row r="1325" ht="15" customHeight="1">
      <c r="A1325" t="inlineStr">
        <is>
          <t>A 5410-2021</t>
        </is>
      </c>
      <c r="B1325" s="1" t="n">
        <v>44229</v>
      </c>
      <c r="C1325" s="1" t="n">
        <v>46046</v>
      </c>
      <c r="D1325" t="inlineStr">
        <is>
          <t>NORRBOTTENS LÄN</t>
        </is>
      </c>
      <c r="E1325" t="inlineStr">
        <is>
          <t>ÄLVSBYN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41799-2021</t>
        </is>
      </c>
      <c r="B1326" s="1" t="n">
        <v>44425</v>
      </c>
      <c r="C1326" s="1" t="n">
        <v>46046</v>
      </c>
      <c r="D1326" t="inlineStr">
        <is>
          <t>NORRBOTTENS LÄN</t>
        </is>
      </c>
      <c r="E1326" t="inlineStr">
        <is>
          <t>ARJEPLOG</t>
        </is>
      </c>
      <c r="G1326" t="n">
        <v>11.3</v>
      </c>
      <c r="H1326" t="n">
        <v>0</v>
      </c>
      <c r="I1326" t="n">
        <v>0</v>
      </c>
      <c r="J1326" t="n">
        <v>0</v>
      </c>
      <c r="K1326" t="n">
        <v>0</v>
      </c>
      <c r="L1326" t="n">
        <v>0</v>
      </c>
      <c r="M1326" t="n">
        <v>0</v>
      </c>
      <c r="N1326" t="n">
        <v>0</v>
      </c>
      <c r="O1326" t="n">
        <v>0</v>
      </c>
      <c r="P1326" t="n">
        <v>0</v>
      </c>
      <c r="Q1326" t="n">
        <v>0</v>
      </c>
      <c r="R1326" s="2" t="inlineStr"/>
    </row>
    <row r="1327" ht="15" customHeight="1">
      <c r="A1327" t="inlineStr">
        <is>
          <t>A 25740-2022</t>
        </is>
      </c>
      <c r="B1327" s="1" t="n">
        <v>44733.4328125</v>
      </c>
      <c r="C1327" s="1" t="n">
        <v>46046</v>
      </c>
      <c r="D1327" t="inlineStr">
        <is>
          <t>NORRBOTTENS LÄN</t>
        </is>
      </c>
      <c r="E1327" t="inlineStr">
        <is>
          <t>KALIX</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63115-2021</t>
        </is>
      </c>
      <c r="B1328" s="1" t="n">
        <v>44505.63130787037</v>
      </c>
      <c r="C1328" s="1" t="n">
        <v>46046</v>
      </c>
      <c r="D1328" t="inlineStr">
        <is>
          <t>NORRBOTTENS LÄN</t>
        </is>
      </c>
      <c r="E1328" t="inlineStr">
        <is>
          <t>PAJALA</t>
        </is>
      </c>
      <c r="F1328" t="inlineStr">
        <is>
          <t>Sveaskog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55775-2021</t>
        </is>
      </c>
      <c r="B1329" s="1" t="n">
        <v>44476</v>
      </c>
      <c r="C1329" s="1" t="n">
        <v>46046</v>
      </c>
      <c r="D1329" t="inlineStr">
        <is>
          <t>NORRBOTTENS LÄN</t>
        </is>
      </c>
      <c r="E1329" t="inlineStr">
        <is>
          <t>ÄLVSBYN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69080-2021</t>
        </is>
      </c>
      <c r="B1330" s="1" t="n">
        <v>44530</v>
      </c>
      <c r="C1330" s="1" t="n">
        <v>46046</v>
      </c>
      <c r="D1330" t="inlineStr">
        <is>
          <t>NORRBOTTENS LÄN</t>
        </is>
      </c>
      <c r="E1330" t="inlineStr">
        <is>
          <t>ARVIDSJAUR</t>
        </is>
      </c>
      <c r="F1330" t="inlineStr">
        <is>
          <t>Sveaskog</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58879-2021</t>
        </is>
      </c>
      <c r="B1331" s="1" t="n">
        <v>44489</v>
      </c>
      <c r="C1331" s="1" t="n">
        <v>46046</v>
      </c>
      <c r="D1331" t="inlineStr">
        <is>
          <t>NORRBOTTENS LÄN</t>
        </is>
      </c>
      <c r="E1331" t="inlineStr">
        <is>
          <t>ARJEPLOG</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54632-2022</t>
        </is>
      </c>
      <c r="B1332" s="1" t="n">
        <v>44883.39190972222</v>
      </c>
      <c r="C1332" s="1" t="n">
        <v>46046</v>
      </c>
      <c r="D1332" t="inlineStr">
        <is>
          <t>NORRBOTTENS LÄN</t>
        </is>
      </c>
      <c r="E1332" t="inlineStr">
        <is>
          <t>HAPARANDA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10709-2022</t>
        </is>
      </c>
      <c r="B1333" s="1" t="n">
        <v>44625.78322916666</v>
      </c>
      <c r="C1333" s="1" t="n">
        <v>46046</v>
      </c>
      <c r="D1333" t="inlineStr">
        <is>
          <t>NORRBOTTENS LÄN</t>
        </is>
      </c>
      <c r="E1333" t="inlineStr">
        <is>
          <t>BODEN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5733-2022</t>
        </is>
      </c>
      <c r="B1334" s="1" t="n">
        <v>44596</v>
      </c>
      <c r="C1334" s="1" t="n">
        <v>46046</v>
      </c>
      <c r="D1334" t="inlineStr">
        <is>
          <t>NORRBOTTENS LÄN</t>
        </is>
      </c>
      <c r="E1334" t="inlineStr">
        <is>
          <t>BODEN</t>
        </is>
      </c>
      <c r="F1334" t="inlineStr">
        <is>
          <t>Övriga statliga verk och myndigheter</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52027-2022</t>
        </is>
      </c>
      <c r="B1335" s="1" t="n">
        <v>44872</v>
      </c>
      <c r="C1335" s="1" t="n">
        <v>46046</v>
      </c>
      <c r="D1335" t="inlineStr">
        <is>
          <t>NORRBOTTENS LÄN</t>
        </is>
      </c>
      <c r="E1335" t="inlineStr">
        <is>
          <t>ÖVERKALIX</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27050-2021</t>
        </is>
      </c>
      <c r="B1336" s="1" t="n">
        <v>44350</v>
      </c>
      <c r="C1336" s="1" t="n">
        <v>46046</v>
      </c>
      <c r="D1336" t="inlineStr">
        <is>
          <t>NORRBOTTENS LÄN</t>
        </is>
      </c>
      <c r="E1336" t="inlineStr">
        <is>
          <t>KALIX</t>
        </is>
      </c>
      <c r="G1336" t="n">
        <v>24.1</v>
      </c>
      <c r="H1336" t="n">
        <v>0</v>
      </c>
      <c r="I1336" t="n">
        <v>0</v>
      </c>
      <c r="J1336" t="n">
        <v>0</v>
      </c>
      <c r="K1336" t="n">
        <v>0</v>
      </c>
      <c r="L1336" t="n">
        <v>0</v>
      </c>
      <c r="M1336" t="n">
        <v>0</v>
      </c>
      <c r="N1336" t="n">
        <v>0</v>
      </c>
      <c r="O1336" t="n">
        <v>0</v>
      </c>
      <c r="P1336" t="n">
        <v>0</v>
      </c>
      <c r="Q1336" t="n">
        <v>0</v>
      </c>
      <c r="R1336" s="2" t="inlineStr"/>
    </row>
    <row r="1337" ht="15" customHeight="1">
      <c r="A1337" t="inlineStr">
        <is>
          <t>A 27688-2022</t>
        </is>
      </c>
      <c r="B1337" s="1" t="n">
        <v>44743.43572916667</v>
      </c>
      <c r="C1337" s="1" t="n">
        <v>46046</v>
      </c>
      <c r="D1337" t="inlineStr">
        <is>
          <t>NORRBOTTENS LÄN</t>
        </is>
      </c>
      <c r="E1337" t="inlineStr">
        <is>
          <t>BODEN</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45391-2021</t>
        </is>
      </c>
      <c r="B1338" s="1" t="n">
        <v>44440</v>
      </c>
      <c r="C1338" s="1" t="n">
        <v>46046</v>
      </c>
      <c r="D1338" t="inlineStr">
        <is>
          <t>NORRBOTTENS LÄN</t>
        </is>
      </c>
      <c r="E1338" t="inlineStr">
        <is>
          <t>ARVIDSJAUR</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68808-2021</t>
        </is>
      </c>
      <c r="B1339" s="1" t="n">
        <v>44529</v>
      </c>
      <c r="C1339" s="1" t="n">
        <v>46046</v>
      </c>
      <c r="D1339" t="inlineStr">
        <is>
          <t>NORRBOTTENS LÄN</t>
        </is>
      </c>
      <c r="E1339" t="inlineStr">
        <is>
          <t>LULEÅ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434-2022</t>
        </is>
      </c>
      <c r="B1340" s="1" t="n">
        <v>44565.92913194445</v>
      </c>
      <c r="C1340" s="1" t="n">
        <v>46046</v>
      </c>
      <c r="D1340" t="inlineStr">
        <is>
          <t>NORRBOTTENS LÄN</t>
        </is>
      </c>
      <c r="E1340" t="inlineStr">
        <is>
          <t>LULEÅ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452-2022</t>
        </is>
      </c>
      <c r="B1341" s="1" t="n">
        <v>44565</v>
      </c>
      <c r="C1341" s="1" t="n">
        <v>46046</v>
      </c>
      <c r="D1341" t="inlineStr">
        <is>
          <t>NORRBOTTENS LÄN</t>
        </is>
      </c>
      <c r="E1341" t="inlineStr">
        <is>
          <t>BODEN</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13728-2021</t>
        </is>
      </c>
      <c r="B1342" s="1" t="n">
        <v>44274</v>
      </c>
      <c r="C1342" s="1" t="n">
        <v>46046</v>
      </c>
      <c r="D1342" t="inlineStr">
        <is>
          <t>NORRBOTTENS LÄN</t>
        </is>
      </c>
      <c r="E1342" t="inlineStr">
        <is>
          <t>BODEN</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4535-2022</t>
        </is>
      </c>
      <c r="B1343" s="1" t="n">
        <v>44590.47773148148</v>
      </c>
      <c r="C1343" s="1" t="n">
        <v>46046</v>
      </c>
      <c r="D1343" t="inlineStr">
        <is>
          <t>NORRBOTTENS LÄN</t>
        </is>
      </c>
      <c r="E1343" t="inlineStr">
        <is>
          <t>PITEÅ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59552-2021</t>
        </is>
      </c>
      <c r="B1344" s="1" t="n">
        <v>44491</v>
      </c>
      <c r="C1344" s="1" t="n">
        <v>46046</v>
      </c>
      <c r="D1344" t="inlineStr">
        <is>
          <t>NORRBOTTENS LÄN</t>
        </is>
      </c>
      <c r="E1344" t="inlineStr">
        <is>
          <t>LULEÅ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42040-2021</t>
        </is>
      </c>
      <c r="B1345" s="1" t="n">
        <v>44426</v>
      </c>
      <c r="C1345" s="1" t="n">
        <v>46046</v>
      </c>
      <c r="D1345" t="inlineStr">
        <is>
          <t>NORRBOTTENS LÄN</t>
        </is>
      </c>
      <c r="E1345" t="inlineStr">
        <is>
          <t>KALIX</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36581-2021</t>
        </is>
      </c>
      <c r="B1346" s="1" t="n">
        <v>44391</v>
      </c>
      <c r="C1346" s="1" t="n">
        <v>46046</v>
      </c>
      <c r="D1346" t="inlineStr">
        <is>
          <t>NORRBOTTENS LÄN</t>
        </is>
      </c>
      <c r="E1346" t="inlineStr">
        <is>
          <t>ARVIDSJAUR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8727-2021</t>
        </is>
      </c>
      <c r="B1347" s="1" t="n">
        <v>44246</v>
      </c>
      <c r="C1347" s="1" t="n">
        <v>46046</v>
      </c>
      <c r="D1347" t="inlineStr">
        <is>
          <t>NORRBOTTENS LÄN</t>
        </is>
      </c>
      <c r="E1347" t="inlineStr">
        <is>
          <t>ARJEPLOG</t>
        </is>
      </c>
      <c r="F1347" t="inlineStr">
        <is>
          <t>Sveaskog</t>
        </is>
      </c>
      <c r="G1347" t="n">
        <v>12.9</v>
      </c>
      <c r="H1347" t="n">
        <v>0</v>
      </c>
      <c r="I1347" t="n">
        <v>0</v>
      </c>
      <c r="J1347" t="n">
        <v>0</v>
      </c>
      <c r="K1347" t="n">
        <v>0</v>
      </c>
      <c r="L1347" t="n">
        <v>0</v>
      </c>
      <c r="M1347" t="n">
        <v>0</v>
      </c>
      <c r="N1347" t="n">
        <v>0</v>
      </c>
      <c r="O1347" t="n">
        <v>0</v>
      </c>
      <c r="P1347" t="n">
        <v>0</v>
      </c>
      <c r="Q1347" t="n">
        <v>0</v>
      </c>
      <c r="R1347" s="2" t="inlineStr"/>
    </row>
    <row r="1348" ht="15" customHeight="1">
      <c r="A1348" t="inlineStr">
        <is>
          <t>A 1631-2022</t>
        </is>
      </c>
      <c r="B1348" s="1" t="n">
        <v>44573</v>
      </c>
      <c r="C1348" s="1" t="n">
        <v>46046</v>
      </c>
      <c r="D1348" t="inlineStr">
        <is>
          <t>NORRBOTTENS LÄN</t>
        </is>
      </c>
      <c r="E1348" t="inlineStr">
        <is>
          <t>JOKKMOKK</t>
        </is>
      </c>
      <c r="F1348" t="inlineStr">
        <is>
          <t>SCA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50738-2022</t>
        </is>
      </c>
      <c r="B1349" s="1" t="n">
        <v>44867.38328703704</v>
      </c>
      <c r="C1349" s="1" t="n">
        <v>46046</v>
      </c>
      <c r="D1349" t="inlineStr">
        <is>
          <t>NORRBOTTENS LÄN</t>
        </is>
      </c>
      <c r="E1349" t="inlineStr">
        <is>
          <t>PITEÅ</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45189-2021</t>
        </is>
      </c>
      <c r="B1350" s="1" t="n">
        <v>44439</v>
      </c>
      <c r="C1350" s="1" t="n">
        <v>46046</v>
      </c>
      <c r="D1350" t="inlineStr">
        <is>
          <t>NORRBOTTENS LÄN</t>
        </is>
      </c>
      <c r="E1350" t="inlineStr">
        <is>
          <t>BODEN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49192-2022</t>
        </is>
      </c>
      <c r="B1351" s="1" t="n">
        <v>44860.95476851852</v>
      </c>
      <c r="C1351" s="1" t="n">
        <v>46046</v>
      </c>
      <c r="D1351" t="inlineStr">
        <is>
          <t>NORRBOTTENS LÄN</t>
        </is>
      </c>
      <c r="E1351" t="inlineStr">
        <is>
          <t>KALIX</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5559-2021</t>
        </is>
      </c>
      <c r="B1352" s="1" t="n">
        <v>44229</v>
      </c>
      <c r="C1352" s="1" t="n">
        <v>46046</v>
      </c>
      <c r="D1352" t="inlineStr">
        <is>
          <t>NORRBOTTENS LÄN</t>
        </is>
      </c>
      <c r="E1352" t="inlineStr">
        <is>
          <t>LULEÅ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32196-2022</t>
        </is>
      </c>
      <c r="B1353" s="1" t="n">
        <v>44781</v>
      </c>
      <c r="C1353" s="1" t="n">
        <v>46046</v>
      </c>
      <c r="D1353" t="inlineStr">
        <is>
          <t>NORRBOTTENS LÄN</t>
        </is>
      </c>
      <c r="E1353" t="inlineStr">
        <is>
          <t>GÄLLIVARE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40833-2022</t>
        </is>
      </c>
      <c r="B1354" s="1" t="n">
        <v>44824</v>
      </c>
      <c r="C1354" s="1" t="n">
        <v>46046</v>
      </c>
      <c r="D1354" t="inlineStr">
        <is>
          <t>NORRBOTTENS LÄN</t>
        </is>
      </c>
      <c r="E1354" t="inlineStr">
        <is>
          <t>JOKKMOKK</t>
        </is>
      </c>
      <c r="F1354" t="inlineStr">
        <is>
          <t>SCA</t>
        </is>
      </c>
      <c r="G1354" t="n">
        <v>122.1</v>
      </c>
      <c r="H1354" t="n">
        <v>0</v>
      </c>
      <c r="I1354" t="n">
        <v>0</v>
      </c>
      <c r="J1354" t="n">
        <v>0</v>
      </c>
      <c r="K1354" t="n">
        <v>0</v>
      </c>
      <c r="L1354" t="n">
        <v>0</v>
      </c>
      <c r="M1354" t="n">
        <v>0</v>
      </c>
      <c r="N1354" t="n">
        <v>0</v>
      </c>
      <c r="O1354" t="n">
        <v>0</v>
      </c>
      <c r="P1354" t="n">
        <v>0</v>
      </c>
      <c r="Q1354" t="n">
        <v>0</v>
      </c>
      <c r="R1354" s="2" t="inlineStr"/>
    </row>
    <row r="1355" ht="15" customHeight="1">
      <c r="A1355" t="inlineStr">
        <is>
          <t>A 47661-2022</t>
        </is>
      </c>
      <c r="B1355" s="1" t="n">
        <v>44854.45994212963</v>
      </c>
      <c r="C1355" s="1" t="n">
        <v>46046</v>
      </c>
      <c r="D1355" t="inlineStr">
        <is>
          <t>NORRBOTTENS LÄN</t>
        </is>
      </c>
      <c r="E1355" t="inlineStr">
        <is>
          <t>HAPARANDA</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39378-2022</t>
        </is>
      </c>
      <c r="B1356" s="1" t="n">
        <v>44817</v>
      </c>
      <c r="C1356" s="1" t="n">
        <v>46046</v>
      </c>
      <c r="D1356" t="inlineStr">
        <is>
          <t>NORRBOTTENS LÄN</t>
        </is>
      </c>
      <c r="E1356" t="inlineStr">
        <is>
          <t>GÄLLIVARE</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71278-2021</t>
        </is>
      </c>
      <c r="B1357" s="1" t="n">
        <v>44538</v>
      </c>
      <c r="C1357" s="1" t="n">
        <v>46046</v>
      </c>
      <c r="D1357" t="inlineStr">
        <is>
          <t>NORRBOTTENS LÄN</t>
        </is>
      </c>
      <c r="E1357" t="inlineStr">
        <is>
          <t>PITEÅ</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38490-2022</t>
        </is>
      </c>
      <c r="B1358" s="1" t="n">
        <v>44813.55563657408</v>
      </c>
      <c r="C1358" s="1" t="n">
        <v>46046</v>
      </c>
      <c r="D1358" t="inlineStr">
        <is>
          <t>NORRBOTTENS LÄN</t>
        </is>
      </c>
      <c r="E1358" t="inlineStr">
        <is>
          <t>ÄLVSBYN</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44987-2022</t>
        </is>
      </c>
      <c r="B1359" s="1" t="n">
        <v>44841.59989583334</v>
      </c>
      <c r="C1359" s="1" t="n">
        <v>46046</v>
      </c>
      <c r="D1359" t="inlineStr">
        <is>
          <t>NORRBOTTENS LÄN</t>
        </is>
      </c>
      <c r="E1359" t="inlineStr">
        <is>
          <t>LULEÅ</t>
        </is>
      </c>
      <c r="F1359" t="inlineStr">
        <is>
          <t>Sveaskog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10546-2022</t>
        </is>
      </c>
      <c r="B1360" s="1" t="n">
        <v>44623</v>
      </c>
      <c r="C1360" s="1" t="n">
        <v>46046</v>
      </c>
      <c r="D1360" t="inlineStr">
        <is>
          <t>NORRBOTTENS LÄN</t>
        </is>
      </c>
      <c r="E1360" t="inlineStr">
        <is>
          <t>KIRUNA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10545-2022</t>
        </is>
      </c>
      <c r="B1361" s="1" t="n">
        <v>44623.92326388889</v>
      </c>
      <c r="C1361" s="1" t="n">
        <v>46046</v>
      </c>
      <c r="D1361" t="inlineStr">
        <is>
          <t>NORRBOTTENS LÄN</t>
        </is>
      </c>
      <c r="E1361" t="inlineStr">
        <is>
          <t>KIRUNA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34934-2021</t>
        </is>
      </c>
      <c r="B1362" s="1" t="n">
        <v>44383</v>
      </c>
      <c r="C1362" s="1" t="n">
        <v>46046</v>
      </c>
      <c r="D1362" t="inlineStr">
        <is>
          <t>NORRBOTTENS LÄN</t>
        </is>
      </c>
      <c r="E1362" t="inlineStr">
        <is>
          <t>PAJALA</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71370-2021</t>
        </is>
      </c>
      <c r="B1363" s="1" t="n">
        <v>44539</v>
      </c>
      <c r="C1363" s="1" t="n">
        <v>46046</v>
      </c>
      <c r="D1363" t="inlineStr">
        <is>
          <t>NORRBOTTENS LÄN</t>
        </is>
      </c>
      <c r="E1363" t="inlineStr">
        <is>
          <t>JOKKMOKK</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71381-2021</t>
        </is>
      </c>
      <c r="B1364" s="1" t="n">
        <v>44538</v>
      </c>
      <c r="C1364" s="1" t="n">
        <v>46046</v>
      </c>
      <c r="D1364" t="inlineStr">
        <is>
          <t>NORRBOTTENS LÄN</t>
        </is>
      </c>
      <c r="E1364" t="inlineStr">
        <is>
          <t>ÖVERTORNEÅ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43188-2022</t>
        </is>
      </c>
      <c r="B1365" s="1" t="n">
        <v>44833</v>
      </c>
      <c r="C1365" s="1" t="n">
        <v>46046</v>
      </c>
      <c r="D1365" t="inlineStr">
        <is>
          <t>NORRBOTTENS LÄN</t>
        </is>
      </c>
      <c r="E1365" t="inlineStr">
        <is>
          <t>KALIX</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40834-2022</t>
        </is>
      </c>
      <c r="B1366" s="1" t="n">
        <v>44824</v>
      </c>
      <c r="C1366" s="1" t="n">
        <v>46046</v>
      </c>
      <c r="D1366" t="inlineStr">
        <is>
          <t>NORRBOTTENS LÄN</t>
        </is>
      </c>
      <c r="E1366" t="inlineStr">
        <is>
          <t>JOKKMOKK</t>
        </is>
      </c>
      <c r="F1366" t="inlineStr">
        <is>
          <t>SCA</t>
        </is>
      </c>
      <c r="G1366" t="n">
        <v>106.1</v>
      </c>
      <c r="H1366" t="n">
        <v>0</v>
      </c>
      <c r="I1366" t="n">
        <v>0</v>
      </c>
      <c r="J1366" t="n">
        <v>0</v>
      </c>
      <c r="K1366" t="n">
        <v>0</v>
      </c>
      <c r="L1366" t="n">
        <v>0</v>
      </c>
      <c r="M1366" t="n">
        <v>0</v>
      </c>
      <c r="N1366" t="n">
        <v>0</v>
      </c>
      <c r="O1366" t="n">
        <v>0</v>
      </c>
      <c r="P1366" t="n">
        <v>0</v>
      </c>
      <c r="Q1366" t="n">
        <v>0</v>
      </c>
      <c r="R1366" s="2" t="inlineStr"/>
    </row>
    <row r="1367" ht="15" customHeight="1">
      <c r="A1367" t="inlineStr">
        <is>
          <t>A 71695-2021</t>
        </is>
      </c>
      <c r="B1367" s="1" t="n">
        <v>44543.43594907408</v>
      </c>
      <c r="C1367" s="1" t="n">
        <v>46046</v>
      </c>
      <c r="D1367" t="inlineStr">
        <is>
          <t>NORRBOTTENS LÄN</t>
        </is>
      </c>
      <c r="E1367" t="inlineStr">
        <is>
          <t>ARVIDSJAUR</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42632-2022</t>
        </is>
      </c>
      <c r="B1368" s="1" t="n">
        <v>44831.94553240741</v>
      </c>
      <c r="C1368" s="1" t="n">
        <v>46046</v>
      </c>
      <c r="D1368" t="inlineStr">
        <is>
          <t>NORRBOTTENS LÄN</t>
        </is>
      </c>
      <c r="E1368" t="inlineStr">
        <is>
          <t>BODEN</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30003-2022</t>
        </is>
      </c>
      <c r="B1369" s="1" t="n">
        <v>44756.92534722222</v>
      </c>
      <c r="C1369" s="1" t="n">
        <v>46046</v>
      </c>
      <c r="D1369" t="inlineStr">
        <is>
          <t>NORRBOTTENS LÄN</t>
        </is>
      </c>
      <c r="E1369" t="inlineStr">
        <is>
          <t>HAPARANDA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28367-2021</t>
        </is>
      </c>
      <c r="B1370" s="1" t="n">
        <v>44356</v>
      </c>
      <c r="C1370" s="1" t="n">
        <v>46046</v>
      </c>
      <c r="D1370" t="inlineStr">
        <is>
          <t>NORRBOTTENS LÄN</t>
        </is>
      </c>
      <c r="E1370" t="inlineStr">
        <is>
          <t>BODEN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9493-2022</t>
        </is>
      </c>
      <c r="B1371" s="1" t="n">
        <v>44616</v>
      </c>
      <c r="C1371" s="1" t="n">
        <v>46046</v>
      </c>
      <c r="D1371" t="inlineStr">
        <is>
          <t>NORRBOTTENS LÄN</t>
        </is>
      </c>
      <c r="E1371" t="inlineStr">
        <is>
          <t>GÄLLIVARE</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9504-2022</t>
        </is>
      </c>
      <c r="B1372" s="1" t="n">
        <v>44616</v>
      </c>
      <c r="C1372" s="1" t="n">
        <v>46046</v>
      </c>
      <c r="D1372" t="inlineStr">
        <is>
          <t>NORRBOTTENS LÄN</t>
        </is>
      </c>
      <c r="E1372" t="inlineStr">
        <is>
          <t>GÄLLIVARE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48170-2022</t>
        </is>
      </c>
      <c r="B1373" s="1" t="n">
        <v>44853</v>
      </c>
      <c r="C1373" s="1" t="n">
        <v>46046</v>
      </c>
      <c r="D1373" t="inlineStr">
        <is>
          <t>NORRBOTTENS LÄN</t>
        </is>
      </c>
      <c r="E1373" t="inlineStr">
        <is>
          <t>PAJALA</t>
        </is>
      </c>
      <c r="F1373" t="inlineStr">
        <is>
          <t>Allmännings- och besparingsskogar</t>
        </is>
      </c>
      <c r="G1373" t="n">
        <v>26.3</v>
      </c>
      <c r="H1373" t="n">
        <v>0</v>
      </c>
      <c r="I1373" t="n">
        <v>0</v>
      </c>
      <c r="J1373" t="n">
        <v>0</v>
      </c>
      <c r="K1373" t="n">
        <v>0</v>
      </c>
      <c r="L1373" t="n">
        <v>0</v>
      </c>
      <c r="M1373" t="n">
        <v>0</v>
      </c>
      <c r="N1373" t="n">
        <v>0</v>
      </c>
      <c r="O1373" t="n">
        <v>0</v>
      </c>
      <c r="P1373" t="n">
        <v>0</v>
      </c>
      <c r="Q1373" t="n">
        <v>0</v>
      </c>
      <c r="R1373" s="2" t="inlineStr"/>
    </row>
    <row r="1374" ht="15" customHeight="1">
      <c r="A1374" t="inlineStr">
        <is>
          <t>A 16111-2021</t>
        </is>
      </c>
      <c r="B1374" s="1" t="n">
        <v>44291</v>
      </c>
      <c r="C1374" s="1" t="n">
        <v>46046</v>
      </c>
      <c r="D1374" t="inlineStr">
        <is>
          <t>NORRBOTTENS LÄN</t>
        </is>
      </c>
      <c r="E1374" t="inlineStr">
        <is>
          <t>ÖVERTORNEÅ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71283-2021</t>
        </is>
      </c>
      <c r="B1375" s="1" t="n">
        <v>44538</v>
      </c>
      <c r="C1375" s="1" t="n">
        <v>46046</v>
      </c>
      <c r="D1375" t="inlineStr">
        <is>
          <t>NORRBOTTENS LÄN</t>
        </is>
      </c>
      <c r="E1375" t="inlineStr">
        <is>
          <t>PITEÅ</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58002-2021</t>
        </is>
      </c>
      <c r="B1376" s="1" t="n">
        <v>44487</v>
      </c>
      <c r="C1376" s="1" t="n">
        <v>46046</v>
      </c>
      <c r="D1376" t="inlineStr">
        <is>
          <t>NORRBOTTENS LÄN</t>
        </is>
      </c>
      <c r="E1376" t="inlineStr">
        <is>
          <t>ARVIDSJAUR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7108-2021</t>
        </is>
      </c>
      <c r="B1377" s="1" t="n">
        <v>44238</v>
      </c>
      <c r="C1377" s="1" t="n">
        <v>46046</v>
      </c>
      <c r="D1377" t="inlineStr">
        <is>
          <t>NORRBOTTENS LÄN</t>
        </is>
      </c>
      <c r="E1377" t="inlineStr">
        <is>
          <t>BODEN</t>
        </is>
      </c>
      <c r="G1377" t="n">
        <v>18.1</v>
      </c>
      <c r="H1377" t="n">
        <v>0</v>
      </c>
      <c r="I1377" t="n">
        <v>0</v>
      </c>
      <c r="J1377" t="n">
        <v>0</v>
      </c>
      <c r="K1377" t="n">
        <v>0</v>
      </c>
      <c r="L1377" t="n">
        <v>0</v>
      </c>
      <c r="M1377" t="n">
        <v>0</v>
      </c>
      <c r="N1377" t="n">
        <v>0</v>
      </c>
      <c r="O1377" t="n">
        <v>0</v>
      </c>
      <c r="P1377" t="n">
        <v>0</v>
      </c>
      <c r="Q1377" t="n">
        <v>0</v>
      </c>
      <c r="R1377" s="2" t="inlineStr"/>
    </row>
    <row r="1378" ht="15" customHeight="1">
      <c r="A1378" t="inlineStr">
        <is>
          <t>A 52115-2022</t>
        </is>
      </c>
      <c r="B1378" s="1" t="n">
        <v>44873.41837962963</v>
      </c>
      <c r="C1378" s="1" t="n">
        <v>46046</v>
      </c>
      <c r="D1378" t="inlineStr">
        <is>
          <t>NORRBOTTENS LÄN</t>
        </is>
      </c>
      <c r="E1378" t="inlineStr">
        <is>
          <t>PITEÅ</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56641-2021</t>
        </is>
      </c>
      <c r="B1379" s="1" t="n">
        <v>44480</v>
      </c>
      <c r="C1379" s="1" t="n">
        <v>46046</v>
      </c>
      <c r="D1379" t="inlineStr">
        <is>
          <t>NORRBOTTENS LÄN</t>
        </is>
      </c>
      <c r="E1379" t="inlineStr">
        <is>
          <t>PITEÅ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20738-2021</t>
        </is>
      </c>
      <c r="B1380" s="1" t="n">
        <v>44313</v>
      </c>
      <c r="C1380" s="1" t="n">
        <v>46046</v>
      </c>
      <c r="D1380" t="inlineStr">
        <is>
          <t>NORRBOTTENS LÄN</t>
        </is>
      </c>
      <c r="E1380" t="inlineStr">
        <is>
          <t>BODEN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11935-2022</t>
        </is>
      </c>
      <c r="B1381" s="1" t="n">
        <v>44635</v>
      </c>
      <c r="C1381" s="1" t="n">
        <v>46046</v>
      </c>
      <c r="D1381" t="inlineStr">
        <is>
          <t>NORRBOTTENS LÄN</t>
        </is>
      </c>
      <c r="E1381" t="inlineStr">
        <is>
          <t>BODEN</t>
        </is>
      </c>
      <c r="F1381" t="inlineStr">
        <is>
          <t>Kyrkan</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52049-2022</t>
        </is>
      </c>
      <c r="B1382" s="1" t="n">
        <v>44873.32177083333</v>
      </c>
      <c r="C1382" s="1" t="n">
        <v>46046</v>
      </c>
      <c r="D1382" t="inlineStr">
        <is>
          <t>NORRBOTTENS LÄN</t>
        </is>
      </c>
      <c r="E1382" t="inlineStr">
        <is>
          <t>BODEN</t>
        </is>
      </c>
      <c r="F1382" t="inlineStr">
        <is>
          <t>Sveaskog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7677-2022</t>
        </is>
      </c>
      <c r="B1383" s="1" t="n">
        <v>44607</v>
      </c>
      <c r="C1383" s="1" t="n">
        <v>46046</v>
      </c>
      <c r="D1383" t="inlineStr">
        <is>
          <t>NORRBOTTENS LÄN</t>
        </is>
      </c>
      <c r="E1383" t="inlineStr">
        <is>
          <t>ÖVERKALIX</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7678-2022</t>
        </is>
      </c>
      <c r="B1384" s="1" t="n">
        <v>44607.94053240741</v>
      </c>
      <c r="C1384" s="1" t="n">
        <v>46046</v>
      </c>
      <c r="D1384" t="inlineStr">
        <is>
          <t>NORRBOTTENS LÄN</t>
        </is>
      </c>
      <c r="E1384" t="inlineStr">
        <is>
          <t>GÄLLIVARE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13877-2021</t>
        </is>
      </c>
      <c r="B1385" s="1" t="n">
        <v>44277</v>
      </c>
      <c r="C1385" s="1" t="n">
        <v>46046</v>
      </c>
      <c r="D1385" t="inlineStr">
        <is>
          <t>NORRBOTTENS LÄN</t>
        </is>
      </c>
      <c r="E1385" t="inlineStr">
        <is>
          <t>ÖVERTORNEÅ</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28789-2022</t>
        </is>
      </c>
      <c r="B1386" s="1" t="n">
        <v>44749</v>
      </c>
      <c r="C1386" s="1" t="n">
        <v>46046</v>
      </c>
      <c r="D1386" t="inlineStr">
        <is>
          <t>NORRBOTTENS LÄN</t>
        </is>
      </c>
      <c r="E1386" t="inlineStr">
        <is>
          <t>PAJALA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46826-2021</t>
        </is>
      </c>
      <c r="B1387" s="1" t="n">
        <v>44446</v>
      </c>
      <c r="C1387" s="1" t="n">
        <v>46046</v>
      </c>
      <c r="D1387" t="inlineStr">
        <is>
          <t>NORRBOTTENS LÄN</t>
        </is>
      </c>
      <c r="E1387" t="inlineStr">
        <is>
          <t>LULEÅ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71909-2021</t>
        </is>
      </c>
      <c r="B1388" s="1" t="n">
        <v>44543.92140046296</v>
      </c>
      <c r="C1388" s="1" t="n">
        <v>46046</v>
      </c>
      <c r="D1388" t="inlineStr">
        <is>
          <t>NORRBOTTENS LÄN</t>
        </is>
      </c>
      <c r="E1388" t="inlineStr">
        <is>
          <t>LULEÅ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13870-2021</t>
        </is>
      </c>
      <c r="B1389" s="1" t="n">
        <v>44277</v>
      </c>
      <c r="C1389" s="1" t="n">
        <v>46046</v>
      </c>
      <c r="D1389" t="inlineStr">
        <is>
          <t>NORRBOTTENS LÄN</t>
        </is>
      </c>
      <c r="E1389" t="inlineStr">
        <is>
          <t>ÖVERTORNEÅ</t>
        </is>
      </c>
      <c r="G1389" t="n">
        <v>10.8</v>
      </c>
      <c r="H1389" t="n">
        <v>0</v>
      </c>
      <c r="I1389" t="n">
        <v>0</v>
      </c>
      <c r="J1389" t="n">
        <v>0</v>
      </c>
      <c r="K1389" t="n">
        <v>0</v>
      </c>
      <c r="L1389" t="n">
        <v>0</v>
      </c>
      <c r="M1389" t="n">
        <v>0</v>
      </c>
      <c r="N1389" t="n">
        <v>0</v>
      </c>
      <c r="O1389" t="n">
        <v>0</v>
      </c>
      <c r="P1389" t="n">
        <v>0</v>
      </c>
      <c r="Q1389" t="n">
        <v>0</v>
      </c>
      <c r="R1389" s="2" t="inlineStr"/>
    </row>
    <row r="1390" ht="15" customHeight="1">
      <c r="A1390" t="inlineStr">
        <is>
          <t>A 16561-2022</t>
        </is>
      </c>
      <c r="B1390" s="1" t="n">
        <v>44672</v>
      </c>
      <c r="C1390" s="1" t="n">
        <v>46046</v>
      </c>
      <c r="D1390" t="inlineStr">
        <is>
          <t>NORRBOTTENS LÄN</t>
        </is>
      </c>
      <c r="E1390" t="inlineStr">
        <is>
          <t>ÖVERTORNEÅ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39005-2022</t>
        </is>
      </c>
      <c r="B1391" s="1" t="n">
        <v>44816.94665509259</v>
      </c>
      <c r="C1391" s="1" t="n">
        <v>46046</v>
      </c>
      <c r="D1391" t="inlineStr">
        <is>
          <t>NORRBOTTENS LÄN</t>
        </is>
      </c>
      <c r="E1391" t="inlineStr">
        <is>
          <t>PITEÅ</t>
        </is>
      </c>
      <c r="F1391" t="inlineStr">
        <is>
          <t>SCA</t>
        </is>
      </c>
      <c r="G1391" t="n">
        <v>23.9</v>
      </c>
      <c r="H1391" t="n">
        <v>0</v>
      </c>
      <c r="I1391" t="n">
        <v>0</v>
      </c>
      <c r="J1391" t="n">
        <v>0</v>
      </c>
      <c r="K1391" t="n">
        <v>0</v>
      </c>
      <c r="L1391" t="n">
        <v>0</v>
      </c>
      <c r="M1391" t="n">
        <v>0</v>
      </c>
      <c r="N1391" t="n">
        <v>0</v>
      </c>
      <c r="O1391" t="n">
        <v>0</v>
      </c>
      <c r="P1391" t="n">
        <v>0</v>
      </c>
      <c r="Q1391" t="n">
        <v>0</v>
      </c>
      <c r="R1391" s="2" t="inlineStr"/>
    </row>
    <row r="1392" ht="15" customHeight="1">
      <c r="A1392" t="inlineStr">
        <is>
          <t>A 52338-2021</t>
        </is>
      </c>
      <c r="B1392" s="1" t="n">
        <v>44464</v>
      </c>
      <c r="C1392" s="1" t="n">
        <v>46046</v>
      </c>
      <c r="D1392" t="inlineStr">
        <is>
          <t>NORRBOTTENS LÄN</t>
        </is>
      </c>
      <c r="E1392" t="inlineStr">
        <is>
          <t>PAJALA</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13248-2021</t>
        </is>
      </c>
      <c r="B1393" s="1" t="n">
        <v>44272</v>
      </c>
      <c r="C1393" s="1" t="n">
        <v>46046</v>
      </c>
      <c r="D1393" t="inlineStr">
        <is>
          <t>NORRBOTTENS LÄN</t>
        </is>
      </c>
      <c r="E1393" t="inlineStr">
        <is>
          <t>LULEÅ</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15500-2022</t>
        </is>
      </c>
      <c r="B1394" s="1" t="n">
        <v>44662</v>
      </c>
      <c r="C1394" s="1" t="n">
        <v>46046</v>
      </c>
      <c r="D1394" t="inlineStr">
        <is>
          <t>NORRBOTTENS LÄN</t>
        </is>
      </c>
      <c r="E1394" t="inlineStr">
        <is>
          <t>ÖVERTORNEÅ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40129-2022</t>
        </is>
      </c>
      <c r="B1395" s="1" t="n">
        <v>44820</v>
      </c>
      <c r="C1395" s="1" t="n">
        <v>46046</v>
      </c>
      <c r="D1395" t="inlineStr">
        <is>
          <t>NORRBOTTENS LÄN</t>
        </is>
      </c>
      <c r="E1395" t="inlineStr">
        <is>
          <t>JOKKMOKK</t>
        </is>
      </c>
      <c r="F1395" t="inlineStr">
        <is>
          <t>Sveaskog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56465-2021</t>
        </is>
      </c>
      <c r="B1396" s="1" t="n">
        <v>44480</v>
      </c>
      <c r="C1396" s="1" t="n">
        <v>46046</v>
      </c>
      <c r="D1396" t="inlineStr">
        <is>
          <t>NORRBOTTENS LÄN</t>
        </is>
      </c>
      <c r="E1396" t="inlineStr">
        <is>
          <t>LULEÅ</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56485-2021</t>
        </is>
      </c>
      <c r="B1397" s="1" t="n">
        <v>44480</v>
      </c>
      <c r="C1397" s="1" t="n">
        <v>46046</v>
      </c>
      <c r="D1397" t="inlineStr">
        <is>
          <t>NORRBOTTENS LÄN</t>
        </is>
      </c>
      <c r="E1397" t="inlineStr">
        <is>
          <t>BODEN</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9932-2022</t>
        </is>
      </c>
      <c r="B1398" s="1" t="n">
        <v>44620</v>
      </c>
      <c r="C1398" s="1" t="n">
        <v>46046</v>
      </c>
      <c r="D1398" t="inlineStr">
        <is>
          <t>NORRBOTTENS LÄN</t>
        </is>
      </c>
      <c r="E1398" t="inlineStr">
        <is>
          <t>LULEÅ</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13919-2021</t>
        </is>
      </c>
      <c r="B1399" s="1" t="n">
        <v>44277</v>
      </c>
      <c r="C1399" s="1" t="n">
        <v>46046</v>
      </c>
      <c r="D1399" t="inlineStr">
        <is>
          <t>NORRBOTTENS LÄN</t>
        </is>
      </c>
      <c r="E1399" t="inlineStr">
        <is>
          <t>PAJALA</t>
        </is>
      </c>
      <c r="F1399" t="inlineStr">
        <is>
          <t>Allmännings- och besparingsskogar</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6820-2022</t>
        </is>
      </c>
      <c r="B1400" s="1" t="n">
        <v>44602</v>
      </c>
      <c r="C1400" s="1" t="n">
        <v>46046</v>
      </c>
      <c r="D1400" t="inlineStr">
        <is>
          <t>NORRBOTTENS LÄN</t>
        </is>
      </c>
      <c r="E1400" t="inlineStr">
        <is>
          <t>ÄLVSBYN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33158-2022</t>
        </is>
      </c>
      <c r="B1401" s="1" t="n">
        <v>44785</v>
      </c>
      <c r="C1401" s="1" t="n">
        <v>46046</v>
      </c>
      <c r="D1401" t="inlineStr">
        <is>
          <t>NORRBOTTENS LÄN</t>
        </is>
      </c>
      <c r="E1401" t="inlineStr">
        <is>
          <t>KALIX</t>
        </is>
      </c>
      <c r="F1401" t="inlineStr">
        <is>
          <t>Sveaskog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67008-2021</t>
        </is>
      </c>
      <c r="B1402" s="1" t="n">
        <v>44522.64253472222</v>
      </c>
      <c r="C1402" s="1" t="n">
        <v>46046</v>
      </c>
      <c r="D1402" t="inlineStr">
        <is>
          <t>NORRBOTTENS LÄN</t>
        </is>
      </c>
      <c r="E1402" t="inlineStr">
        <is>
          <t>KALIX</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57454-2021</t>
        </is>
      </c>
      <c r="B1403" s="1" t="n">
        <v>44483</v>
      </c>
      <c r="C1403" s="1" t="n">
        <v>46046</v>
      </c>
      <c r="D1403" t="inlineStr">
        <is>
          <t>NORRBOTTENS LÄN</t>
        </is>
      </c>
      <c r="E1403" t="inlineStr">
        <is>
          <t>ARVIDSJAUR</t>
        </is>
      </c>
      <c r="F1403" t="inlineStr">
        <is>
          <t>Sveaskog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22656-2021</t>
        </is>
      </c>
      <c r="B1404" s="1" t="n">
        <v>44327</v>
      </c>
      <c r="C1404" s="1" t="n">
        <v>46046</v>
      </c>
      <c r="D1404" t="inlineStr">
        <is>
          <t>NORRBOTTENS LÄN</t>
        </is>
      </c>
      <c r="E1404" t="inlineStr">
        <is>
          <t>LULEÅ</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42711-2021</t>
        </is>
      </c>
      <c r="B1405" s="1" t="n">
        <v>44428.58703703704</v>
      </c>
      <c r="C1405" s="1" t="n">
        <v>46046</v>
      </c>
      <c r="D1405" t="inlineStr">
        <is>
          <t>NORRBOTTENS LÄN</t>
        </is>
      </c>
      <c r="E1405" t="inlineStr">
        <is>
          <t>BODEN</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52181-2021</t>
        </is>
      </c>
      <c r="B1406" s="1" t="n">
        <v>44463</v>
      </c>
      <c r="C1406" s="1" t="n">
        <v>46046</v>
      </c>
      <c r="D1406" t="inlineStr">
        <is>
          <t>NORRBOTTENS LÄN</t>
        </is>
      </c>
      <c r="E1406" t="inlineStr">
        <is>
          <t>GÄLLIVARE</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49994-2022</t>
        </is>
      </c>
      <c r="B1407" s="1" t="n">
        <v>44860</v>
      </c>
      <c r="C1407" s="1" t="n">
        <v>46046</v>
      </c>
      <c r="D1407" t="inlineStr">
        <is>
          <t>NORRBOTTENS LÄN</t>
        </is>
      </c>
      <c r="E1407" t="inlineStr">
        <is>
          <t>PAJALA</t>
        </is>
      </c>
      <c r="F1407" t="inlineStr">
        <is>
          <t>Allmännings- och besparingsskogar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43282-2022</t>
        </is>
      </c>
      <c r="B1408" s="1" t="n">
        <v>44833</v>
      </c>
      <c r="C1408" s="1" t="n">
        <v>46046</v>
      </c>
      <c r="D1408" t="inlineStr">
        <is>
          <t>NORRBOTTENS LÄN</t>
        </is>
      </c>
      <c r="E1408" t="inlineStr">
        <is>
          <t>ÖVERTORNEÅ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43316-2022</t>
        </is>
      </c>
      <c r="B1409" s="1" t="n">
        <v>44834</v>
      </c>
      <c r="C1409" s="1" t="n">
        <v>46046</v>
      </c>
      <c r="D1409" t="inlineStr">
        <is>
          <t>NORRBOTTENS LÄN</t>
        </is>
      </c>
      <c r="E1409" t="inlineStr">
        <is>
          <t>PAJALA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44205-2022</t>
        </is>
      </c>
      <c r="B1410" s="1" t="n">
        <v>44837</v>
      </c>
      <c r="C1410" s="1" t="n">
        <v>46046</v>
      </c>
      <c r="D1410" t="inlineStr">
        <is>
          <t>NORRBOTTENS LÄN</t>
        </is>
      </c>
      <c r="E1410" t="inlineStr">
        <is>
          <t>LULEÅ</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6916-2022</t>
        </is>
      </c>
      <c r="B1411" s="1" t="n">
        <v>44602</v>
      </c>
      <c r="C1411" s="1" t="n">
        <v>46046</v>
      </c>
      <c r="D1411" t="inlineStr">
        <is>
          <t>NORRBOTTENS LÄN</t>
        </is>
      </c>
      <c r="E1411" t="inlineStr">
        <is>
          <t>ÖVERKALIX</t>
        </is>
      </c>
      <c r="F1411" t="inlineStr">
        <is>
          <t>SCA</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31703-2021</t>
        </is>
      </c>
      <c r="B1412" s="1" t="n">
        <v>44369</v>
      </c>
      <c r="C1412" s="1" t="n">
        <v>46046</v>
      </c>
      <c r="D1412" t="inlineStr">
        <is>
          <t>NORRBOTTENS LÄN</t>
        </is>
      </c>
      <c r="E1412" t="inlineStr">
        <is>
          <t>PAJALA</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60754-2021</t>
        </is>
      </c>
      <c r="B1413" s="1" t="n">
        <v>44496.92081018518</v>
      </c>
      <c r="C1413" s="1" t="n">
        <v>46046</v>
      </c>
      <c r="D1413" t="inlineStr">
        <is>
          <t>NORRBOTTENS LÄN</t>
        </is>
      </c>
      <c r="E1413" t="inlineStr">
        <is>
          <t>HAPARANDA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51182-2021</t>
        </is>
      </c>
      <c r="B1414" s="1" t="n">
        <v>44461</v>
      </c>
      <c r="C1414" s="1" t="n">
        <v>46046</v>
      </c>
      <c r="D1414" t="inlineStr">
        <is>
          <t>NORRBOTTENS LÄN</t>
        </is>
      </c>
      <c r="E1414" t="inlineStr">
        <is>
          <t>KALIX</t>
        </is>
      </c>
      <c r="G1414" t="n">
        <v>23.1</v>
      </c>
      <c r="H1414" t="n">
        <v>0</v>
      </c>
      <c r="I1414" t="n">
        <v>0</v>
      </c>
      <c r="J1414" t="n">
        <v>0</v>
      </c>
      <c r="K1414" t="n">
        <v>0</v>
      </c>
      <c r="L1414" t="n">
        <v>0</v>
      </c>
      <c r="M1414" t="n">
        <v>0</v>
      </c>
      <c r="N1414" t="n">
        <v>0</v>
      </c>
      <c r="O1414" t="n">
        <v>0</v>
      </c>
      <c r="P1414" t="n">
        <v>0</v>
      </c>
      <c r="Q1414" t="n">
        <v>0</v>
      </c>
      <c r="R1414" s="2" t="inlineStr"/>
    </row>
    <row r="1415" ht="15" customHeight="1">
      <c r="A1415" t="inlineStr">
        <is>
          <t>A 66766-2021</t>
        </is>
      </c>
      <c r="B1415" s="1" t="n">
        <v>44521</v>
      </c>
      <c r="C1415" s="1" t="n">
        <v>46046</v>
      </c>
      <c r="D1415" t="inlineStr">
        <is>
          <t>NORRBOTTENS LÄN</t>
        </is>
      </c>
      <c r="E1415" t="inlineStr">
        <is>
          <t>PAJALA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54829-2023</t>
        </is>
      </c>
      <c r="B1416" s="1" t="n">
        <v>45229</v>
      </c>
      <c r="C1416" s="1" t="n">
        <v>46046</v>
      </c>
      <c r="D1416" t="inlineStr">
        <is>
          <t>NORRBOTTENS LÄN</t>
        </is>
      </c>
      <c r="E1416" t="inlineStr">
        <is>
          <t>KALIX</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15881-2023</t>
        </is>
      </c>
      <c r="B1417" s="1" t="n">
        <v>45022.44041666666</v>
      </c>
      <c r="C1417" s="1" t="n">
        <v>46046</v>
      </c>
      <c r="D1417" t="inlineStr">
        <is>
          <t>NORRBOTTENS LÄN</t>
        </is>
      </c>
      <c r="E1417" t="inlineStr">
        <is>
          <t>BODEN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20242-2022</t>
        </is>
      </c>
      <c r="B1418" s="1" t="n">
        <v>44698</v>
      </c>
      <c r="C1418" s="1" t="n">
        <v>46046</v>
      </c>
      <c r="D1418" t="inlineStr">
        <is>
          <t>NORRBOTTENS LÄN</t>
        </is>
      </c>
      <c r="E1418" t="inlineStr">
        <is>
          <t>ÖVERKALIX</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58412-2021</t>
        </is>
      </c>
      <c r="B1419" s="1" t="n">
        <v>44488.52082175926</v>
      </c>
      <c r="C1419" s="1" t="n">
        <v>46046</v>
      </c>
      <c r="D1419" t="inlineStr">
        <is>
          <t>NORRBOTTENS LÄN</t>
        </is>
      </c>
      <c r="E1419" t="inlineStr">
        <is>
          <t>GÄLLIVARE</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69576-2021</t>
        </is>
      </c>
      <c r="B1420" s="1" t="n">
        <v>44532</v>
      </c>
      <c r="C1420" s="1" t="n">
        <v>46046</v>
      </c>
      <c r="D1420" t="inlineStr">
        <is>
          <t>NORRBOTTENS LÄN</t>
        </is>
      </c>
      <c r="E1420" t="inlineStr">
        <is>
          <t>ARVIDSJAUR</t>
        </is>
      </c>
      <c r="F1420" t="inlineStr">
        <is>
          <t>Övriga Aktiebolag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1092-2022</t>
        </is>
      </c>
      <c r="B1421" s="1" t="n">
        <v>44571.92201388889</v>
      </c>
      <c r="C1421" s="1" t="n">
        <v>46046</v>
      </c>
      <c r="D1421" t="inlineStr">
        <is>
          <t>NORRBOTTENS LÄN</t>
        </is>
      </c>
      <c r="E1421" t="inlineStr">
        <is>
          <t>ÖVERTORNEÅ</t>
        </is>
      </c>
      <c r="G1421" t="n">
        <v>23.5</v>
      </c>
      <c r="H1421" t="n">
        <v>0</v>
      </c>
      <c r="I1421" t="n">
        <v>0</v>
      </c>
      <c r="J1421" t="n">
        <v>0</v>
      </c>
      <c r="K1421" t="n">
        <v>0</v>
      </c>
      <c r="L1421" t="n">
        <v>0</v>
      </c>
      <c r="M1421" t="n">
        <v>0</v>
      </c>
      <c r="N1421" t="n">
        <v>0</v>
      </c>
      <c r="O1421" t="n">
        <v>0</v>
      </c>
      <c r="P1421" t="n">
        <v>0</v>
      </c>
      <c r="Q1421" t="n">
        <v>0</v>
      </c>
      <c r="R1421" s="2" t="inlineStr"/>
    </row>
    <row r="1422" ht="15" customHeight="1">
      <c r="A1422" t="inlineStr">
        <is>
          <t>A 40357-2021</t>
        </is>
      </c>
      <c r="B1422" s="1" t="n">
        <v>44419</v>
      </c>
      <c r="C1422" s="1" t="n">
        <v>46046</v>
      </c>
      <c r="D1422" t="inlineStr">
        <is>
          <t>NORRBOTTENS LÄN</t>
        </is>
      </c>
      <c r="E1422" t="inlineStr">
        <is>
          <t>ARVIDSJAUR</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51540-2021</t>
        </is>
      </c>
      <c r="B1423" s="1" t="n">
        <v>44462.40960648148</v>
      </c>
      <c r="C1423" s="1" t="n">
        <v>46046</v>
      </c>
      <c r="D1423" t="inlineStr">
        <is>
          <t>NORRBOTTENS LÄN</t>
        </is>
      </c>
      <c r="E1423" t="inlineStr">
        <is>
          <t>ÄLVSBYN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23588-2021</t>
        </is>
      </c>
      <c r="B1424" s="1" t="n">
        <v>44334</v>
      </c>
      <c r="C1424" s="1" t="n">
        <v>46046</v>
      </c>
      <c r="D1424" t="inlineStr">
        <is>
          <t>NORRBOTTENS LÄN</t>
        </is>
      </c>
      <c r="E1424" t="inlineStr">
        <is>
          <t>ARVIDSJAUR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54025-2023</t>
        </is>
      </c>
      <c r="B1425" s="1" t="n">
        <v>45231.92543981481</v>
      </c>
      <c r="C1425" s="1" t="n">
        <v>46046</v>
      </c>
      <c r="D1425" t="inlineStr">
        <is>
          <t>NORRBOTTENS LÄN</t>
        </is>
      </c>
      <c r="E1425" t="inlineStr">
        <is>
          <t>ÖVERKALIX</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54029-2023</t>
        </is>
      </c>
      <c r="B1426" s="1" t="n">
        <v>45231</v>
      </c>
      <c r="C1426" s="1" t="n">
        <v>46046</v>
      </c>
      <c r="D1426" t="inlineStr">
        <is>
          <t>NORRBOTTENS LÄN</t>
        </is>
      </c>
      <c r="E1426" t="inlineStr">
        <is>
          <t>ÖVERTORNEÅ</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4458-2021</t>
        </is>
      </c>
      <c r="B1427" s="1" t="n">
        <v>44224</v>
      </c>
      <c r="C1427" s="1" t="n">
        <v>46046</v>
      </c>
      <c r="D1427" t="inlineStr">
        <is>
          <t>NORRBOTTENS LÄN</t>
        </is>
      </c>
      <c r="E1427" t="inlineStr">
        <is>
          <t>KALIX</t>
        </is>
      </c>
      <c r="F1427" t="inlineStr">
        <is>
          <t>Sveaskog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7082-2021</t>
        </is>
      </c>
      <c r="B1428" s="1" t="n">
        <v>44237</v>
      </c>
      <c r="C1428" s="1" t="n">
        <v>46046</v>
      </c>
      <c r="D1428" t="inlineStr">
        <is>
          <t>NORRBOTTENS LÄN</t>
        </is>
      </c>
      <c r="E1428" t="inlineStr">
        <is>
          <t>PITEÅ</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20754-2021</t>
        </is>
      </c>
      <c r="B1429" s="1" t="n">
        <v>44313</v>
      </c>
      <c r="C1429" s="1" t="n">
        <v>46046</v>
      </c>
      <c r="D1429" t="inlineStr">
        <is>
          <t>NORRBOTTENS LÄN</t>
        </is>
      </c>
      <c r="E1429" t="inlineStr">
        <is>
          <t>BODEN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18698-2022</t>
        </is>
      </c>
      <c r="B1430" s="1" t="n">
        <v>44687.60563657407</v>
      </c>
      <c r="C1430" s="1" t="n">
        <v>46046</v>
      </c>
      <c r="D1430" t="inlineStr">
        <is>
          <t>NORRBOTTENS LÄN</t>
        </is>
      </c>
      <c r="E1430" t="inlineStr">
        <is>
          <t>ÖVERTORNEÅ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25947-2024</t>
        </is>
      </c>
      <c r="B1431" s="1" t="n">
        <v>45467</v>
      </c>
      <c r="C1431" s="1" t="n">
        <v>46046</v>
      </c>
      <c r="D1431" t="inlineStr">
        <is>
          <t>NORRBOTTENS LÄN</t>
        </is>
      </c>
      <c r="E1431" t="inlineStr">
        <is>
          <t>PAJALA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20335-2022</t>
        </is>
      </c>
      <c r="B1432" s="1" t="n">
        <v>44698</v>
      </c>
      <c r="C1432" s="1" t="n">
        <v>46046</v>
      </c>
      <c r="D1432" t="inlineStr">
        <is>
          <t>NORRBOTTENS LÄN</t>
        </is>
      </c>
      <c r="E1432" t="inlineStr">
        <is>
          <t>ÖVERKALIX</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24574-2021</t>
        </is>
      </c>
      <c r="B1433" s="1" t="n">
        <v>44339.88760416667</v>
      </c>
      <c r="C1433" s="1" t="n">
        <v>46046</v>
      </c>
      <c r="D1433" t="inlineStr">
        <is>
          <t>NORRBOTTENS LÄN</t>
        </is>
      </c>
      <c r="E1433" t="inlineStr">
        <is>
          <t>PITEÅ</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8834-2021</t>
        </is>
      </c>
      <c r="B1434" s="1" t="n">
        <v>44245</v>
      </c>
      <c r="C1434" s="1" t="n">
        <v>46046</v>
      </c>
      <c r="D1434" t="inlineStr">
        <is>
          <t>NORRBOTTENS LÄN</t>
        </is>
      </c>
      <c r="E1434" t="inlineStr">
        <is>
          <t>LULEÅ</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31439-2021</t>
        </is>
      </c>
      <c r="B1435" s="1" t="n">
        <v>44369</v>
      </c>
      <c r="C1435" s="1" t="n">
        <v>46046</v>
      </c>
      <c r="D1435" t="inlineStr">
        <is>
          <t>NORRBOTTENS LÄN</t>
        </is>
      </c>
      <c r="E1435" t="inlineStr">
        <is>
          <t>ARJEPLOG</t>
        </is>
      </c>
      <c r="F1435" t="inlineStr">
        <is>
          <t>Sveaskog</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35069-2022</t>
        </is>
      </c>
      <c r="B1436" s="1" t="n">
        <v>44797.36959490741</v>
      </c>
      <c r="C1436" s="1" t="n">
        <v>46046</v>
      </c>
      <c r="D1436" t="inlineStr">
        <is>
          <t>NORRBOTTENS LÄN</t>
        </is>
      </c>
      <c r="E1436" t="inlineStr">
        <is>
          <t>BODEN</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21704-2024</t>
        </is>
      </c>
      <c r="B1437" s="1" t="n">
        <v>45442</v>
      </c>
      <c r="C1437" s="1" t="n">
        <v>46046</v>
      </c>
      <c r="D1437" t="inlineStr">
        <is>
          <t>NORRBOTTENS LÄN</t>
        </is>
      </c>
      <c r="E1437" t="inlineStr">
        <is>
          <t>ARVIDSJAUR</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20689-2022</t>
        </is>
      </c>
      <c r="B1438" s="1" t="n">
        <v>44700.79659722222</v>
      </c>
      <c r="C1438" s="1" t="n">
        <v>46046</v>
      </c>
      <c r="D1438" t="inlineStr">
        <is>
          <t>NORRBOTTENS LÄN</t>
        </is>
      </c>
      <c r="E1438" t="inlineStr">
        <is>
          <t>PITEÅ</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3034-2024</t>
        </is>
      </c>
      <c r="B1439" s="1" t="n">
        <v>45316</v>
      </c>
      <c r="C1439" s="1" t="n">
        <v>46046</v>
      </c>
      <c r="D1439" t="inlineStr">
        <is>
          <t>NORRBOTTENS LÄN</t>
        </is>
      </c>
      <c r="E1439" t="inlineStr">
        <is>
          <t>ARVIDSJAUR</t>
        </is>
      </c>
      <c r="F1439" t="inlineStr">
        <is>
          <t>Allmännings- och besparingsskogar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25414-2023</t>
        </is>
      </c>
      <c r="B1440" s="1" t="n">
        <v>45089.37991898148</v>
      </c>
      <c r="C1440" s="1" t="n">
        <v>46046</v>
      </c>
      <c r="D1440" t="inlineStr">
        <is>
          <t>NORRBOTTENS LÄN</t>
        </is>
      </c>
      <c r="E1440" t="inlineStr">
        <is>
          <t>BODEN</t>
        </is>
      </c>
      <c r="F1440" t="inlineStr">
        <is>
          <t>Sveaskog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44326-2024</t>
        </is>
      </c>
      <c r="B1441" s="1" t="n">
        <v>45573.59427083333</v>
      </c>
      <c r="C1441" s="1" t="n">
        <v>46046</v>
      </c>
      <c r="D1441" t="inlineStr">
        <is>
          <t>NORRBOTTENS LÄN</t>
        </is>
      </c>
      <c r="E1441" t="inlineStr">
        <is>
          <t>GÄLLIVARE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21559-2024</t>
        </is>
      </c>
      <c r="B1442" s="1" t="n">
        <v>45441</v>
      </c>
      <c r="C1442" s="1" t="n">
        <v>46046</v>
      </c>
      <c r="D1442" t="inlineStr">
        <is>
          <t>NORRBOTTENS LÄN</t>
        </is>
      </c>
      <c r="E1442" t="inlineStr">
        <is>
          <t>ÖVERTORNEÅ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2135-2024</t>
        </is>
      </c>
      <c r="B1443" s="1" t="n">
        <v>45309</v>
      </c>
      <c r="C1443" s="1" t="n">
        <v>46046</v>
      </c>
      <c r="D1443" t="inlineStr">
        <is>
          <t>NORRBOTTENS LÄN</t>
        </is>
      </c>
      <c r="E1443" t="inlineStr">
        <is>
          <t>GÄLLIVARE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10021-2024</t>
        </is>
      </c>
      <c r="B1444" s="1" t="n">
        <v>45363.96973379629</v>
      </c>
      <c r="C1444" s="1" t="n">
        <v>46046</v>
      </c>
      <c r="D1444" t="inlineStr">
        <is>
          <t>NORRBOTTENS LÄN</t>
        </is>
      </c>
      <c r="E1444" t="inlineStr">
        <is>
          <t>PITEÅ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58414-2021</t>
        </is>
      </c>
      <c r="B1445" s="1" t="n">
        <v>44488</v>
      </c>
      <c r="C1445" s="1" t="n">
        <v>46046</v>
      </c>
      <c r="D1445" t="inlineStr">
        <is>
          <t>NORRBOTTENS LÄN</t>
        </is>
      </c>
      <c r="E1445" t="inlineStr">
        <is>
          <t>GÄLLIVARE</t>
        </is>
      </c>
      <c r="F1445" t="inlineStr">
        <is>
          <t>Sveaskog</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15301-2022</t>
        </is>
      </c>
      <c r="B1446" s="1" t="n">
        <v>44659</v>
      </c>
      <c r="C1446" s="1" t="n">
        <v>46046</v>
      </c>
      <c r="D1446" t="inlineStr">
        <is>
          <t>NORRBOTTENS LÄN</t>
        </is>
      </c>
      <c r="E1446" t="inlineStr">
        <is>
          <t>ÖVERKALIX</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38980-2022</t>
        </is>
      </c>
      <c r="B1447" s="1" t="n">
        <v>44816</v>
      </c>
      <c r="C1447" s="1" t="n">
        <v>46046</v>
      </c>
      <c r="D1447" t="inlineStr">
        <is>
          <t>NORRBOTTENS LÄN</t>
        </is>
      </c>
      <c r="E1447" t="inlineStr">
        <is>
          <t>ÖVERTORNEÅ</t>
        </is>
      </c>
      <c r="F1447" t="inlineStr">
        <is>
          <t>Sveaskog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38857-2022</t>
        </is>
      </c>
      <c r="B1448" s="1" t="n">
        <v>44816</v>
      </c>
      <c r="C1448" s="1" t="n">
        <v>46046</v>
      </c>
      <c r="D1448" t="inlineStr">
        <is>
          <t>NORRBOTTENS LÄN</t>
        </is>
      </c>
      <c r="E1448" t="inlineStr">
        <is>
          <t>KALIX</t>
        </is>
      </c>
      <c r="F1448" t="inlineStr">
        <is>
          <t>Kommuner</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9497-2021</t>
        </is>
      </c>
      <c r="B1449" s="1" t="n">
        <v>44251.50324074074</v>
      </c>
      <c r="C1449" s="1" t="n">
        <v>46046</v>
      </c>
      <c r="D1449" t="inlineStr">
        <is>
          <t>NORRBOTTENS LÄN</t>
        </is>
      </c>
      <c r="E1449" t="inlineStr">
        <is>
          <t>HAPARANDA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36541-2022</t>
        </is>
      </c>
      <c r="B1450" s="1" t="n">
        <v>44804</v>
      </c>
      <c r="C1450" s="1" t="n">
        <v>46046</v>
      </c>
      <c r="D1450" t="inlineStr">
        <is>
          <t>NORRBOTTENS LÄN</t>
        </is>
      </c>
      <c r="E1450" t="inlineStr">
        <is>
          <t>PAJALA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35044-2022</t>
        </is>
      </c>
      <c r="B1451" s="1" t="n">
        <v>44796</v>
      </c>
      <c r="C1451" s="1" t="n">
        <v>46046</v>
      </c>
      <c r="D1451" t="inlineStr">
        <is>
          <t>NORRBOTTENS LÄN</t>
        </is>
      </c>
      <c r="E1451" t="inlineStr">
        <is>
          <t>BODEN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35046-2022</t>
        </is>
      </c>
      <c r="B1452" s="1" t="n">
        <v>44796</v>
      </c>
      <c r="C1452" s="1" t="n">
        <v>46046</v>
      </c>
      <c r="D1452" t="inlineStr">
        <is>
          <t>NORRBOTTENS LÄN</t>
        </is>
      </c>
      <c r="E1452" t="inlineStr">
        <is>
          <t>BODEN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17094-2022</t>
        </is>
      </c>
      <c r="B1453" s="1" t="n">
        <v>44677</v>
      </c>
      <c r="C1453" s="1" t="n">
        <v>46046</v>
      </c>
      <c r="D1453" t="inlineStr">
        <is>
          <t>NORRBOTTENS LÄN</t>
        </is>
      </c>
      <c r="E1453" t="inlineStr">
        <is>
          <t>ÄLVSBYN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3416-2022</t>
        </is>
      </c>
      <c r="B1454" s="1" t="n">
        <v>44585</v>
      </c>
      <c r="C1454" s="1" t="n">
        <v>46046</v>
      </c>
      <c r="D1454" t="inlineStr">
        <is>
          <t>NORRBOTTENS LÄN</t>
        </is>
      </c>
      <c r="E1454" t="inlineStr">
        <is>
          <t>ÖVERTORNEÅ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23575-2022</t>
        </is>
      </c>
      <c r="B1455" s="1" t="n">
        <v>44721</v>
      </c>
      <c r="C1455" s="1" t="n">
        <v>46046</v>
      </c>
      <c r="D1455" t="inlineStr">
        <is>
          <t>NORRBOTTENS LÄN</t>
        </is>
      </c>
      <c r="E1455" t="inlineStr">
        <is>
          <t>ARVIDSJAUR</t>
        </is>
      </c>
      <c r="F1455" t="inlineStr">
        <is>
          <t>Övriga Aktiebolag</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58860-2022</t>
        </is>
      </c>
      <c r="B1456" s="1" t="n">
        <v>44896</v>
      </c>
      <c r="C1456" s="1" t="n">
        <v>46046</v>
      </c>
      <c r="D1456" t="inlineStr">
        <is>
          <t>NORRBOTTENS LÄN</t>
        </is>
      </c>
      <c r="E1456" t="inlineStr">
        <is>
          <t>KIRUNA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8120-2022</t>
        </is>
      </c>
      <c r="B1457" s="1" t="n">
        <v>44609</v>
      </c>
      <c r="C1457" s="1" t="n">
        <v>46046</v>
      </c>
      <c r="D1457" t="inlineStr">
        <is>
          <t>NORRBOTTENS LÄN</t>
        </is>
      </c>
      <c r="E1457" t="inlineStr">
        <is>
          <t>BODEN</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35595-2021</t>
        </is>
      </c>
      <c r="B1458" s="1" t="n">
        <v>44386</v>
      </c>
      <c r="C1458" s="1" t="n">
        <v>46046</v>
      </c>
      <c r="D1458" t="inlineStr">
        <is>
          <t>NORRBOTTENS LÄN</t>
        </is>
      </c>
      <c r="E1458" t="inlineStr">
        <is>
          <t>KALIX</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34477-2022</t>
        </is>
      </c>
      <c r="B1459" s="1" t="n">
        <v>44792.64452546297</v>
      </c>
      <c r="C1459" s="1" t="n">
        <v>46046</v>
      </c>
      <c r="D1459" t="inlineStr">
        <is>
          <t>NORRBOTTENS LÄN</t>
        </is>
      </c>
      <c r="E1459" t="inlineStr">
        <is>
          <t>ARVIDSJAUR</t>
        </is>
      </c>
      <c r="F1459" t="inlineStr">
        <is>
          <t>Sveaskog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15798-2022</t>
        </is>
      </c>
      <c r="B1460" s="1" t="n">
        <v>44663.89142361111</v>
      </c>
      <c r="C1460" s="1" t="n">
        <v>46046</v>
      </c>
      <c r="D1460" t="inlineStr">
        <is>
          <t>NORRBOTTENS LÄN</t>
        </is>
      </c>
      <c r="E1460" t="inlineStr">
        <is>
          <t>PAJALA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54163-2021</t>
        </is>
      </c>
      <c r="B1461" s="1" t="n">
        <v>44470.55629629629</v>
      </c>
      <c r="C1461" s="1" t="n">
        <v>46046</v>
      </c>
      <c r="D1461" t="inlineStr">
        <is>
          <t>NORRBOTTENS LÄN</t>
        </is>
      </c>
      <c r="E1461" t="inlineStr">
        <is>
          <t>KALIX</t>
        </is>
      </c>
      <c r="F1461" t="inlineStr">
        <is>
          <t>Sveaskog</t>
        </is>
      </c>
      <c r="G1461" t="n">
        <v>7.1</v>
      </c>
      <c r="H1461" t="n">
        <v>0</v>
      </c>
      <c r="I1461" t="n">
        <v>0</v>
      </c>
      <c r="J1461" t="n">
        <v>0</v>
      </c>
      <c r="K1461" t="n">
        <v>0</v>
      </c>
      <c r="L1461" t="n">
        <v>0</v>
      </c>
      <c r="M1461" t="n">
        <v>0</v>
      </c>
      <c r="N1461" t="n">
        <v>0</v>
      </c>
      <c r="O1461" t="n">
        <v>0</v>
      </c>
      <c r="P1461" t="n">
        <v>0</v>
      </c>
      <c r="Q1461" t="n">
        <v>0</v>
      </c>
      <c r="R1461" s="2" t="inlineStr"/>
      <c r="U1461">
        <f>HYPERLINK("https://klasma.github.io/Logging_2514/knärot/A 54163-2021 karta knärot.png", "A 54163-2021")</f>
        <v/>
      </c>
      <c r="V1461">
        <f>HYPERLINK("https://klasma.github.io/Logging_2514/klagomål/A 54163-2021 FSC-klagomål.docx", "A 54163-2021")</f>
        <v/>
      </c>
      <c r="W1461">
        <f>HYPERLINK("https://klasma.github.io/Logging_2514/klagomålsmail/A 54163-2021 FSC-klagomål mail.docx", "A 54163-2021")</f>
        <v/>
      </c>
      <c r="X1461">
        <f>HYPERLINK("https://klasma.github.io/Logging_2514/tillsyn/A 54163-2021 tillsynsbegäran.docx", "A 54163-2021")</f>
        <v/>
      </c>
      <c r="Y1461">
        <f>HYPERLINK("https://klasma.github.io/Logging_2514/tillsynsmail/A 54163-2021 tillsynsbegäran mail.docx", "A 54163-2021")</f>
        <v/>
      </c>
    </row>
    <row r="1462" ht="15" customHeight="1">
      <c r="A1462" t="inlineStr">
        <is>
          <t>A 16554-2021</t>
        </is>
      </c>
      <c r="B1462" s="1" t="n">
        <v>44293</v>
      </c>
      <c r="C1462" s="1" t="n">
        <v>46046</v>
      </c>
      <c r="D1462" t="inlineStr">
        <is>
          <t>NORRBOTTENS LÄN</t>
        </is>
      </c>
      <c r="E1462" t="inlineStr">
        <is>
          <t>BODEN</t>
        </is>
      </c>
      <c r="F1462" t="inlineStr">
        <is>
          <t>Övriga statliga verk och myndigheter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50438-2024</t>
        </is>
      </c>
      <c r="B1463" s="1" t="n">
        <v>45601.41054398148</v>
      </c>
      <c r="C1463" s="1" t="n">
        <v>46046</v>
      </c>
      <c r="D1463" t="inlineStr">
        <is>
          <t>NORRBOTTENS LÄN</t>
        </is>
      </c>
      <c r="E1463" t="inlineStr">
        <is>
          <t>PITEÅ</t>
        </is>
      </c>
      <c r="G1463" t="n">
        <v>38.7</v>
      </c>
      <c r="H1463" t="n">
        <v>0</v>
      </c>
      <c r="I1463" t="n">
        <v>0</v>
      </c>
      <c r="J1463" t="n">
        <v>0</v>
      </c>
      <c r="K1463" t="n">
        <v>0</v>
      </c>
      <c r="L1463" t="n">
        <v>0</v>
      </c>
      <c r="M1463" t="n">
        <v>0</v>
      </c>
      <c r="N1463" t="n">
        <v>0</v>
      </c>
      <c r="O1463" t="n">
        <v>0</v>
      </c>
      <c r="P1463" t="n">
        <v>0</v>
      </c>
      <c r="Q1463" t="n">
        <v>0</v>
      </c>
      <c r="R1463" s="2" t="inlineStr"/>
    </row>
    <row r="1464" ht="15" customHeight="1">
      <c r="A1464" t="inlineStr">
        <is>
          <t>A 33446-2022</t>
        </is>
      </c>
      <c r="B1464" s="1" t="n">
        <v>44788.65056712963</v>
      </c>
      <c r="C1464" s="1" t="n">
        <v>46046</v>
      </c>
      <c r="D1464" t="inlineStr">
        <is>
          <t>NORRBOTTENS LÄN</t>
        </is>
      </c>
      <c r="E1464" t="inlineStr">
        <is>
          <t>GÄLLIVARE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28370-2021</t>
        </is>
      </c>
      <c r="B1465" s="1" t="n">
        <v>44356</v>
      </c>
      <c r="C1465" s="1" t="n">
        <v>46046</v>
      </c>
      <c r="D1465" t="inlineStr">
        <is>
          <t>NORRBOTTENS LÄN</t>
        </is>
      </c>
      <c r="E1465" t="inlineStr">
        <is>
          <t>BODEN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56544-2024</t>
        </is>
      </c>
      <c r="B1466" s="1" t="n">
        <v>45625.56363425926</v>
      </c>
      <c r="C1466" s="1" t="n">
        <v>46046</v>
      </c>
      <c r="D1466" t="inlineStr">
        <is>
          <t>NORRBOTTENS LÄN</t>
        </is>
      </c>
      <c r="E1466" t="inlineStr">
        <is>
          <t>ÖVERTORNEÅ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23584-2022</t>
        </is>
      </c>
      <c r="B1467" s="1" t="n">
        <v>44721</v>
      </c>
      <c r="C1467" s="1" t="n">
        <v>46046</v>
      </c>
      <c r="D1467" t="inlineStr">
        <is>
          <t>NORRBOTTENS LÄN</t>
        </is>
      </c>
      <c r="E1467" t="inlineStr">
        <is>
          <t>KALIX</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57583-2021</t>
        </is>
      </c>
      <c r="B1468" s="1" t="n">
        <v>44484</v>
      </c>
      <c r="C1468" s="1" t="n">
        <v>46046</v>
      </c>
      <c r="D1468" t="inlineStr">
        <is>
          <t>NORRBOTTENS LÄN</t>
        </is>
      </c>
      <c r="E1468" t="inlineStr">
        <is>
          <t>BODEN</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50725-2022</t>
        </is>
      </c>
      <c r="B1469" s="1" t="n">
        <v>44862</v>
      </c>
      <c r="C1469" s="1" t="n">
        <v>46046</v>
      </c>
      <c r="D1469" t="inlineStr">
        <is>
          <t>NORRBOTTENS LÄN</t>
        </is>
      </c>
      <c r="E1469" t="inlineStr">
        <is>
          <t>PAJALA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29558-2021</t>
        </is>
      </c>
      <c r="B1470" s="1" t="n">
        <v>44361</v>
      </c>
      <c r="C1470" s="1" t="n">
        <v>46046</v>
      </c>
      <c r="D1470" t="inlineStr">
        <is>
          <t>NORRBOTTENS LÄN</t>
        </is>
      </c>
      <c r="E1470" t="inlineStr">
        <is>
          <t>PITEÅ</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15240-2021</t>
        </is>
      </c>
      <c r="B1471" s="1" t="n">
        <v>44284.50833333333</v>
      </c>
      <c r="C1471" s="1" t="n">
        <v>46046</v>
      </c>
      <c r="D1471" t="inlineStr">
        <is>
          <t>NORRBOTTENS LÄN</t>
        </is>
      </c>
      <c r="E1471" t="inlineStr">
        <is>
          <t>ÖVERTORNEÅ</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18537-2023</t>
        </is>
      </c>
      <c r="B1472" s="1" t="n">
        <v>45028</v>
      </c>
      <c r="C1472" s="1" t="n">
        <v>46046</v>
      </c>
      <c r="D1472" t="inlineStr">
        <is>
          <t>NORRBOTTENS LÄN</t>
        </is>
      </c>
      <c r="E1472" t="inlineStr">
        <is>
          <t>JOKKMOKK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53077-2023</t>
        </is>
      </c>
      <c r="B1473" s="1" t="n">
        <v>45227.58420138889</v>
      </c>
      <c r="C1473" s="1" t="n">
        <v>46046</v>
      </c>
      <c r="D1473" t="inlineStr">
        <is>
          <t>NORRBOTTENS LÄN</t>
        </is>
      </c>
      <c r="E1473" t="inlineStr">
        <is>
          <t>ÖVERTORNEÅ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42112-2023</t>
        </is>
      </c>
      <c r="B1474" s="1" t="n">
        <v>45177</v>
      </c>
      <c r="C1474" s="1" t="n">
        <v>46046</v>
      </c>
      <c r="D1474" t="inlineStr">
        <is>
          <t>NORRBOTTENS LÄN</t>
        </is>
      </c>
      <c r="E1474" t="inlineStr">
        <is>
          <t>PITEÅ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27734-2022</t>
        </is>
      </c>
      <c r="B1475" s="1" t="n">
        <v>44743</v>
      </c>
      <c r="C1475" s="1" t="n">
        <v>46046</v>
      </c>
      <c r="D1475" t="inlineStr">
        <is>
          <t>NORRBOTTENS LÄN</t>
        </is>
      </c>
      <c r="E1475" t="inlineStr">
        <is>
          <t>ARVIDSJAUR</t>
        </is>
      </c>
      <c r="F1475" t="inlineStr">
        <is>
          <t>Sveaskog</t>
        </is>
      </c>
      <c r="G1475" t="n">
        <v>18.1</v>
      </c>
      <c r="H1475" t="n">
        <v>0</v>
      </c>
      <c r="I1475" t="n">
        <v>0</v>
      </c>
      <c r="J1475" t="n">
        <v>0</v>
      </c>
      <c r="K1475" t="n">
        <v>0</v>
      </c>
      <c r="L1475" t="n">
        <v>0</v>
      </c>
      <c r="M1475" t="n">
        <v>0</v>
      </c>
      <c r="N1475" t="n">
        <v>0</v>
      </c>
      <c r="O1475" t="n">
        <v>0</v>
      </c>
      <c r="P1475" t="n">
        <v>0</v>
      </c>
      <c r="Q1475" t="n">
        <v>0</v>
      </c>
      <c r="R1475" s="2" t="inlineStr"/>
    </row>
    <row r="1476" ht="15" customHeight="1">
      <c r="A1476" t="inlineStr">
        <is>
          <t>A 35218-2022</t>
        </is>
      </c>
      <c r="B1476" s="1" t="n">
        <v>44797.92704861111</v>
      </c>
      <c r="C1476" s="1" t="n">
        <v>46046</v>
      </c>
      <c r="D1476" t="inlineStr">
        <is>
          <t>NORRBOTTENS LÄN</t>
        </is>
      </c>
      <c r="E1476" t="inlineStr">
        <is>
          <t>ÖVERTORNEÅ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62259-2021</t>
        </is>
      </c>
      <c r="B1477" s="1" t="n">
        <v>44501</v>
      </c>
      <c r="C1477" s="1" t="n">
        <v>46046</v>
      </c>
      <c r="D1477" t="inlineStr">
        <is>
          <t>NORRBOTTENS LÄN</t>
        </is>
      </c>
      <c r="E1477" t="inlineStr">
        <is>
          <t>ÖVERKALIX</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8270-2021</t>
        </is>
      </c>
      <c r="B1478" s="1" t="n">
        <v>44244</v>
      </c>
      <c r="C1478" s="1" t="n">
        <v>46046</v>
      </c>
      <c r="D1478" t="inlineStr">
        <is>
          <t>NORRBOTTENS LÄN</t>
        </is>
      </c>
      <c r="E1478" t="inlineStr">
        <is>
          <t>KALIX</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54820-2021</t>
        </is>
      </c>
      <c r="B1479" s="1" t="n">
        <v>44473</v>
      </c>
      <c r="C1479" s="1" t="n">
        <v>46046</v>
      </c>
      <c r="D1479" t="inlineStr">
        <is>
          <t>NORRBOTTENS LÄN</t>
        </is>
      </c>
      <c r="E1479" t="inlineStr">
        <is>
          <t>GÄLLIVARE</t>
        </is>
      </c>
      <c r="F1479" t="inlineStr">
        <is>
          <t>SCA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27234-2022</t>
        </is>
      </c>
      <c r="B1480" s="1" t="n">
        <v>44741</v>
      </c>
      <c r="C1480" s="1" t="n">
        <v>46046</v>
      </c>
      <c r="D1480" t="inlineStr">
        <is>
          <t>NORRBOTTENS LÄN</t>
        </is>
      </c>
      <c r="E1480" t="inlineStr">
        <is>
          <t>ARVIDSJAUR</t>
        </is>
      </c>
      <c r="F1480" t="inlineStr">
        <is>
          <t>Övriga Aktiebolag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34789-2022</t>
        </is>
      </c>
      <c r="B1481" s="1" t="n">
        <v>44795</v>
      </c>
      <c r="C1481" s="1" t="n">
        <v>46046</v>
      </c>
      <c r="D1481" t="inlineStr">
        <is>
          <t>NORRBOTTENS LÄN</t>
        </is>
      </c>
      <c r="E1481" t="inlineStr">
        <is>
          <t>BODEN</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58898-2021</t>
        </is>
      </c>
      <c r="B1482" s="1" t="n">
        <v>44489</v>
      </c>
      <c r="C1482" s="1" t="n">
        <v>46046</v>
      </c>
      <c r="D1482" t="inlineStr">
        <is>
          <t>NORRBOTTENS LÄN</t>
        </is>
      </c>
      <c r="E1482" t="inlineStr">
        <is>
          <t>BODEN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42529-2021</t>
        </is>
      </c>
      <c r="B1483" s="1" t="n">
        <v>44427.93604166667</v>
      </c>
      <c r="C1483" s="1" t="n">
        <v>46046</v>
      </c>
      <c r="D1483" t="inlineStr">
        <is>
          <t>NORRBOTTENS LÄN</t>
        </is>
      </c>
      <c r="E1483" t="inlineStr">
        <is>
          <t>GÄLLIVARE</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21343-2024</t>
        </is>
      </c>
      <c r="B1484" s="1" t="n">
        <v>45440.92850694444</v>
      </c>
      <c r="C1484" s="1" t="n">
        <v>46046</v>
      </c>
      <c r="D1484" t="inlineStr">
        <is>
          <t>NORRBOTTENS LÄN</t>
        </is>
      </c>
      <c r="E1484" t="inlineStr">
        <is>
          <t>PITEÅ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55085-2024</t>
        </is>
      </c>
      <c r="B1485" s="1" t="n">
        <v>45621.43038194445</v>
      </c>
      <c r="C1485" s="1" t="n">
        <v>46046</v>
      </c>
      <c r="D1485" t="inlineStr">
        <is>
          <t>NORRBOTTENS LÄN</t>
        </is>
      </c>
      <c r="E1485" t="inlineStr">
        <is>
          <t>ÖVERKALIX</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26390-2022</t>
        </is>
      </c>
      <c r="B1486" s="1" t="n">
        <v>44735.73266203704</v>
      </c>
      <c r="C1486" s="1" t="n">
        <v>46046</v>
      </c>
      <c r="D1486" t="inlineStr">
        <is>
          <t>NORRBOTTENS LÄN</t>
        </is>
      </c>
      <c r="E1486" t="inlineStr">
        <is>
          <t>PITEÅ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46585-2021</t>
        </is>
      </c>
      <c r="B1487" s="1" t="n">
        <v>44445</v>
      </c>
      <c r="C1487" s="1" t="n">
        <v>46046</v>
      </c>
      <c r="D1487" t="inlineStr">
        <is>
          <t>NORRBOTTENS LÄN</t>
        </is>
      </c>
      <c r="E1487" t="inlineStr">
        <is>
          <t>ARJEPLOG</t>
        </is>
      </c>
      <c r="F1487" t="inlineStr">
        <is>
          <t>Övriga statliga verk och myndigheter</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61632-2024</t>
        </is>
      </c>
      <c r="B1488" s="1" t="n">
        <v>45646.6669212963</v>
      </c>
      <c r="C1488" s="1" t="n">
        <v>46046</v>
      </c>
      <c r="D1488" t="inlineStr">
        <is>
          <t>NORRBOTTENS LÄN</t>
        </is>
      </c>
      <c r="E1488" t="inlineStr">
        <is>
          <t>BODEN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42568-2024</t>
        </is>
      </c>
      <c r="B1489" s="1" t="n">
        <v>45565</v>
      </c>
      <c r="C1489" s="1" t="n">
        <v>46046</v>
      </c>
      <c r="D1489" t="inlineStr">
        <is>
          <t>NORRBOTTENS LÄN</t>
        </is>
      </c>
      <c r="E1489" t="inlineStr">
        <is>
          <t>ÄLVSBYN</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20581-2025</t>
        </is>
      </c>
      <c r="B1490" s="1" t="n">
        <v>45775</v>
      </c>
      <c r="C1490" s="1" t="n">
        <v>46046</v>
      </c>
      <c r="D1490" t="inlineStr">
        <is>
          <t>NORRBOTTENS LÄN</t>
        </is>
      </c>
      <c r="E1490" t="inlineStr">
        <is>
          <t>KIRUNA</t>
        </is>
      </c>
      <c r="F1490" t="inlineStr">
        <is>
          <t>Sveaskog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53732-2022</t>
        </is>
      </c>
      <c r="B1491" s="1" t="n">
        <v>44880</v>
      </c>
      <c r="C1491" s="1" t="n">
        <v>46046</v>
      </c>
      <c r="D1491" t="inlineStr">
        <is>
          <t>NORRBOTTENS LÄN</t>
        </is>
      </c>
      <c r="E1491" t="inlineStr">
        <is>
          <t>ÖVERKALIX</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11734-2021</t>
        </is>
      </c>
      <c r="B1492" s="1" t="n">
        <v>44264</v>
      </c>
      <c r="C1492" s="1" t="n">
        <v>46046</v>
      </c>
      <c r="D1492" t="inlineStr">
        <is>
          <t>NORRBOTTENS LÄN</t>
        </is>
      </c>
      <c r="E1492" t="inlineStr">
        <is>
          <t>LULEÅ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55628-2023</t>
        </is>
      </c>
      <c r="B1493" s="1" t="n">
        <v>45238.9265625</v>
      </c>
      <c r="C1493" s="1" t="n">
        <v>46046</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29107-2021</t>
        </is>
      </c>
      <c r="B1494" s="1" t="n">
        <v>44358</v>
      </c>
      <c r="C1494" s="1" t="n">
        <v>46046</v>
      </c>
      <c r="D1494" t="inlineStr">
        <is>
          <t>NORRBOTTENS LÄN</t>
        </is>
      </c>
      <c r="E1494" t="inlineStr">
        <is>
          <t>BODEN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30752-2023</t>
        </is>
      </c>
      <c r="B1495" s="1" t="n">
        <v>45103</v>
      </c>
      <c r="C1495" s="1" t="n">
        <v>46046</v>
      </c>
      <c r="D1495" t="inlineStr">
        <is>
          <t>NORRBOTTENS LÄN</t>
        </is>
      </c>
      <c r="E1495" t="inlineStr">
        <is>
          <t>ARVIDSJAUR</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8360-2021</t>
        </is>
      </c>
      <c r="B1496" s="1" t="n">
        <v>44244</v>
      </c>
      <c r="C1496" s="1" t="n">
        <v>46046</v>
      </c>
      <c r="D1496" t="inlineStr">
        <is>
          <t>NORRBOTTENS LÄN</t>
        </is>
      </c>
      <c r="E1496" t="inlineStr">
        <is>
          <t>JOKKMOKK</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63593-2021</t>
        </is>
      </c>
      <c r="B1497" s="1" t="n">
        <v>44508.92340277778</v>
      </c>
      <c r="C1497" s="1" t="n">
        <v>46046</v>
      </c>
      <c r="D1497" t="inlineStr">
        <is>
          <t>NORRBOTTENS LÄN</t>
        </is>
      </c>
      <c r="E1497" t="inlineStr">
        <is>
          <t>KALIX</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28707-2024</t>
        </is>
      </c>
      <c r="B1498" s="1" t="n">
        <v>45478.52390046296</v>
      </c>
      <c r="C1498" s="1" t="n">
        <v>46046</v>
      </c>
      <c r="D1498" t="inlineStr">
        <is>
          <t>NORRBOTTENS LÄN</t>
        </is>
      </c>
      <c r="E1498" t="inlineStr">
        <is>
          <t>PITEÅ</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12023-2025</t>
        </is>
      </c>
      <c r="B1499" s="1" t="n">
        <v>45728</v>
      </c>
      <c r="C1499" s="1" t="n">
        <v>46046</v>
      </c>
      <c r="D1499" t="inlineStr">
        <is>
          <t>NORRBOTTENS LÄN</t>
        </is>
      </c>
      <c r="E1499" t="inlineStr">
        <is>
          <t>ARVIDSJAUR</t>
        </is>
      </c>
      <c r="F1499" t="inlineStr">
        <is>
          <t>Allmännings- och besparingsskogar</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34145-2023</t>
        </is>
      </c>
      <c r="B1500" s="1" t="n">
        <v>45136</v>
      </c>
      <c r="C1500" s="1" t="n">
        <v>46046</v>
      </c>
      <c r="D1500" t="inlineStr">
        <is>
          <t>NORRBOTTENS LÄN</t>
        </is>
      </c>
      <c r="E1500" t="inlineStr">
        <is>
          <t>ÖVERTORNEÅ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45431-2024</t>
        </is>
      </c>
      <c r="B1501" s="1" t="n">
        <v>45576</v>
      </c>
      <c r="C1501" s="1" t="n">
        <v>46046</v>
      </c>
      <c r="D1501" t="inlineStr">
        <is>
          <t>NORRBOTTENS LÄN</t>
        </is>
      </c>
      <c r="E1501" t="inlineStr">
        <is>
          <t>ÖVERTORNEÅ</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14160-2024</t>
        </is>
      </c>
      <c r="B1502" s="1" t="n">
        <v>45392</v>
      </c>
      <c r="C1502" s="1" t="n">
        <v>46046</v>
      </c>
      <c r="D1502" t="inlineStr">
        <is>
          <t>NORRBOTTENS LÄN</t>
        </is>
      </c>
      <c r="E1502" t="inlineStr">
        <is>
          <t>LULEÅ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13537-2022</t>
        </is>
      </c>
      <c r="B1503" s="1" t="n">
        <v>44648.40035879629</v>
      </c>
      <c r="C1503" s="1" t="n">
        <v>46046</v>
      </c>
      <c r="D1503" t="inlineStr">
        <is>
          <t>NORRBOTTENS LÄN</t>
        </is>
      </c>
      <c r="E1503" t="inlineStr">
        <is>
          <t>KALIX</t>
        </is>
      </c>
      <c r="F1503" t="inlineStr">
        <is>
          <t>BillerudKorsnäs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44688-2022</t>
        </is>
      </c>
      <c r="B1504" s="1" t="n">
        <v>44839</v>
      </c>
      <c r="C1504" s="1" t="n">
        <v>46046</v>
      </c>
      <c r="D1504" t="inlineStr">
        <is>
          <t>NORRBOTTENS LÄN</t>
        </is>
      </c>
      <c r="E1504" t="inlineStr">
        <is>
          <t>LULEÅ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40179-2021</t>
        </is>
      </c>
      <c r="B1505" s="1" t="n">
        <v>44418.70153935185</v>
      </c>
      <c r="C1505" s="1" t="n">
        <v>46046</v>
      </c>
      <c r="D1505" t="inlineStr">
        <is>
          <t>NORRBOTTENS LÄN</t>
        </is>
      </c>
      <c r="E1505" t="inlineStr">
        <is>
          <t>PAJALA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9929-2022</t>
        </is>
      </c>
      <c r="B1506" s="1" t="n">
        <v>44620.92225694445</v>
      </c>
      <c r="C1506" s="1" t="n">
        <v>46046</v>
      </c>
      <c r="D1506" t="inlineStr">
        <is>
          <t>NORRBOTTENS LÄN</t>
        </is>
      </c>
      <c r="E1506" t="inlineStr">
        <is>
          <t>LULEÅ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9930-2022</t>
        </is>
      </c>
      <c r="B1507" s="1" t="n">
        <v>44620.92230324074</v>
      </c>
      <c r="C1507" s="1" t="n">
        <v>46046</v>
      </c>
      <c r="D1507" t="inlineStr">
        <is>
          <t>NORRBOTTENS LÄN</t>
        </is>
      </c>
      <c r="E1507" t="inlineStr">
        <is>
          <t>LULEÅ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3153-2024</t>
        </is>
      </c>
      <c r="B1508" s="1" t="n">
        <v>45316.60324074074</v>
      </c>
      <c r="C1508" s="1" t="n">
        <v>46046</v>
      </c>
      <c r="D1508" t="inlineStr">
        <is>
          <t>NORRBOTTENS LÄN</t>
        </is>
      </c>
      <c r="E1508" t="inlineStr">
        <is>
          <t>PAJALA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26644-2021</t>
        </is>
      </c>
      <c r="B1509" s="1" t="n">
        <v>44348</v>
      </c>
      <c r="C1509" s="1" t="n">
        <v>46046</v>
      </c>
      <c r="D1509" t="inlineStr">
        <is>
          <t>NORRBOTTENS LÄN</t>
        </is>
      </c>
      <c r="E1509" t="inlineStr">
        <is>
          <t>ÖVERKALIX</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35660-2024</t>
        </is>
      </c>
      <c r="B1510" s="1" t="n">
        <v>45532.37145833333</v>
      </c>
      <c r="C1510" s="1" t="n">
        <v>46046</v>
      </c>
      <c r="D1510" t="inlineStr">
        <is>
          <t>NORRBOTTENS LÄN</t>
        </is>
      </c>
      <c r="E1510" t="inlineStr">
        <is>
          <t>PITEÅ</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35670-2024</t>
        </is>
      </c>
      <c r="B1511" s="1" t="n">
        <v>45532.3909375</v>
      </c>
      <c r="C1511" s="1" t="n">
        <v>46046</v>
      </c>
      <c r="D1511" t="inlineStr">
        <is>
          <t>NORRBOTTENS LÄN</t>
        </is>
      </c>
      <c r="E1511" t="inlineStr">
        <is>
          <t>PITEÅ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23623-2024</t>
        </is>
      </c>
      <c r="B1512" s="1" t="n">
        <v>45454</v>
      </c>
      <c r="C1512" s="1" t="n">
        <v>46046</v>
      </c>
      <c r="D1512" t="inlineStr">
        <is>
          <t>NORRBOTTENS LÄN</t>
        </is>
      </c>
      <c r="E1512" t="inlineStr">
        <is>
          <t>PAJALA</t>
        </is>
      </c>
      <c r="G1512" t="n">
        <v>11.4</v>
      </c>
      <c r="H1512" t="n">
        <v>0</v>
      </c>
      <c r="I1512" t="n">
        <v>0</v>
      </c>
      <c r="J1512" t="n">
        <v>0</v>
      </c>
      <c r="K1512" t="n">
        <v>0</v>
      </c>
      <c r="L1512" t="n">
        <v>0</v>
      </c>
      <c r="M1512" t="n">
        <v>0</v>
      </c>
      <c r="N1512" t="n">
        <v>0</v>
      </c>
      <c r="O1512" t="n">
        <v>0</v>
      </c>
      <c r="P1512" t="n">
        <v>0</v>
      </c>
      <c r="Q1512" t="n">
        <v>0</v>
      </c>
      <c r="R1512" s="2" t="inlineStr"/>
    </row>
    <row r="1513" ht="15" customHeight="1">
      <c r="A1513" t="inlineStr">
        <is>
          <t>A 20239-2024</t>
        </is>
      </c>
      <c r="B1513" s="1" t="n">
        <v>45434.78520833333</v>
      </c>
      <c r="C1513" s="1" t="n">
        <v>46046</v>
      </c>
      <c r="D1513" t="inlineStr">
        <is>
          <t>NORRBOTTENS LÄN</t>
        </is>
      </c>
      <c r="E1513" t="inlineStr">
        <is>
          <t>PAJALA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69883-2021</t>
        </is>
      </c>
      <c r="B1514" s="1" t="n">
        <v>44532</v>
      </c>
      <c r="C1514" s="1" t="n">
        <v>46046</v>
      </c>
      <c r="D1514" t="inlineStr">
        <is>
          <t>NORRBOTTENS LÄN</t>
        </is>
      </c>
      <c r="E1514" t="inlineStr">
        <is>
          <t>JOKKMOKK</t>
        </is>
      </c>
      <c r="G1514" t="n">
        <v>12.5</v>
      </c>
      <c r="H1514" t="n">
        <v>0</v>
      </c>
      <c r="I1514" t="n">
        <v>0</v>
      </c>
      <c r="J1514" t="n">
        <v>0</v>
      </c>
      <c r="K1514" t="n">
        <v>0</v>
      </c>
      <c r="L1514" t="n">
        <v>0</v>
      </c>
      <c r="M1514" t="n">
        <v>0</v>
      </c>
      <c r="N1514" t="n">
        <v>0</v>
      </c>
      <c r="O1514" t="n">
        <v>0</v>
      </c>
      <c r="P1514" t="n">
        <v>0</v>
      </c>
      <c r="Q1514" t="n">
        <v>0</v>
      </c>
      <c r="R1514" s="2" t="inlineStr"/>
    </row>
    <row r="1515" ht="15" customHeight="1">
      <c r="A1515" t="inlineStr">
        <is>
          <t>A 20253-2024</t>
        </is>
      </c>
      <c r="B1515" s="1" t="n">
        <v>45434</v>
      </c>
      <c r="C1515" s="1" t="n">
        <v>46046</v>
      </c>
      <c r="D1515" t="inlineStr">
        <is>
          <t>NORRBOTTENS LÄN</t>
        </is>
      </c>
      <c r="E1515" t="inlineStr">
        <is>
          <t>ÄLVSBYN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40282-2024</t>
        </is>
      </c>
      <c r="B1516" s="1" t="n">
        <v>45554.66056712963</v>
      </c>
      <c r="C1516" s="1" t="n">
        <v>46046</v>
      </c>
      <c r="D1516" t="inlineStr">
        <is>
          <t>NORRBOTTENS LÄN</t>
        </is>
      </c>
      <c r="E1516" t="inlineStr">
        <is>
          <t>ÄLVSBYN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16857-2025</t>
        </is>
      </c>
      <c r="B1517" s="1" t="n">
        <v>45751</v>
      </c>
      <c r="C1517" s="1" t="n">
        <v>46046</v>
      </c>
      <c r="D1517" t="inlineStr">
        <is>
          <t>NORRBOTTENS LÄN</t>
        </is>
      </c>
      <c r="E1517" t="inlineStr">
        <is>
          <t>GÄLLIVARE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53230-2024</t>
        </is>
      </c>
      <c r="B1518" s="1" t="n">
        <v>45613.6241087963</v>
      </c>
      <c r="C1518" s="1" t="n">
        <v>46046</v>
      </c>
      <c r="D1518" t="inlineStr">
        <is>
          <t>NORRBOTTENS LÄN</t>
        </is>
      </c>
      <c r="E1518" t="inlineStr">
        <is>
          <t>PAJALA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46901-2024</t>
        </is>
      </c>
      <c r="B1519" s="1" t="n">
        <v>45583.69834490741</v>
      </c>
      <c r="C1519" s="1" t="n">
        <v>46046</v>
      </c>
      <c r="D1519" t="inlineStr">
        <is>
          <t>NORRBOTTENS LÄN</t>
        </is>
      </c>
      <c r="E1519" t="inlineStr">
        <is>
          <t>BODEN</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54240-2022</t>
        </is>
      </c>
      <c r="B1520" s="1" t="n">
        <v>44881</v>
      </c>
      <c r="C1520" s="1" t="n">
        <v>46046</v>
      </c>
      <c r="D1520" t="inlineStr">
        <is>
          <t>NORRBOTTENS LÄN</t>
        </is>
      </c>
      <c r="E1520" t="inlineStr">
        <is>
          <t>BODEN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26299-2024</t>
        </is>
      </c>
      <c r="B1521" s="1" t="n">
        <v>45468.93265046296</v>
      </c>
      <c r="C1521" s="1" t="n">
        <v>46046</v>
      </c>
      <c r="D1521" t="inlineStr">
        <is>
          <t>NORRBOTTENS LÄN</t>
        </is>
      </c>
      <c r="E1521" t="inlineStr">
        <is>
          <t>ÖVERTORNEÅ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9974-2025</t>
        </is>
      </c>
      <c r="B1522" s="1" t="n">
        <v>45719.39393518519</v>
      </c>
      <c r="C1522" s="1" t="n">
        <v>46046</v>
      </c>
      <c r="D1522" t="inlineStr">
        <is>
          <t>NORRBOTTENS LÄN</t>
        </is>
      </c>
      <c r="E1522" t="inlineStr">
        <is>
          <t>KALIX</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20789-2022</t>
        </is>
      </c>
      <c r="B1523" s="1" t="n">
        <v>44701</v>
      </c>
      <c r="C1523" s="1" t="n">
        <v>46046</v>
      </c>
      <c r="D1523" t="inlineStr">
        <is>
          <t>NORRBOTTENS LÄN</t>
        </is>
      </c>
      <c r="E1523" t="inlineStr">
        <is>
          <t>ARJEPLOG</t>
        </is>
      </c>
      <c r="G1523" t="n">
        <v>20.3</v>
      </c>
      <c r="H1523" t="n">
        <v>0</v>
      </c>
      <c r="I1523" t="n">
        <v>0</v>
      </c>
      <c r="J1523" t="n">
        <v>0</v>
      </c>
      <c r="K1523" t="n">
        <v>0</v>
      </c>
      <c r="L1523" t="n">
        <v>0</v>
      </c>
      <c r="M1523" t="n">
        <v>0</v>
      </c>
      <c r="N1523" t="n">
        <v>0</v>
      </c>
      <c r="O1523" t="n">
        <v>0</v>
      </c>
      <c r="P1523" t="n">
        <v>0</v>
      </c>
      <c r="Q1523" t="n">
        <v>0</v>
      </c>
      <c r="R1523" s="2" t="inlineStr"/>
    </row>
    <row r="1524" ht="15" customHeight="1">
      <c r="A1524" t="inlineStr">
        <is>
          <t>A 114-2025</t>
        </is>
      </c>
      <c r="B1524" s="1" t="n">
        <v>45659.51113425926</v>
      </c>
      <c r="C1524" s="1" t="n">
        <v>46046</v>
      </c>
      <c r="D1524" t="inlineStr">
        <is>
          <t>NORRBOTTENS LÄN</t>
        </is>
      </c>
      <c r="E1524" t="inlineStr">
        <is>
          <t>LULEÅ</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61925-2024</t>
        </is>
      </c>
      <c r="B1525" s="1" t="n">
        <v>45653</v>
      </c>
      <c r="C1525" s="1" t="n">
        <v>46046</v>
      </c>
      <c r="D1525" t="inlineStr">
        <is>
          <t>NORRBOTTENS LÄN</t>
        </is>
      </c>
      <c r="E1525" t="inlineStr">
        <is>
          <t>HAPARANDA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46046</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64333-2023</t>
        </is>
      </c>
      <c r="B1527" s="1" t="n">
        <v>45280</v>
      </c>
      <c r="C1527" s="1" t="n">
        <v>46046</v>
      </c>
      <c r="D1527" t="inlineStr">
        <is>
          <t>NORRBOTTENS LÄN</t>
        </is>
      </c>
      <c r="E1527" t="inlineStr">
        <is>
          <t>KALIX</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47153-2022</t>
        </is>
      </c>
      <c r="B1528" s="1" t="n">
        <v>44852.58707175926</v>
      </c>
      <c r="C1528" s="1" t="n">
        <v>46046</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6777-2023</t>
        </is>
      </c>
      <c r="B1529" s="1" t="n">
        <v>44966</v>
      </c>
      <c r="C1529" s="1" t="n">
        <v>46046</v>
      </c>
      <c r="D1529" t="inlineStr">
        <is>
          <t>NORRBOTTENS LÄN</t>
        </is>
      </c>
      <c r="E1529" t="inlineStr">
        <is>
          <t>JOKKMOKK</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27050-2022</t>
        </is>
      </c>
      <c r="B1530" s="1" t="n">
        <v>44741</v>
      </c>
      <c r="C1530" s="1" t="n">
        <v>46046</v>
      </c>
      <c r="D1530" t="inlineStr">
        <is>
          <t>NORRBOTTENS LÄN</t>
        </is>
      </c>
      <c r="E1530" t="inlineStr">
        <is>
          <t>GÄLLIVARE</t>
        </is>
      </c>
      <c r="F1530" t="inlineStr">
        <is>
          <t>Övriga Aktiebolag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74441-2021</t>
        </is>
      </c>
      <c r="B1531" s="1" t="n">
        <v>44558</v>
      </c>
      <c r="C1531" s="1" t="n">
        <v>46046</v>
      </c>
      <c r="D1531" t="inlineStr">
        <is>
          <t>NORRBOTTENS LÄN</t>
        </is>
      </c>
      <c r="E1531" t="inlineStr">
        <is>
          <t>LULEÅ</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74445-2021</t>
        </is>
      </c>
      <c r="B1532" s="1" t="n">
        <v>44558</v>
      </c>
      <c r="C1532" s="1" t="n">
        <v>46046</v>
      </c>
      <c r="D1532" t="inlineStr">
        <is>
          <t>NORRBOTTENS LÄN</t>
        </is>
      </c>
      <c r="E1532" t="inlineStr">
        <is>
          <t>LULEÅ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51220-2022</t>
        </is>
      </c>
      <c r="B1533" s="1" t="n">
        <v>44868</v>
      </c>
      <c r="C1533" s="1" t="n">
        <v>46046</v>
      </c>
      <c r="D1533" t="inlineStr">
        <is>
          <t>NORRBOTTENS LÄN</t>
        </is>
      </c>
      <c r="E1533" t="inlineStr">
        <is>
          <t>JOKKMOKK</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31534-2024</t>
        </is>
      </c>
      <c r="B1534" s="1" t="n">
        <v>45505</v>
      </c>
      <c r="C1534" s="1" t="n">
        <v>46046</v>
      </c>
      <c r="D1534" t="inlineStr">
        <is>
          <t>NORRBOTTENS LÄN</t>
        </is>
      </c>
      <c r="E1534" t="inlineStr">
        <is>
          <t>JOKKMOKK</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38213-2022</t>
        </is>
      </c>
      <c r="B1535" s="1" t="n">
        <v>44812.44233796297</v>
      </c>
      <c r="C1535" s="1" t="n">
        <v>46046</v>
      </c>
      <c r="D1535" t="inlineStr">
        <is>
          <t>NORRBOTTENS LÄN</t>
        </is>
      </c>
      <c r="E1535" t="inlineStr">
        <is>
          <t>BODEN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45603-2021</t>
        </is>
      </c>
      <c r="B1536" s="1" t="n">
        <v>44440.83734953704</v>
      </c>
      <c r="C1536" s="1" t="n">
        <v>46046</v>
      </c>
      <c r="D1536" t="inlineStr">
        <is>
          <t>NORRBOTTENS LÄN</t>
        </is>
      </c>
      <c r="E1536" t="inlineStr">
        <is>
          <t>ÄLVSBYN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2625-2023</t>
        </is>
      </c>
      <c r="B1537" s="1" t="n">
        <v>44942</v>
      </c>
      <c r="C1537" s="1" t="n">
        <v>46046</v>
      </c>
      <c r="D1537" t="inlineStr">
        <is>
          <t>NORRBOTTENS LÄN</t>
        </is>
      </c>
      <c r="E1537" t="inlineStr">
        <is>
          <t>PITEÅ</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41873-2024</t>
        </is>
      </c>
      <c r="B1538" s="1" t="n">
        <v>45561.47195601852</v>
      </c>
      <c r="C1538" s="1" t="n">
        <v>46046</v>
      </c>
      <c r="D1538" t="inlineStr">
        <is>
          <t>NORRBOTTENS LÄN</t>
        </is>
      </c>
      <c r="E1538" t="inlineStr">
        <is>
          <t>GÄLLIVARE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41917-2024</t>
        </is>
      </c>
      <c r="B1539" s="1" t="n">
        <v>45561.55268518518</v>
      </c>
      <c r="C1539" s="1" t="n">
        <v>46046</v>
      </c>
      <c r="D1539" t="inlineStr">
        <is>
          <t>NORRBOTTENS LÄN</t>
        </is>
      </c>
      <c r="E1539" t="inlineStr">
        <is>
          <t>GÄLLIVARE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3206-2024</t>
        </is>
      </c>
      <c r="B1540" s="1" t="n">
        <v>45316</v>
      </c>
      <c r="C1540" s="1" t="n">
        <v>46046</v>
      </c>
      <c r="D1540" t="inlineStr">
        <is>
          <t>NORRBOTTENS LÄN</t>
        </is>
      </c>
      <c r="E1540" t="inlineStr">
        <is>
          <t>ARVIDSJAUR</t>
        </is>
      </c>
      <c r="F1540" t="inlineStr">
        <is>
          <t>Allmännings- och besparingsskogar</t>
        </is>
      </c>
      <c r="G1540" t="n">
        <v>15.1</v>
      </c>
      <c r="H1540" t="n">
        <v>0</v>
      </c>
      <c r="I1540" t="n">
        <v>0</v>
      </c>
      <c r="J1540" t="n">
        <v>0</v>
      </c>
      <c r="K1540" t="n">
        <v>0</v>
      </c>
      <c r="L1540" t="n">
        <v>0</v>
      </c>
      <c r="M1540" t="n">
        <v>0</v>
      </c>
      <c r="N1540" t="n">
        <v>0</v>
      </c>
      <c r="O1540" t="n">
        <v>0</v>
      </c>
      <c r="P1540" t="n">
        <v>0</v>
      </c>
      <c r="Q1540" t="n">
        <v>0</v>
      </c>
      <c r="R1540" s="2" t="inlineStr"/>
    </row>
    <row r="1541" ht="15" customHeight="1">
      <c r="A1541" t="inlineStr">
        <is>
          <t>A 52160-2022</t>
        </is>
      </c>
      <c r="B1541" s="1" t="n">
        <v>44873.47778935185</v>
      </c>
      <c r="C1541" s="1" t="n">
        <v>46046</v>
      </c>
      <c r="D1541" t="inlineStr">
        <is>
          <t>NORRBOTTENS LÄN</t>
        </is>
      </c>
      <c r="E1541" t="inlineStr">
        <is>
          <t>ÖVERTORNEÅ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25102-2023</t>
        </is>
      </c>
      <c r="B1542" s="1" t="n">
        <v>45078</v>
      </c>
      <c r="C1542" s="1" t="n">
        <v>46046</v>
      </c>
      <c r="D1542" t="inlineStr">
        <is>
          <t>NORRBOTTENS LÄN</t>
        </is>
      </c>
      <c r="E1542" t="inlineStr">
        <is>
          <t>ÄLVSBYN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48358-2024</t>
        </is>
      </c>
      <c r="B1543" s="1" t="n">
        <v>45590</v>
      </c>
      <c r="C1543" s="1" t="n">
        <v>46046</v>
      </c>
      <c r="D1543" t="inlineStr">
        <is>
          <t>NORRBOTTENS LÄN</t>
        </is>
      </c>
      <c r="E1543" t="inlineStr">
        <is>
          <t>ARVIDSJAUR</t>
        </is>
      </c>
      <c r="F1543" t="inlineStr">
        <is>
          <t>Sveaskog</t>
        </is>
      </c>
      <c r="G1543" t="n">
        <v>20.3</v>
      </c>
      <c r="H1543" t="n">
        <v>0</v>
      </c>
      <c r="I1543" t="n">
        <v>0</v>
      </c>
      <c r="J1543" t="n">
        <v>0</v>
      </c>
      <c r="K1543" t="n">
        <v>0</v>
      </c>
      <c r="L1543" t="n">
        <v>0</v>
      </c>
      <c r="M1543" t="n">
        <v>0</v>
      </c>
      <c r="N1543" t="n">
        <v>0</v>
      </c>
      <c r="O1543" t="n">
        <v>0</v>
      </c>
      <c r="P1543" t="n">
        <v>0</v>
      </c>
      <c r="Q1543" t="n">
        <v>0</v>
      </c>
      <c r="R1543" s="2" t="inlineStr"/>
    </row>
    <row r="1544" ht="15" customHeight="1">
      <c r="A1544" t="inlineStr">
        <is>
          <t>A 3207-2024</t>
        </is>
      </c>
      <c r="B1544" s="1" t="n">
        <v>45316</v>
      </c>
      <c r="C1544" s="1" t="n">
        <v>46046</v>
      </c>
      <c r="D1544" t="inlineStr">
        <is>
          <t>NORRBOTTENS LÄN</t>
        </is>
      </c>
      <c r="E1544" t="inlineStr">
        <is>
          <t>ARVIDSJAUR</t>
        </is>
      </c>
      <c r="F1544" t="inlineStr">
        <is>
          <t>Allmännings- och besparingsskogar</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71446-2021</t>
        </is>
      </c>
      <c r="B1545" s="1" t="n">
        <v>44540.46146990741</v>
      </c>
      <c r="C1545" s="1" t="n">
        <v>46046</v>
      </c>
      <c r="D1545" t="inlineStr">
        <is>
          <t>NORRBOTTENS LÄN</t>
        </is>
      </c>
      <c r="E1545" t="inlineStr">
        <is>
          <t>HAPARANDA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73759-2021</t>
        </is>
      </c>
      <c r="B1546" s="1" t="n">
        <v>44551</v>
      </c>
      <c r="C1546" s="1" t="n">
        <v>46046</v>
      </c>
      <c r="D1546" t="inlineStr">
        <is>
          <t>NORRBOTTENS LÄN</t>
        </is>
      </c>
      <c r="E1546" t="inlineStr">
        <is>
          <t>ÖVERKALIX</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7039-2022</t>
        </is>
      </c>
      <c r="B1547" s="1" t="n">
        <v>44603</v>
      </c>
      <c r="C1547" s="1" t="n">
        <v>46046</v>
      </c>
      <c r="D1547" t="inlineStr">
        <is>
          <t>NORRBOTTENS LÄN</t>
        </is>
      </c>
      <c r="E1547" t="inlineStr">
        <is>
          <t>ÖVERKALIX</t>
        </is>
      </c>
      <c r="F1547" t="inlineStr">
        <is>
          <t>Övriga statliga verk och myndigheter</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810-2022</t>
        </is>
      </c>
      <c r="B1548" s="1" t="n">
        <v>44571</v>
      </c>
      <c r="C1548" s="1" t="n">
        <v>46046</v>
      </c>
      <c r="D1548" t="inlineStr">
        <is>
          <t>NORRBOTTENS LÄN</t>
        </is>
      </c>
      <c r="E1548" t="inlineStr">
        <is>
          <t>PITEÅ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10784-2022</t>
        </is>
      </c>
      <c r="B1549" s="1" t="n">
        <v>44627</v>
      </c>
      <c r="C1549" s="1" t="n">
        <v>46046</v>
      </c>
      <c r="D1549" t="inlineStr">
        <is>
          <t>NORRBOTTENS LÄN</t>
        </is>
      </c>
      <c r="E1549" t="inlineStr">
        <is>
          <t>PAJALA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29119-2022</t>
        </is>
      </c>
      <c r="B1550" s="1" t="n">
        <v>44749</v>
      </c>
      <c r="C1550" s="1" t="n">
        <v>46046</v>
      </c>
      <c r="D1550" t="inlineStr">
        <is>
          <t>NORRBOTTENS LÄN</t>
        </is>
      </c>
      <c r="E1550" t="inlineStr">
        <is>
          <t>BODEN</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47557-2023</t>
        </is>
      </c>
      <c r="B1551" s="1" t="n">
        <v>45197</v>
      </c>
      <c r="C1551" s="1" t="n">
        <v>46046</v>
      </c>
      <c r="D1551" t="inlineStr">
        <is>
          <t>NORRBOTTENS LÄN</t>
        </is>
      </c>
      <c r="E1551" t="inlineStr">
        <is>
          <t>PITEÅ</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19226-2022</t>
        </is>
      </c>
      <c r="B1552" s="1" t="n">
        <v>44691</v>
      </c>
      <c r="C1552" s="1" t="n">
        <v>46046</v>
      </c>
      <c r="D1552" t="inlineStr">
        <is>
          <t>NORRBOTTENS LÄN</t>
        </is>
      </c>
      <c r="E1552" t="inlineStr">
        <is>
          <t>PAJALA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16531-2022</t>
        </is>
      </c>
      <c r="B1553" s="1" t="n">
        <v>44671</v>
      </c>
      <c r="C1553" s="1" t="n">
        <v>46046</v>
      </c>
      <c r="D1553" t="inlineStr">
        <is>
          <t>NORRBOTTENS LÄN</t>
        </is>
      </c>
      <c r="E1553" t="inlineStr">
        <is>
          <t>BODEN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46541-2021</t>
        </is>
      </c>
      <c r="B1554" s="1" t="n">
        <v>44445</v>
      </c>
      <c r="C1554" s="1" t="n">
        <v>46046</v>
      </c>
      <c r="D1554" t="inlineStr">
        <is>
          <t>NORRBOTTENS LÄN</t>
        </is>
      </c>
      <c r="E1554" t="inlineStr">
        <is>
          <t>BODEN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7538-2022</t>
        </is>
      </c>
      <c r="B1555" s="1" t="n">
        <v>44607</v>
      </c>
      <c r="C1555" s="1" t="n">
        <v>46046</v>
      </c>
      <c r="D1555" t="inlineStr">
        <is>
          <t>NORRBOTTENS LÄN</t>
        </is>
      </c>
      <c r="E1555" t="inlineStr">
        <is>
          <t>GÄLLIVARE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40274-2024</t>
        </is>
      </c>
      <c r="B1556" s="1" t="n">
        <v>45554</v>
      </c>
      <c r="C1556" s="1" t="n">
        <v>46046</v>
      </c>
      <c r="D1556" t="inlineStr">
        <is>
          <t>NORRBOTTENS LÄN</t>
        </is>
      </c>
      <c r="E1556" t="inlineStr">
        <is>
          <t>ÖVERTORNEÅ</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454-2024</t>
        </is>
      </c>
      <c r="B1557" s="1" t="n">
        <v>45296</v>
      </c>
      <c r="C1557" s="1" t="n">
        <v>46046</v>
      </c>
      <c r="D1557" t="inlineStr">
        <is>
          <t>NORRBOTTENS LÄN</t>
        </is>
      </c>
      <c r="E1557" t="inlineStr">
        <is>
          <t>LULEÅ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64377-2021</t>
        </is>
      </c>
      <c r="B1558" s="1" t="n">
        <v>44511</v>
      </c>
      <c r="C1558" s="1" t="n">
        <v>46046</v>
      </c>
      <c r="D1558" t="inlineStr">
        <is>
          <t>NORRBOTTENS LÄN</t>
        </is>
      </c>
      <c r="E1558" t="inlineStr">
        <is>
          <t>ARVIDSJAUR</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31097-2024</t>
        </is>
      </c>
      <c r="B1559" s="1" t="n">
        <v>45502</v>
      </c>
      <c r="C1559" s="1" t="n">
        <v>46046</v>
      </c>
      <c r="D1559" t="inlineStr">
        <is>
          <t>NORRBOTTENS LÄN</t>
        </is>
      </c>
      <c r="E1559" t="inlineStr">
        <is>
          <t>PAJALA</t>
        </is>
      </c>
      <c r="F1559" t="inlineStr">
        <is>
          <t>Allmännings- och besparingsskogar</t>
        </is>
      </c>
      <c r="G1559" t="n">
        <v>1.1</v>
      </c>
      <c r="H1559" t="n">
        <v>0</v>
      </c>
      <c r="I1559" t="n">
        <v>0</v>
      </c>
      <c r="J1559" t="n">
        <v>0</v>
      </c>
      <c r="K1559" t="n">
        <v>0</v>
      </c>
      <c r="L1559" t="n">
        <v>0</v>
      </c>
      <c r="M1559" t="n">
        <v>0</v>
      </c>
      <c r="N1559" t="n">
        <v>0</v>
      </c>
      <c r="O1559" t="n">
        <v>0</v>
      </c>
      <c r="P1559" t="n">
        <v>0</v>
      </c>
      <c r="Q1559" t="n">
        <v>0</v>
      </c>
      <c r="R1559" s="2" t="inlineStr"/>
      <c r="U1559">
        <f>HYPERLINK("https://klasma.github.io/Logging_2521/knärot/A 31097-2024 karta knärot.png", "A 31097-2024")</f>
        <v/>
      </c>
      <c r="V1559">
        <f>HYPERLINK("https://klasma.github.io/Logging_2521/klagomål/A 31097-2024 FSC-klagomål.docx", "A 31097-2024")</f>
        <v/>
      </c>
      <c r="W1559">
        <f>HYPERLINK("https://klasma.github.io/Logging_2521/klagomålsmail/A 31097-2024 FSC-klagomål mail.docx", "A 31097-2024")</f>
        <v/>
      </c>
      <c r="X1559">
        <f>HYPERLINK("https://klasma.github.io/Logging_2521/tillsyn/A 31097-2024 tillsynsbegäran.docx", "A 31097-2024")</f>
        <v/>
      </c>
      <c r="Y1559">
        <f>HYPERLINK("https://klasma.github.io/Logging_2521/tillsynsmail/A 31097-2024 tillsynsbegäran mail.docx", "A 31097-2024")</f>
        <v/>
      </c>
    </row>
    <row r="1560" ht="15" customHeight="1">
      <c r="A1560" t="inlineStr">
        <is>
          <t>A 26684-2024</t>
        </is>
      </c>
      <c r="B1560" s="1" t="n">
        <v>45470.35256944445</v>
      </c>
      <c r="C1560" s="1" t="n">
        <v>46046</v>
      </c>
      <c r="D1560" t="inlineStr">
        <is>
          <t>NORRBOTTENS LÄN</t>
        </is>
      </c>
      <c r="E1560" t="inlineStr">
        <is>
          <t>ARVIDSJAUR</t>
        </is>
      </c>
      <c r="F1560" t="inlineStr">
        <is>
          <t>Sveaskog</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25698-2024</t>
        </is>
      </c>
      <c r="B1561" s="1" t="n">
        <v>45463.94219907407</v>
      </c>
      <c r="C1561" s="1" t="n">
        <v>46046</v>
      </c>
      <c r="D1561" t="inlineStr">
        <is>
          <t>NORRBOTTENS LÄN</t>
        </is>
      </c>
      <c r="E1561" t="inlineStr">
        <is>
          <t>ÖVERKALIX</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23112-2021</t>
        </is>
      </c>
      <c r="B1562" s="1" t="n">
        <v>44330</v>
      </c>
      <c r="C1562" s="1" t="n">
        <v>46046</v>
      </c>
      <c r="D1562" t="inlineStr">
        <is>
          <t>NORRBOTTENS LÄN</t>
        </is>
      </c>
      <c r="E1562" t="inlineStr">
        <is>
          <t>PAJALA</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23131-2021</t>
        </is>
      </c>
      <c r="B1563" s="1" t="n">
        <v>44330</v>
      </c>
      <c r="C1563" s="1" t="n">
        <v>46046</v>
      </c>
      <c r="D1563" t="inlineStr">
        <is>
          <t>NORRBOTTENS LÄN</t>
        </is>
      </c>
      <c r="E1563" t="inlineStr">
        <is>
          <t>BODEN</t>
        </is>
      </c>
      <c r="G1563" t="n">
        <v>15.8</v>
      </c>
      <c r="H1563" t="n">
        <v>0</v>
      </c>
      <c r="I1563" t="n">
        <v>0</v>
      </c>
      <c r="J1563" t="n">
        <v>0</v>
      </c>
      <c r="K1563" t="n">
        <v>0</v>
      </c>
      <c r="L1563" t="n">
        <v>0</v>
      </c>
      <c r="M1563" t="n">
        <v>0</v>
      </c>
      <c r="N1563" t="n">
        <v>0</v>
      </c>
      <c r="O1563" t="n">
        <v>0</v>
      </c>
      <c r="P1563" t="n">
        <v>0</v>
      </c>
      <c r="Q1563" t="n">
        <v>0</v>
      </c>
      <c r="R1563" s="2" t="inlineStr"/>
    </row>
    <row r="1564" ht="15" customHeight="1">
      <c r="A1564" t="inlineStr">
        <is>
          <t>A 6638-2024</t>
        </is>
      </c>
      <c r="B1564" s="1" t="n">
        <v>45341</v>
      </c>
      <c r="C1564" s="1" t="n">
        <v>46046</v>
      </c>
      <c r="D1564" t="inlineStr">
        <is>
          <t>NORRBOTTENS LÄN</t>
        </is>
      </c>
      <c r="E1564" t="inlineStr">
        <is>
          <t>BODEN</t>
        </is>
      </c>
      <c r="F1564" t="inlineStr">
        <is>
          <t>Övriga statliga verk och myndigheter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57053-2023</t>
        </is>
      </c>
      <c r="B1565" s="1" t="n">
        <v>45244</v>
      </c>
      <c r="C1565" s="1" t="n">
        <v>46046</v>
      </c>
      <c r="D1565" t="inlineStr">
        <is>
          <t>NORRBOTTENS LÄN</t>
        </is>
      </c>
      <c r="E1565" t="inlineStr">
        <is>
          <t>PITEÅ</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11848-2021</t>
        </is>
      </c>
      <c r="B1566" s="1" t="n">
        <v>44264</v>
      </c>
      <c r="C1566" s="1" t="n">
        <v>46046</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60030-2021</t>
        </is>
      </c>
      <c r="B1567" s="1" t="n">
        <v>44494</v>
      </c>
      <c r="C1567" s="1" t="n">
        <v>46046</v>
      </c>
      <c r="D1567" t="inlineStr">
        <is>
          <t>NORRBOTTENS LÄN</t>
        </is>
      </c>
      <c r="E1567" t="inlineStr">
        <is>
          <t>ÄLVSBYN</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59557-2024</t>
        </is>
      </c>
      <c r="B1568" s="1" t="n">
        <v>45638.63635416667</v>
      </c>
      <c r="C1568" s="1" t="n">
        <v>46046</v>
      </c>
      <c r="D1568" t="inlineStr">
        <is>
          <t>NORRBOTTENS LÄN</t>
        </is>
      </c>
      <c r="E1568" t="inlineStr">
        <is>
          <t>KALIX</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47779-2022</t>
        </is>
      </c>
      <c r="B1569" s="1" t="n">
        <v>44854</v>
      </c>
      <c r="C1569" s="1" t="n">
        <v>46046</v>
      </c>
      <c r="D1569" t="inlineStr">
        <is>
          <t>NORRBOTTENS LÄN</t>
        </is>
      </c>
      <c r="E1569" t="inlineStr">
        <is>
          <t>GÄLLIVARE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44705-2022</t>
        </is>
      </c>
      <c r="B1570" s="1" t="n">
        <v>44839</v>
      </c>
      <c r="C1570" s="1" t="n">
        <v>46046</v>
      </c>
      <c r="D1570" t="inlineStr">
        <is>
          <t>NORRBOTTENS LÄN</t>
        </is>
      </c>
      <c r="E1570" t="inlineStr">
        <is>
          <t>LULEÅ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2168-2023</t>
        </is>
      </c>
      <c r="B1571" s="1" t="n">
        <v>44941</v>
      </c>
      <c r="C1571" s="1" t="n">
        <v>46046</v>
      </c>
      <c r="D1571" t="inlineStr">
        <is>
          <t>NORRBOTTENS LÄN</t>
        </is>
      </c>
      <c r="E1571" t="inlineStr">
        <is>
          <t>PITEÅ</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53423-2022</t>
        </is>
      </c>
      <c r="B1572" s="1" t="n">
        <v>44874</v>
      </c>
      <c r="C1572" s="1" t="n">
        <v>46046</v>
      </c>
      <c r="D1572" t="inlineStr">
        <is>
          <t>NORRBOTTENS LÄN</t>
        </is>
      </c>
      <c r="E1572" t="inlineStr">
        <is>
          <t>PAJALA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57602-2023</t>
        </is>
      </c>
      <c r="B1573" s="1" t="n">
        <v>45246</v>
      </c>
      <c r="C1573" s="1" t="n">
        <v>46046</v>
      </c>
      <c r="D1573" t="inlineStr">
        <is>
          <t>NORRBOTTENS LÄN</t>
        </is>
      </c>
      <c r="E1573" t="inlineStr">
        <is>
          <t>PAJALA</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63197-2023</t>
        </is>
      </c>
      <c r="B1574" s="1" t="n">
        <v>45273.60528935185</v>
      </c>
      <c r="C1574" s="1" t="n">
        <v>46046</v>
      </c>
      <c r="D1574" t="inlineStr">
        <is>
          <t>NORRBOTTENS LÄN</t>
        </is>
      </c>
      <c r="E1574" t="inlineStr">
        <is>
          <t>PITEÅ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2426-2024</t>
        </is>
      </c>
      <c r="B1575" s="1" t="n">
        <v>45310.9390162037</v>
      </c>
      <c r="C1575" s="1" t="n">
        <v>46046</v>
      </c>
      <c r="D1575" t="inlineStr">
        <is>
          <t>NORRBOTTENS LÄN</t>
        </is>
      </c>
      <c r="E1575" t="inlineStr">
        <is>
          <t>BODEN</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6718-2024</t>
        </is>
      </c>
      <c r="B1576" s="1" t="n">
        <v>45342</v>
      </c>
      <c r="C1576" s="1" t="n">
        <v>46046</v>
      </c>
      <c r="D1576" t="inlineStr">
        <is>
          <t>NORRBOTTENS LÄN</t>
        </is>
      </c>
      <c r="E1576" t="inlineStr">
        <is>
          <t>LULEÅ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44554-2023</t>
        </is>
      </c>
      <c r="B1577" s="1" t="n">
        <v>45189.5340162037</v>
      </c>
      <c r="C1577" s="1" t="n">
        <v>46046</v>
      </c>
      <c r="D1577" t="inlineStr">
        <is>
          <t>NORRBOTTENS LÄN</t>
        </is>
      </c>
      <c r="E1577" t="inlineStr">
        <is>
          <t>ÖVERKALIX</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17438-2023</t>
        </is>
      </c>
      <c r="B1578" s="1" t="n">
        <v>45035.92709490741</v>
      </c>
      <c r="C1578" s="1" t="n">
        <v>46046</v>
      </c>
      <c r="D1578" t="inlineStr">
        <is>
          <t>NORRBOTTENS LÄN</t>
        </is>
      </c>
      <c r="E1578" t="inlineStr">
        <is>
          <t>LULEÅ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27092-2022</t>
        </is>
      </c>
      <c r="B1579" s="1" t="n">
        <v>44741</v>
      </c>
      <c r="C1579" s="1" t="n">
        <v>46046</v>
      </c>
      <c r="D1579" t="inlineStr">
        <is>
          <t>NORRBOTTENS LÄN</t>
        </is>
      </c>
      <c r="E1579" t="inlineStr">
        <is>
          <t>ARJEPLOG</t>
        </is>
      </c>
      <c r="G1579" t="n">
        <v>15.6</v>
      </c>
      <c r="H1579" t="n">
        <v>0</v>
      </c>
      <c r="I1579" t="n">
        <v>0</v>
      </c>
      <c r="J1579" t="n">
        <v>0</v>
      </c>
      <c r="K1579" t="n">
        <v>0</v>
      </c>
      <c r="L1579" t="n">
        <v>0</v>
      </c>
      <c r="M1579" t="n">
        <v>0</v>
      </c>
      <c r="N1579" t="n">
        <v>0</v>
      </c>
      <c r="O1579" t="n">
        <v>0</v>
      </c>
      <c r="P1579" t="n">
        <v>0</v>
      </c>
      <c r="Q1579" t="n">
        <v>0</v>
      </c>
      <c r="R1579" s="2" t="inlineStr"/>
    </row>
    <row r="1580" ht="15" customHeight="1">
      <c r="A1580" t="inlineStr">
        <is>
          <t>A 9282-2023</t>
        </is>
      </c>
      <c r="B1580" s="1" t="n">
        <v>44977</v>
      </c>
      <c r="C1580" s="1" t="n">
        <v>46046</v>
      </c>
      <c r="D1580" t="inlineStr">
        <is>
          <t>NORRBOTTENS LÄN</t>
        </is>
      </c>
      <c r="E1580" t="inlineStr">
        <is>
          <t>LULEÅ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30399-2024</t>
        </is>
      </c>
      <c r="B1581" s="1" t="n">
        <v>45491</v>
      </c>
      <c r="C1581" s="1" t="n">
        <v>46046</v>
      </c>
      <c r="D1581" t="inlineStr">
        <is>
          <t>NORRBOTTENS LÄN</t>
        </is>
      </c>
      <c r="E1581" t="inlineStr">
        <is>
          <t>JOKKMOKK</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61636-2023</t>
        </is>
      </c>
      <c r="B1582" s="1" t="n">
        <v>45265</v>
      </c>
      <c r="C1582" s="1" t="n">
        <v>46046</v>
      </c>
      <c r="D1582" t="inlineStr">
        <is>
          <t>NORRBOTTENS LÄN</t>
        </is>
      </c>
      <c r="E1582" t="inlineStr">
        <is>
          <t>PITEÅ</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52000-2021</t>
        </is>
      </c>
      <c r="B1583" s="1" t="n">
        <v>44463.33065972223</v>
      </c>
      <c r="C1583" s="1" t="n">
        <v>46046</v>
      </c>
      <c r="D1583" t="inlineStr">
        <is>
          <t>NORRBOTTENS LÄN</t>
        </is>
      </c>
      <c r="E1583" t="inlineStr">
        <is>
          <t>HAPARANDA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52075-2021</t>
        </is>
      </c>
      <c r="B1584" s="1" t="n">
        <v>44463.40267361111</v>
      </c>
      <c r="C1584" s="1" t="n">
        <v>46046</v>
      </c>
      <c r="D1584" t="inlineStr">
        <is>
          <t>NORRBOTTENS LÄN</t>
        </is>
      </c>
      <c r="E1584" t="inlineStr">
        <is>
          <t>BODEN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58064-2023</t>
        </is>
      </c>
      <c r="B1585" s="1" t="n">
        <v>45247</v>
      </c>
      <c r="C1585" s="1" t="n">
        <v>46046</v>
      </c>
      <c r="D1585" t="inlineStr">
        <is>
          <t>NORRBOTTENS LÄN</t>
        </is>
      </c>
      <c r="E1585" t="inlineStr">
        <is>
          <t>PITEÅ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17961-2024</t>
        </is>
      </c>
      <c r="B1586" s="1" t="n">
        <v>45419.6787962963</v>
      </c>
      <c r="C1586" s="1" t="n">
        <v>46046</v>
      </c>
      <c r="D1586" t="inlineStr">
        <is>
          <t>NORRBOTTENS LÄN</t>
        </is>
      </c>
      <c r="E1586" t="inlineStr">
        <is>
          <t>BODEN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5451-2025</t>
        </is>
      </c>
      <c r="B1587" s="1" t="n">
        <v>45692.91950231481</v>
      </c>
      <c r="C1587" s="1" t="n">
        <v>46046</v>
      </c>
      <c r="D1587" t="inlineStr">
        <is>
          <t>NORRBOTTENS LÄN</t>
        </is>
      </c>
      <c r="E1587" t="inlineStr">
        <is>
          <t>BODEN</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54100-2023</t>
        </is>
      </c>
      <c r="B1588" s="1" t="n">
        <v>45225</v>
      </c>
      <c r="C1588" s="1" t="n">
        <v>46046</v>
      </c>
      <c r="D1588" t="inlineStr">
        <is>
          <t>NORRBOTTENS LÄN</t>
        </is>
      </c>
      <c r="E1588" t="inlineStr">
        <is>
          <t>PITEÅ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15796-2025</t>
        </is>
      </c>
      <c r="B1589" s="1" t="n">
        <v>45748.64383101852</v>
      </c>
      <c r="C1589" s="1" t="n">
        <v>46046</v>
      </c>
      <c r="D1589" t="inlineStr">
        <is>
          <t>NORRBOTTENS LÄN</t>
        </is>
      </c>
      <c r="E1589" t="inlineStr">
        <is>
          <t>KALIX</t>
        </is>
      </c>
      <c r="F1589" t="inlineStr">
        <is>
          <t>SCA</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50016-2024</t>
        </is>
      </c>
      <c r="B1590" s="1" t="n">
        <v>45599.36493055556</v>
      </c>
      <c r="C1590" s="1" t="n">
        <v>46046</v>
      </c>
      <c r="D1590" t="inlineStr">
        <is>
          <t>NORRBOTTENS LÄN</t>
        </is>
      </c>
      <c r="E1590" t="inlineStr">
        <is>
          <t>PAJALA</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29625-2023</t>
        </is>
      </c>
      <c r="B1591" s="1" t="n">
        <v>45106.94556712963</v>
      </c>
      <c r="C1591" s="1" t="n">
        <v>46046</v>
      </c>
      <c r="D1591" t="inlineStr">
        <is>
          <t>NORRBOTTENS LÄN</t>
        </is>
      </c>
      <c r="E1591" t="inlineStr">
        <is>
          <t>JOKKMOKK</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15819-2025</t>
        </is>
      </c>
      <c r="B1592" s="1" t="n">
        <v>45748.68537037037</v>
      </c>
      <c r="C1592" s="1" t="n">
        <v>46046</v>
      </c>
      <c r="D1592" t="inlineStr">
        <is>
          <t>NORRBOTTENS LÄN</t>
        </is>
      </c>
      <c r="E1592" t="inlineStr">
        <is>
          <t>KALIX</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51062-2024</t>
        </is>
      </c>
      <c r="B1593" s="1" t="n">
        <v>45603.44844907407</v>
      </c>
      <c r="C1593" s="1" t="n">
        <v>46046</v>
      </c>
      <c r="D1593" t="inlineStr">
        <is>
          <t>NORRBOTTENS LÄN</t>
        </is>
      </c>
      <c r="E1593" t="inlineStr">
        <is>
          <t>PAJALA</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41180-2021</t>
        </is>
      </c>
      <c r="B1594" s="1" t="n">
        <v>44423</v>
      </c>
      <c r="C1594" s="1" t="n">
        <v>46046</v>
      </c>
      <c r="D1594" t="inlineStr">
        <is>
          <t>NORRBOTTENS LÄN</t>
        </is>
      </c>
      <c r="E1594" t="inlineStr">
        <is>
          <t>BODEN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48037-2024</t>
        </is>
      </c>
      <c r="B1595" s="1" t="n">
        <v>45589.49346064815</v>
      </c>
      <c r="C1595" s="1" t="n">
        <v>46046</v>
      </c>
      <c r="D1595" t="inlineStr">
        <is>
          <t>NORRBOTTENS LÄN</t>
        </is>
      </c>
      <c r="E1595" t="inlineStr">
        <is>
          <t>ÖVERTORNEÅ</t>
        </is>
      </c>
      <c r="F1595" t="inlineStr">
        <is>
          <t>Kommuner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36124-2024</t>
        </is>
      </c>
      <c r="B1596" s="1" t="n">
        <v>45534</v>
      </c>
      <c r="C1596" s="1" t="n">
        <v>46046</v>
      </c>
      <c r="D1596" t="inlineStr">
        <is>
          <t>NORRBOTTENS LÄN</t>
        </is>
      </c>
      <c r="E1596" t="inlineStr">
        <is>
          <t>HAPARANDA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16965-2024</t>
        </is>
      </c>
      <c r="B1597" s="1" t="n">
        <v>45411</v>
      </c>
      <c r="C1597" s="1" t="n">
        <v>46046</v>
      </c>
      <c r="D1597" t="inlineStr">
        <is>
          <t>NORRBOTTENS LÄN</t>
        </is>
      </c>
      <c r="E1597" t="inlineStr">
        <is>
          <t>BODEN</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2477-2022</t>
        </is>
      </c>
      <c r="B1598" s="1" t="n">
        <v>44579.64950231482</v>
      </c>
      <c r="C1598" s="1" t="n">
        <v>46046</v>
      </c>
      <c r="D1598" t="inlineStr">
        <is>
          <t>NORRBOTTENS LÄN</t>
        </is>
      </c>
      <c r="E1598" t="inlineStr">
        <is>
          <t>HAPARANDA</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58315-2024</t>
        </is>
      </c>
      <c r="B1599" s="1" t="n">
        <v>45632</v>
      </c>
      <c r="C1599" s="1" t="n">
        <v>46046</v>
      </c>
      <c r="D1599" t="inlineStr">
        <is>
          <t>NORRBOTTENS LÄN</t>
        </is>
      </c>
      <c r="E1599" t="inlineStr">
        <is>
          <t>ÄLVSBYN</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425-2025</t>
        </is>
      </c>
      <c r="B1600" s="1" t="n">
        <v>45664.34549768519</v>
      </c>
      <c r="C1600" s="1" t="n">
        <v>46046</v>
      </c>
      <c r="D1600" t="inlineStr">
        <is>
          <t>NORRBOTTENS LÄN</t>
        </is>
      </c>
      <c r="E1600" t="inlineStr">
        <is>
          <t>JOKKMOKK</t>
        </is>
      </c>
      <c r="F1600" t="inlineStr">
        <is>
          <t>Övriga statliga verk och myndigheter</t>
        </is>
      </c>
      <c r="G1600" t="n">
        <v>36.5</v>
      </c>
      <c r="H1600" t="n">
        <v>0</v>
      </c>
      <c r="I1600" t="n">
        <v>0</v>
      </c>
      <c r="J1600" t="n">
        <v>0</v>
      </c>
      <c r="K1600" t="n">
        <v>0</v>
      </c>
      <c r="L1600" t="n">
        <v>0</v>
      </c>
      <c r="M1600" t="n">
        <v>0</v>
      </c>
      <c r="N1600" t="n">
        <v>0</v>
      </c>
      <c r="O1600" t="n">
        <v>0</v>
      </c>
      <c r="P1600" t="n">
        <v>0</v>
      </c>
      <c r="Q1600" t="n">
        <v>0</v>
      </c>
      <c r="R1600" s="2" t="inlineStr"/>
    </row>
    <row r="1601" ht="15" customHeight="1">
      <c r="A1601" t="inlineStr">
        <is>
          <t>A 23871-2022</t>
        </is>
      </c>
      <c r="B1601" s="1" t="n">
        <v>44722</v>
      </c>
      <c r="C1601" s="1" t="n">
        <v>46046</v>
      </c>
      <c r="D1601" t="inlineStr">
        <is>
          <t>NORRBOTTENS LÄN</t>
        </is>
      </c>
      <c r="E1601" t="inlineStr">
        <is>
          <t>BODEN</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41957-2024</t>
        </is>
      </c>
      <c r="B1602" s="1" t="n">
        <v>45561.5891087963</v>
      </c>
      <c r="C1602" s="1" t="n">
        <v>46046</v>
      </c>
      <c r="D1602" t="inlineStr">
        <is>
          <t>NORRBOTTENS LÄN</t>
        </is>
      </c>
      <c r="E1602" t="inlineStr">
        <is>
          <t>BODEN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8672-2025</t>
        </is>
      </c>
      <c r="B1603" s="1" t="n">
        <v>45712</v>
      </c>
      <c r="C1603" s="1" t="n">
        <v>46046</v>
      </c>
      <c r="D1603" t="inlineStr">
        <is>
          <t>NORRBOTTENS LÄN</t>
        </is>
      </c>
      <c r="E1603" t="inlineStr">
        <is>
          <t>ÖVERKALIX</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4636-2025</t>
        </is>
      </c>
      <c r="B1604" s="1" t="n">
        <v>45687.64724537037</v>
      </c>
      <c r="C1604" s="1" t="n">
        <v>46046</v>
      </c>
      <c r="D1604" t="inlineStr">
        <is>
          <t>NORRBOTTENS LÄN</t>
        </is>
      </c>
      <c r="E1604" t="inlineStr">
        <is>
          <t>GÄLLIVARE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4317-2025</t>
        </is>
      </c>
      <c r="B1605" s="1" t="n">
        <v>45685.70517361111</v>
      </c>
      <c r="C1605" s="1" t="n">
        <v>46046</v>
      </c>
      <c r="D1605" t="inlineStr">
        <is>
          <t>NORRBOTTENS LÄN</t>
        </is>
      </c>
      <c r="E1605" t="inlineStr">
        <is>
          <t>HAPARANDA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4693-2025</t>
        </is>
      </c>
      <c r="B1606" s="1" t="n">
        <v>45688.35549768519</v>
      </c>
      <c r="C1606" s="1" t="n">
        <v>46046</v>
      </c>
      <c r="D1606" t="inlineStr">
        <is>
          <t>NORRBOTTENS LÄN</t>
        </is>
      </c>
      <c r="E1606" t="inlineStr">
        <is>
          <t>PITEÅ</t>
        </is>
      </c>
      <c r="F1606" t="inlineStr">
        <is>
          <t>Övriga Aktiebolag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65410-2021</t>
        </is>
      </c>
      <c r="B1607" s="1" t="n">
        <v>44515.9200462963</v>
      </c>
      <c r="C1607" s="1" t="n">
        <v>46046</v>
      </c>
      <c r="D1607" t="inlineStr">
        <is>
          <t>NORRBOTTENS LÄN</t>
        </is>
      </c>
      <c r="E1607" t="inlineStr">
        <is>
          <t>ÄLVSBYN</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14567-2024</t>
        </is>
      </c>
      <c r="B1608" s="1" t="n">
        <v>45394</v>
      </c>
      <c r="C1608" s="1" t="n">
        <v>46046</v>
      </c>
      <c r="D1608" t="inlineStr">
        <is>
          <t>NORRBOTTENS LÄN</t>
        </is>
      </c>
      <c r="E1608" t="inlineStr">
        <is>
          <t>JOKKMOKK</t>
        </is>
      </c>
      <c r="G1608" t="n">
        <v>24.5</v>
      </c>
      <c r="H1608" t="n">
        <v>0</v>
      </c>
      <c r="I1608" t="n">
        <v>0</v>
      </c>
      <c r="J1608" t="n">
        <v>0</v>
      </c>
      <c r="K1608" t="n">
        <v>0</v>
      </c>
      <c r="L1608" t="n">
        <v>0</v>
      </c>
      <c r="M1608" t="n">
        <v>0</v>
      </c>
      <c r="N1608" t="n">
        <v>0</v>
      </c>
      <c r="O1608" t="n">
        <v>0</v>
      </c>
      <c r="P1608" t="n">
        <v>0</v>
      </c>
      <c r="Q1608" t="n">
        <v>0</v>
      </c>
      <c r="R1608" s="2" t="inlineStr"/>
    </row>
    <row r="1609" ht="15" customHeight="1">
      <c r="A1609" t="inlineStr">
        <is>
          <t>A 15469-2025</t>
        </is>
      </c>
      <c r="B1609" s="1" t="n">
        <v>45747.53148148148</v>
      </c>
      <c r="C1609" s="1" t="n">
        <v>46046</v>
      </c>
      <c r="D1609" t="inlineStr">
        <is>
          <t>NORRBOTTENS LÄN</t>
        </is>
      </c>
      <c r="E1609" t="inlineStr">
        <is>
          <t>PITEÅ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47565-2024</t>
        </is>
      </c>
      <c r="B1610" s="1" t="n">
        <v>45587</v>
      </c>
      <c r="C1610" s="1" t="n">
        <v>46046</v>
      </c>
      <c r="D1610" t="inlineStr">
        <is>
          <t>NORRBOTTENS LÄN</t>
        </is>
      </c>
      <c r="E1610" t="inlineStr">
        <is>
          <t>KALIX</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42995-2022</t>
        </is>
      </c>
      <c r="B1611" s="1" t="n">
        <v>44833</v>
      </c>
      <c r="C1611" s="1" t="n">
        <v>46046</v>
      </c>
      <c r="D1611" t="inlineStr">
        <is>
          <t>NORRBOTTENS LÄN</t>
        </is>
      </c>
      <c r="E1611" t="inlineStr">
        <is>
          <t>BODEN</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33847-2023</t>
        </is>
      </c>
      <c r="B1612" s="1" t="n">
        <v>45121</v>
      </c>
      <c r="C1612" s="1" t="n">
        <v>46046</v>
      </c>
      <c r="D1612" t="inlineStr">
        <is>
          <t>NORRBOTTENS LÄN</t>
        </is>
      </c>
      <c r="E1612" t="inlineStr">
        <is>
          <t>GÄLLIVARE</t>
        </is>
      </c>
      <c r="F1612" t="inlineStr">
        <is>
          <t>Övriga statliga verk och myndigheter</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33865-2023</t>
        </is>
      </c>
      <c r="B1613" s="1" t="n">
        <v>45133.92516203703</v>
      </c>
      <c r="C1613" s="1" t="n">
        <v>46046</v>
      </c>
      <c r="D1613" t="inlineStr">
        <is>
          <t>NORRBOTTENS LÄN</t>
        </is>
      </c>
      <c r="E1613" t="inlineStr">
        <is>
          <t>ÖVERKALIX</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33289-2024</t>
        </is>
      </c>
      <c r="B1614" s="1" t="n">
        <v>45518</v>
      </c>
      <c r="C1614" s="1" t="n">
        <v>46046</v>
      </c>
      <c r="D1614" t="inlineStr">
        <is>
          <t>NORRBOTTENS LÄN</t>
        </is>
      </c>
      <c r="E1614" t="inlineStr">
        <is>
          <t>BODEN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3500-2023</t>
        </is>
      </c>
      <c r="B1615" s="1" t="n">
        <v>44949.9250925926</v>
      </c>
      <c r="C1615" s="1" t="n">
        <v>46046</v>
      </c>
      <c r="D1615" t="inlineStr">
        <is>
          <t>NORRBOTTENS LÄN</t>
        </is>
      </c>
      <c r="E1615" t="inlineStr">
        <is>
          <t>ÄLVSBYN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10815-2024</t>
        </is>
      </c>
      <c r="B1616" s="1" t="n">
        <v>45369</v>
      </c>
      <c r="C1616" s="1" t="n">
        <v>46046</v>
      </c>
      <c r="D1616" t="inlineStr">
        <is>
          <t>NORRBOTTENS LÄN</t>
        </is>
      </c>
      <c r="E1616" t="inlineStr">
        <is>
          <t>LULEÅ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6329-2025</t>
        </is>
      </c>
      <c r="B1617" s="1" t="n">
        <v>45698</v>
      </c>
      <c r="C1617" s="1" t="n">
        <v>46046</v>
      </c>
      <c r="D1617" t="inlineStr">
        <is>
          <t>NORRBOTTENS LÄN</t>
        </is>
      </c>
      <c r="E1617" t="inlineStr">
        <is>
          <t>PAJALA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54725-2023</t>
        </is>
      </c>
      <c r="B1618" s="1" t="n">
        <v>45229</v>
      </c>
      <c r="C1618" s="1" t="n">
        <v>46046</v>
      </c>
      <c r="D1618" t="inlineStr">
        <is>
          <t>NORRBOTTENS LÄN</t>
        </is>
      </c>
      <c r="E1618" t="inlineStr">
        <is>
          <t>GÄLLIVARE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30141-2023</t>
        </is>
      </c>
      <c r="B1619" s="1" t="n">
        <v>45099</v>
      </c>
      <c r="C1619" s="1" t="n">
        <v>46046</v>
      </c>
      <c r="D1619" t="inlineStr">
        <is>
          <t>NORRBOTTENS LÄN</t>
        </is>
      </c>
      <c r="E1619" t="inlineStr">
        <is>
          <t>HAPARANDA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22007-2024</t>
        </is>
      </c>
      <c r="B1620" s="1" t="n">
        <v>45443</v>
      </c>
      <c r="C1620" s="1" t="n">
        <v>46046</v>
      </c>
      <c r="D1620" t="inlineStr">
        <is>
          <t>NORRBOTTENS LÄN</t>
        </is>
      </c>
      <c r="E1620" t="inlineStr">
        <is>
          <t>LULEÅ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24802-2021</t>
        </is>
      </c>
      <c r="B1621" s="1" t="n">
        <v>44340.65699074074</v>
      </c>
      <c r="C1621" s="1" t="n">
        <v>46046</v>
      </c>
      <c r="D1621" t="inlineStr">
        <is>
          <t>NORRBOTTENS LÄN</t>
        </is>
      </c>
      <c r="E1621" t="inlineStr">
        <is>
          <t>KALIX</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48011-2024</t>
        </is>
      </c>
      <c r="B1622" s="1" t="n">
        <v>45589.45561342593</v>
      </c>
      <c r="C1622" s="1" t="n">
        <v>46046</v>
      </c>
      <c r="D1622" t="inlineStr">
        <is>
          <t>NORRBOTTENS LÄN</t>
        </is>
      </c>
      <c r="E1622" t="inlineStr">
        <is>
          <t>KALIX</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35362-2023</t>
        </is>
      </c>
      <c r="B1623" s="1" t="n">
        <v>45146</v>
      </c>
      <c r="C1623" s="1" t="n">
        <v>46046</v>
      </c>
      <c r="D1623" t="inlineStr">
        <is>
          <t>NORRBOTTENS LÄN</t>
        </is>
      </c>
      <c r="E1623" t="inlineStr">
        <is>
          <t>GÄLLIVARE</t>
        </is>
      </c>
      <c r="F1623" t="inlineStr">
        <is>
          <t>Sveaskog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53040-2024</t>
        </is>
      </c>
      <c r="B1624" s="1" t="n">
        <v>45611.43986111111</v>
      </c>
      <c r="C1624" s="1" t="n">
        <v>46046</v>
      </c>
      <c r="D1624" t="inlineStr">
        <is>
          <t>NORRBOTTENS LÄN</t>
        </is>
      </c>
      <c r="E1624" t="inlineStr">
        <is>
          <t>PAJALA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3833-2025</t>
        </is>
      </c>
      <c r="B1625" s="1" t="n">
        <v>45682</v>
      </c>
      <c r="C1625" s="1" t="n">
        <v>46046</v>
      </c>
      <c r="D1625" t="inlineStr">
        <is>
          <t>NORRBOTTENS LÄN</t>
        </is>
      </c>
      <c r="E1625" t="inlineStr">
        <is>
          <t>BODEN</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3870-2025</t>
        </is>
      </c>
      <c r="B1626" s="1" t="n">
        <v>45684.3259837963</v>
      </c>
      <c r="C1626" s="1" t="n">
        <v>46046</v>
      </c>
      <c r="D1626" t="inlineStr">
        <is>
          <t>NORRBOTTENS LÄN</t>
        </is>
      </c>
      <c r="E1626" t="inlineStr">
        <is>
          <t>PITEÅ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3887-2025</t>
        </is>
      </c>
      <c r="B1627" s="1" t="n">
        <v>45684.36634259259</v>
      </c>
      <c r="C1627" s="1" t="n">
        <v>46046</v>
      </c>
      <c r="D1627" t="inlineStr">
        <is>
          <t>NORRBOTTENS LÄN</t>
        </is>
      </c>
      <c r="E1627" t="inlineStr">
        <is>
          <t>PITEÅ</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36225-2021</t>
        </is>
      </c>
      <c r="B1628" s="1" t="n">
        <v>44389</v>
      </c>
      <c r="C1628" s="1" t="n">
        <v>46046</v>
      </c>
      <c r="D1628" t="inlineStr">
        <is>
          <t>NORRBOTTENS LÄN</t>
        </is>
      </c>
      <c r="E1628" t="inlineStr">
        <is>
          <t>PAJALA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73910-2021</t>
        </is>
      </c>
      <c r="B1629" s="1" t="n">
        <v>44552</v>
      </c>
      <c r="C1629" s="1" t="n">
        <v>46046</v>
      </c>
      <c r="D1629" t="inlineStr">
        <is>
          <t>NORRBOTTENS LÄN</t>
        </is>
      </c>
      <c r="E1629" t="inlineStr">
        <is>
          <t>BODEN</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42320-2021</t>
        </is>
      </c>
      <c r="B1630" s="1" t="n">
        <v>44427.38730324074</v>
      </c>
      <c r="C1630" s="1" t="n">
        <v>46046</v>
      </c>
      <c r="D1630" t="inlineStr">
        <is>
          <t>NORRBOTTENS LÄN</t>
        </is>
      </c>
      <c r="E1630" t="inlineStr">
        <is>
          <t>PAJALA</t>
        </is>
      </c>
      <c r="F1630" t="inlineStr">
        <is>
          <t>Sveaskog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63772-2023</t>
        </is>
      </c>
      <c r="B1631" s="1" t="n">
        <v>45275</v>
      </c>
      <c r="C1631" s="1" t="n">
        <v>46046</v>
      </c>
      <c r="D1631" t="inlineStr">
        <is>
          <t>NORRBOTTENS LÄN</t>
        </is>
      </c>
      <c r="E1631" t="inlineStr">
        <is>
          <t>PAJALA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23774-2023</t>
        </is>
      </c>
      <c r="B1632" s="1" t="n">
        <v>45077</v>
      </c>
      <c r="C1632" s="1" t="n">
        <v>46046</v>
      </c>
      <c r="D1632" t="inlineStr">
        <is>
          <t>NORRBOTTENS LÄN</t>
        </is>
      </c>
      <c r="E1632" t="inlineStr">
        <is>
          <t>GÄLLIVARE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6917-2023</t>
        </is>
      </c>
      <c r="B1633" s="1" t="n">
        <v>44964</v>
      </c>
      <c r="C1633" s="1" t="n">
        <v>46046</v>
      </c>
      <c r="D1633" t="inlineStr">
        <is>
          <t>NORRBOTTENS LÄN</t>
        </is>
      </c>
      <c r="E1633" t="inlineStr">
        <is>
          <t>ÖVERKALIX</t>
        </is>
      </c>
      <c r="G1633" t="n">
        <v>9.4</v>
      </c>
      <c r="H1633" t="n">
        <v>0</v>
      </c>
      <c r="I1633" t="n">
        <v>0</v>
      </c>
      <c r="J1633" t="n">
        <v>0</v>
      </c>
      <c r="K1633" t="n">
        <v>0</v>
      </c>
      <c r="L1633" t="n">
        <v>0</v>
      </c>
      <c r="M1633" t="n">
        <v>0</v>
      </c>
      <c r="N1633" t="n">
        <v>0</v>
      </c>
      <c r="O1633" t="n">
        <v>0</v>
      </c>
      <c r="P1633" t="n">
        <v>0</v>
      </c>
      <c r="Q1633" t="n">
        <v>0</v>
      </c>
      <c r="R1633" s="2" t="inlineStr"/>
    </row>
    <row r="1634" ht="15" customHeight="1">
      <c r="A1634" t="inlineStr">
        <is>
          <t>A 20578-2025</t>
        </is>
      </c>
      <c r="B1634" s="1" t="n">
        <v>45775</v>
      </c>
      <c r="C1634" s="1" t="n">
        <v>46046</v>
      </c>
      <c r="D1634" t="inlineStr">
        <is>
          <t>NORRBOTTENS LÄN</t>
        </is>
      </c>
      <c r="E1634" t="inlineStr">
        <is>
          <t>KIRUNA</t>
        </is>
      </c>
      <c r="F1634" t="inlineStr">
        <is>
          <t>Sveaskog</t>
        </is>
      </c>
      <c r="G1634" t="n">
        <v>12.5</v>
      </c>
      <c r="H1634" t="n">
        <v>0</v>
      </c>
      <c r="I1634" t="n">
        <v>0</v>
      </c>
      <c r="J1634" t="n">
        <v>0</v>
      </c>
      <c r="K1634" t="n">
        <v>0</v>
      </c>
      <c r="L1634" t="n">
        <v>0</v>
      </c>
      <c r="M1634" t="n">
        <v>0</v>
      </c>
      <c r="N1634" t="n">
        <v>0</v>
      </c>
      <c r="O1634" t="n">
        <v>0</v>
      </c>
      <c r="P1634" t="n">
        <v>0</v>
      </c>
      <c r="Q1634" t="n">
        <v>0</v>
      </c>
      <c r="R1634" s="2" t="inlineStr"/>
    </row>
    <row r="1635" ht="15" customHeight="1">
      <c r="A1635" t="inlineStr">
        <is>
          <t>A 26223-2022</t>
        </is>
      </c>
      <c r="B1635" s="1" t="n">
        <v>44735</v>
      </c>
      <c r="C1635" s="1" t="n">
        <v>46046</v>
      </c>
      <c r="D1635" t="inlineStr">
        <is>
          <t>NORRBOTTENS LÄN</t>
        </is>
      </c>
      <c r="E1635" t="inlineStr">
        <is>
          <t>ARVIDSJAUR</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24273-2024</t>
        </is>
      </c>
      <c r="B1636" s="1" t="n">
        <v>45457.43016203704</v>
      </c>
      <c r="C1636" s="1" t="n">
        <v>46046</v>
      </c>
      <c r="D1636" t="inlineStr">
        <is>
          <t>NORRBOTTENS LÄN</t>
        </is>
      </c>
      <c r="E1636" t="inlineStr">
        <is>
          <t>KALIX</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74274-2021</t>
        </is>
      </c>
      <c r="B1637" s="1" t="n">
        <v>44558</v>
      </c>
      <c r="C1637" s="1" t="n">
        <v>46046</v>
      </c>
      <c r="D1637" t="inlineStr">
        <is>
          <t>NORRBOTTENS LÄN</t>
        </is>
      </c>
      <c r="E1637" t="inlineStr">
        <is>
          <t>LULEÅ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74158-2021</t>
        </is>
      </c>
      <c r="B1638" s="1" t="n">
        <v>44557</v>
      </c>
      <c r="C1638" s="1" t="n">
        <v>46046</v>
      </c>
      <c r="D1638" t="inlineStr">
        <is>
          <t>NORRBOTTENS LÄN</t>
        </is>
      </c>
      <c r="E1638" t="inlineStr">
        <is>
          <t>ÖVERTORNEÅ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58306-2024</t>
        </is>
      </c>
      <c r="B1639" s="1" t="n">
        <v>45632</v>
      </c>
      <c r="C1639" s="1" t="n">
        <v>46046</v>
      </c>
      <c r="D1639" t="inlineStr">
        <is>
          <t>NORRBOTTENS LÄN</t>
        </is>
      </c>
      <c r="E1639" t="inlineStr">
        <is>
          <t>ÖVERTORNEÅ</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59983-2023</t>
        </is>
      </c>
      <c r="B1640" s="1" t="n">
        <v>45257.80766203703</v>
      </c>
      <c r="C1640" s="1" t="n">
        <v>46046</v>
      </c>
      <c r="D1640" t="inlineStr">
        <is>
          <t>NORRBOTTENS LÄN</t>
        </is>
      </c>
      <c r="E1640" t="inlineStr">
        <is>
          <t>BODEN</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9488-2024</t>
        </is>
      </c>
      <c r="B1641" s="1" t="n">
        <v>45359.58478009259</v>
      </c>
      <c r="C1641" s="1" t="n">
        <v>46046</v>
      </c>
      <c r="D1641" t="inlineStr">
        <is>
          <t>NORRBOTTENS LÄN</t>
        </is>
      </c>
      <c r="E1641" t="inlineStr">
        <is>
          <t>HAPARANDA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21646-2021</t>
        </is>
      </c>
      <c r="B1642" s="1" t="n">
        <v>44321</v>
      </c>
      <c r="C1642" s="1" t="n">
        <v>46046</v>
      </c>
      <c r="D1642" t="inlineStr">
        <is>
          <t>NORRBOTTENS LÄN</t>
        </is>
      </c>
      <c r="E1642" t="inlineStr">
        <is>
          <t>PITEÅ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3270-2025</t>
        </is>
      </c>
      <c r="B1643" s="1" t="n">
        <v>45679</v>
      </c>
      <c r="C1643" s="1" t="n">
        <v>46046</v>
      </c>
      <c r="D1643" t="inlineStr">
        <is>
          <t>NORRBOTTENS LÄN</t>
        </is>
      </c>
      <c r="E1643" t="inlineStr">
        <is>
          <t>GÄLLIVARE</t>
        </is>
      </c>
      <c r="F1643" t="inlineStr">
        <is>
          <t>Sveaskog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59018-2022</t>
        </is>
      </c>
      <c r="B1644" s="1" t="n">
        <v>44903.87568287037</v>
      </c>
      <c r="C1644" s="1" t="n">
        <v>46046</v>
      </c>
      <c r="D1644" t="inlineStr">
        <is>
          <t>NORRBOTTENS LÄN</t>
        </is>
      </c>
      <c r="E1644" t="inlineStr">
        <is>
          <t>KALIX</t>
        </is>
      </c>
      <c r="G1644" t="n">
        <v>17.8</v>
      </c>
      <c r="H1644" t="n">
        <v>0</v>
      </c>
      <c r="I1644" t="n">
        <v>0</v>
      </c>
      <c r="J1644" t="n">
        <v>0</v>
      </c>
      <c r="K1644" t="n">
        <v>0</v>
      </c>
      <c r="L1644" t="n">
        <v>0</v>
      </c>
      <c r="M1644" t="n">
        <v>0</v>
      </c>
      <c r="N1644" t="n">
        <v>0</v>
      </c>
      <c r="O1644" t="n">
        <v>0</v>
      </c>
      <c r="P1644" t="n">
        <v>0</v>
      </c>
      <c r="Q1644" t="n">
        <v>0</v>
      </c>
      <c r="R1644" s="2" t="inlineStr"/>
    </row>
    <row r="1645" ht="15" customHeight="1">
      <c r="A1645" t="inlineStr">
        <is>
          <t>A 60130-2024</t>
        </is>
      </c>
      <c r="B1645" s="1" t="n">
        <v>45642.59327546296</v>
      </c>
      <c r="C1645" s="1" t="n">
        <v>46046</v>
      </c>
      <c r="D1645" t="inlineStr">
        <is>
          <t>NORRBOTTENS LÄN</t>
        </is>
      </c>
      <c r="E1645" t="inlineStr">
        <is>
          <t>LULEÅ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8483-2021</t>
        </is>
      </c>
      <c r="B1646" s="1" t="n">
        <v>44244</v>
      </c>
      <c r="C1646" s="1" t="n">
        <v>46046</v>
      </c>
      <c r="D1646" t="inlineStr">
        <is>
          <t>NORRBOTTENS LÄN</t>
        </is>
      </c>
      <c r="E1646" t="inlineStr">
        <is>
          <t>ARVIDSJAUR</t>
        </is>
      </c>
      <c r="G1646" t="n">
        <v>33.1</v>
      </c>
      <c r="H1646" t="n">
        <v>0</v>
      </c>
      <c r="I1646" t="n">
        <v>0</v>
      </c>
      <c r="J1646" t="n">
        <v>0</v>
      </c>
      <c r="K1646" t="n">
        <v>0</v>
      </c>
      <c r="L1646" t="n">
        <v>0</v>
      </c>
      <c r="M1646" t="n">
        <v>0</v>
      </c>
      <c r="N1646" t="n">
        <v>0</v>
      </c>
      <c r="O1646" t="n">
        <v>0</v>
      </c>
      <c r="P1646" t="n">
        <v>0</v>
      </c>
      <c r="Q1646" t="n">
        <v>0</v>
      </c>
      <c r="R1646" s="2" t="inlineStr"/>
    </row>
    <row r="1647" ht="15" customHeight="1">
      <c r="A1647" t="inlineStr">
        <is>
          <t>A 55826-2023</t>
        </is>
      </c>
      <c r="B1647" s="1" t="n">
        <v>45239</v>
      </c>
      <c r="C1647" s="1" t="n">
        <v>46046</v>
      </c>
      <c r="D1647" t="inlineStr">
        <is>
          <t>NORRBOTTENS LÄN</t>
        </is>
      </c>
      <c r="E1647" t="inlineStr">
        <is>
          <t>PITEÅ</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36586-2024</t>
        </is>
      </c>
      <c r="B1648" s="1" t="n">
        <v>45537</v>
      </c>
      <c r="C1648" s="1" t="n">
        <v>46046</v>
      </c>
      <c r="D1648" t="inlineStr">
        <is>
          <t>NORRBOTTENS LÄN</t>
        </is>
      </c>
      <c r="E1648" t="inlineStr">
        <is>
          <t>ÖVERTORNEÅ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19358-2022</t>
        </is>
      </c>
      <c r="B1649" s="1" t="n">
        <v>44692</v>
      </c>
      <c r="C1649" s="1" t="n">
        <v>46046</v>
      </c>
      <c r="D1649" t="inlineStr">
        <is>
          <t>NORRBOTTENS LÄN</t>
        </is>
      </c>
      <c r="E1649" t="inlineStr">
        <is>
          <t>ÖVERTORNEÅ</t>
        </is>
      </c>
      <c r="F1649" t="inlineStr">
        <is>
          <t>Sveaskog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48892-2024</t>
        </is>
      </c>
      <c r="B1650" s="1" t="n">
        <v>45594</v>
      </c>
      <c r="C1650" s="1" t="n">
        <v>46046</v>
      </c>
      <c r="D1650" t="inlineStr">
        <is>
          <t>NORRBOTTENS LÄN</t>
        </is>
      </c>
      <c r="E1650" t="inlineStr">
        <is>
          <t>ARVIDSJAUR</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48063-2023</t>
        </is>
      </c>
      <c r="B1651" s="1" t="n">
        <v>45204</v>
      </c>
      <c r="C1651" s="1" t="n">
        <v>46046</v>
      </c>
      <c r="D1651" t="inlineStr">
        <is>
          <t>NORRBOTTENS LÄN</t>
        </is>
      </c>
      <c r="E1651" t="inlineStr">
        <is>
          <t>KALIX</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17313-2021</t>
        </is>
      </c>
      <c r="B1652" s="1" t="n">
        <v>44298</v>
      </c>
      <c r="C1652" s="1" t="n">
        <v>46046</v>
      </c>
      <c r="D1652" t="inlineStr">
        <is>
          <t>NORRBOTTENS LÄN</t>
        </is>
      </c>
      <c r="E1652" t="inlineStr">
        <is>
          <t>BODEN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3128-2023</t>
        </is>
      </c>
      <c r="B1653" s="1" t="n">
        <v>44946</v>
      </c>
      <c r="C1653" s="1" t="n">
        <v>46046</v>
      </c>
      <c r="D1653" t="inlineStr">
        <is>
          <t>NORRBOTTENS LÄN</t>
        </is>
      </c>
      <c r="E1653" t="inlineStr">
        <is>
          <t>LULEÅ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62154-2023</t>
        </is>
      </c>
      <c r="B1654" s="1" t="n">
        <v>45266</v>
      </c>
      <c r="C1654" s="1" t="n">
        <v>46046</v>
      </c>
      <c r="D1654" t="inlineStr">
        <is>
          <t>NORRBOTTENS LÄN</t>
        </is>
      </c>
      <c r="E1654" t="inlineStr">
        <is>
          <t>KALIX</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1501-2025</t>
        </is>
      </c>
      <c r="B1655" s="1" t="n">
        <v>45670</v>
      </c>
      <c r="C1655" s="1" t="n">
        <v>46046</v>
      </c>
      <c r="D1655" t="inlineStr">
        <is>
          <t>NORRBOTTENS LÄN</t>
        </is>
      </c>
      <c r="E1655" t="inlineStr">
        <is>
          <t>PITEÅ</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23613-2024</t>
        </is>
      </c>
      <c r="B1656" s="1" t="n">
        <v>45454</v>
      </c>
      <c r="C1656" s="1" t="n">
        <v>46046</v>
      </c>
      <c r="D1656" t="inlineStr">
        <is>
          <t>NORRBOTTENS LÄN</t>
        </is>
      </c>
      <c r="E1656" t="inlineStr">
        <is>
          <t>GÄLLIVARE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53785-2022</t>
        </is>
      </c>
      <c r="B1657" s="1" t="n">
        <v>44875</v>
      </c>
      <c r="C1657" s="1" t="n">
        <v>46046</v>
      </c>
      <c r="D1657" t="inlineStr">
        <is>
          <t>NORRBOTTENS LÄN</t>
        </is>
      </c>
      <c r="E1657" t="inlineStr">
        <is>
          <t>GÄLLIVARE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23630-2024</t>
        </is>
      </c>
      <c r="B1658" s="1" t="n">
        <v>45454</v>
      </c>
      <c r="C1658" s="1" t="n">
        <v>46046</v>
      </c>
      <c r="D1658" t="inlineStr">
        <is>
          <t>NORRBOTTENS LÄN</t>
        </is>
      </c>
      <c r="E1658" t="inlineStr">
        <is>
          <t>PAJALA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64907-2021</t>
        </is>
      </c>
      <c r="B1659" s="1" t="n">
        <v>44512</v>
      </c>
      <c r="C1659" s="1" t="n">
        <v>46046</v>
      </c>
      <c r="D1659" t="inlineStr">
        <is>
          <t>NORRBOTTENS LÄN</t>
        </is>
      </c>
      <c r="E1659" t="inlineStr">
        <is>
          <t>KALIX</t>
        </is>
      </c>
      <c r="G1659" t="n">
        <v>11.5</v>
      </c>
      <c r="H1659" t="n">
        <v>0</v>
      </c>
      <c r="I1659" t="n">
        <v>0</v>
      </c>
      <c r="J1659" t="n">
        <v>0</v>
      </c>
      <c r="K1659" t="n">
        <v>0</v>
      </c>
      <c r="L1659" t="n">
        <v>0</v>
      </c>
      <c r="M1659" t="n">
        <v>0</v>
      </c>
      <c r="N1659" t="n">
        <v>0</v>
      </c>
      <c r="O1659" t="n">
        <v>0</v>
      </c>
      <c r="P1659" t="n">
        <v>0</v>
      </c>
      <c r="Q1659" t="n">
        <v>0</v>
      </c>
      <c r="R1659" s="2" t="inlineStr"/>
    </row>
    <row r="1660" ht="15" customHeight="1">
      <c r="A1660" t="inlineStr">
        <is>
          <t>A 60106-2024</t>
        </is>
      </c>
      <c r="B1660" s="1" t="n">
        <v>45642.56950231481</v>
      </c>
      <c r="C1660" s="1" t="n">
        <v>46046</v>
      </c>
      <c r="D1660" t="inlineStr">
        <is>
          <t>NORRBOTTENS LÄN</t>
        </is>
      </c>
      <c r="E1660" t="inlineStr">
        <is>
          <t>LULEÅ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60108-2024</t>
        </is>
      </c>
      <c r="B1661" s="1" t="n">
        <v>45642.57230324074</v>
      </c>
      <c r="C1661" s="1" t="n">
        <v>46046</v>
      </c>
      <c r="D1661" t="inlineStr">
        <is>
          <t>NORRBOTTENS LÄN</t>
        </is>
      </c>
      <c r="E1661" t="inlineStr">
        <is>
          <t>PITEÅ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53840-2022</t>
        </is>
      </c>
      <c r="B1662" s="1" t="n">
        <v>44880.59427083333</v>
      </c>
      <c r="C1662" s="1" t="n">
        <v>46046</v>
      </c>
      <c r="D1662" t="inlineStr">
        <is>
          <t>NORRBOTTENS LÄN</t>
        </is>
      </c>
      <c r="E1662" t="inlineStr">
        <is>
          <t>BODEN</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43678-2024</t>
        </is>
      </c>
      <c r="B1663" s="1" t="n">
        <v>45569</v>
      </c>
      <c r="C1663" s="1" t="n">
        <v>46046</v>
      </c>
      <c r="D1663" t="inlineStr">
        <is>
          <t>NORRBOTTENS LÄN</t>
        </is>
      </c>
      <c r="E1663" t="inlineStr">
        <is>
          <t>KALIX</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40492-2022</t>
        </is>
      </c>
      <c r="B1664" s="1" t="n">
        <v>44819</v>
      </c>
      <c r="C1664" s="1" t="n">
        <v>46046</v>
      </c>
      <c r="D1664" t="inlineStr">
        <is>
          <t>NORRBOTTENS LÄN</t>
        </is>
      </c>
      <c r="E1664" t="inlineStr">
        <is>
          <t>PITEÅ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26582-2024</t>
        </is>
      </c>
      <c r="B1665" s="1" t="n">
        <v>45469.66545138889</v>
      </c>
      <c r="C1665" s="1" t="n">
        <v>46046</v>
      </c>
      <c r="D1665" t="inlineStr">
        <is>
          <t>NORRBOTTENS LÄN</t>
        </is>
      </c>
      <c r="E1665" t="inlineStr">
        <is>
          <t>LULEÅ</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2392-2025</t>
        </is>
      </c>
      <c r="B1666" s="1" t="n">
        <v>45674</v>
      </c>
      <c r="C1666" s="1" t="n">
        <v>46046</v>
      </c>
      <c r="D1666" t="inlineStr">
        <is>
          <t>NORRBOTTENS LÄN</t>
        </is>
      </c>
      <c r="E1666" t="inlineStr">
        <is>
          <t>ARVIDSJAUR</t>
        </is>
      </c>
      <c r="F1666" t="inlineStr">
        <is>
          <t>Sveaskog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67068-2021</t>
        </is>
      </c>
      <c r="B1667" s="1" t="n">
        <v>44522.9206712963</v>
      </c>
      <c r="C1667" s="1" t="n">
        <v>46046</v>
      </c>
      <c r="D1667" t="inlineStr">
        <is>
          <t>NORRBOTTENS LÄN</t>
        </is>
      </c>
      <c r="E1667" t="inlineStr">
        <is>
          <t>BODEN</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2433-2025</t>
        </is>
      </c>
      <c r="B1668" s="1" t="n">
        <v>45673</v>
      </c>
      <c r="C1668" s="1" t="n">
        <v>46046</v>
      </c>
      <c r="D1668" t="inlineStr">
        <is>
          <t>NORRBOTTENS LÄN</t>
        </is>
      </c>
      <c r="E1668" t="inlineStr">
        <is>
          <t>ÖVERTORNEÅ</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21606-2023</t>
        </is>
      </c>
      <c r="B1669" s="1" t="n">
        <v>45063.62370370371</v>
      </c>
      <c r="C1669" s="1" t="n">
        <v>46046</v>
      </c>
      <c r="D1669" t="inlineStr">
        <is>
          <t>NORRBOTTENS LÄN</t>
        </is>
      </c>
      <c r="E1669" t="inlineStr">
        <is>
          <t>KALIX</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73180-2021</t>
        </is>
      </c>
      <c r="B1670" s="1" t="n">
        <v>44550.59190972222</v>
      </c>
      <c r="C1670" s="1" t="n">
        <v>46046</v>
      </c>
      <c r="D1670" t="inlineStr">
        <is>
          <t>NORRBOTTENS LÄN</t>
        </is>
      </c>
      <c r="E1670" t="inlineStr">
        <is>
          <t>PAJALA</t>
        </is>
      </c>
      <c r="F1670" t="inlineStr">
        <is>
          <t>Sveaskog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46955-2024</t>
        </is>
      </c>
      <c r="B1671" s="1" t="n">
        <v>45585.88642361111</v>
      </c>
      <c r="C1671" s="1" t="n">
        <v>46046</v>
      </c>
      <c r="D1671" t="inlineStr">
        <is>
          <t>NORRBOTTENS LÄN</t>
        </is>
      </c>
      <c r="E1671" t="inlineStr">
        <is>
          <t>KALIX</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26591-2023</t>
        </is>
      </c>
      <c r="B1672" s="1" t="n">
        <v>45090</v>
      </c>
      <c r="C1672" s="1" t="n">
        <v>46046</v>
      </c>
      <c r="D1672" t="inlineStr">
        <is>
          <t>NORRBOTTENS LÄN</t>
        </is>
      </c>
      <c r="E1672" t="inlineStr">
        <is>
          <t>ARVIDSJAUR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34752-2021</t>
        </is>
      </c>
      <c r="B1673" s="1" t="n">
        <v>44382</v>
      </c>
      <c r="C1673" s="1" t="n">
        <v>46046</v>
      </c>
      <c r="D1673" t="inlineStr">
        <is>
          <t>NORRBOTTENS LÄN</t>
        </is>
      </c>
      <c r="E1673" t="inlineStr">
        <is>
          <t>JOKKMOKK</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16972-2025</t>
        </is>
      </c>
      <c r="B1674" s="1" t="n">
        <v>45755.46942129629</v>
      </c>
      <c r="C1674" s="1" t="n">
        <v>46046</v>
      </c>
      <c r="D1674" t="inlineStr">
        <is>
          <t>NORRBOTTENS LÄN</t>
        </is>
      </c>
      <c r="E1674" t="inlineStr">
        <is>
          <t>JOKKMOKK</t>
        </is>
      </c>
      <c r="F1674" t="inlineStr">
        <is>
          <t>SCA</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36715-2024</t>
        </is>
      </c>
      <c r="B1675" s="1" t="n">
        <v>45537.82020833333</v>
      </c>
      <c r="C1675" s="1" t="n">
        <v>46046</v>
      </c>
      <c r="D1675" t="inlineStr">
        <is>
          <t>NORRBOTTENS LÄN</t>
        </is>
      </c>
      <c r="E1675" t="inlineStr">
        <is>
          <t>KALIX</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57821-2022</t>
        </is>
      </c>
      <c r="B1676" s="1" t="n">
        <v>44897</v>
      </c>
      <c r="C1676" s="1" t="n">
        <v>46046</v>
      </c>
      <c r="D1676" t="inlineStr">
        <is>
          <t>NORRBOTTENS LÄN</t>
        </is>
      </c>
      <c r="E1676" t="inlineStr">
        <is>
          <t>LULEÅ</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27896-2023</t>
        </is>
      </c>
      <c r="B1677" s="1" t="n">
        <v>45098</v>
      </c>
      <c r="C1677" s="1" t="n">
        <v>46046</v>
      </c>
      <c r="D1677" t="inlineStr">
        <is>
          <t>NORRBOTTENS LÄN</t>
        </is>
      </c>
      <c r="E1677" t="inlineStr">
        <is>
          <t>PITEÅ</t>
        </is>
      </c>
      <c r="F1677" t="inlineStr">
        <is>
          <t>Övriga Aktiebolag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20000-2022</t>
        </is>
      </c>
      <c r="B1678" s="1" t="n">
        <v>44697</v>
      </c>
      <c r="C1678" s="1" t="n">
        <v>46046</v>
      </c>
      <c r="D1678" t="inlineStr">
        <is>
          <t>NORRBOTTENS LÄN</t>
        </is>
      </c>
      <c r="E1678" t="inlineStr">
        <is>
          <t>GÄLLIVARE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55552-2024</t>
        </is>
      </c>
      <c r="B1679" s="1" t="n">
        <v>45622</v>
      </c>
      <c r="C1679" s="1" t="n">
        <v>46046</v>
      </c>
      <c r="D1679" t="inlineStr">
        <is>
          <t>NORRBOTTENS LÄN</t>
        </is>
      </c>
      <c r="E1679" t="inlineStr">
        <is>
          <t>ÄLVSBYN</t>
        </is>
      </c>
      <c r="F1679" t="inlineStr">
        <is>
          <t>Övriga Aktiebolag</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55556-2024</t>
        </is>
      </c>
      <c r="B1680" s="1" t="n">
        <v>45622.51945601852</v>
      </c>
      <c r="C1680" s="1" t="n">
        <v>46046</v>
      </c>
      <c r="D1680" t="inlineStr">
        <is>
          <t>NORRBOTTENS LÄN</t>
        </is>
      </c>
      <c r="E1680" t="inlineStr">
        <is>
          <t>ÖVERTORNEÅ</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55559-2024</t>
        </is>
      </c>
      <c r="B1681" s="1" t="n">
        <v>45622.52678240741</v>
      </c>
      <c r="C1681" s="1" t="n">
        <v>46046</v>
      </c>
      <c r="D1681" t="inlineStr">
        <is>
          <t>NORRBOTTENS LÄN</t>
        </is>
      </c>
      <c r="E1681" t="inlineStr">
        <is>
          <t>ÖVERTORNEÅ</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25160-2024</t>
        </is>
      </c>
      <c r="B1682" s="1" t="n">
        <v>45462</v>
      </c>
      <c r="C1682" s="1" t="n">
        <v>46046</v>
      </c>
      <c r="D1682" t="inlineStr">
        <is>
          <t>NORRBOTTENS LÄN</t>
        </is>
      </c>
      <c r="E1682" t="inlineStr">
        <is>
          <t>HAPARANDA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25164-2024</t>
        </is>
      </c>
      <c r="B1683" s="1" t="n">
        <v>45462</v>
      </c>
      <c r="C1683" s="1" t="n">
        <v>46046</v>
      </c>
      <c r="D1683" t="inlineStr">
        <is>
          <t>NORRBOTTENS LÄN</t>
        </is>
      </c>
      <c r="E1683" t="inlineStr">
        <is>
          <t>HAPARANDA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44952-2024</t>
        </is>
      </c>
      <c r="B1684" s="1" t="n">
        <v>45575.4482175926</v>
      </c>
      <c r="C1684" s="1" t="n">
        <v>46046</v>
      </c>
      <c r="D1684" t="inlineStr">
        <is>
          <t>NORRBOTTENS LÄN</t>
        </is>
      </c>
      <c r="E1684" t="inlineStr">
        <is>
          <t>ÖVERKALIX</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44998-2024</t>
        </is>
      </c>
      <c r="B1685" s="1" t="n">
        <v>45575</v>
      </c>
      <c r="C1685" s="1" t="n">
        <v>46046</v>
      </c>
      <c r="D1685" t="inlineStr">
        <is>
          <t>NORRBOTTENS LÄN</t>
        </is>
      </c>
      <c r="E1685" t="inlineStr">
        <is>
          <t>PAJALA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10713-2023</t>
        </is>
      </c>
      <c r="B1686" s="1" t="n">
        <v>44984</v>
      </c>
      <c r="C1686" s="1" t="n">
        <v>46046</v>
      </c>
      <c r="D1686" t="inlineStr">
        <is>
          <t>NORRBOTTENS LÄN</t>
        </is>
      </c>
      <c r="E1686" t="inlineStr">
        <is>
          <t>PITEÅ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41830-2024</t>
        </is>
      </c>
      <c r="B1687" s="1" t="n">
        <v>45561</v>
      </c>
      <c r="C1687" s="1" t="n">
        <v>46046</v>
      </c>
      <c r="D1687" t="inlineStr">
        <is>
          <t>NORRBOTTENS LÄN</t>
        </is>
      </c>
      <c r="E1687" t="inlineStr">
        <is>
          <t>ÖVERKALIX</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42798-2023</t>
        </is>
      </c>
      <c r="B1688" s="1" t="n">
        <v>45182</v>
      </c>
      <c r="C1688" s="1" t="n">
        <v>46046</v>
      </c>
      <c r="D1688" t="inlineStr">
        <is>
          <t>NORRBOTTENS LÄN</t>
        </is>
      </c>
      <c r="E1688" t="inlineStr">
        <is>
          <t>ARVIDSJAUR</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55588-2023</t>
        </is>
      </c>
      <c r="B1689" s="1" t="n">
        <v>45238.67594907407</v>
      </c>
      <c r="C1689" s="1" t="n">
        <v>46046</v>
      </c>
      <c r="D1689" t="inlineStr">
        <is>
          <t>NORRBOTTENS LÄN</t>
        </is>
      </c>
      <c r="E1689" t="inlineStr">
        <is>
          <t>GÄLLIVARE</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32754-2022</t>
        </is>
      </c>
      <c r="B1690" s="1" t="n">
        <v>44783.85420138889</v>
      </c>
      <c r="C1690" s="1" t="n">
        <v>46046</v>
      </c>
      <c r="D1690" t="inlineStr">
        <is>
          <t>NORRBOTTENS LÄN</t>
        </is>
      </c>
      <c r="E1690" t="inlineStr">
        <is>
          <t>BODEN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1071-2025</t>
        </is>
      </c>
      <c r="B1691" s="1" t="n">
        <v>45665</v>
      </c>
      <c r="C1691" s="1" t="n">
        <v>46046</v>
      </c>
      <c r="D1691" t="inlineStr">
        <is>
          <t>NORRBOTTENS LÄN</t>
        </is>
      </c>
      <c r="E1691" t="inlineStr">
        <is>
          <t>HAPARANDA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49877-2023</t>
        </is>
      </c>
      <c r="B1692" s="1" t="n">
        <v>45212.95590277778</v>
      </c>
      <c r="C1692" s="1" t="n">
        <v>46046</v>
      </c>
      <c r="D1692" t="inlineStr">
        <is>
          <t>NORRBOTTENS LÄN</t>
        </is>
      </c>
      <c r="E1692" t="inlineStr">
        <is>
          <t>GÄLLIVARE</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55853-2024</t>
        </is>
      </c>
      <c r="B1693" s="1" t="n">
        <v>45622</v>
      </c>
      <c r="C1693" s="1" t="n">
        <v>46046</v>
      </c>
      <c r="D1693" t="inlineStr">
        <is>
          <t>NORRBOTTENS LÄN</t>
        </is>
      </c>
      <c r="E1693" t="inlineStr">
        <is>
          <t>ÖVERKALIX</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18436-2025</t>
        </is>
      </c>
      <c r="B1694" s="1" t="n">
        <v>45762</v>
      </c>
      <c r="C1694" s="1" t="n">
        <v>46046</v>
      </c>
      <c r="D1694" t="inlineStr">
        <is>
          <t>NORRBOTTENS LÄN</t>
        </is>
      </c>
      <c r="E1694" t="inlineStr">
        <is>
          <t>BODEN</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25247-2024</t>
        </is>
      </c>
      <c r="B1695" s="1" t="n">
        <v>45462.60603009259</v>
      </c>
      <c r="C1695" s="1" t="n">
        <v>46046</v>
      </c>
      <c r="D1695" t="inlineStr">
        <is>
          <t>NORRBOTTENS LÄN</t>
        </is>
      </c>
      <c r="E1695" t="inlineStr">
        <is>
          <t>KALIX</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4768-2024</t>
        </is>
      </c>
      <c r="B1696" s="1" t="n">
        <v>45328</v>
      </c>
      <c r="C1696" s="1" t="n">
        <v>46046</v>
      </c>
      <c r="D1696" t="inlineStr">
        <is>
          <t>NORRBOTTENS LÄN</t>
        </is>
      </c>
      <c r="E1696" t="inlineStr">
        <is>
          <t>LULEÅ</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73605-2021</t>
        </is>
      </c>
      <c r="B1697" s="1" t="n">
        <v>44551</v>
      </c>
      <c r="C1697" s="1" t="n">
        <v>46046</v>
      </c>
      <c r="D1697" t="inlineStr">
        <is>
          <t>NORRBOTTENS LÄN</t>
        </is>
      </c>
      <c r="E1697" t="inlineStr">
        <is>
          <t>ÖVERTORNEÅ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38938-2024</t>
        </is>
      </c>
      <c r="B1698" s="1" t="n">
        <v>45548.34413194445</v>
      </c>
      <c r="C1698" s="1" t="n">
        <v>46046</v>
      </c>
      <c r="D1698" t="inlineStr">
        <is>
          <t>NORRBOTTENS LÄN</t>
        </is>
      </c>
      <c r="E1698" t="inlineStr">
        <is>
          <t>PITEÅ</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12164-2024</t>
        </is>
      </c>
      <c r="B1699" s="1" t="n">
        <v>45377</v>
      </c>
      <c r="C1699" s="1" t="n">
        <v>46046</v>
      </c>
      <c r="D1699" t="inlineStr">
        <is>
          <t>NORRBOTTENS LÄN</t>
        </is>
      </c>
      <c r="E1699" t="inlineStr">
        <is>
          <t>ÖVERTORNEÅ</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58394-2024</t>
        </is>
      </c>
      <c r="B1700" s="1" t="n">
        <v>45633.96009259259</v>
      </c>
      <c r="C1700" s="1" t="n">
        <v>46046</v>
      </c>
      <c r="D1700" t="inlineStr">
        <is>
          <t>NORRBOTTENS LÄN</t>
        </is>
      </c>
      <c r="E1700" t="inlineStr">
        <is>
          <t>ÖVERTORNEÅ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20340-2023</t>
        </is>
      </c>
      <c r="B1701" s="1" t="n">
        <v>45054</v>
      </c>
      <c r="C1701" s="1" t="n">
        <v>46046</v>
      </c>
      <c r="D1701" t="inlineStr">
        <is>
          <t>NORRBOTTENS LÄN</t>
        </is>
      </c>
      <c r="E1701" t="inlineStr">
        <is>
          <t>LULEÅ</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25871-2022</t>
        </is>
      </c>
      <c r="B1702" s="1" t="n">
        <v>44733.64865740741</v>
      </c>
      <c r="C1702" s="1" t="n">
        <v>46046</v>
      </c>
      <c r="D1702" t="inlineStr">
        <is>
          <t>NORRBOTTENS LÄN</t>
        </is>
      </c>
      <c r="E1702" t="inlineStr">
        <is>
          <t>KALIX</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20350-2023</t>
        </is>
      </c>
      <c r="B1703" s="1" t="n">
        <v>45054</v>
      </c>
      <c r="C1703" s="1" t="n">
        <v>46046</v>
      </c>
      <c r="D1703" t="inlineStr">
        <is>
          <t>NORRBOTTENS LÄN</t>
        </is>
      </c>
      <c r="E1703" t="inlineStr">
        <is>
          <t>KALIX</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17439-2023</t>
        </is>
      </c>
      <c r="B1704" s="1" t="n">
        <v>45035.92714120371</v>
      </c>
      <c r="C1704" s="1" t="n">
        <v>46046</v>
      </c>
      <c r="D1704" t="inlineStr">
        <is>
          <t>NORRBOTTENS LÄN</t>
        </is>
      </c>
      <c r="E1704" t="inlineStr">
        <is>
          <t>LULEÅ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49730-2024</t>
        </is>
      </c>
      <c r="B1705" s="1" t="n">
        <v>45596</v>
      </c>
      <c r="C1705" s="1" t="n">
        <v>46046</v>
      </c>
      <c r="D1705" t="inlineStr">
        <is>
          <t>NORRBOTTENS LÄN</t>
        </is>
      </c>
      <c r="E1705" t="inlineStr">
        <is>
          <t>BODEN</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49008-2022</t>
        </is>
      </c>
      <c r="B1706" s="1" t="n">
        <v>44860</v>
      </c>
      <c r="C1706" s="1" t="n">
        <v>46046</v>
      </c>
      <c r="D1706" t="inlineStr">
        <is>
          <t>NORRBOTTENS LÄN</t>
        </is>
      </c>
      <c r="E1706" t="inlineStr">
        <is>
          <t>PAJALA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6004-2023</t>
        </is>
      </c>
      <c r="B1707" s="1" t="n">
        <v>44959</v>
      </c>
      <c r="C1707" s="1" t="n">
        <v>46046</v>
      </c>
      <c r="D1707" t="inlineStr">
        <is>
          <t>NORRBOTTENS LÄN</t>
        </is>
      </c>
      <c r="E1707" t="inlineStr">
        <is>
          <t>ÄLVSBYN</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1023-2023</t>
        </is>
      </c>
      <c r="B1708" s="1" t="n">
        <v>44935.46053240741</v>
      </c>
      <c r="C1708" s="1" t="n">
        <v>46046</v>
      </c>
      <c r="D1708" t="inlineStr">
        <is>
          <t>NORRBOTTENS LÄN</t>
        </is>
      </c>
      <c r="E1708" t="inlineStr">
        <is>
          <t>BODEN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45857-2024</t>
        </is>
      </c>
      <c r="B1709" s="1" t="n">
        <v>45580.34554398148</v>
      </c>
      <c r="C1709" s="1" t="n">
        <v>46046</v>
      </c>
      <c r="D1709" t="inlineStr">
        <is>
          <t>NORRBOTTENS LÄN</t>
        </is>
      </c>
      <c r="E1709" t="inlineStr">
        <is>
          <t>LULEÅ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7084-2025</t>
        </is>
      </c>
      <c r="B1710" s="1" t="n">
        <v>45701</v>
      </c>
      <c r="C1710" s="1" t="n">
        <v>46046</v>
      </c>
      <c r="D1710" t="inlineStr">
        <is>
          <t>NORRBOTTENS LÄN</t>
        </is>
      </c>
      <c r="E1710" t="inlineStr">
        <is>
          <t>ARVIDSJAUR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9833-2024</t>
        </is>
      </c>
      <c r="B1711" s="1" t="n">
        <v>45363.04724537037</v>
      </c>
      <c r="C1711" s="1" t="n">
        <v>46046</v>
      </c>
      <c r="D1711" t="inlineStr">
        <is>
          <t>NORRBOTTENS LÄN</t>
        </is>
      </c>
      <c r="E1711" t="inlineStr">
        <is>
          <t>PITEÅ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45949-2024</t>
        </is>
      </c>
      <c r="B1712" s="1" t="n">
        <v>45580</v>
      </c>
      <c r="C1712" s="1" t="n">
        <v>46046</v>
      </c>
      <c r="D1712" t="inlineStr">
        <is>
          <t>NORRBOTTENS LÄN</t>
        </is>
      </c>
      <c r="E1712" t="inlineStr">
        <is>
          <t>ÄLVSBYN</t>
        </is>
      </c>
      <c r="G1712" t="n">
        <v>15.2</v>
      </c>
      <c r="H1712" t="n">
        <v>0</v>
      </c>
      <c r="I1712" t="n">
        <v>0</v>
      </c>
      <c r="J1712" t="n">
        <v>0</v>
      </c>
      <c r="K1712" t="n">
        <v>0</v>
      </c>
      <c r="L1712" t="n">
        <v>0</v>
      </c>
      <c r="M1712" t="n">
        <v>0</v>
      </c>
      <c r="N1712" t="n">
        <v>0</v>
      </c>
      <c r="O1712" t="n">
        <v>0</v>
      </c>
      <c r="P1712" t="n">
        <v>0</v>
      </c>
      <c r="Q1712" t="n">
        <v>0</v>
      </c>
      <c r="R1712" s="2" t="inlineStr"/>
    </row>
    <row r="1713" ht="15" customHeight="1">
      <c r="A1713" t="inlineStr">
        <is>
          <t>A 52710-2022</t>
        </is>
      </c>
      <c r="B1713" s="1" t="n">
        <v>44874.95347222222</v>
      </c>
      <c r="C1713" s="1" t="n">
        <v>46046</v>
      </c>
      <c r="D1713" t="inlineStr">
        <is>
          <t>NORRBOTTENS LÄN</t>
        </is>
      </c>
      <c r="E1713" t="inlineStr">
        <is>
          <t>KALIX</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20744-2024</t>
        </is>
      </c>
      <c r="B1714" s="1" t="n">
        <v>45436</v>
      </c>
      <c r="C1714" s="1" t="n">
        <v>46046</v>
      </c>
      <c r="D1714" t="inlineStr">
        <is>
          <t>NORRBOTTENS LÄN</t>
        </is>
      </c>
      <c r="E1714" t="inlineStr">
        <is>
          <t>KIRUNA</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20128-2025</t>
        </is>
      </c>
      <c r="B1715" s="1" t="n">
        <v>45772.49703703704</v>
      </c>
      <c r="C1715" s="1" t="n">
        <v>46046</v>
      </c>
      <c r="D1715" t="inlineStr">
        <is>
          <t>NORRBOTTENS LÄN</t>
        </is>
      </c>
      <c r="E1715" t="inlineStr">
        <is>
          <t>KALIX</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15080-2021</t>
        </is>
      </c>
      <c r="B1716" s="1" t="n">
        <v>44281</v>
      </c>
      <c r="C1716" s="1" t="n">
        <v>46046</v>
      </c>
      <c r="D1716" t="inlineStr">
        <is>
          <t>NORRBOTTENS LÄN</t>
        </is>
      </c>
      <c r="E1716" t="inlineStr">
        <is>
          <t>PITEÅ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17435-2023</t>
        </is>
      </c>
      <c r="B1717" s="1" t="n">
        <v>45035.92694444444</v>
      </c>
      <c r="C1717" s="1" t="n">
        <v>46046</v>
      </c>
      <c r="D1717" t="inlineStr">
        <is>
          <t>NORRBOTTENS LÄN</t>
        </is>
      </c>
      <c r="E1717" t="inlineStr">
        <is>
          <t>KALIX</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277-2023</t>
        </is>
      </c>
      <c r="B1718" s="1" t="n">
        <v>44928.92290509259</v>
      </c>
      <c r="C1718" s="1" t="n">
        <v>46046</v>
      </c>
      <c r="D1718" t="inlineStr">
        <is>
          <t>NORRBOTTENS LÄN</t>
        </is>
      </c>
      <c r="E1718" t="inlineStr">
        <is>
          <t>HAPARANDA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18059-2022</t>
        </is>
      </c>
      <c r="B1719" s="1" t="n">
        <v>44683</v>
      </c>
      <c r="C1719" s="1" t="n">
        <v>46046</v>
      </c>
      <c r="D1719" t="inlineStr">
        <is>
          <t>NORRBOTTENS LÄN</t>
        </is>
      </c>
      <c r="E1719" t="inlineStr">
        <is>
          <t>PITEÅ</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34333-2023</t>
        </is>
      </c>
      <c r="B1720" s="1" t="n">
        <v>45131</v>
      </c>
      <c r="C1720" s="1" t="n">
        <v>46046</v>
      </c>
      <c r="D1720" t="inlineStr">
        <is>
          <t>NORRBOTTENS LÄN</t>
        </is>
      </c>
      <c r="E1720" t="inlineStr">
        <is>
          <t>PAJALA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30367-2024</t>
        </is>
      </c>
      <c r="B1721" s="1" t="n">
        <v>45491</v>
      </c>
      <c r="C1721" s="1" t="n">
        <v>46046</v>
      </c>
      <c r="D1721" t="inlineStr">
        <is>
          <t>NORRBOTTENS LÄN</t>
        </is>
      </c>
      <c r="E1721" t="inlineStr">
        <is>
          <t>GÄLLIVARE</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45940-2021</t>
        </is>
      </c>
      <c r="B1722" s="1" t="n">
        <v>44441</v>
      </c>
      <c r="C1722" s="1" t="n">
        <v>46046</v>
      </c>
      <c r="D1722" t="inlineStr">
        <is>
          <t>NORRBOTTENS LÄN</t>
        </is>
      </c>
      <c r="E1722" t="inlineStr">
        <is>
          <t>LULEÅ</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20497-2025</t>
        </is>
      </c>
      <c r="B1723" s="1" t="n">
        <v>45775.57372685185</v>
      </c>
      <c r="C1723" s="1" t="n">
        <v>46046</v>
      </c>
      <c r="D1723" t="inlineStr">
        <is>
          <t>NORRBOTTENS LÄN</t>
        </is>
      </c>
      <c r="E1723" t="inlineStr">
        <is>
          <t>PITEÅ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31208-2023</t>
        </is>
      </c>
      <c r="B1724" s="1" t="n">
        <v>45113.95083333334</v>
      </c>
      <c r="C1724" s="1" t="n">
        <v>46046</v>
      </c>
      <c r="D1724" t="inlineStr">
        <is>
          <t>NORRBOTTENS LÄN</t>
        </is>
      </c>
      <c r="E1724" t="inlineStr">
        <is>
          <t>JOKKMOKK</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46644-2023</t>
        </is>
      </c>
      <c r="B1725" s="1" t="n">
        <v>45194</v>
      </c>
      <c r="C1725" s="1" t="n">
        <v>46046</v>
      </c>
      <c r="D1725" t="inlineStr">
        <is>
          <t>NORRBOTTENS LÄN</t>
        </is>
      </c>
      <c r="E1725" t="inlineStr">
        <is>
          <t>ÖVERTORNEÅ</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4199-2025</t>
        </is>
      </c>
      <c r="B1726" s="1" t="n">
        <v>45685</v>
      </c>
      <c r="C1726" s="1" t="n">
        <v>46046</v>
      </c>
      <c r="D1726" t="inlineStr">
        <is>
          <t>NORRBOTTENS LÄN</t>
        </is>
      </c>
      <c r="E1726" t="inlineStr">
        <is>
          <t>KALIX</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55481-2023</t>
        </is>
      </c>
      <c r="B1727" s="1" t="n">
        <v>45238.51141203703</v>
      </c>
      <c r="C1727" s="1" t="n">
        <v>46046</v>
      </c>
      <c r="D1727" t="inlineStr">
        <is>
          <t>NORRBOTTENS LÄN</t>
        </is>
      </c>
      <c r="E1727" t="inlineStr">
        <is>
          <t>PAJALA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55484-2023</t>
        </is>
      </c>
      <c r="B1728" s="1" t="n">
        <v>45238.51541666667</v>
      </c>
      <c r="C1728" s="1" t="n">
        <v>46046</v>
      </c>
      <c r="D1728" t="inlineStr">
        <is>
          <t>NORRBOTTENS LÄN</t>
        </is>
      </c>
      <c r="E1728" t="inlineStr">
        <is>
          <t>PAJALA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49873-2023</t>
        </is>
      </c>
      <c r="B1729" s="1" t="n">
        <v>45212</v>
      </c>
      <c r="C1729" s="1" t="n">
        <v>46046</v>
      </c>
      <c r="D1729" t="inlineStr">
        <is>
          <t>NORRBOTTENS LÄN</t>
        </is>
      </c>
      <c r="E1729" t="inlineStr">
        <is>
          <t>GÄLLIVARE</t>
        </is>
      </c>
      <c r="F1729" t="inlineStr">
        <is>
          <t>SCA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6396-2024</t>
        </is>
      </c>
      <c r="B1730" s="1" t="n">
        <v>45338</v>
      </c>
      <c r="C1730" s="1" t="n">
        <v>46046</v>
      </c>
      <c r="D1730" t="inlineStr">
        <is>
          <t>NORRBOTTENS LÄN</t>
        </is>
      </c>
      <c r="E1730" t="inlineStr">
        <is>
          <t>BODEN</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46443-2024</t>
        </is>
      </c>
      <c r="B1731" s="1" t="n">
        <v>45582</v>
      </c>
      <c r="C1731" s="1" t="n">
        <v>46046</v>
      </c>
      <c r="D1731" t="inlineStr">
        <is>
          <t>NORRBOTTENS LÄN</t>
        </is>
      </c>
      <c r="E1731" t="inlineStr">
        <is>
          <t>ARVIDSJAUR</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47424-2024</t>
        </is>
      </c>
      <c r="B1732" s="1" t="n">
        <v>45587.49114583333</v>
      </c>
      <c r="C1732" s="1" t="n">
        <v>46046</v>
      </c>
      <c r="D1732" t="inlineStr">
        <is>
          <t>NORRBOTTENS LÄN</t>
        </is>
      </c>
      <c r="E1732" t="inlineStr">
        <is>
          <t>BODEN</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34019-2024</t>
        </is>
      </c>
      <c r="B1733" s="1" t="n">
        <v>45523.57927083333</v>
      </c>
      <c r="C1733" s="1" t="n">
        <v>46046</v>
      </c>
      <c r="D1733" t="inlineStr">
        <is>
          <t>NORRBOTTENS LÄN</t>
        </is>
      </c>
      <c r="E1733" t="inlineStr">
        <is>
          <t>PITEÅ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8886-2021</t>
        </is>
      </c>
      <c r="B1734" s="1" t="n">
        <v>44248</v>
      </c>
      <c r="C1734" s="1" t="n">
        <v>46046</v>
      </c>
      <c r="D1734" t="inlineStr">
        <is>
          <t>NORRBOTTENS LÄN</t>
        </is>
      </c>
      <c r="E1734" t="inlineStr">
        <is>
          <t>BODEN</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9449-2023</t>
        </is>
      </c>
      <c r="B1735" s="1" t="n">
        <v>44981</v>
      </c>
      <c r="C1735" s="1" t="n">
        <v>46046</v>
      </c>
      <c r="D1735" t="inlineStr">
        <is>
          <t>NORRBOTTENS LÄN</t>
        </is>
      </c>
      <c r="E1735" t="inlineStr">
        <is>
          <t>LULEÅ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9450-2023</t>
        </is>
      </c>
      <c r="B1736" s="1" t="n">
        <v>44981</v>
      </c>
      <c r="C1736" s="1" t="n">
        <v>46046</v>
      </c>
      <c r="D1736" t="inlineStr">
        <is>
          <t>NORRBOTTENS LÄN</t>
        </is>
      </c>
      <c r="E1736" t="inlineStr">
        <is>
          <t>KALIX</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62439-2022</t>
        </is>
      </c>
      <c r="B1737" s="1" t="n">
        <v>44916</v>
      </c>
      <c r="C1737" s="1" t="n">
        <v>46046</v>
      </c>
      <c r="D1737" t="inlineStr">
        <is>
          <t>NORRBOTTENS LÄN</t>
        </is>
      </c>
      <c r="E1737" t="inlineStr">
        <is>
          <t>KIRUNA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62444-2022</t>
        </is>
      </c>
      <c r="B1738" s="1" t="n">
        <v>44924.40385416667</v>
      </c>
      <c r="C1738" s="1" t="n">
        <v>46046</v>
      </c>
      <c r="D1738" t="inlineStr">
        <is>
          <t>NORRBOTTENS LÄN</t>
        </is>
      </c>
      <c r="E1738" t="inlineStr">
        <is>
          <t>KALIX</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61600-2024</t>
        </is>
      </c>
      <c r="B1739" s="1" t="n">
        <v>45646.63835648148</v>
      </c>
      <c r="C1739" s="1" t="n">
        <v>46046</v>
      </c>
      <c r="D1739" t="inlineStr">
        <is>
          <t>NORRBOTTENS LÄN</t>
        </is>
      </c>
      <c r="E1739" t="inlineStr">
        <is>
          <t>BODEN</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56259-2023</t>
        </is>
      </c>
      <c r="B1740" s="1" t="n">
        <v>45240.94666666666</v>
      </c>
      <c r="C1740" s="1" t="n">
        <v>46046</v>
      </c>
      <c r="D1740" t="inlineStr">
        <is>
          <t>NORRBOTTENS LÄN</t>
        </is>
      </c>
      <c r="E1740" t="inlineStr">
        <is>
          <t>GÄLLIVARE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59911-2024</t>
        </is>
      </c>
      <c r="B1741" s="1" t="n">
        <v>45641.70442129629</v>
      </c>
      <c r="C1741" s="1" t="n">
        <v>46046</v>
      </c>
      <c r="D1741" t="inlineStr">
        <is>
          <t>NORRBOTTENS LÄN</t>
        </is>
      </c>
      <c r="E1741" t="inlineStr">
        <is>
          <t>ÖVERKALIX</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17000-2023</t>
        </is>
      </c>
      <c r="B1742" s="1" t="n">
        <v>45033</v>
      </c>
      <c r="C1742" s="1" t="n">
        <v>46046</v>
      </c>
      <c r="D1742" t="inlineStr">
        <is>
          <t>NORRBOTTENS LÄN</t>
        </is>
      </c>
      <c r="E1742" t="inlineStr">
        <is>
          <t>PAJALA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46187-2021</t>
        </is>
      </c>
      <c r="B1743" s="1" t="n">
        <v>44442</v>
      </c>
      <c r="C1743" s="1" t="n">
        <v>46046</v>
      </c>
      <c r="D1743" t="inlineStr">
        <is>
          <t>NORRBOTTENS LÄN</t>
        </is>
      </c>
      <c r="E1743" t="inlineStr">
        <is>
          <t>KALIX</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23204-2024</t>
        </is>
      </c>
      <c r="B1744" s="1" t="n">
        <v>45451</v>
      </c>
      <c r="C1744" s="1" t="n">
        <v>46046</v>
      </c>
      <c r="D1744" t="inlineStr">
        <is>
          <t>NORRBOTTENS LÄN</t>
        </is>
      </c>
      <c r="E1744" t="inlineStr">
        <is>
          <t>JOKKMOKK</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50323-2024</t>
        </is>
      </c>
      <c r="B1745" s="1" t="n">
        <v>45600.67706018518</v>
      </c>
      <c r="C1745" s="1" t="n">
        <v>46046</v>
      </c>
      <c r="D1745" t="inlineStr">
        <is>
          <t>NORRBOTTENS LÄN</t>
        </is>
      </c>
      <c r="E1745" t="inlineStr">
        <is>
          <t>ARVIDSJAUR</t>
        </is>
      </c>
      <c r="F1745" t="inlineStr">
        <is>
          <t>Sveaskog</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23232-2024</t>
        </is>
      </c>
      <c r="B1746" s="1" t="n">
        <v>45453</v>
      </c>
      <c r="C1746" s="1" t="n">
        <v>46046</v>
      </c>
      <c r="D1746" t="inlineStr">
        <is>
          <t>NORRBOTTENS LÄN</t>
        </is>
      </c>
      <c r="E1746" t="inlineStr">
        <is>
          <t>BODEN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72809-2021</t>
        </is>
      </c>
      <c r="B1747" s="1" t="n">
        <v>44546</v>
      </c>
      <c r="C1747" s="1" t="n">
        <v>46046</v>
      </c>
      <c r="D1747" t="inlineStr">
        <is>
          <t>NORRBOTTENS LÄN</t>
        </is>
      </c>
      <c r="E1747" t="inlineStr">
        <is>
          <t>ÖVERKALIX</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16000-2024</t>
        </is>
      </c>
      <c r="B1748" s="1" t="n">
        <v>45405</v>
      </c>
      <c r="C1748" s="1" t="n">
        <v>46046</v>
      </c>
      <c r="D1748" t="inlineStr">
        <is>
          <t>NORRBOTTENS LÄN</t>
        </is>
      </c>
      <c r="E1748" t="inlineStr">
        <is>
          <t>ÖVERTORNEÅ</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61588-2024</t>
        </is>
      </c>
      <c r="B1749" s="1" t="n">
        <v>45646.6295949074</v>
      </c>
      <c r="C1749" s="1" t="n">
        <v>46046</v>
      </c>
      <c r="D1749" t="inlineStr">
        <is>
          <t>NORRBOTTENS LÄN</t>
        </is>
      </c>
      <c r="E1749" t="inlineStr">
        <is>
          <t>BODEN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20254-2024</t>
        </is>
      </c>
      <c r="B1750" s="1" t="n">
        <v>45434</v>
      </c>
      <c r="C1750" s="1" t="n">
        <v>46046</v>
      </c>
      <c r="D1750" t="inlineStr">
        <is>
          <t>NORRBOTTENS LÄN</t>
        </is>
      </c>
      <c r="E1750" t="inlineStr">
        <is>
          <t>ÄLVSBYN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36244-2023</t>
        </is>
      </c>
      <c r="B1751" s="1" t="n">
        <v>45150</v>
      </c>
      <c r="C1751" s="1" t="n">
        <v>46046</v>
      </c>
      <c r="D1751" t="inlineStr">
        <is>
          <t>NORRBOTTENS LÄN</t>
        </is>
      </c>
      <c r="E1751" t="inlineStr">
        <is>
          <t>GÄLLIVARE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57111-2024</t>
        </is>
      </c>
      <c r="B1752" s="1" t="n">
        <v>45629.36480324074</v>
      </c>
      <c r="C1752" s="1" t="n">
        <v>46046</v>
      </c>
      <c r="D1752" t="inlineStr">
        <is>
          <t>NORRBOTTENS LÄN</t>
        </is>
      </c>
      <c r="E1752" t="inlineStr">
        <is>
          <t>ÖVERTORNEÅ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57115-2024</t>
        </is>
      </c>
      <c r="B1753" s="1" t="n">
        <v>45629.36509259259</v>
      </c>
      <c r="C1753" s="1" t="n">
        <v>46046</v>
      </c>
      <c r="D1753" t="inlineStr">
        <is>
          <t>NORRBOTTENS LÄN</t>
        </is>
      </c>
      <c r="E1753" t="inlineStr">
        <is>
          <t>LULEÅ</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36245-2023</t>
        </is>
      </c>
      <c r="B1754" s="1" t="n">
        <v>45150</v>
      </c>
      <c r="C1754" s="1" t="n">
        <v>46046</v>
      </c>
      <c r="D1754" t="inlineStr">
        <is>
          <t>NORRBOTTENS LÄN</t>
        </is>
      </c>
      <c r="E1754" t="inlineStr">
        <is>
          <t>GÄLLIVARE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49124-2023</t>
        </is>
      </c>
      <c r="B1755" s="1" t="n">
        <v>45210.46891203704</v>
      </c>
      <c r="C1755" s="1" t="n">
        <v>46046</v>
      </c>
      <c r="D1755" t="inlineStr">
        <is>
          <t>NORRBOTTENS LÄN</t>
        </is>
      </c>
      <c r="E1755" t="inlineStr">
        <is>
          <t>BODEN</t>
        </is>
      </c>
      <c r="F1755" t="inlineStr">
        <is>
          <t>Sveaskog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3982-2025</t>
        </is>
      </c>
      <c r="B1756" s="1" t="n">
        <v>45684</v>
      </c>
      <c r="C1756" s="1" t="n">
        <v>46046</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16036-2024</t>
        </is>
      </c>
      <c r="B1757" s="1" t="n">
        <v>45405.72387731481</v>
      </c>
      <c r="C1757" s="1" t="n">
        <v>46046</v>
      </c>
      <c r="D1757" t="inlineStr">
        <is>
          <t>NORRBOTTENS LÄN</t>
        </is>
      </c>
      <c r="E1757" t="inlineStr">
        <is>
          <t>HAPARANDA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17661-2023</t>
        </is>
      </c>
      <c r="B1758" s="1" t="n">
        <v>45036</v>
      </c>
      <c r="C1758" s="1" t="n">
        <v>46046</v>
      </c>
      <c r="D1758" t="inlineStr">
        <is>
          <t>NORRBOTTENS LÄN</t>
        </is>
      </c>
      <c r="E1758" t="inlineStr">
        <is>
          <t>KALIX</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18679-2025</t>
        </is>
      </c>
      <c r="B1759" s="1" t="n">
        <v>45763.6009375</v>
      </c>
      <c r="C1759" s="1" t="n">
        <v>46046</v>
      </c>
      <c r="D1759" t="inlineStr">
        <is>
          <t>NORRBOTTENS LÄN</t>
        </is>
      </c>
      <c r="E1759" t="inlineStr">
        <is>
          <t>BODEN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11853-2025</t>
        </is>
      </c>
      <c r="B1760" s="1" t="n">
        <v>45727</v>
      </c>
      <c r="C1760" s="1" t="n">
        <v>46046</v>
      </c>
      <c r="D1760" t="inlineStr">
        <is>
          <t>NORRBOTTENS LÄN</t>
        </is>
      </c>
      <c r="E1760" t="inlineStr">
        <is>
          <t>LULEÅ</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9745-2025</t>
        </is>
      </c>
      <c r="B1761" s="1" t="n">
        <v>45716.44847222222</v>
      </c>
      <c r="C1761" s="1" t="n">
        <v>46046</v>
      </c>
      <c r="D1761" t="inlineStr">
        <is>
          <t>NORRBOTTENS LÄN</t>
        </is>
      </c>
      <c r="E1761" t="inlineStr">
        <is>
          <t>HAPARANDA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42274-2022</t>
        </is>
      </c>
      <c r="B1762" s="1" t="n">
        <v>44830</v>
      </c>
      <c r="C1762" s="1" t="n">
        <v>46046</v>
      </c>
      <c r="D1762" t="inlineStr">
        <is>
          <t>NORRBOTTENS LÄN</t>
        </is>
      </c>
      <c r="E1762" t="inlineStr">
        <is>
          <t>ARJEPLOG</t>
        </is>
      </c>
      <c r="F1762" t="inlineStr">
        <is>
          <t>SCA</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12323-2023</t>
        </is>
      </c>
      <c r="B1763" s="1" t="n">
        <v>44995</v>
      </c>
      <c r="C1763" s="1" t="n">
        <v>46046</v>
      </c>
      <c r="D1763" t="inlineStr">
        <is>
          <t>NORRBOTTENS LÄN</t>
        </is>
      </c>
      <c r="E1763" t="inlineStr">
        <is>
          <t>LULEÅ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16296-2025</t>
        </is>
      </c>
      <c r="B1764" s="1" t="n">
        <v>45751.34513888889</v>
      </c>
      <c r="C1764" s="1" t="n">
        <v>46046</v>
      </c>
      <c r="D1764" t="inlineStr">
        <is>
          <t>NORRBOTTENS LÄN</t>
        </is>
      </c>
      <c r="E1764" t="inlineStr">
        <is>
          <t>LULEÅ</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15494-2025</t>
        </is>
      </c>
      <c r="B1765" s="1" t="n">
        <v>45747.57925925926</v>
      </c>
      <c r="C1765" s="1" t="n">
        <v>46046</v>
      </c>
      <c r="D1765" t="inlineStr">
        <is>
          <t>NORRBOTTENS LÄN</t>
        </is>
      </c>
      <c r="E1765" t="inlineStr">
        <is>
          <t>KALIX</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19232-2025</t>
        </is>
      </c>
      <c r="B1766" s="1" t="n">
        <v>45769</v>
      </c>
      <c r="C1766" s="1" t="n">
        <v>46046</v>
      </c>
      <c r="D1766" t="inlineStr">
        <is>
          <t>NORRBOTTENS LÄN</t>
        </is>
      </c>
      <c r="E1766" t="inlineStr">
        <is>
          <t>ARVIDSJAUR</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19257-2025</t>
        </is>
      </c>
      <c r="B1767" s="1" t="n">
        <v>45769.49768518518</v>
      </c>
      <c r="C1767" s="1" t="n">
        <v>46046</v>
      </c>
      <c r="D1767" t="inlineStr">
        <is>
          <t>NORRBOTTENS LÄN</t>
        </is>
      </c>
      <c r="E1767" t="inlineStr">
        <is>
          <t>BODEN</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28758-2024</t>
        </is>
      </c>
      <c r="B1768" s="1" t="n">
        <v>45478</v>
      </c>
      <c r="C1768" s="1" t="n">
        <v>46046</v>
      </c>
      <c r="D1768" t="inlineStr">
        <is>
          <t>NORRBOTTENS LÄN</t>
        </is>
      </c>
      <c r="E1768" t="inlineStr">
        <is>
          <t>BODEN</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7954-2022</t>
        </is>
      </c>
      <c r="B1769" s="1" t="n">
        <v>44608</v>
      </c>
      <c r="C1769" s="1" t="n">
        <v>46046</v>
      </c>
      <c r="D1769" t="inlineStr">
        <is>
          <t>NORRBOTTENS LÄN</t>
        </is>
      </c>
      <c r="E1769" t="inlineStr">
        <is>
          <t>PAJALA</t>
        </is>
      </c>
      <c r="F1769" t="inlineStr">
        <is>
          <t>SCA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10851-2025</t>
        </is>
      </c>
      <c r="B1770" s="1" t="n">
        <v>45722</v>
      </c>
      <c r="C1770" s="1" t="n">
        <v>46046</v>
      </c>
      <c r="D1770" t="inlineStr">
        <is>
          <t>NORRBOTTENS LÄN</t>
        </is>
      </c>
      <c r="E1770" t="inlineStr">
        <is>
          <t>ARVIDSJAUR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1305-2025</t>
        </is>
      </c>
      <c r="B1771" s="1" t="n">
        <v>45667.55021990741</v>
      </c>
      <c r="C1771" s="1" t="n">
        <v>46046</v>
      </c>
      <c r="D1771" t="inlineStr">
        <is>
          <t>NORRBOTTENS LÄN</t>
        </is>
      </c>
      <c r="E1771" t="inlineStr">
        <is>
          <t>ÖVERTORNEÅ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33034-2023</t>
        </is>
      </c>
      <c r="B1772" s="1" t="n">
        <v>45125.95043981481</v>
      </c>
      <c r="C1772" s="1" t="n">
        <v>46046</v>
      </c>
      <c r="D1772" t="inlineStr">
        <is>
          <t>NORRBOTTENS LÄN</t>
        </is>
      </c>
      <c r="E1772" t="inlineStr">
        <is>
          <t>BODEN</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29604-2024</t>
        </is>
      </c>
      <c r="B1773" s="1" t="n">
        <v>45484.60921296296</v>
      </c>
      <c r="C1773" s="1" t="n">
        <v>46046</v>
      </c>
      <c r="D1773" t="inlineStr">
        <is>
          <t>NORRBOTTENS LÄN</t>
        </is>
      </c>
      <c r="E1773" t="inlineStr">
        <is>
          <t>PAJALA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26479-2024</t>
        </is>
      </c>
      <c r="B1774" s="1" t="n">
        <v>45468</v>
      </c>
      <c r="C1774" s="1" t="n">
        <v>46046</v>
      </c>
      <c r="D1774" t="inlineStr">
        <is>
          <t>NORRBOTTENS LÄN</t>
        </is>
      </c>
      <c r="E1774" t="inlineStr">
        <is>
          <t>ARJEPLOG</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42422-2024</t>
        </is>
      </c>
      <c r="B1775" s="1" t="n">
        <v>45565.38912037037</v>
      </c>
      <c r="C1775" s="1" t="n">
        <v>46046</v>
      </c>
      <c r="D1775" t="inlineStr">
        <is>
          <t>NORRBOTTENS LÄN</t>
        </is>
      </c>
      <c r="E1775" t="inlineStr">
        <is>
          <t>LULEÅ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42426-2024</t>
        </is>
      </c>
      <c r="B1776" s="1" t="n">
        <v>45565.39958333333</v>
      </c>
      <c r="C1776" s="1" t="n">
        <v>46046</v>
      </c>
      <c r="D1776" t="inlineStr">
        <is>
          <t>NORRBOTTENS LÄN</t>
        </is>
      </c>
      <c r="E1776" t="inlineStr">
        <is>
          <t>LULEÅ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32251-2024</t>
        </is>
      </c>
      <c r="B1777" s="1" t="n">
        <v>45511.95188657408</v>
      </c>
      <c r="C1777" s="1" t="n">
        <v>46046</v>
      </c>
      <c r="D1777" t="inlineStr">
        <is>
          <t>NORRBOTTENS LÄN</t>
        </is>
      </c>
      <c r="E1777" t="inlineStr">
        <is>
          <t>PITEÅ</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52984-2024</t>
        </is>
      </c>
      <c r="B1778" s="1" t="n">
        <v>45611</v>
      </c>
      <c r="C1778" s="1" t="n">
        <v>46046</v>
      </c>
      <c r="D1778" t="inlineStr">
        <is>
          <t>NORRBOTTENS LÄN</t>
        </is>
      </c>
      <c r="E1778" t="inlineStr">
        <is>
          <t>ÖVERKALIX</t>
        </is>
      </c>
      <c r="F1778" t="inlineStr">
        <is>
          <t>Sveaskog</t>
        </is>
      </c>
      <c r="G1778" t="n">
        <v>25.9</v>
      </c>
      <c r="H1778" t="n">
        <v>0</v>
      </c>
      <c r="I1778" t="n">
        <v>0</v>
      </c>
      <c r="J1778" t="n">
        <v>0</v>
      </c>
      <c r="K1778" t="n">
        <v>0</v>
      </c>
      <c r="L1778" t="n">
        <v>0</v>
      </c>
      <c r="M1778" t="n">
        <v>0</v>
      </c>
      <c r="N1778" t="n">
        <v>0</v>
      </c>
      <c r="O1778" t="n">
        <v>0</v>
      </c>
      <c r="P1778" t="n">
        <v>0</v>
      </c>
      <c r="Q1778" t="n">
        <v>0</v>
      </c>
      <c r="R1778" s="2" t="inlineStr"/>
    </row>
    <row r="1779" ht="15" customHeight="1">
      <c r="A1779" t="inlineStr">
        <is>
          <t>A 17838-2024</t>
        </is>
      </c>
      <c r="B1779" s="1" t="n">
        <v>45418</v>
      </c>
      <c r="C1779" s="1" t="n">
        <v>46046</v>
      </c>
      <c r="D1779" t="inlineStr">
        <is>
          <t>NORRBOTTENS LÄN</t>
        </is>
      </c>
      <c r="E1779" t="inlineStr">
        <is>
          <t>PITEÅ</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10608-2025</t>
        </is>
      </c>
      <c r="B1780" s="1" t="n">
        <v>45721</v>
      </c>
      <c r="C1780" s="1" t="n">
        <v>46046</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5342-2025</t>
        </is>
      </c>
      <c r="B1781" s="1" t="n">
        <v>45692.55262731481</v>
      </c>
      <c r="C1781" s="1" t="n">
        <v>46046</v>
      </c>
      <c r="D1781" t="inlineStr">
        <is>
          <t>NORRBOTTENS LÄN</t>
        </is>
      </c>
      <c r="E1781" t="inlineStr">
        <is>
          <t>LULEÅ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61210-2024</t>
        </is>
      </c>
      <c r="B1782" s="1" t="n">
        <v>45645</v>
      </c>
      <c r="C1782" s="1" t="n">
        <v>46046</v>
      </c>
      <c r="D1782" t="inlineStr">
        <is>
          <t>NORRBOTTENS LÄN</t>
        </is>
      </c>
      <c r="E1782" t="inlineStr">
        <is>
          <t>BODEN</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6841-2024</t>
        </is>
      </c>
      <c r="B1783" s="1" t="n">
        <v>45342</v>
      </c>
      <c r="C1783" s="1" t="n">
        <v>46046</v>
      </c>
      <c r="D1783" t="inlineStr">
        <is>
          <t>NORRBOTTENS LÄN</t>
        </is>
      </c>
      <c r="E1783" t="inlineStr">
        <is>
          <t>LULEÅ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38677-2024</t>
        </is>
      </c>
      <c r="B1784" s="1" t="n">
        <v>45547</v>
      </c>
      <c r="C1784" s="1" t="n">
        <v>46046</v>
      </c>
      <c r="D1784" t="inlineStr">
        <is>
          <t>NORRBOTTENS LÄN</t>
        </is>
      </c>
      <c r="E1784" t="inlineStr">
        <is>
          <t>ÖVERTORNEÅ</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21441-2021</t>
        </is>
      </c>
      <c r="B1785" s="1" t="n">
        <v>44321</v>
      </c>
      <c r="C1785" s="1" t="n">
        <v>46046</v>
      </c>
      <c r="D1785" t="inlineStr">
        <is>
          <t>NORRBOTTENS LÄN</t>
        </is>
      </c>
      <c r="E1785" t="inlineStr">
        <is>
          <t>GÄLLIVARE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46622-2021</t>
        </is>
      </c>
      <c r="B1786" s="1" t="n">
        <v>44445.56966435185</v>
      </c>
      <c r="C1786" s="1" t="n">
        <v>46046</v>
      </c>
      <c r="D1786" t="inlineStr">
        <is>
          <t>NORRBOTTENS LÄN</t>
        </is>
      </c>
      <c r="E1786" t="inlineStr">
        <is>
          <t>KALIX</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55455-2024</t>
        </is>
      </c>
      <c r="B1787" s="1" t="n">
        <v>45622.42421296296</v>
      </c>
      <c r="C1787" s="1" t="n">
        <v>46046</v>
      </c>
      <c r="D1787" t="inlineStr">
        <is>
          <t>NORRBOTTENS LÄN</t>
        </is>
      </c>
      <c r="E1787" t="inlineStr">
        <is>
          <t>ÖVERTORNEÅ</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16233-2023</t>
        </is>
      </c>
      <c r="B1788" s="1" t="n">
        <v>45028</v>
      </c>
      <c r="C1788" s="1" t="n">
        <v>46046</v>
      </c>
      <c r="D1788" t="inlineStr">
        <is>
          <t>NORRBOTTENS LÄN</t>
        </is>
      </c>
      <c r="E1788" t="inlineStr">
        <is>
          <t>PITEÅ</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46722-2024</t>
        </is>
      </c>
      <c r="B1789" s="1" t="n">
        <v>45583.4578125</v>
      </c>
      <c r="C1789" s="1" t="n">
        <v>46046</v>
      </c>
      <c r="D1789" t="inlineStr">
        <is>
          <t>NORRBOTTENS LÄN</t>
        </is>
      </c>
      <c r="E1789" t="inlineStr">
        <is>
          <t>PITEÅ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41982-2023</t>
        </is>
      </c>
      <c r="B1790" s="1" t="n">
        <v>45177.40446759259</v>
      </c>
      <c r="C1790" s="1" t="n">
        <v>46046</v>
      </c>
      <c r="D1790" t="inlineStr">
        <is>
          <t>NORRBOTTENS LÄN</t>
        </is>
      </c>
      <c r="E1790" t="inlineStr">
        <is>
          <t>PITEÅ</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58007-2024</t>
        </is>
      </c>
      <c r="B1791" s="1" t="n">
        <v>45631</v>
      </c>
      <c r="C1791" s="1" t="n">
        <v>46046</v>
      </c>
      <c r="D1791" t="inlineStr">
        <is>
          <t>NORRBOTTENS LÄN</t>
        </is>
      </c>
      <c r="E1791" t="inlineStr">
        <is>
          <t>ÄLVSBYN</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55245-2024</t>
        </is>
      </c>
      <c r="B1792" s="1" t="n">
        <v>45621.59041666667</v>
      </c>
      <c r="C1792" s="1" t="n">
        <v>46046</v>
      </c>
      <c r="D1792" t="inlineStr">
        <is>
          <t>NORRBOTTENS LÄN</t>
        </is>
      </c>
      <c r="E1792" t="inlineStr">
        <is>
          <t>ÖVERTORNEÅ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61570-2023</t>
        </is>
      </c>
      <c r="B1793" s="1" t="n">
        <v>45261</v>
      </c>
      <c r="C1793" s="1" t="n">
        <v>46046</v>
      </c>
      <c r="D1793" t="inlineStr">
        <is>
          <t>NORRBOTTENS LÄN</t>
        </is>
      </c>
      <c r="E1793" t="inlineStr">
        <is>
          <t>HAPARANDA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15291-2025</t>
        </is>
      </c>
      <c r="B1794" s="1" t="n">
        <v>45743</v>
      </c>
      <c r="C1794" s="1" t="n">
        <v>46046</v>
      </c>
      <c r="D1794" t="inlineStr">
        <is>
          <t>NORRBOTTENS LÄN</t>
        </is>
      </c>
      <c r="E1794" t="inlineStr">
        <is>
          <t>ÖVERTORNEÅ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51171-2023</t>
        </is>
      </c>
      <c r="B1795" s="1" t="n">
        <v>45219.3849537037</v>
      </c>
      <c r="C1795" s="1" t="n">
        <v>46046</v>
      </c>
      <c r="D1795" t="inlineStr">
        <is>
          <t>NORRBOTTENS LÄN</t>
        </is>
      </c>
      <c r="E1795" t="inlineStr">
        <is>
          <t>PITEÅ</t>
        </is>
      </c>
      <c r="F1795" t="inlineStr">
        <is>
          <t>Sveaskog</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20649-2025</t>
        </is>
      </c>
      <c r="B1796" s="1" t="n">
        <v>45776.3900462963</v>
      </c>
      <c r="C1796" s="1" t="n">
        <v>46046</v>
      </c>
      <c r="D1796" t="inlineStr">
        <is>
          <t>NORRBOTTENS LÄN</t>
        </is>
      </c>
      <c r="E1796" t="inlineStr">
        <is>
          <t>PITEÅ</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50329-2024</t>
        </is>
      </c>
      <c r="B1797" s="1" t="n">
        <v>45600.69767361111</v>
      </c>
      <c r="C1797" s="1" t="n">
        <v>46046</v>
      </c>
      <c r="D1797" t="inlineStr">
        <is>
          <t>NORRBOTTENS LÄN</t>
        </is>
      </c>
      <c r="E1797" t="inlineStr">
        <is>
          <t>PITEÅ</t>
        </is>
      </c>
      <c r="F1797" t="inlineStr">
        <is>
          <t>Sveaskog</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36138-2021</t>
        </is>
      </c>
      <c r="B1798" s="1" t="n">
        <v>44392</v>
      </c>
      <c r="C1798" s="1" t="n">
        <v>46046</v>
      </c>
      <c r="D1798" t="inlineStr">
        <is>
          <t>NORRBOTTENS LÄN</t>
        </is>
      </c>
      <c r="E1798" t="inlineStr">
        <is>
          <t>BODEN</t>
        </is>
      </c>
      <c r="G1798" t="n">
        <v>18.5</v>
      </c>
      <c r="H1798" t="n">
        <v>0</v>
      </c>
      <c r="I1798" t="n">
        <v>0</v>
      </c>
      <c r="J1798" t="n">
        <v>0</v>
      </c>
      <c r="K1798" t="n">
        <v>0</v>
      </c>
      <c r="L1798" t="n">
        <v>0</v>
      </c>
      <c r="M1798" t="n">
        <v>0</v>
      </c>
      <c r="N1798" t="n">
        <v>0</v>
      </c>
      <c r="O1798" t="n">
        <v>0</v>
      </c>
      <c r="P1798" t="n">
        <v>0</v>
      </c>
      <c r="Q1798" t="n">
        <v>0</v>
      </c>
      <c r="R1798" s="2" t="inlineStr"/>
    </row>
    <row r="1799" ht="15" customHeight="1">
      <c r="A1799" t="inlineStr">
        <is>
          <t>A 60403-2023</t>
        </is>
      </c>
      <c r="B1799" s="1" t="n">
        <v>45259.46042824074</v>
      </c>
      <c r="C1799" s="1" t="n">
        <v>46046</v>
      </c>
      <c r="D1799" t="inlineStr">
        <is>
          <t>NORRBOTTENS LÄN</t>
        </is>
      </c>
      <c r="E1799" t="inlineStr">
        <is>
          <t>KALIX</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10528-2023</t>
        </is>
      </c>
      <c r="B1800" s="1" t="n">
        <v>44987</v>
      </c>
      <c r="C1800" s="1" t="n">
        <v>46046</v>
      </c>
      <c r="D1800" t="inlineStr">
        <is>
          <t>NORRBOTTENS LÄN</t>
        </is>
      </c>
      <c r="E1800" t="inlineStr">
        <is>
          <t>ÖVERTORNEÅ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2040-2025</t>
        </is>
      </c>
      <c r="B1801" s="1" t="n">
        <v>45671</v>
      </c>
      <c r="C1801" s="1" t="n">
        <v>46046</v>
      </c>
      <c r="D1801" t="inlineStr">
        <is>
          <t>NORRBOTTENS LÄN</t>
        </is>
      </c>
      <c r="E1801" t="inlineStr">
        <is>
          <t>JOKKMOKK</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21058-2025</t>
        </is>
      </c>
      <c r="B1802" s="1" t="n">
        <v>45777.5744212963</v>
      </c>
      <c r="C1802" s="1" t="n">
        <v>46046</v>
      </c>
      <c r="D1802" t="inlineStr">
        <is>
          <t>NORRBOTTENS LÄN</t>
        </is>
      </c>
      <c r="E1802" t="inlineStr">
        <is>
          <t>PAJALA</t>
        </is>
      </c>
      <c r="F1802" t="inlineStr">
        <is>
          <t>Sveaskog</t>
        </is>
      </c>
      <c r="G1802" t="n">
        <v>44.2</v>
      </c>
      <c r="H1802" t="n">
        <v>0</v>
      </c>
      <c r="I1802" t="n">
        <v>0</v>
      </c>
      <c r="J1802" t="n">
        <v>0</v>
      </c>
      <c r="K1802" t="n">
        <v>0</v>
      </c>
      <c r="L1802" t="n">
        <v>0</v>
      </c>
      <c r="M1802" t="n">
        <v>0</v>
      </c>
      <c r="N1802" t="n">
        <v>0</v>
      </c>
      <c r="O1802" t="n">
        <v>0</v>
      </c>
      <c r="P1802" t="n">
        <v>0</v>
      </c>
      <c r="Q1802" t="n">
        <v>0</v>
      </c>
      <c r="R1802" s="2" t="inlineStr"/>
    </row>
    <row r="1803" ht="15" customHeight="1">
      <c r="A1803" t="inlineStr">
        <is>
          <t>A 59849-2021</t>
        </is>
      </c>
      <c r="B1803" s="1" t="n">
        <v>44493</v>
      </c>
      <c r="C1803" s="1" t="n">
        <v>46046</v>
      </c>
      <c r="D1803" t="inlineStr">
        <is>
          <t>NORRBOTTENS LÄN</t>
        </is>
      </c>
      <c r="E1803" t="inlineStr">
        <is>
          <t>JOKKMOKK</t>
        </is>
      </c>
      <c r="F1803" t="inlineStr">
        <is>
          <t>Övriga Aktiebolag</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2768-2025</t>
        </is>
      </c>
      <c r="B1804" s="1" t="n">
        <v>45677.49145833333</v>
      </c>
      <c r="C1804" s="1" t="n">
        <v>46046</v>
      </c>
      <c r="D1804" t="inlineStr">
        <is>
          <t>NORRBOTTENS LÄN</t>
        </is>
      </c>
      <c r="E1804" t="inlineStr">
        <is>
          <t>PITEÅ</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61214-2024</t>
        </is>
      </c>
      <c r="B1805" s="1" t="n">
        <v>45645</v>
      </c>
      <c r="C1805" s="1" t="n">
        <v>46046</v>
      </c>
      <c r="D1805" t="inlineStr">
        <is>
          <t>NORRBOTTENS LÄN</t>
        </is>
      </c>
      <c r="E1805" t="inlineStr">
        <is>
          <t>BODEN</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4254-2025</t>
        </is>
      </c>
      <c r="B1806" s="1" t="n">
        <v>45685</v>
      </c>
      <c r="C1806" s="1" t="n">
        <v>46046</v>
      </c>
      <c r="D1806" t="inlineStr">
        <is>
          <t>NORRBOTTENS LÄN</t>
        </is>
      </c>
      <c r="E1806" t="inlineStr">
        <is>
          <t>BODEN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58877-2021</t>
        </is>
      </c>
      <c r="B1807" s="1" t="n">
        <v>44489</v>
      </c>
      <c r="C1807" s="1" t="n">
        <v>46046</v>
      </c>
      <c r="D1807" t="inlineStr">
        <is>
          <t>NORRBOTTENS LÄN</t>
        </is>
      </c>
      <c r="E1807" t="inlineStr">
        <is>
          <t>BODEN</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50103-2024</t>
        </is>
      </c>
      <c r="B1808" s="1" t="n">
        <v>45600.3993287037</v>
      </c>
      <c r="C1808" s="1" t="n">
        <v>46046</v>
      </c>
      <c r="D1808" t="inlineStr">
        <is>
          <t>NORRBOTTENS LÄN</t>
        </is>
      </c>
      <c r="E1808" t="inlineStr">
        <is>
          <t>BODEN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50107-2024</t>
        </is>
      </c>
      <c r="B1809" s="1" t="n">
        <v>45600.40488425926</v>
      </c>
      <c r="C1809" s="1" t="n">
        <v>46046</v>
      </c>
      <c r="D1809" t="inlineStr">
        <is>
          <t>NORRBOTTENS LÄN</t>
        </is>
      </c>
      <c r="E1809" t="inlineStr">
        <is>
          <t>BODEN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50132-2024</t>
        </is>
      </c>
      <c r="B1810" s="1" t="n">
        <v>45600.43767361111</v>
      </c>
      <c r="C1810" s="1" t="n">
        <v>46046</v>
      </c>
      <c r="D1810" t="inlineStr">
        <is>
          <t>NORRBOTTENS LÄN</t>
        </is>
      </c>
      <c r="E1810" t="inlineStr">
        <is>
          <t>KALIX</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40155-2024</t>
        </is>
      </c>
      <c r="B1811" s="1" t="n">
        <v>45554</v>
      </c>
      <c r="C1811" s="1" t="n">
        <v>46046</v>
      </c>
      <c r="D1811" t="inlineStr">
        <is>
          <t>NORRBOTTENS LÄN</t>
        </is>
      </c>
      <c r="E1811" t="inlineStr">
        <is>
          <t>ÖVERKALIX</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3799-2025</t>
        </is>
      </c>
      <c r="B1812" s="1" t="n">
        <v>45681.65606481482</v>
      </c>
      <c r="C1812" s="1" t="n">
        <v>46046</v>
      </c>
      <c r="D1812" t="inlineStr">
        <is>
          <t>NORRBOTTENS LÄN</t>
        </is>
      </c>
      <c r="E1812" t="inlineStr">
        <is>
          <t>KALIX</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56024-2022</t>
        </is>
      </c>
      <c r="B1813" s="1" t="n">
        <v>44889.53895833333</v>
      </c>
      <c r="C1813" s="1" t="n">
        <v>46046</v>
      </c>
      <c r="D1813" t="inlineStr">
        <is>
          <t>NORRBOTTENS LÄN</t>
        </is>
      </c>
      <c r="E1813" t="inlineStr">
        <is>
          <t>HAPARANDA</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33600-2024</t>
        </is>
      </c>
      <c r="B1814" s="1" t="n">
        <v>45520</v>
      </c>
      <c r="C1814" s="1" t="n">
        <v>46046</v>
      </c>
      <c r="D1814" t="inlineStr">
        <is>
          <t>NORRBOTTENS LÄN</t>
        </is>
      </c>
      <c r="E1814" t="inlineStr">
        <is>
          <t>ÖVERTORNEÅ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64571-2023</t>
        </is>
      </c>
      <c r="B1815" s="1" t="n">
        <v>45281.434375</v>
      </c>
      <c r="C1815" s="1" t="n">
        <v>46046</v>
      </c>
      <c r="D1815" t="inlineStr">
        <is>
          <t>NORRBOTTENS LÄN</t>
        </is>
      </c>
      <c r="E1815" t="inlineStr">
        <is>
          <t>PITEÅ</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20884-2025</t>
        </is>
      </c>
      <c r="B1816" s="1" t="n">
        <v>45777</v>
      </c>
      <c r="C1816" s="1" t="n">
        <v>46046</v>
      </c>
      <c r="D1816" t="inlineStr">
        <is>
          <t>NORRBOTTENS LÄN</t>
        </is>
      </c>
      <c r="E1816" t="inlineStr">
        <is>
          <t>GÄLLIVARE</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58953-2024</t>
        </is>
      </c>
      <c r="B1817" s="1" t="n">
        <v>45636.56960648148</v>
      </c>
      <c r="C1817" s="1" t="n">
        <v>46046</v>
      </c>
      <c r="D1817" t="inlineStr">
        <is>
          <t>NORRBOTTENS LÄN</t>
        </is>
      </c>
      <c r="E1817" t="inlineStr">
        <is>
          <t>HAPARANDA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58973-2024</t>
        </is>
      </c>
      <c r="B1818" s="1" t="n">
        <v>45636.60680555556</v>
      </c>
      <c r="C1818" s="1" t="n">
        <v>46046</v>
      </c>
      <c r="D1818" t="inlineStr">
        <is>
          <t>NORRBOTTENS LÄN</t>
        </is>
      </c>
      <c r="E1818" t="inlineStr">
        <is>
          <t>PITEÅ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11716-2023</t>
        </is>
      </c>
      <c r="B1819" s="1" t="n">
        <v>44992</v>
      </c>
      <c r="C1819" s="1" t="n">
        <v>46046</v>
      </c>
      <c r="D1819" t="inlineStr">
        <is>
          <t>NORRBOTTENS LÄN</t>
        </is>
      </c>
      <c r="E1819" t="inlineStr">
        <is>
          <t>LULEÅ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11622-2025</t>
        </is>
      </c>
      <c r="B1820" s="1" t="n">
        <v>45727.45553240741</v>
      </c>
      <c r="C1820" s="1" t="n">
        <v>46046</v>
      </c>
      <c r="D1820" t="inlineStr">
        <is>
          <t>NORRBOTTENS LÄN</t>
        </is>
      </c>
      <c r="E1820" t="inlineStr">
        <is>
          <t>ÖVERTORNEÅ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39760-2022</t>
        </is>
      </c>
      <c r="B1821" s="1" t="n">
        <v>44819</v>
      </c>
      <c r="C1821" s="1" t="n">
        <v>46046</v>
      </c>
      <c r="D1821" t="inlineStr">
        <is>
          <t>NORRBOTTENS LÄN</t>
        </is>
      </c>
      <c r="E1821" t="inlineStr">
        <is>
          <t>ARVIDSJAUR</t>
        </is>
      </c>
      <c r="F1821" t="inlineStr">
        <is>
          <t>Sveaskog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22997-2024</t>
        </is>
      </c>
      <c r="B1822" s="1" t="n">
        <v>45450</v>
      </c>
      <c r="C1822" s="1" t="n">
        <v>46046</v>
      </c>
      <c r="D1822" t="inlineStr">
        <is>
          <t>NORRBOTTENS LÄN</t>
        </is>
      </c>
      <c r="E1822" t="inlineStr">
        <is>
          <t>ARVIDSJAUR</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13925-2024</t>
        </is>
      </c>
      <c r="B1823" s="1" t="n">
        <v>45391.93160879629</v>
      </c>
      <c r="C1823" s="1" t="n">
        <v>46046</v>
      </c>
      <c r="D1823" t="inlineStr">
        <is>
          <t>NORRBOTTENS LÄN</t>
        </is>
      </c>
      <c r="E1823" t="inlineStr">
        <is>
          <t>BODEN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39619-2022</t>
        </is>
      </c>
      <c r="B1824" s="1" t="n">
        <v>44818</v>
      </c>
      <c r="C1824" s="1" t="n">
        <v>46046</v>
      </c>
      <c r="D1824" t="inlineStr">
        <is>
          <t>NORRBOTTENS LÄN</t>
        </is>
      </c>
      <c r="E1824" t="inlineStr">
        <is>
          <t>ARVIDSJAUR</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39271-2023</t>
        </is>
      </c>
      <c r="B1825" s="1" t="n">
        <v>45162</v>
      </c>
      <c r="C1825" s="1" t="n">
        <v>46046</v>
      </c>
      <c r="D1825" t="inlineStr">
        <is>
          <t>NORRBOTTENS LÄN</t>
        </is>
      </c>
      <c r="E1825" t="inlineStr">
        <is>
          <t>KIRUNA</t>
        </is>
      </c>
      <c r="G1825" t="n">
        <v>51.9</v>
      </c>
      <c r="H1825" t="n">
        <v>0</v>
      </c>
      <c r="I1825" t="n">
        <v>0</v>
      </c>
      <c r="J1825" t="n">
        <v>0</v>
      </c>
      <c r="K1825" t="n">
        <v>0</v>
      </c>
      <c r="L1825" t="n">
        <v>0</v>
      </c>
      <c r="M1825" t="n">
        <v>0</v>
      </c>
      <c r="N1825" t="n">
        <v>0</v>
      </c>
      <c r="O1825" t="n">
        <v>0</v>
      </c>
      <c r="P1825" t="n">
        <v>0</v>
      </c>
      <c r="Q1825" t="n">
        <v>0</v>
      </c>
      <c r="R1825" s="2" t="inlineStr"/>
    </row>
    <row r="1826" ht="15" customHeight="1">
      <c r="A1826" t="inlineStr">
        <is>
          <t>A 7273-2021</t>
        </is>
      </c>
      <c r="B1826" s="1" t="n">
        <v>44238</v>
      </c>
      <c r="C1826" s="1" t="n">
        <v>46046</v>
      </c>
      <c r="D1826" t="inlineStr">
        <is>
          <t>NORRBOTTENS LÄN</t>
        </is>
      </c>
      <c r="E1826" t="inlineStr">
        <is>
          <t>JOKKMOKK</t>
        </is>
      </c>
      <c r="F1826" t="inlineStr">
        <is>
          <t>Övriga statliga verk och myndigheter</t>
        </is>
      </c>
      <c r="G1826" t="n">
        <v>19.8</v>
      </c>
      <c r="H1826" t="n">
        <v>0</v>
      </c>
      <c r="I1826" t="n">
        <v>0</v>
      </c>
      <c r="J1826" t="n">
        <v>0</v>
      </c>
      <c r="K1826" t="n">
        <v>0</v>
      </c>
      <c r="L1826" t="n">
        <v>0</v>
      </c>
      <c r="M1826" t="n">
        <v>0</v>
      </c>
      <c r="N1826" t="n">
        <v>0</v>
      </c>
      <c r="O1826" t="n">
        <v>0</v>
      </c>
      <c r="P1826" t="n">
        <v>0</v>
      </c>
      <c r="Q1826" t="n">
        <v>0</v>
      </c>
      <c r="R1826" s="2" t="inlineStr"/>
    </row>
    <row r="1827" ht="15" customHeight="1">
      <c r="A1827" t="inlineStr">
        <is>
          <t>A 62949-2023</t>
        </is>
      </c>
      <c r="B1827" s="1" t="n">
        <v>45272.54651620371</v>
      </c>
      <c r="C1827" s="1" t="n">
        <v>46046</v>
      </c>
      <c r="D1827" t="inlineStr">
        <is>
          <t>NORRBOTTENS LÄN</t>
        </is>
      </c>
      <c r="E1827" t="inlineStr">
        <is>
          <t>GÄLLIVARE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20668-2025</t>
        </is>
      </c>
      <c r="B1828" s="1" t="n">
        <v>45776.43038194445</v>
      </c>
      <c r="C1828" s="1" t="n">
        <v>46046</v>
      </c>
      <c r="D1828" t="inlineStr">
        <is>
          <t>NORRBOTTENS LÄN</t>
        </is>
      </c>
      <c r="E1828" t="inlineStr">
        <is>
          <t>PITEÅ</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62763-2021</t>
        </is>
      </c>
      <c r="B1829" s="1" t="n">
        <v>44504</v>
      </c>
      <c r="C1829" s="1" t="n">
        <v>46046</v>
      </c>
      <c r="D1829" t="inlineStr">
        <is>
          <t>NORRBOTTENS LÄN</t>
        </is>
      </c>
      <c r="E1829" t="inlineStr">
        <is>
          <t>PAJALA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28358-2024</t>
        </is>
      </c>
      <c r="B1830" s="1" t="n">
        <v>45477</v>
      </c>
      <c r="C1830" s="1" t="n">
        <v>46046</v>
      </c>
      <c r="D1830" t="inlineStr">
        <is>
          <t>NORRBOTTENS LÄN</t>
        </is>
      </c>
      <c r="E1830" t="inlineStr">
        <is>
          <t>ÄLVSBYN</t>
        </is>
      </c>
      <c r="F1830" t="inlineStr">
        <is>
          <t>Sveaskog</t>
        </is>
      </c>
      <c r="G1830" t="n">
        <v>40.6</v>
      </c>
      <c r="H1830" t="n">
        <v>0</v>
      </c>
      <c r="I1830" t="n">
        <v>0</v>
      </c>
      <c r="J1830" t="n">
        <v>0</v>
      </c>
      <c r="K1830" t="n">
        <v>0</v>
      </c>
      <c r="L1830" t="n">
        <v>0</v>
      </c>
      <c r="M1830" t="n">
        <v>0</v>
      </c>
      <c r="N1830" t="n">
        <v>0</v>
      </c>
      <c r="O1830" t="n">
        <v>0</v>
      </c>
      <c r="P1830" t="n">
        <v>0</v>
      </c>
      <c r="Q1830" t="n">
        <v>0</v>
      </c>
      <c r="R1830" s="2" t="inlineStr"/>
    </row>
    <row r="1831" ht="15" customHeight="1">
      <c r="A1831" t="inlineStr">
        <is>
          <t>A 53331-2021</t>
        </is>
      </c>
      <c r="B1831" s="1" t="n">
        <v>44468</v>
      </c>
      <c r="C1831" s="1" t="n">
        <v>46046</v>
      </c>
      <c r="D1831" t="inlineStr">
        <is>
          <t>NORRBOTTENS LÄN</t>
        </is>
      </c>
      <c r="E1831" t="inlineStr">
        <is>
          <t>PITEÅ</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46308-2022</t>
        </is>
      </c>
      <c r="B1832" s="1" t="n">
        <v>44847</v>
      </c>
      <c r="C1832" s="1" t="n">
        <v>46046</v>
      </c>
      <c r="D1832" t="inlineStr">
        <is>
          <t>NORRBOTTENS LÄN</t>
        </is>
      </c>
      <c r="E1832" t="inlineStr">
        <is>
          <t>ÄLVSBYN</t>
        </is>
      </c>
      <c r="G1832" t="n">
        <v>18.7</v>
      </c>
      <c r="H1832" t="n">
        <v>0</v>
      </c>
      <c r="I1832" t="n">
        <v>0</v>
      </c>
      <c r="J1832" t="n">
        <v>0</v>
      </c>
      <c r="K1832" t="n">
        <v>0</v>
      </c>
      <c r="L1832" t="n">
        <v>0</v>
      </c>
      <c r="M1832" t="n">
        <v>0</v>
      </c>
      <c r="N1832" t="n">
        <v>0</v>
      </c>
      <c r="O1832" t="n">
        <v>0</v>
      </c>
      <c r="P1832" t="n">
        <v>0</v>
      </c>
      <c r="Q1832" t="n">
        <v>0</v>
      </c>
      <c r="R1832" s="2" t="inlineStr"/>
    </row>
    <row r="1833" ht="15" customHeight="1">
      <c r="A1833" t="inlineStr">
        <is>
          <t>A 58504-2024</t>
        </is>
      </c>
      <c r="B1833" s="1" t="n">
        <v>45635.41479166667</v>
      </c>
      <c r="C1833" s="1" t="n">
        <v>46046</v>
      </c>
      <c r="D1833" t="inlineStr">
        <is>
          <t>NORRBOTTENS LÄN</t>
        </is>
      </c>
      <c r="E1833" t="inlineStr">
        <is>
          <t>BODEN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63155-2021</t>
        </is>
      </c>
      <c r="B1834" s="1" t="n">
        <v>44505</v>
      </c>
      <c r="C1834" s="1" t="n">
        <v>46046</v>
      </c>
      <c r="D1834" t="inlineStr">
        <is>
          <t>NORRBOTTENS LÄN</t>
        </is>
      </c>
      <c r="E1834" t="inlineStr">
        <is>
          <t>GÄLLIVARE</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69202-2021</t>
        </is>
      </c>
      <c r="B1835" s="1" t="n">
        <v>44529</v>
      </c>
      <c r="C1835" s="1" t="n">
        <v>46046</v>
      </c>
      <c r="D1835" t="inlineStr">
        <is>
          <t>NORRBOTTENS LÄN</t>
        </is>
      </c>
      <c r="E1835" t="inlineStr">
        <is>
          <t>KALIX</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26181-2024</t>
        </is>
      </c>
      <c r="B1836" s="1" t="n">
        <v>45467</v>
      </c>
      <c r="C1836" s="1" t="n">
        <v>46046</v>
      </c>
      <c r="D1836" t="inlineStr">
        <is>
          <t>NORRBOTTENS LÄN</t>
        </is>
      </c>
      <c r="E1836" t="inlineStr">
        <is>
          <t>ÖVERTORNEÅ</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7901-2024</t>
        </is>
      </c>
      <c r="B1837" s="1" t="n">
        <v>45350.42581018519</v>
      </c>
      <c r="C1837" s="1" t="n">
        <v>46046</v>
      </c>
      <c r="D1837" t="inlineStr">
        <is>
          <t>NORRBOTTENS LÄN</t>
        </is>
      </c>
      <c r="E1837" t="inlineStr">
        <is>
          <t>PITEÅ</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7905-2024</t>
        </is>
      </c>
      <c r="B1838" s="1" t="n">
        <v>45350.4345949074</v>
      </c>
      <c r="C1838" s="1" t="n">
        <v>46046</v>
      </c>
      <c r="D1838" t="inlineStr">
        <is>
          <t>NORRBOTTENS LÄN</t>
        </is>
      </c>
      <c r="E1838" t="inlineStr">
        <is>
          <t>PITEÅ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20764-2025</t>
        </is>
      </c>
      <c r="B1839" s="1" t="n">
        <v>45776</v>
      </c>
      <c r="C1839" s="1" t="n">
        <v>46046</v>
      </c>
      <c r="D1839" t="inlineStr">
        <is>
          <t>NORRBOTTENS LÄN</t>
        </is>
      </c>
      <c r="E1839" t="inlineStr">
        <is>
          <t>KIRUNA</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20879-2025</t>
        </is>
      </c>
      <c r="B1840" s="1" t="n">
        <v>45777</v>
      </c>
      <c r="C1840" s="1" t="n">
        <v>46046</v>
      </c>
      <c r="D1840" t="inlineStr">
        <is>
          <t>NORRBOTTENS LÄN</t>
        </is>
      </c>
      <c r="E1840" t="inlineStr">
        <is>
          <t>ÄLVSBYN</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15081-2021</t>
        </is>
      </c>
      <c r="B1841" s="1" t="n">
        <v>44281</v>
      </c>
      <c r="C1841" s="1" t="n">
        <v>46046</v>
      </c>
      <c r="D1841" t="inlineStr">
        <is>
          <t>NORRBOTTENS LÄN</t>
        </is>
      </c>
      <c r="E1841" t="inlineStr">
        <is>
          <t>PITEÅ</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24653-2024</t>
        </is>
      </c>
      <c r="B1842" s="1" t="n">
        <v>45460</v>
      </c>
      <c r="C1842" s="1" t="n">
        <v>46046</v>
      </c>
      <c r="D1842" t="inlineStr">
        <is>
          <t>NORRBOTTENS LÄN</t>
        </is>
      </c>
      <c r="E1842" t="inlineStr">
        <is>
          <t>ÖVERTORNEÅ</t>
        </is>
      </c>
      <c r="F1842" t="inlineStr">
        <is>
          <t>Sveaskog</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24658-2024</t>
        </is>
      </c>
      <c r="B1843" s="1" t="n">
        <v>45460</v>
      </c>
      <c r="C1843" s="1" t="n">
        <v>46046</v>
      </c>
      <c r="D1843" t="inlineStr">
        <is>
          <t>NORRBOTTENS LÄN</t>
        </is>
      </c>
      <c r="E1843" t="inlineStr">
        <is>
          <t>ÖVERTORNEÅ</t>
        </is>
      </c>
      <c r="F1843" t="inlineStr">
        <is>
          <t>Sveaskog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2290-2023</t>
        </is>
      </c>
      <c r="B1844" s="1" t="n">
        <v>44942</v>
      </c>
      <c r="C1844" s="1" t="n">
        <v>46046</v>
      </c>
      <c r="D1844" t="inlineStr">
        <is>
          <t>NORRBOTTENS LÄN</t>
        </is>
      </c>
      <c r="E1844" t="inlineStr">
        <is>
          <t>ÄLVSBYN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57823-2022</t>
        </is>
      </c>
      <c r="B1845" s="1" t="n">
        <v>44897</v>
      </c>
      <c r="C1845" s="1" t="n">
        <v>46046</v>
      </c>
      <c r="D1845" t="inlineStr">
        <is>
          <t>NORRBOTTENS LÄN</t>
        </is>
      </c>
      <c r="E1845" t="inlineStr">
        <is>
          <t>LULEÅ</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57825-2022</t>
        </is>
      </c>
      <c r="B1846" s="1" t="n">
        <v>44897</v>
      </c>
      <c r="C1846" s="1" t="n">
        <v>46046</v>
      </c>
      <c r="D1846" t="inlineStr">
        <is>
          <t>NORRBOTTENS LÄN</t>
        </is>
      </c>
      <c r="E1846" t="inlineStr">
        <is>
          <t>LULEÅ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36361-2024</t>
        </is>
      </c>
      <c r="B1847" s="1" t="n">
        <v>45534.64626157407</v>
      </c>
      <c r="C1847" s="1" t="n">
        <v>46046</v>
      </c>
      <c r="D1847" t="inlineStr">
        <is>
          <t>NORRBOTTENS LÄN</t>
        </is>
      </c>
      <c r="E1847" t="inlineStr">
        <is>
          <t>JOKKMOKK</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62851-2021</t>
        </is>
      </c>
      <c r="B1848" s="1" t="n">
        <v>44504</v>
      </c>
      <c r="C1848" s="1" t="n">
        <v>46046</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61720-2023</t>
        </is>
      </c>
      <c r="B1849" s="1" t="n">
        <v>45265</v>
      </c>
      <c r="C1849" s="1" t="n">
        <v>46046</v>
      </c>
      <c r="D1849" t="inlineStr">
        <is>
          <t>NORRBOTTENS LÄN</t>
        </is>
      </c>
      <c r="E1849" t="inlineStr">
        <is>
          <t>KALIX</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37789-2024</t>
        </is>
      </c>
      <c r="B1850" s="1" t="n">
        <v>45543.29166666666</v>
      </c>
      <c r="C1850" s="1" t="n">
        <v>46046</v>
      </c>
      <c r="D1850" t="inlineStr">
        <is>
          <t>NORRBOTTENS LÄN</t>
        </is>
      </c>
      <c r="E1850" t="inlineStr">
        <is>
          <t>ÖVERTORNEÅ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4937-2024</t>
        </is>
      </c>
      <c r="B1851" s="1" t="n">
        <v>45329</v>
      </c>
      <c r="C1851" s="1" t="n">
        <v>46046</v>
      </c>
      <c r="D1851" t="inlineStr">
        <is>
          <t>NORRBOTTENS LÄN</t>
        </is>
      </c>
      <c r="E1851" t="inlineStr">
        <is>
          <t>ARVIDSJAUR</t>
        </is>
      </c>
      <c r="F1851" t="inlineStr">
        <is>
          <t>Sveaskog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21053-2025</t>
        </is>
      </c>
      <c r="B1852" s="1" t="n">
        <v>45777.5672337963</v>
      </c>
      <c r="C1852" s="1" t="n">
        <v>46046</v>
      </c>
      <c r="D1852" t="inlineStr">
        <is>
          <t>NORRBOTTENS LÄN</t>
        </is>
      </c>
      <c r="E1852" t="inlineStr">
        <is>
          <t>ÖVERKALIX</t>
        </is>
      </c>
      <c r="F1852" t="inlineStr">
        <is>
          <t>Sveaskog</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17962-2024</t>
        </is>
      </c>
      <c r="B1853" s="1" t="n">
        <v>45419</v>
      </c>
      <c r="C1853" s="1" t="n">
        <v>46046</v>
      </c>
      <c r="D1853" t="inlineStr">
        <is>
          <t>NORRBOTTENS LÄN</t>
        </is>
      </c>
      <c r="E1853" t="inlineStr">
        <is>
          <t>BODEN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27303-2022</t>
        </is>
      </c>
      <c r="B1854" s="1" t="n">
        <v>44741</v>
      </c>
      <c r="C1854" s="1" t="n">
        <v>46046</v>
      </c>
      <c r="D1854" t="inlineStr">
        <is>
          <t>NORRBOTTENS LÄN</t>
        </is>
      </c>
      <c r="E1854" t="inlineStr">
        <is>
          <t>LULEÅ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33908-2021</t>
        </is>
      </c>
      <c r="B1855" s="1" t="n">
        <v>44378</v>
      </c>
      <c r="C1855" s="1" t="n">
        <v>46046</v>
      </c>
      <c r="D1855" t="inlineStr">
        <is>
          <t>NORRBOTTENS LÄN</t>
        </is>
      </c>
      <c r="E1855" t="inlineStr">
        <is>
          <t>BODEN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51845-2023</t>
        </is>
      </c>
      <c r="B1856" s="1" t="n">
        <v>45215</v>
      </c>
      <c r="C1856" s="1" t="n">
        <v>46046</v>
      </c>
      <c r="D1856" t="inlineStr">
        <is>
          <t>NORRBOTTENS LÄN</t>
        </is>
      </c>
      <c r="E1856" t="inlineStr">
        <is>
          <t>KALIX</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62135-2023</t>
        </is>
      </c>
      <c r="B1857" s="1" t="n">
        <v>45266</v>
      </c>
      <c r="C1857" s="1" t="n">
        <v>46046</v>
      </c>
      <c r="D1857" t="inlineStr">
        <is>
          <t>NORRBOTTENS LÄN</t>
        </is>
      </c>
      <c r="E1857" t="inlineStr">
        <is>
          <t>KALIX</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20895-2025</t>
        </is>
      </c>
      <c r="B1858" s="1" t="n">
        <v>45777.39760416667</v>
      </c>
      <c r="C1858" s="1" t="n">
        <v>46046</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61783-2023</t>
        </is>
      </c>
      <c r="B1859" s="1" t="n">
        <v>45265.95695601852</v>
      </c>
      <c r="C1859" s="1" t="n">
        <v>46046</v>
      </c>
      <c r="D1859" t="inlineStr">
        <is>
          <t>NORRBOTTENS LÄN</t>
        </is>
      </c>
      <c r="E1859" t="inlineStr">
        <is>
          <t>GÄLLIVARE</t>
        </is>
      </c>
      <c r="F1859" t="inlineStr">
        <is>
          <t>SCA</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62143-2023</t>
        </is>
      </c>
      <c r="B1860" s="1" t="n">
        <v>45266</v>
      </c>
      <c r="C1860" s="1" t="n">
        <v>46046</v>
      </c>
      <c r="D1860" t="inlineStr">
        <is>
          <t>NORRBOTTENS LÄN</t>
        </is>
      </c>
      <c r="E1860" t="inlineStr">
        <is>
          <t>KALIX</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46910-2024</t>
        </is>
      </c>
      <c r="B1861" s="1" t="n">
        <v>45583</v>
      </c>
      <c r="C1861" s="1" t="n">
        <v>46046</v>
      </c>
      <c r="D1861" t="inlineStr">
        <is>
          <t>NORRBOTTENS LÄN</t>
        </is>
      </c>
      <c r="E1861" t="inlineStr">
        <is>
          <t>ARJEPLOG</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54818-2023</t>
        </is>
      </c>
      <c r="B1862" s="1" t="n">
        <v>45236</v>
      </c>
      <c r="C1862" s="1" t="n">
        <v>46046</v>
      </c>
      <c r="D1862" t="inlineStr">
        <is>
          <t>NORRBOTTENS LÄN</t>
        </is>
      </c>
      <c r="E1862" t="inlineStr">
        <is>
          <t>PAJALA</t>
        </is>
      </c>
      <c r="G1862" t="n">
        <v>25.4</v>
      </c>
      <c r="H1862" t="n">
        <v>0</v>
      </c>
      <c r="I1862" t="n">
        <v>0</v>
      </c>
      <c r="J1862" t="n">
        <v>0</v>
      </c>
      <c r="K1862" t="n">
        <v>0</v>
      </c>
      <c r="L1862" t="n">
        <v>0</v>
      </c>
      <c r="M1862" t="n">
        <v>0</v>
      </c>
      <c r="N1862" t="n">
        <v>0</v>
      </c>
      <c r="O1862" t="n">
        <v>0</v>
      </c>
      <c r="P1862" t="n">
        <v>0</v>
      </c>
      <c r="Q1862" t="n">
        <v>0</v>
      </c>
      <c r="R1862" s="2" t="inlineStr"/>
    </row>
    <row r="1863" ht="15" customHeight="1">
      <c r="A1863" t="inlineStr">
        <is>
          <t>A 20727-2025</t>
        </is>
      </c>
      <c r="B1863" s="1" t="n">
        <v>45776</v>
      </c>
      <c r="C1863" s="1" t="n">
        <v>46046</v>
      </c>
      <c r="D1863" t="inlineStr">
        <is>
          <t>NORRBOTTENS LÄN</t>
        </is>
      </c>
      <c r="E1863" t="inlineStr">
        <is>
          <t>HAPARANDA</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20801-2025</t>
        </is>
      </c>
      <c r="B1864" s="1" t="n">
        <v>45776</v>
      </c>
      <c r="C1864" s="1" t="n">
        <v>46046</v>
      </c>
      <c r="D1864" t="inlineStr">
        <is>
          <t>NORRBOTTENS LÄN</t>
        </is>
      </c>
      <c r="E1864" t="inlineStr">
        <is>
          <t>KALIX</t>
        </is>
      </c>
      <c r="F1864" t="inlineStr">
        <is>
          <t>Sveaskog</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460-2024</t>
        </is>
      </c>
      <c r="B1865" s="1" t="n">
        <v>45297.46777777778</v>
      </c>
      <c r="C1865" s="1" t="n">
        <v>46046</v>
      </c>
      <c r="D1865" t="inlineStr">
        <is>
          <t>NORRBOTTENS LÄN</t>
        </is>
      </c>
      <c r="E1865" t="inlineStr">
        <is>
          <t>PAJALA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33923-2024</t>
        </is>
      </c>
      <c r="B1866" s="1" t="n">
        <v>45523</v>
      </c>
      <c r="C1866" s="1" t="n">
        <v>46046</v>
      </c>
      <c r="D1866" t="inlineStr">
        <is>
          <t>NORRBOTTENS LÄN</t>
        </is>
      </c>
      <c r="E1866" t="inlineStr">
        <is>
          <t>PITEÅ</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21101-2025</t>
        </is>
      </c>
      <c r="B1867" s="1" t="n">
        <v>45777</v>
      </c>
      <c r="C1867" s="1" t="n">
        <v>46046</v>
      </c>
      <c r="D1867" t="inlineStr">
        <is>
          <t>NORRBOTTENS LÄN</t>
        </is>
      </c>
      <c r="E1867" t="inlineStr">
        <is>
          <t>PAJALA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21103-2025</t>
        </is>
      </c>
      <c r="B1868" s="1" t="n">
        <v>45777.65921296296</v>
      </c>
      <c r="C1868" s="1" t="n">
        <v>46046</v>
      </c>
      <c r="D1868" t="inlineStr">
        <is>
          <t>NORRBOTTENS LÄN</t>
        </is>
      </c>
      <c r="E1868" t="inlineStr">
        <is>
          <t>PAJALA</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10885-2023</t>
        </is>
      </c>
      <c r="B1869" s="1" t="n">
        <v>44985</v>
      </c>
      <c r="C1869" s="1" t="n">
        <v>46046</v>
      </c>
      <c r="D1869" t="inlineStr">
        <is>
          <t>NORRBOTTENS LÄN</t>
        </is>
      </c>
      <c r="E1869" t="inlineStr">
        <is>
          <t>LULEÅ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42167-2024</t>
        </is>
      </c>
      <c r="B1870" s="1" t="n">
        <v>45562.46512731481</v>
      </c>
      <c r="C1870" s="1" t="n">
        <v>46046</v>
      </c>
      <c r="D1870" t="inlineStr">
        <is>
          <t>NORRBOTTENS LÄN</t>
        </is>
      </c>
      <c r="E1870" t="inlineStr">
        <is>
          <t>HAPARANDA</t>
        </is>
      </c>
      <c r="G1870" t="n">
        <v>11.1</v>
      </c>
      <c r="H1870" t="n">
        <v>0</v>
      </c>
      <c r="I1870" t="n">
        <v>0</v>
      </c>
      <c r="J1870" t="n">
        <v>0</v>
      </c>
      <c r="K1870" t="n">
        <v>0</v>
      </c>
      <c r="L1870" t="n">
        <v>0</v>
      </c>
      <c r="M1870" t="n">
        <v>0</v>
      </c>
      <c r="N1870" t="n">
        <v>0</v>
      </c>
      <c r="O1870" t="n">
        <v>0</v>
      </c>
      <c r="P1870" t="n">
        <v>0</v>
      </c>
      <c r="Q1870" t="n">
        <v>0</v>
      </c>
      <c r="R1870" s="2" t="inlineStr"/>
    </row>
    <row r="1871" ht="15" customHeight="1">
      <c r="A1871" t="inlineStr">
        <is>
          <t>A 14246-2025</t>
        </is>
      </c>
      <c r="B1871" s="1" t="n">
        <v>45740</v>
      </c>
      <c r="C1871" s="1" t="n">
        <v>46046</v>
      </c>
      <c r="D1871" t="inlineStr">
        <is>
          <t>NORRBOTTENS LÄN</t>
        </is>
      </c>
      <c r="E1871" t="inlineStr">
        <is>
          <t>PAJALA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20723-2021</t>
        </is>
      </c>
      <c r="B1872" s="1" t="n">
        <v>44316.52800925926</v>
      </c>
      <c r="C1872" s="1" t="n">
        <v>46046</v>
      </c>
      <c r="D1872" t="inlineStr">
        <is>
          <t>NORRBOTTENS LÄN</t>
        </is>
      </c>
      <c r="E1872" t="inlineStr">
        <is>
          <t>LULEÅ</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34992-2023</t>
        </is>
      </c>
      <c r="B1873" s="1" t="n">
        <v>45142.92356481482</v>
      </c>
      <c r="C1873" s="1" t="n">
        <v>46046</v>
      </c>
      <c r="D1873" t="inlineStr">
        <is>
          <t>NORRBOTTENS LÄN</t>
        </is>
      </c>
      <c r="E1873" t="inlineStr">
        <is>
          <t>ÖVERTORNEÅ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34998-2023</t>
        </is>
      </c>
      <c r="B1874" s="1" t="n">
        <v>45142</v>
      </c>
      <c r="C1874" s="1" t="n">
        <v>46046</v>
      </c>
      <c r="D1874" t="inlineStr">
        <is>
          <t>NORRBOTTENS LÄN</t>
        </is>
      </c>
      <c r="E1874" t="inlineStr">
        <is>
          <t>ARVIDSJAUR</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39645-2024</t>
        </is>
      </c>
      <c r="B1875" s="1" t="n">
        <v>45552.46903935185</v>
      </c>
      <c r="C1875" s="1" t="n">
        <v>46046</v>
      </c>
      <c r="D1875" t="inlineStr">
        <is>
          <t>NORRBOTTENS LÄN</t>
        </is>
      </c>
      <c r="E1875" t="inlineStr">
        <is>
          <t>ÄLVSBYN</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20770-2025</t>
        </is>
      </c>
      <c r="B1876" s="1" t="n">
        <v>45776</v>
      </c>
      <c r="C1876" s="1" t="n">
        <v>46046</v>
      </c>
      <c r="D1876" t="inlineStr">
        <is>
          <t>NORRBOTTENS LÄN</t>
        </is>
      </c>
      <c r="E1876" t="inlineStr">
        <is>
          <t>KIRUNA</t>
        </is>
      </c>
      <c r="F1876" t="inlineStr">
        <is>
          <t>Sveaskog</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20646-2025</t>
        </is>
      </c>
      <c r="B1877" s="1" t="n">
        <v>45776.38480324074</v>
      </c>
      <c r="C1877" s="1" t="n">
        <v>46046</v>
      </c>
      <c r="D1877" t="inlineStr">
        <is>
          <t>NORRBOTTENS LÄN</t>
        </is>
      </c>
      <c r="E1877" t="inlineStr">
        <is>
          <t>PITEÅ</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26841-2024</t>
        </is>
      </c>
      <c r="B1878" s="1" t="n">
        <v>45470.57751157408</v>
      </c>
      <c r="C1878" s="1" t="n">
        <v>46046</v>
      </c>
      <c r="D1878" t="inlineStr">
        <is>
          <t>NORRBOTTENS LÄN</t>
        </is>
      </c>
      <c r="E1878" t="inlineStr">
        <is>
          <t>ARVIDSJAUR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19983-2025</t>
        </is>
      </c>
      <c r="B1879" s="1" t="n">
        <v>45771.71908564815</v>
      </c>
      <c r="C1879" s="1" t="n">
        <v>46046</v>
      </c>
      <c r="D1879" t="inlineStr">
        <is>
          <t>NORRBOTTENS LÄN</t>
        </is>
      </c>
      <c r="E1879" t="inlineStr">
        <is>
          <t>LULEÅ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12202-2025</t>
        </is>
      </c>
      <c r="B1880" s="1" t="n">
        <v>45729.49564814815</v>
      </c>
      <c r="C1880" s="1" t="n">
        <v>46046</v>
      </c>
      <c r="D1880" t="inlineStr">
        <is>
          <t>NORRBOTTENS LÄN</t>
        </is>
      </c>
      <c r="E1880" t="inlineStr">
        <is>
          <t>ÖVERTORNEÅ</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16044-2024</t>
        </is>
      </c>
      <c r="B1881" s="1" t="n">
        <v>45405.96737268518</v>
      </c>
      <c r="C1881" s="1" t="n">
        <v>46046</v>
      </c>
      <c r="D1881" t="inlineStr">
        <is>
          <t>NORRBOTTENS LÄN</t>
        </is>
      </c>
      <c r="E1881" t="inlineStr">
        <is>
          <t>PITEÅ</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20082-2024</t>
        </is>
      </c>
      <c r="B1882" s="1" t="n">
        <v>45434.44953703704</v>
      </c>
      <c r="C1882" s="1" t="n">
        <v>46046</v>
      </c>
      <c r="D1882" t="inlineStr">
        <is>
          <t>NORRBOTTENS LÄN</t>
        </is>
      </c>
      <c r="E1882" t="inlineStr">
        <is>
          <t>PITEÅ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26835-2024</t>
        </is>
      </c>
      <c r="B1883" s="1" t="n">
        <v>45470.57364583333</v>
      </c>
      <c r="C1883" s="1" t="n">
        <v>46046</v>
      </c>
      <c r="D1883" t="inlineStr">
        <is>
          <t>NORRBOTTENS LÄN</t>
        </is>
      </c>
      <c r="E1883" t="inlineStr">
        <is>
          <t>ARVIDSJAUR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55114-2023</t>
        </is>
      </c>
      <c r="B1884" s="1" t="n">
        <v>45237.4725462963</v>
      </c>
      <c r="C1884" s="1" t="n">
        <v>46046</v>
      </c>
      <c r="D1884" t="inlineStr">
        <is>
          <t>NORRBOTTENS LÄN</t>
        </is>
      </c>
      <c r="E1884" t="inlineStr">
        <is>
          <t>PITEÅ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59529-2023</t>
        </is>
      </c>
      <c r="B1885" s="1" t="n">
        <v>45254</v>
      </c>
      <c r="C1885" s="1" t="n">
        <v>46046</v>
      </c>
      <c r="D1885" t="inlineStr">
        <is>
          <t>NORRBOTTENS LÄN</t>
        </is>
      </c>
      <c r="E1885" t="inlineStr">
        <is>
          <t>PITEÅ</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59584-2023</t>
        </is>
      </c>
      <c r="B1886" s="1" t="n">
        <v>45254</v>
      </c>
      <c r="C1886" s="1" t="n">
        <v>46046</v>
      </c>
      <c r="D1886" t="inlineStr">
        <is>
          <t>NORRBOTTENS LÄN</t>
        </is>
      </c>
      <c r="E1886" t="inlineStr">
        <is>
          <t>BODEN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806-2025</t>
        </is>
      </c>
      <c r="B1887" s="1" t="n">
        <v>45664</v>
      </c>
      <c r="C1887" s="1" t="n">
        <v>46046</v>
      </c>
      <c r="D1887" t="inlineStr">
        <is>
          <t>NORRBOTTENS LÄN</t>
        </is>
      </c>
      <c r="E1887" t="inlineStr">
        <is>
          <t>LULEÅ</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817-2025</t>
        </is>
      </c>
      <c r="B1888" s="1" t="n">
        <v>45664</v>
      </c>
      <c r="C1888" s="1" t="n">
        <v>46046</v>
      </c>
      <c r="D1888" t="inlineStr">
        <is>
          <t>NORRBOTTENS LÄN</t>
        </is>
      </c>
      <c r="E1888" t="inlineStr">
        <is>
          <t>LULEÅ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31297-2023</t>
        </is>
      </c>
      <c r="B1889" s="1" t="n">
        <v>45114</v>
      </c>
      <c r="C1889" s="1" t="n">
        <v>46046</v>
      </c>
      <c r="D1889" t="inlineStr">
        <is>
          <t>NORRBOTTENS LÄN</t>
        </is>
      </c>
      <c r="E1889" t="inlineStr">
        <is>
          <t>BODEN</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21209-2025</t>
        </is>
      </c>
      <c r="B1890" s="1" t="n">
        <v>45779.48663194444</v>
      </c>
      <c r="C1890" s="1" t="n">
        <v>46046</v>
      </c>
      <c r="D1890" t="inlineStr">
        <is>
          <t>NORRBOTTENS LÄN</t>
        </is>
      </c>
      <c r="E1890" t="inlineStr">
        <is>
          <t>ÖVERKALIX</t>
        </is>
      </c>
      <c r="F1890" t="inlineStr">
        <is>
          <t>Sveaskog</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833-2025</t>
        </is>
      </c>
      <c r="B1891" s="1" t="n">
        <v>45665</v>
      </c>
      <c r="C1891" s="1" t="n">
        <v>46046</v>
      </c>
      <c r="D1891" t="inlineStr">
        <is>
          <t>NORRBOTTENS LÄN</t>
        </is>
      </c>
      <c r="E1891" t="inlineStr">
        <is>
          <t>GÄLLIVARE</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836-2025</t>
        </is>
      </c>
      <c r="B1892" s="1" t="n">
        <v>45665</v>
      </c>
      <c r="C1892" s="1" t="n">
        <v>46046</v>
      </c>
      <c r="D1892" t="inlineStr">
        <is>
          <t>NORRBOTTENS LÄN</t>
        </is>
      </c>
      <c r="E1892" t="inlineStr">
        <is>
          <t>GÄLLIVARE</t>
        </is>
      </c>
      <c r="F1892" t="inlineStr">
        <is>
          <t>Sveaskog</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839-2025</t>
        </is>
      </c>
      <c r="B1893" s="1" t="n">
        <v>45665</v>
      </c>
      <c r="C1893" s="1" t="n">
        <v>46046</v>
      </c>
      <c r="D1893" t="inlineStr">
        <is>
          <t>NORRBOTTENS LÄN</t>
        </is>
      </c>
      <c r="E1893" t="inlineStr">
        <is>
          <t>GÄLLIVARE</t>
        </is>
      </c>
      <c r="F1893" t="inlineStr">
        <is>
          <t>Sveaskog</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55394-2023</t>
        </is>
      </c>
      <c r="B1894" s="1" t="n">
        <v>45231</v>
      </c>
      <c r="C1894" s="1" t="n">
        <v>46046</v>
      </c>
      <c r="D1894" t="inlineStr">
        <is>
          <t>NORRBOTTENS LÄN</t>
        </is>
      </c>
      <c r="E1894" t="inlineStr">
        <is>
          <t>GÄLLIVARE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10434-2024</t>
        </is>
      </c>
      <c r="B1895" s="1" t="n">
        <v>45365</v>
      </c>
      <c r="C1895" s="1" t="n">
        <v>46046</v>
      </c>
      <c r="D1895" t="inlineStr">
        <is>
          <t>NORRBOTTENS LÄN</t>
        </is>
      </c>
      <c r="E1895" t="inlineStr">
        <is>
          <t>ÄLVSBYN</t>
        </is>
      </c>
      <c r="G1895" t="n">
        <v>15.1</v>
      </c>
      <c r="H1895" t="n">
        <v>0</v>
      </c>
      <c r="I1895" t="n">
        <v>0</v>
      </c>
      <c r="J1895" t="n">
        <v>0</v>
      </c>
      <c r="K1895" t="n">
        <v>0</v>
      </c>
      <c r="L1895" t="n">
        <v>0</v>
      </c>
      <c r="M1895" t="n">
        <v>0</v>
      </c>
      <c r="N1895" t="n">
        <v>0</v>
      </c>
      <c r="O1895" t="n">
        <v>0</v>
      </c>
      <c r="P1895" t="n">
        <v>0</v>
      </c>
      <c r="Q1895" t="n">
        <v>0</v>
      </c>
      <c r="R1895" s="2" t="inlineStr"/>
    </row>
    <row r="1896" ht="15" customHeight="1">
      <c r="A1896" t="inlineStr">
        <is>
          <t>A 45524-2024</t>
        </is>
      </c>
      <c r="B1896" s="1" t="n">
        <v>45578</v>
      </c>
      <c r="C1896" s="1" t="n">
        <v>46046</v>
      </c>
      <c r="D1896" t="inlineStr">
        <is>
          <t>NORRBOTTENS LÄN</t>
        </is>
      </c>
      <c r="E1896" t="inlineStr">
        <is>
          <t>PITEÅ</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9112-2024</t>
        </is>
      </c>
      <c r="B1897" s="1" t="n">
        <v>45357.96129629629</v>
      </c>
      <c r="C1897" s="1" t="n">
        <v>46046</v>
      </c>
      <c r="D1897" t="inlineStr">
        <is>
          <t>NORRBOTTENS LÄN</t>
        </is>
      </c>
      <c r="E1897" t="inlineStr">
        <is>
          <t>PITEÅ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18530-2024</t>
        </is>
      </c>
      <c r="B1898" s="1" t="n">
        <v>45425</v>
      </c>
      <c r="C1898" s="1" t="n">
        <v>46046</v>
      </c>
      <c r="D1898" t="inlineStr">
        <is>
          <t>NORRBOTTENS LÄN</t>
        </is>
      </c>
      <c r="E1898" t="inlineStr">
        <is>
          <t>PITEÅ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61473-2024</t>
        </is>
      </c>
      <c r="B1899" s="1" t="n">
        <v>45646</v>
      </c>
      <c r="C1899" s="1" t="n">
        <v>46046</v>
      </c>
      <c r="D1899" t="inlineStr">
        <is>
          <t>NORRBOTTENS LÄN</t>
        </is>
      </c>
      <c r="E1899" t="inlineStr">
        <is>
          <t>GÄLLIVARE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20317-2023</t>
        </is>
      </c>
      <c r="B1900" s="1" t="n">
        <v>45054</v>
      </c>
      <c r="C1900" s="1" t="n">
        <v>46046</v>
      </c>
      <c r="D1900" t="inlineStr">
        <is>
          <t>NORRBOTTENS LÄN</t>
        </is>
      </c>
      <c r="E1900" t="inlineStr">
        <is>
          <t>KALIX</t>
        </is>
      </c>
      <c r="G1900" t="n">
        <v>8.800000000000001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61504-2024</t>
        </is>
      </c>
      <c r="B1901" s="1" t="n">
        <v>45646.56238425926</v>
      </c>
      <c r="C1901" s="1" t="n">
        <v>46046</v>
      </c>
      <c r="D1901" t="inlineStr">
        <is>
          <t>NORRBOTTENS LÄN</t>
        </is>
      </c>
      <c r="E1901" t="inlineStr">
        <is>
          <t>LULEÅ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61510-2024</t>
        </is>
      </c>
      <c r="B1902" s="1" t="n">
        <v>45646.56674768519</v>
      </c>
      <c r="C1902" s="1" t="n">
        <v>46046</v>
      </c>
      <c r="D1902" t="inlineStr">
        <is>
          <t>NORRBOTTENS LÄN</t>
        </is>
      </c>
      <c r="E1902" t="inlineStr">
        <is>
          <t>LULEÅ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2908-2024</t>
        </is>
      </c>
      <c r="B1903" s="1" t="n">
        <v>45315</v>
      </c>
      <c r="C1903" s="1" t="n">
        <v>46046</v>
      </c>
      <c r="D1903" t="inlineStr">
        <is>
          <t>NORRBOTTENS LÄN</t>
        </is>
      </c>
      <c r="E1903" t="inlineStr">
        <is>
          <t>ARVIDSJAUR</t>
        </is>
      </c>
      <c r="F1903" t="inlineStr">
        <is>
          <t>Allmännings- och besparingsskogar</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71287-2021</t>
        </is>
      </c>
      <c r="B1904" s="1" t="n">
        <v>44538</v>
      </c>
      <c r="C1904" s="1" t="n">
        <v>46046</v>
      </c>
      <c r="D1904" t="inlineStr">
        <is>
          <t>NORRBOTTENS LÄN</t>
        </is>
      </c>
      <c r="E1904" t="inlineStr">
        <is>
          <t>PITEÅ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54236-2022</t>
        </is>
      </c>
      <c r="B1905" s="1" t="n">
        <v>44881.9272337963</v>
      </c>
      <c r="C1905" s="1" t="n">
        <v>46046</v>
      </c>
      <c r="D1905" t="inlineStr">
        <is>
          <t>NORRBOTTENS LÄN</t>
        </is>
      </c>
      <c r="E1905" t="inlineStr">
        <is>
          <t>BODEN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34910-2023</t>
        </is>
      </c>
      <c r="B1906" s="1" t="n">
        <v>45142.4560300926</v>
      </c>
      <c r="C1906" s="1" t="n">
        <v>46046</v>
      </c>
      <c r="D1906" t="inlineStr">
        <is>
          <t>NORRBOTTENS LÄN</t>
        </is>
      </c>
      <c r="E1906" t="inlineStr">
        <is>
          <t>LULEÅ</t>
        </is>
      </c>
      <c r="G1906" t="n">
        <v>18.9</v>
      </c>
      <c r="H1906" t="n">
        <v>0</v>
      </c>
      <c r="I1906" t="n">
        <v>0</v>
      </c>
      <c r="J1906" t="n">
        <v>0</v>
      </c>
      <c r="K1906" t="n">
        <v>0</v>
      </c>
      <c r="L1906" t="n">
        <v>0</v>
      </c>
      <c r="M1906" t="n">
        <v>0</v>
      </c>
      <c r="N1906" t="n">
        <v>0</v>
      </c>
      <c r="O1906" t="n">
        <v>0</v>
      </c>
      <c r="P1906" t="n">
        <v>0</v>
      </c>
      <c r="Q1906" t="n">
        <v>0</v>
      </c>
      <c r="R1906" s="2" t="inlineStr"/>
    </row>
    <row r="1907" ht="15" customHeight="1">
      <c r="A1907" t="inlineStr">
        <is>
          <t>A 33134-2023</t>
        </is>
      </c>
      <c r="B1907" s="1" t="n">
        <v>45114</v>
      </c>
      <c r="C1907" s="1" t="n">
        <v>46046</v>
      </c>
      <c r="D1907" t="inlineStr">
        <is>
          <t>NORRBOTTENS LÄN</t>
        </is>
      </c>
      <c r="E1907" t="inlineStr">
        <is>
          <t>ARVIDSJAUR</t>
        </is>
      </c>
      <c r="G1907" t="n">
        <v>16.3</v>
      </c>
      <c r="H1907" t="n">
        <v>0</v>
      </c>
      <c r="I1907" t="n">
        <v>0</v>
      </c>
      <c r="J1907" t="n">
        <v>0</v>
      </c>
      <c r="K1907" t="n">
        <v>0</v>
      </c>
      <c r="L1907" t="n">
        <v>0</v>
      </c>
      <c r="M1907" t="n">
        <v>0</v>
      </c>
      <c r="N1907" t="n">
        <v>0</v>
      </c>
      <c r="O1907" t="n">
        <v>0</v>
      </c>
      <c r="P1907" t="n">
        <v>0</v>
      </c>
      <c r="Q1907" t="n">
        <v>0</v>
      </c>
      <c r="R1907" s="2" t="inlineStr"/>
    </row>
    <row r="1908" ht="15" customHeight="1">
      <c r="A1908" t="inlineStr">
        <is>
          <t>A 21187-2025</t>
        </is>
      </c>
      <c r="B1908" s="1" t="n">
        <v>45779</v>
      </c>
      <c r="C1908" s="1" t="n">
        <v>46046</v>
      </c>
      <c r="D1908" t="inlineStr">
        <is>
          <t>NORRBOTTENS LÄN</t>
        </is>
      </c>
      <c r="E1908" t="inlineStr">
        <is>
          <t>ÖVERKALIX</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47371-2024</t>
        </is>
      </c>
      <c r="B1909" s="1" t="n">
        <v>45587</v>
      </c>
      <c r="C1909" s="1" t="n">
        <v>46046</v>
      </c>
      <c r="D1909" t="inlineStr">
        <is>
          <t>NORRBOTTENS LÄN</t>
        </is>
      </c>
      <c r="E1909" t="inlineStr">
        <is>
          <t>ÄLVSBYN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6437-2025</t>
        </is>
      </c>
      <c r="B1910" s="1" t="n">
        <v>45699</v>
      </c>
      <c r="C1910" s="1" t="n">
        <v>46046</v>
      </c>
      <c r="D1910" t="inlineStr">
        <is>
          <t>NORRBOTTENS LÄN</t>
        </is>
      </c>
      <c r="E1910" t="inlineStr">
        <is>
          <t>JOKKMOKK</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21128-2025</t>
        </is>
      </c>
      <c r="B1911" s="1" t="n">
        <v>45778</v>
      </c>
      <c r="C1911" s="1" t="n">
        <v>46046</v>
      </c>
      <c r="D1911" t="inlineStr">
        <is>
          <t>NORRBOTTENS LÄN</t>
        </is>
      </c>
      <c r="E1911" t="inlineStr">
        <is>
          <t>BODEN</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11919-2023</t>
        </is>
      </c>
      <c r="B1912" s="1" t="n">
        <v>44993</v>
      </c>
      <c r="C1912" s="1" t="n">
        <v>46046</v>
      </c>
      <c r="D1912" t="inlineStr">
        <is>
          <t>NORRBOTTENS LÄN</t>
        </is>
      </c>
      <c r="E1912" t="inlineStr">
        <is>
          <t>ÖVERKALIX</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11930-2023</t>
        </is>
      </c>
      <c r="B1913" s="1" t="n">
        <v>44994</v>
      </c>
      <c r="C1913" s="1" t="n">
        <v>46046</v>
      </c>
      <c r="D1913" t="inlineStr">
        <is>
          <t>NORRBOTTENS LÄN</t>
        </is>
      </c>
      <c r="E1913" t="inlineStr">
        <is>
          <t>BODEN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61040-2022</t>
        </is>
      </c>
      <c r="B1914" s="1" t="n">
        <v>44914.92462962963</v>
      </c>
      <c r="C1914" s="1" t="n">
        <v>46046</v>
      </c>
      <c r="D1914" t="inlineStr">
        <is>
          <t>NORRBOTTENS LÄN</t>
        </is>
      </c>
      <c r="E1914" t="inlineStr">
        <is>
          <t>ÖVERTORNEÅ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40947-2024</t>
        </is>
      </c>
      <c r="B1915" s="1" t="n">
        <v>45558</v>
      </c>
      <c r="C1915" s="1" t="n">
        <v>46046</v>
      </c>
      <c r="D1915" t="inlineStr">
        <is>
          <t>NORRBOTTENS LÄN</t>
        </is>
      </c>
      <c r="E1915" t="inlineStr">
        <is>
          <t>PAJALA</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21423-2025</t>
        </is>
      </c>
      <c r="B1916" s="1" t="n">
        <v>45782</v>
      </c>
      <c r="C1916" s="1" t="n">
        <v>46046</v>
      </c>
      <c r="D1916" t="inlineStr">
        <is>
          <t>NORRBOTTENS LÄN</t>
        </is>
      </c>
      <c r="E1916" t="inlineStr">
        <is>
          <t>ÖVERKALIX</t>
        </is>
      </c>
      <c r="F1916" t="inlineStr">
        <is>
          <t>Sveaskog</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23259-2024</t>
        </is>
      </c>
      <c r="B1917" s="1" t="n">
        <v>45453</v>
      </c>
      <c r="C1917" s="1" t="n">
        <v>46046</v>
      </c>
      <c r="D1917" t="inlineStr">
        <is>
          <t>NORRBOTTENS LÄN</t>
        </is>
      </c>
      <c r="E1917" t="inlineStr">
        <is>
          <t>ÖVERTORNEÅ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18958-2025</t>
        </is>
      </c>
      <c r="B1918" s="1" t="n">
        <v>45764</v>
      </c>
      <c r="C1918" s="1" t="n">
        <v>46046</v>
      </c>
      <c r="D1918" t="inlineStr">
        <is>
          <t>NORRBOTTENS LÄN</t>
        </is>
      </c>
      <c r="E1918" t="inlineStr">
        <is>
          <t>ÄLVSBYN</t>
        </is>
      </c>
      <c r="G1918" t="n">
        <v>16.1</v>
      </c>
      <c r="H1918" t="n">
        <v>0</v>
      </c>
      <c r="I1918" t="n">
        <v>0</v>
      </c>
      <c r="J1918" t="n">
        <v>0</v>
      </c>
      <c r="K1918" t="n">
        <v>0</v>
      </c>
      <c r="L1918" t="n">
        <v>0</v>
      </c>
      <c r="M1918" t="n">
        <v>0</v>
      </c>
      <c r="N1918" t="n">
        <v>0</v>
      </c>
      <c r="O1918" t="n">
        <v>0</v>
      </c>
      <c r="P1918" t="n">
        <v>0</v>
      </c>
      <c r="Q1918" t="n">
        <v>0</v>
      </c>
      <c r="R1918" s="2" t="inlineStr"/>
    </row>
    <row r="1919" ht="15" customHeight="1">
      <c r="A1919" t="inlineStr">
        <is>
          <t>A 15815-2025</t>
        </is>
      </c>
      <c r="B1919" s="1" t="n">
        <v>45748.66990740741</v>
      </c>
      <c r="C1919" s="1" t="n">
        <v>46046</v>
      </c>
      <c r="D1919" t="inlineStr">
        <is>
          <t>NORRBOTTENS LÄN</t>
        </is>
      </c>
      <c r="E1919" t="inlineStr">
        <is>
          <t>PITEÅ</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36979-2023</t>
        </is>
      </c>
      <c r="B1920" s="1" t="n">
        <v>45154.95475694445</v>
      </c>
      <c r="C1920" s="1" t="n">
        <v>46046</v>
      </c>
      <c r="D1920" t="inlineStr">
        <is>
          <t>NORRBOTTENS LÄN</t>
        </is>
      </c>
      <c r="E1920" t="inlineStr">
        <is>
          <t>GÄLLIVARE</t>
        </is>
      </c>
      <c r="F1920" t="inlineStr">
        <is>
          <t>SCA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62269-2021</t>
        </is>
      </c>
      <c r="B1921" s="1" t="n">
        <v>44502</v>
      </c>
      <c r="C1921" s="1" t="n">
        <v>46046</v>
      </c>
      <c r="D1921" t="inlineStr">
        <is>
          <t>NORRBOTTENS LÄN</t>
        </is>
      </c>
      <c r="E1921" t="inlineStr">
        <is>
          <t>ÖVERKALIX</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31329-2024</t>
        </is>
      </c>
      <c r="B1922" s="1" t="n">
        <v>45504</v>
      </c>
      <c r="C1922" s="1" t="n">
        <v>46046</v>
      </c>
      <c r="D1922" t="inlineStr">
        <is>
          <t>NORRBOTTENS LÄN</t>
        </is>
      </c>
      <c r="E1922" t="inlineStr">
        <is>
          <t>ÖVERTORNEÅ</t>
        </is>
      </c>
      <c r="F1922" t="inlineStr">
        <is>
          <t>Sveaskog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24979-2024</t>
        </is>
      </c>
      <c r="B1923" s="1" t="n">
        <v>45461</v>
      </c>
      <c r="C1923" s="1" t="n">
        <v>46046</v>
      </c>
      <c r="D1923" t="inlineStr">
        <is>
          <t>NORRBOTTENS LÄN</t>
        </is>
      </c>
      <c r="E1923" t="inlineStr">
        <is>
          <t>LULEÅ</t>
        </is>
      </c>
      <c r="G1923" t="n">
        <v>16.3</v>
      </c>
      <c r="H1923" t="n">
        <v>0</v>
      </c>
      <c r="I1923" t="n">
        <v>0</v>
      </c>
      <c r="J1923" t="n">
        <v>0</v>
      </c>
      <c r="K1923" t="n">
        <v>0</v>
      </c>
      <c r="L1923" t="n">
        <v>0</v>
      </c>
      <c r="M1923" t="n">
        <v>0</v>
      </c>
      <c r="N1923" t="n">
        <v>0</v>
      </c>
      <c r="O1923" t="n">
        <v>0</v>
      </c>
      <c r="P1923" t="n">
        <v>0</v>
      </c>
      <c r="Q1923" t="n">
        <v>0</v>
      </c>
      <c r="R1923" s="2" t="inlineStr"/>
    </row>
    <row r="1924" ht="15" customHeight="1">
      <c r="A1924" t="inlineStr">
        <is>
          <t>A 56402-2022</t>
        </is>
      </c>
      <c r="B1924" s="1" t="n">
        <v>44890.94890046296</v>
      </c>
      <c r="C1924" s="1" t="n">
        <v>46046</v>
      </c>
      <c r="D1924" t="inlineStr">
        <is>
          <t>NORRBOTTENS LÄN</t>
        </is>
      </c>
      <c r="E1924" t="inlineStr">
        <is>
          <t>ÖVERKALIX</t>
        </is>
      </c>
      <c r="F1924" t="inlineStr">
        <is>
          <t>SCA</t>
        </is>
      </c>
      <c r="G1924" t="n">
        <v>13.8</v>
      </c>
      <c r="H1924" t="n">
        <v>0</v>
      </c>
      <c r="I1924" t="n">
        <v>0</v>
      </c>
      <c r="J1924" t="n">
        <v>0</v>
      </c>
      <c r="K1924" t="n">
        <v>0</v>
      </c>
      <c r="L1924" t="n">
        <v>0</v>
      </c>
      <c r="M1924" t="n">
        <v>0</v>
      </c>
      <c r="N1924" t="n">
        <v>0</v>
      </c>
      <c r="O1924" t="n">
        <v>0</v>
      </c>
      <c r="P1924" t="n">
        <v>0</v>
      </c>
      <c r="Q1924" t="n">
        <v>0</v>
      </c>
      <c r="R1924" s="2" t="inlineStr"/>
    </row>
    <row r="1925" ht="15" customHeight="1">
      <c r="A1925" t="inlineStr">
        <is>
          <t>A 21534-2025</t>
        </is>
      </c>
      <c r="B1925" s="1" t="n">
        <v>45782.6568287037</v>
      </c>
      <c r="C1925" s="1" t="n">
        <v>46046</v>
      </c>
      <c r="D1925" t="inlineStr">
        <is>
          <t>NORRBOTTENS LÄN</t>
        </is>
      </c>
      <c r="E1925" t="inlineStr">
        <is>
          <t>HAPARANDA</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25159-2024</t>
        </is>
      </c>
      <c r="B1926" s="1" t="n">
        <v>45462.52538194445</v>
      </c>
      <c r="C1926" s="1" t="n">
        <v>46046</v>
      </c>
      <c r="D1926" t="inlineStr">
        <is>
          <t>NORRBOTTENS LÄN</t>
        </is>
      </c>
      <c r="E1926" t="inlineStr">
        <is>
          <t>HAPARANDA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50031-2021</t>
        </is>
      </c>
      <c r="B1927" s="1" t="n">
        <v>44454</v>
      </c>
      <c r="C1927" s="1" t="n">
        <v>46046</v>
      </c>
      <c r="D1927" t="inlineStr">
        <is>
          <t>NORRBOTTENS LÄN</t>
        </is>
      </c>
      <c r="E1927" t="inlineStr">
        <is>
          <t>PITEÅ</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21159-2023</t>
        </is>
      </c>
      <c r="B1928" s="1" t="n">
        <v>45062</v>
      </c>
      <c r="C1928" s="1" t="n">
        <v>46046</v>
      </c>
      <c r="D1928" t="inlineStr">
        <is>
          <t>NORRBOTTENS LÄN</t>
        </is>
      </c>
      <c r="E1928" t="inlineStr">
        <is>
          <t>GÄLLIVARE</t>
        </is>
      </c>
      <c r="F1928" t="inlineStr">
        <is>
          <t>Sveaskog</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4263-2025</t>
        </is>
      </c>
      <c r="B1929" s="1" t="n">
        <v>45685</v>
      </c>
      <c r="C1929" s="1" t="n">
        <v>46046</v>
      </c>
      <c r="D1929" t="inlineStr">
        <is>
          <t>NORRBOTTENS LÄN</t>
        </is>
      </c>
      <c r="E1929" t="inlineStr">
        <is>
          <t>BODEN</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11582-2025</t>
        </is>
      </c>
      <c r="B1930" s="1" t="n">
        <v>45726</v>
      </c>
      <c r="C1930" s="1" t="n">
        <v>46046</v>
      </c>
      <c r="D1930" t="inlineStr">
        <is>
          <t>NORRBOTTENS LÄN</t>
        </is>
      </c>
      <c r="E1930" t="inlineStr">
        <is>
          <t>ARVIDSJAUR</t>
        </is>
      </c>
      <c r="F1930" t="inlineStr">
        <is>
          <t>Allmännings- och besparingsskogar</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54026-2023</t>
        </is>
      </c>
      <c r="B1931" s="1" t="n">
        <v>45231</v>
      </c>
      <c r="C1931" s="1" t="n">
        <v>46046</v>
      </c>
      <c r="D1931" t="inlineStr">
        <is>
          <t>NORRBOTTENS LÄN</t>
        </is>
      </c>
      <c r="E1931" t="inlineStr">
        <is>
          <t>ÖVERKALIX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57535-2024</t>
        </is>
      </c>
      <c r="B1932" s="1" t="n">
        <v>45630.42950231482</v>
      </c>
      <c r="C1932" s="1" t="n">
        <v>46046</v>
      </c>
      <c r="D1932" t="inlineStr">
        <is>
          <t>NORRBOTTENS LÄN</t>
        </is>
      </c>
      <c r="E1932" t="inlineStr">
        <is>
          <t>GÄLLIVARE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21380-2025</t>
        </is>
      </c>
      <c r="B1933" s="1" t="n">
        <v>45782</v>
      </c>
      <c r="C1933" s="1" t="n">
        <v>46046</v>
      </c>
      <c r="D1933" t="inlineStr">
        <is>
          <t>NORRBOTTENS LÄN</t>
        </is>
      </c>
      <c r="E1933" t="inlineStr">
        <is>
          <t>PAJALA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21444-2025</t>
        </is>
      </c>
      <c r="B1934" s="1" t="n">
        <v>45782.54247685185</v>
      </c>
      <c r="C1934" s="1" t="n">
        <v>46046</v>
      </c>
      <c r="D1934" t="inlineStr">
        <is>
          <t>NORRBOTTENS LÄN</t>
        </is>
      </c>
      <c r="E1934" t="inlineStr">
        <is>
          <t>PITEÅ</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25455-2022</t>
        </is>
      </c>
      <c r="B1935" s="1" t="n">
        <v>44732</v>
      </c>
      <c r="C1935" s="1" t="n">
        <v>46046</v>
      </c>
      <c r="D1935" t="inlineStr">
        <is>
          <t>NORRBOTTENS LÄN</t>
        </is>
      </c>
      <c r="E1935" t="inlineStr">
        <is>
          <t>ÄLVSBYN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21349-2025</t>
        </is>
      </c>
      <c r="B1936" s="1" t="n">
        <v>45782.40684027778</v>
      </c>
      <c r="C1936" s="1" t="n">
        <v>46046</v>
      </c>
      <c r="D1936" t="inlineStr">
        <is>
          <t>NORRBOTTENS LÄN</t>
        </is>
      </c>
      <c r="E1936" t="inlineStr">
        <is>
          <t>BODEN</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58583-2022</t>
        </is>
      </c>
      <c r="B1937" s="1" t="n">
        <v>44894</v>
      </c>
      <c r="C1937" s="1" t="n">
        <v>46046</v>
      </c>
      <c r="D1937" t="inlineStr">
        <is>
          <t>NORRBOTTENS LÄN</t>
        </is>
      </c>
      <c r="E1937" t="inlineStr">
        <is>
          <t>KALIX</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46024-2021</t>
        </is>
      </c>
      <c r="B1938" s="1" t="n">
        <v>44441</v>
      </c>
      <c r="C1938" s="1" t="n">
        <v>46046</v>
      </c>
      <c r="D1938" t="inlineStr">
        <is>
          <t>NORRBOTTENS LÄN</t>
        </is>
      </c>
      <c r="E1938" t="inlineStr">
        <is>
          <t>ÖVERTORNEÅ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63801-2023</t>
        </is>
      </c>
      <c r="B1939" s="1" t="n">
        <v>45278.42126157408</v>
      </c>
      <c r="C1939" s="1" t="n">
        <v>46046</v>
      </c>
      <c r="D1939" t="inlineStr">
        <is>
          <t>NORRBOTTENS LÄN</t>
        </is>
      </c>
      <c r="E1939" t="inlineStr">
        <is>
          <t>LULEÅ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34598-2024</t>
        </is>
      </c>
      <c r="B1940" s="1" t="n">
        <v>45526.39714120371</v>
      </c>
      <c r="C1940" s="1" t="n">
        <v>46046</v>
      </c>
      <c r="D1940" t="inlineStr">
        <is>
          <t>NORRBOTTENS LÄN</t>
        </is>
      </c>
      <c r="E1940" t="inlineStr">
        <is>
          <t>JOKKMOKK</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45034-2023</t>
        </is>
      </c>
      <c r="B1941" s="1" t="n">
        <v>45191.28909722222</v>
      </c>
      <c r="C1941" s="1" t="n">
        <v>46046</v>
      </c>
      <c r="D1941" t="inlineStr">
        <is>
          <t>NORRBOTTENS LÄN</t>
        </is>
      </c>
      <c r="E1941" t="inlineStr">
        <is>
          <t>ARVIDSJAUR</t>
        </is>
      </c>
      <c r="F1941" t="inlineStr">
        <is>
          <t>Sveaskog</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11809-2024</t>
        </is>
      </c>
      <c r="B1942" s="1" t="n">
        <v>45375</v>
      </c>
      <c r="C1942" s="1" t="n">
        <v>46046</v>
      </c>
      <c r="D1942" t="inlineStr">
        <is>
          <t>NORRBOTTENS LÄN</t>
        </is>
      </c>
      <c r="E1942" t="inlineStr">
        <is>
          <t>PITEÅ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21386-2025</t>
        </is>
      </c>
      <c r="B1943" s="1" t="n">
        <v>45782</v>
      </c>
      <c r="C1943" s="1" t="n">
        <v>46046</v>
      </c>
      <c r="D1943" t="inlineStr">
        <is>
          <t>NORRBOTTENS LÄN</t>
        </is>
      </c>
      <c r="E1943" t="inlineStr">
        <is>
          <t>ÖVERTORNEÅ</t>
        </is>
      </c>
      <c r="G1943" t="n">
        <v>30</v>
      </c>
      <c r="H1943" t="n">
        <v>0</v>
      </c>
      <c r="I1943" t="n">
        <v>0</v>
      </c>
      <c r="J1943" t="n">
        <v>0</v>
      </c>
      <c r="K1943" t="n">
        <v>0</v>
      </c>
      <c r="L1943" t="n">
        <v>0</v>
      </c>
      <c r="M1943" t="n">
        <v>0</v>
      </c>
      <c r="N1943" t="n">
        <v>0</v>
      </c>
      <c r="O1943" t="n">
        <v>0</v>
      </c>
      <c r="P1943" t="n">
        <v>0</v>
      </c>
      <c r="Q1943" t="n">
        <v>0</v>
      </c>
      <c r="R1943" s="2" t="inlineStr"/>
    </row>
    <row r="1944" ht="15" customHeight="1">
      <c r="A1944" t="inlineStr">
        <is>
          <t>A 39247-2023</t>
        </is>
      </c>
      <c r="B1944" s="1" t="n">
        <v>45162</v>
      </c>
      <c r="C1944" s="1" t="n">
        <v>46046</v>
      </c>
      <c r="D1944" t="inlineStr">
        <is>
          <t>NORRBOTTENS LÄN</t>
        </is>
      </c>
      <c r="E1944" t="inlineStr">
        <is>
          <t>KIRUNA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11178-2023</t>
        </is>
      </c>
      <c r="B1945" s="1" t="n">
        <v>44987</v>
      </c>
      <c r="C1945" s="1" t="n">
        <v>46046</v>
      </c>
      <c r="D1945" t="inlineStr">
        <is>
          <t>NORRBOTTENS LÄN</t>
        </is>
      </c>
      <c r="E1945" t="inlineStr">
        <is>
          <t>LULEÅ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11971-2024</t>
        </is>
      </c>
      <c r="B1946" s="1" t="n">
        <v>45376</v>
      </c>
      <c r="C1946" s="1" t="n">
        <v>46046</v>
      </c>
      <c r="D1946" t="inlineStr">
        <is>
          <t>NORRBOTTENS LÄN</t>
        </is>
      </c>
      <c r="E1946" t="inlineStr">
        <is>
          <t>PITEÅ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11972-2024</t>
        </is>
      </c>
      <c r="B1947" s="1" t="n">
        <v>45376</v>
      </c>
      <c r="C1947" s="1" t="n">
        <v>46046</v>
      </c>
      <c r="D1947" t="inlineStr">
        <is>
          <t>NORRBOTTENS LÄN</t>
        </is>
      </c>
      <c r="E1947" t="inlineStr">
        <is>
          <t>ÖVERTORNEÅ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888-2025</t>
        </is>
      </c>
      <c r="B1948" s="1" t="n">
        <v>45665.65054398148</v>
      </c>
      <c r="C1948" s="1" t="n">
        <v>46046</v>
      </c>
      <c r="D1948" t="inlineStr">
        <is>
          <t>NORRBOTTENS LÄN</t>
        </is>
      </c>
      <c r="E1948" t="inlineStr">
        <is>
          <t>PAJALA</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54336-2024</t>
        </is>
      </c>
      <c r="B1949" s="1" t="n">
        <v>45617.38408564815</v>
      </c>
      <c r="C1949" s="1" t="n">
        <v>46046</v>
      </c>
      <c r="D1949" t="inlineStr">
        <is>
          <t>NORRBOTTENS LÄN</t>
        </is>
      </c>
      <c r="E1949" t="inlineStr">
        <is>
          <t>ARVIDSJAUR</t>
        </is>
      </c>
      <c r="F1949" t="inlineStr">
        <is>
          <t>Sveaskog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21854-2022</t>
        </is>
      </c>
      <c r="B1950" s="1" t="n">
        <v>44708</v>
      </c>
      <c r="C1950" s="1" t="n">
        <v>46046</v>
      </c>
      <c r="D1950" t="inlineStr">
        <is>
          <t>NORRBOTTENS LÄN</t>
        </is>
      </c>
      <c r="E1950" t="inlineStr">
        <is>
          <t>PITEÅ</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48747-2024</t>
        </is>
      </c>
      <c r="B1951" s="1" t="n">
        <v>45593</v>
      </c>
      <c r="C1951" s="1" t="n">
        <v>46046</v>
      </c>
      <c r="D1951" t="inlineStr">
        <is>
          <t>NORRBOTTENS LÄN</t>
        </is>
      </c>
      <c r="E1951" t="inlineStr">
        <is>
          <t>ÖVERKALIX</t>
        </is>
      </c>
      <c r="G1951" t="n">
        <v>13.2</v>
      </c>
      <c r="H1951" t="n">
        <v>0</v>
      </c>
      <c r="I1951" t="n">
        <v>0</v>
      </c>
      <c r="J1951" t="n">
        <v>0</v>
      </c>
      <c r="K1951" t="n">
        <v>0</v>
      </c>
      <c r="L1951" t="n">
        <v>0</v>
      </c>
      <c r="M1951" t="n">
        <v>0</v>
      </c>
      <c r="N1951" t="n">
        <v>0</v>
      </c>
      <c r="O1951" t="n">
        <v>0</v>
      </c>
      <c r="P1951" t="n">
        <v>0</v>
      </c>
      <c r="Q1951" t="n">
        <v>0</v>
      </c>
      <c r="R1951" s="2" t="inlineStr"/>
    </row>
    <row r="1952" ht="15" customHeight="1">
      <c r="A1952" t="inlineStr">
        <is>
          <t>A 61476-2024</t>
        </is>
      </c>
      <c r="B1952" s="1" t="n">
        <v>45646</v>
      </c>
      <c r="C1952" s="1" t="n">
        <v>46046</v>
      </c>
      <c r="D1952" t="inlineStr">
        <is>
          <t>NORRBOTTENS LÄN</t>
        </is>
      </c>
      <c r="E1952" t="inlineStr">
        <is>
          <t>GÄLLIVARE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34863-2022</t>
        </is>
      </c>
      <c r="B1953" s="1" t="n">
        <v>44795</v>
      </c>
      <c r="C1953" s="1" t="n">
        <v>46046</v>
      </c>
      <c r="D1953" t="inlineStr">
        <is>
          <t>NORRBOTTENS LÄN</t>
        </is>
      </c>
      <c r="E1953" t="inlineStr">
        <is>
          <t>ÄLVSBYN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61557-2024</t>
        </is>
      </c>
      <c r="B1954" s="1" t="n">
        <v>45646.61081018519</v>
      </c>
      <c r="C1954" s="1" t="n">
        <v>46046</v>
      </c>
      <c r="D1954" t="inlineStr">
        <is>
          <t>NORRBOTTENS LÄN</t>
        </is>
      </c>
      <c r="E1954" t="inlineStr">
        <is>
          <t>LULEÅ</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61570-2024</t>
        </is>
      </c>
      <c r="B1955" s="1" t="n">
        <v>45646.61649305555</v>
      </c>
      <c r="C1955" s="1" t="n">
        <v>46046</v>
      </c>
      <c r="D1955" t="inlineStr">
        <is>
          <t>NORRBOTTENS LÄN</t>
        </is>
      </c>
      <c r="E1955" t="inlineStr">
        <is>
          <t>BODEN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38370-2023</t>
        </is>
      </c>
      <c r="B1956" s="1" t="n">
        <v>45161</v>
      </c>
      <c r="C1956" s="1" t="n">
        <v>46046</v>
      </c>
      <c r="D1956" t="inlineStr">
        <is>
          <t>NORRBOTTENS LÄN</t>
        </is>
      </c>
      <c r="E1956" t="inlineStr">
        <is>
          <t>BODEN</t>
        </is>
      </c>
      <c r="F1956" t="inlineStr">
        <is>
          <t>SCA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47919-2024</t>
        </is>
      </c>
      <c r="B1957" s="1" t="n">
        <v>45589</v>
      </c>
      <c r="C1957" s="1" t="n">
        <v>46046</v>
      </c>
      <c r="D1957" t="inlineStr">
        <is>
          <t>NORRBOTTENS LÄN</t>
        </is>
      </c>
      <c r="E1957" t="inlineStr">
        <is>
          <t>ARVIDSJAUR</t>
        </is>
      </c>
      <c r="F1957" t="inlineStr">
        <is>
          <t>Sveaskog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36438-2024</t>
        </is>
      </c>
      <c r="B1958" s="1" t="n">
        <v>45537.27357638889</v>
      </c>
      <c r="C1958" s="1" t="n">
        <v>46046</v>
      </c>
      <c r="D1958" t="inlineStr">
        <is>
          <t>NORRBOTTENS LÄN</t>
        </is>
      </c>
      <c r="E1958" t="inlineStr">
        <is>
          <t>BODEN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21295-2025</t>
        </is>
      </c>
      <c r="B1959" s="1" t="n">
        <v>45780</v>
      </c>
      <c r="C1959" s="1" t="n">
        <v>46046</v>
      </c>
      <c r="D1959" t="inlineStr">
        <is>
          <t>NORRBOTTENS LÄN</t>
        </is>
      </c>
      <c r="E1959" t="inlineStr">
        <is>
          <t>PAJALA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45510-2022</t>
        </is>
      </c>
      <c r="B1960" s="1" t="n">
        <v>44841</v>
      </c>
      <c r="C1960" s="1" t="n">
        <v>46046</v>
      </c>
      <c r="D1960" t="inlineStr">
        <is>
          <t>NORRBOTTENS LÄN</t>
        </is>
      </c>
      <c r="E1960" t="inlineStr">
        <is>
          <t>JOKKMOKK</t>
        </is>
      </c>
      <c r="F1960" t="inlineStr">
        <is>
          <t>Övriga Aktiebolag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46367-2024</t>
        </is>
      </c>
      <c r="B1961" s="1" t="n">
        <v>45582</v>
      </c>
      <c r="C1961" s="1" t="n">
        <v>46046</v>
      </c>
      <c r="D1961" t="inlineStr">
        <is>
          <t>NORRBOTTENS LÄN</t>
        </is>
      </c>
      <c r="E1961" t="inlineStr">
        <is>
          <t>BODEN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46374-2024</t>
        </is>
      </c>
      <c r="B1962" s="1" t="n">
        <v>45582</v>
      </c>
      <c r="C1962" s="1" t="n">
        <v>46046</v>
      </c>
      <c r="D1962" t="inlineStr">
        <is>
          <t>NORRBOTTENS LÄN</t>
        </is>
      </c>
      <c r="E1962" t="inlineStr">
        <is>
          <t>LULEÅ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34092-2024</t>
        </is>
      </c>
      <c r="B1963" s="1" t="n">
        <v>45523</v>
      </c>
      <c r="C1963" s="1" t="n">
        <v>46046</v>
      </c>
      <c r="D1963" t="inlineStr">
        <is>
          <t>NORRBOTTENS LÄN</t>
        </is>
      </c>
      <c r="E1963" t="inlineStr">
        <is>
          <t>PAJALA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16999-2025</t>
        </is>
      </c>
      <c r="B1964" s="1" t="n">
        <v>45755.52708333333</v>
      </c>
      <c r="C1964" s="1" t="n">
        <v>46046</v>
      </c>
      <c r="D1964" t="inlineStr">
        <is>
          <t>NORRBOTTENS LÄN</t>
        </is>
      </c>
      <c r="E1964" t="inlineStr">
        <is>
          <t>ÖVERTORNEÅ</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29237-2024</t>
        </is>
      </c>
      <c r="B1965" s="1" t="n">
        <v>45482.92732638889</v>
      </c>
      <c r="C1965" s="1" t="n">
        <v>46046</v>
      </c>
      <c r="D1965" t="inlineStr">
        <is>
          <t>NORRBOTTENS LÄN</t>
        </is>
      </c>
      <c r="E1965" t="inlineStr">
        <is>
          <t>LULEÅ</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31067-2024</t>
        </is>
      </c>
      <c r="B1966" s="1" t="n">
        <v>45502</v>
      </c>
      <c r="C1966" s="1" t="n">
        <v>46046</v>
      </c>
      <c r="D1966" t="inlineStr">
        <is>
          <t>NORRBOTTENS LÄN</t>
        </is>
      </c>
      <c r="E1966" t="inlineStr">
        <is>
          <t>HAPARANDA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13380-2023</t>
        </is>
      </c>
      <c r="B1967" s="1" t="n">
        <v>45005</v>
      </c>
      <c r="C1967" s="1" t="n">
        <v>46046</v>
      </c>
      <c r="D1967" t="inlineStr">
        <is>
          <t>NORRBOTTENS LÄN</t>
        </is>
      </c>
      <c r="E1967" t="inlineStr">
        <is>
          <t>KALIX</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36483-2022</t>
        </is>
      </c>
      <c r="B1968" s="1" t="n">
        <v>44804</v>
      </c>
      <c r="C1968" s="1" t="n">
        <v>46046</v>
      </c>
      <c r="D1968" t="inlineStr">
        <is>
          <t>NORRBOTTENS LÄN</t>
        </is>
      </c>
      <c r="E1968" t="inlineStr">
        <is>
          <t>ARVIDSJAUR</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21520-2025</t>
        </is>
      </c>
      <c r="B1969" s="1" t="n">
        <v>45782</v>
      </c>
      <c r="C1969" s="1" t="n">
        <v>46046</v>
      </c>
      <c r="D1969" t="inlineStr">
        <is>
          <t>NORRBOTTENS LÄN</t>
        </is>
      </c>
      <c r="E1969" t="inlineStr">
        <is>
          <t>ÖVERKALIX</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21494-2025</t>
        </is>
      </c>
      <c r="B1970" s="1" t="n">
        <v>45782.5971412037</v>
      </c>
      <c r="C1970" s="1" t="n">
        <v>46046</v>
      </c>
      <c r="D1970" t="inlineStr">
        <is>
          <t>NORRBOTTENS LÄN</t>
        </is>
      </c>
      <c r="E1970" t="inlineStr">
        <is>
          <t>PITEÅ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21498-2025</t>
        </is>
      </c>
      <c r="B1971" s="1" t="n">
        <v>45782.60648148148</v>
      </c>
      <c r="C1971" s="1" t="n">
        <v>46046</v>
      </c>
      <c r="D1971" t="inlineStr">
        <is>
          <t>NORRBOTTENS LÄN</t>
        </is>
      </c>
      <c r="E1971" t="inlineStr">
        <is>
          <t>PITEÅ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21547-2025</t>
        </is>
      </c>
      <c r="B1972" s="1" t="n">
        <v>45782.6719212963</v>
      </c>
      <c r="C1972" s="1" t="n">
        <v>46046</v>
      </c>
      <c r="D1972" t="inlineStr">
        <is>
          <t>NORRBOTTENS LÄN</t>
        </is>
      </c>
      <c r="E1972" t="inlineStr">
        <is>
          <t>HAPARANDA</t>
        </is>
      </c>
      <c r="F1972" t="inlineStr">
        <is>
          <t>Kommuner</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21516-2025</t>
        </is>
      </c>
      <c r="B1973" s="1" t="n">
        <v>45782</v>
      </c>
      <c r="C1973" s="1" t="n">
        <v>46046</v>
      </c>
      <c r="D1973" t="inlineStr">
        <is>
          <t>NORRBOTTENS LÄN</t>
        </is>
      </c>
      <c r="E1973" t="inlineStr">
        <is>
          <t>ÖVERKALIX</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21559-2023</t>
        </is>
      </c>
      <c r="B1974" s="1" t="n">
        <v>45063.57871527778</v>
      </c>
      <c r="C1974" s="1" t="n">
        <v>46046</v>
      </c>
      <c r="D1974" t="inlineStr">
        <is>
          <t>NORRBOTTENS LÄN</t>
        </is>
      </c>
      <c r="E1974" t="inlineStr">
        <is>
          <t>ÖVERKALIX</t>
        </is>
      </c>
      <c r="F1974" t="inlineStr">
        <is>
          <t>Sveaskog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10790-2024</t>
        </is>
      </c>
      <c r="B1975" s="1" t="n">
        <v>45369</v>
      </c>
      <c r="C1975" s="1" t="n">
        <v>46046</v>
      </c>
      <c r="D1975" t="inlineStr">
        <is>
          <t>NORRBOTTENS LÄN</t>
        </is>
      </c>
      <c r="E1975" t="inlineStr">
        <is>
          <t>PAJALA</t>
        </is>
      </c>
      <c r="F1975" t="inlineStr">
        <is>
          <t>Allmännings- och besparingsskogar</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21577-2025</t>
        </is>
      </c>
      <c r="B1976" s="1" t="n">
        <v>45782</v>
      </c>
      <c r="C1976" s="1" t="n">
        <v>46046</v>
      </c>
      <c r="D1976" t="inlineStr">
        <is>
          <t>NORRBOTTENS LÄN</t>
        </is>
      </c>
      <c r="E1976" t="inlineStr">
        <is>
          <t>HAPARANDA</t>
        </is>
      </c>
      <c r="F1976" t="inlineStr">
        <is>
          <t>Kommuner</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22470-2023</t>
        </is>
      </c>
      <c r="B1977" s="1" t="n">
        <v>45070</v>
      </c>
      <c r="C1977" s="1" t="n">
        <v>46046</v>
      </c>
      <c r="D1977" t="inlineStr">
        <is>
          <t>NORRBOTTENS LÄN</t>
        </is>
      </c>
      <c r="E1977" t="inlineStr">
        <is>
          <t>ÖVERKALIX</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21540-2025</t>
        </is>
      </c>
      <c r="B1978" s="1" t="n">
        <v>45782.66539351852</v>
      </c>
      <c r="C1978" s="1" t="n">
        <v>46046</v>
      </c>
      <c r="D1978" t="inlineStr">
        <is>
          <t>NORRBOTTENS LÄN</t>
        </is>
      </c>
      <c r="E1978" t="inlineStr">
        <is>
          <t>PITEÅ</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16028-2024</t>
        </is>
      </c>
      <c r="B1979" s="1" t="n">
        <v>45405</v>
      </c>
      <c r="C1979" s="1" t="n">
        <v>46046</v>
      </c>
      <c r="D1979" t="inlineStr">
        <is>
          <t>NORRBOTTENS LÄN</t>
        </is>
      </c>
      <c r="E1979" t="inlineStr">
        <is>
          <t>ÖVERTORNEÅ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10801-2024</t>
        </is>
      </c>
      <c r="B1980" s="1" t="n">
        <v>45369</v>
      </c>
      <c r="C1980" s="1" t="n">
        <v>46046</v>
      </c>
      <c r="D1980" t="inlineStr">
        <is>
          <t>NORRBOTTENS LÄN</t>
        </is>
      </c>
      <c r="E1980" t="inlineStr">
        <is>
          <t>PAJALA</t>
        </is>
      </c>
      <c r="F1980" t="inlineStr">
        <is>
          <t>Allmännings- och besparingsskogar</t>
        </is>
      </c>
      <c r="G1980" t="n">
        <v>16.6</v>
      </c>
      <c r="H1980" t="n">
        <v>0</v>
      </c>
      <c r="I1980" t="n">
        <v>0</v>
      </c>
      <c r="J1980" t="n">
        <v>0</v>
      </c>
      <c r="K1980" t="n">
        <v>0</v>
      </c>
      <c r="L1980" t="n">
        <v>0</v>
      </c>
      <c r="M1980" t="n">
        <v>0</v>
      </c>
      <c r="N1980" t="n">
        <v>0</v>
      </c>
      <c r="O1980" t="n">
        <v>0</v>
      </c>
      <c r="P1980" t="n">
        <v>0</v>
      </c>
      <c r="Q1980" t="n">
        <v>0</v>
      </c>
      <c r="R1980" s="2" t="inlineStr"/>
    </row>
    <row r="1981" ht="15" customHeight="1">
      <c r="A1981" t="inlineStr">
        <is>
          <t>A 39974-2021</t>
        </is>
      </c>
      <c r="B1981" s="1" t="n">
        <v>44417</v>
      </c>
      <c r="C1981" s="1" t="n">
        <v>46046</v>
      </c>
      <c r="D1981" t="inlineStr">
        <is>
          <t>NORRBOTTENS LÄN</t>
        </is>
      </c>
      <c r="E1981" t="inlineStr">
        <is>
          <t>ÖVERKALIX</t>
        </is>
      </c>
      <c r="G1981" t="n">
        <v>21.6</v>
      </c>
      <c r="H1981" t="n">
        <v>0</v>
      </c>
      <c r="I1981" t="n">
        <v>0</v>
      </c>
      <c r="J1981" t="n">
        <v>0</v>
      </c>
      <c r="K1981" t="n">
        <v>0</v>
      </c>
      <c r="L1981" t="n">
        <v>0</v>
      </c>
      <c r="M1981" t="n">
        <v>0</v>
      </c>
      <c r="N1981" t="n">
        <v>0</v>
      </c>
      <c r="O1981" t="n">
        <v>0</v>
      </c>
      <c r="P1981" t="n">
        <v>0</v>
      </c>
      <c r="Q1981" t="n">
        <v>0</v>
      </c>
      <c r="R1981" s="2" t="inlineStr"/>
    </row>
    <row r="1982" ht="15" customHeight="1">
      <c r="A1982" t="inlineStr">
        <is>
          <t>A 43861-2023</t>
        </is>
      </c>
      <c r="B1982" s="1" t="n">
        <v>45187</v>
      </c>
      <c r="C1982" s="1" t="n">
        <v>46046</v>
      </c>
      <c r="D1982" t="inlineStr">
        <is>
          <t>NORRBOTTENS LÄN</t>
        </is>
      </c>
      <c r="E1982" t="inlineStr">
        <is>
          <t>LULEÅ</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3806-2025</t>
        </is>
      </c>
      <c r="B1983" s="1" t="n">
        <v>45681.67431712963</v>
      </c>
      <c r="C1983" s="1" t="n">
        <v>46046</v>
      </c>
      <c r="D1983" t="inlineStr">
        <is>
          <t>NORRBOTTENS LÄN</t>
        </is>
      </c>
      <c r="E1983" t="inlineStr">
        <is>
          <t>KALIX</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52444-2021</t>
        </is>
      </c>
      <c r="B1984" s="1" t="n">
        <v>44463</v>
      </c>
      <c r="C1984" s="1" t="n">
        <v>46046</v>
      </c>
      <c r="D1984" t="inlineStr">
        <is>
          <t>NORRBOTTENS LÄN</t>
        </is>
      </c>
      <c r="E1984" t="inlineStr">
        <is>
          <t>LULEÅ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22042-2024</t>
        </is>
      </c>
      <c r="B1985" s="1" t="n">
        <v>45443</v>
      </c>
      <c r="C1985" s="1" t="n">
        <v>46046</v>
      </c>
      <c r="D1985" t="inlineStr">
        <is>
          <t>NORRBOTTENS LÄN</t>
        </is>
      </c>
      <c r="E1985" t="inlineStr">
        <is>
          <t>PAJALA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54739-2024</t>
        </is>
      </c>
      <c r="B1986" s="1" t="n">
        <v>45618.44335648148</v>
      </c>
      <c r="C1986" s="1" t="n">
        <v>46046</v>
      </c>
      <c r="D1986" t="inlineStr">
        <is>
          <t>NORRBOTTENS LÄN</t>
        </is>
      </c>
      <c r="E1986" t="inlineStr">
        <is>
          <t>LULEÅ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42450-2023</t>
        </is>
      </c>
      <c r="B1987" s="1" t="n">
        <v>45180</v>
      </c>
      <c r="C1987" s="1" t="n">
        <v>46046</v>
      </c>
      <c r="D1987" t="inlineStr">
        <is>
          <t>NORRBOTTENS LÄN</t>
        </is>
      </c>
      <c r="E1987" t="inlineStr">
        <is>
          <t>PITEÅ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55259-2024</t>
        </is>
      </c>
      <c r="B1988" s="1" t="n">
        <v>45621</v>
      </c>
      <c r="C1988" s="1" t="n">
        <v>46046</v>
      </c>
      <c r="D1988" t="inlineStr">
        <is>
          <t>NORRBOTTENS LÄN</t>
        </is>
      </c>
      <c r="E1988" t="inlineStr">
        <is>
          <t>GÄLLIVARE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55266-2024</t>
        </is>
      </c>
      <c r="B1989" s="1" t="n">
        <v>45621</v>
      </c>
      <c r="C1989" s="1" t="n">
        <v>46046</v>
      </c>
      <c r="D1989" t="inlineStr">
        <is>
          <t>NORRBOTTENS LÄN</t>
        </is>
      </c>
      <c r="E1989" t="inlineStr">
        <is>
          <t>ARJEPLOG</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21593-2025</t>
        </is>
      </c>
      <c r="B1990" s="1" t="n">
        <v>45783.34435185185</v>
      </c>
      <c r="C1990" s="1" t="n">
        <v>46046</v>
      </c>
      <c r="D1990" t="inlineStr">
        <is>
          <t>NORRBOTTENS LÄN</t>
        </is>
      </c>
      <c r="E1990" t="inlineStr">
        <is>
          <t>PITEÅ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71369-2021</t>
        </is>
      </c>
      <c r="B1991" s="1" t="n">
        <v>44539.94476851852</v>
      </c>
      <c r="C1991" s="1" t="n">
        <v>46046</v>
      </c>
      <c r="D1991" t="inlineStr">
        <is>
          <t>NORRBOTTENS LÄN</t>
        </is>
      </c>
      <c r="E1991" t="inlineStr">
        <is>
          <t>JOKKMOKK</t>
        </is>
      </c>
      <c r="F1991" t="inlineStr">
        <is>
          <t>SCA</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21826-2025</t>
        </is>
      </c>
      <c r="B1992" s="1" t="n">
        <v>45783</v>
      </c>
      <c r="C1992" s="1" t="n">
        <v>46046</v>
      </c>
      <c r="D1992" t="inlineStr">
        <is>
          <t>NORRBOTTENS LÄN</t>
        </is>
      </c>
      <c r="E1992" t="inlineStr">
        <is>
          <t>ÖVERKALIX</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4185-2023</t>
        </is>
      </c>
      <c r="B1993" s="1" t="n">
        <v>44953</v>
      </c>
      <c r="C1993" s="1" t="n">
        <v>46046</v>
      </c>
      <c r="D1993" t="inlineStr">
        <is>
          <t>NORRBOTTENS LÄN</t>
        </is>
      </c>
      <c r="E1993" t="inlineStr">
        <is>
          <t>GÄLLIVARE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33353-2021</t>
        </is>
      </c>
      <c r="B1994" s="1" t="n">
        <v>44377.49069444444</v>
      </c>
      <c r="C1994" s="1" t="n">
        <v>46046</v>
      </c>
      <c r="D1994" t="inlineStr">
        <is>
          <t>NORRBOTTENS LÄN</t>
        </is>
      </c>
      <c r="E1994" t="inlineStr">
        <is>
          <t>BODEN</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51275-2024</t>
        </is>
      </c>
      <c r="B1995" s="1" t="n">
        <v>45602</v>
      </c>
      <c r="C1995" s="1" t="n">
        <v>46046</v>
      </c>
      <c r="D1995" t="inlineStr">
        <is>
          <t>NORRBOTTENS LÄN</t>
        </is>
      </c>
      <c r="E1995" t="inlineStr">
        <is>
          <t>ÖVERTORNEÅ</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23982-2023</t>
        </is>
      </c>
      <c r="B1996" s="1" t="n">
        <v>45078</v>
      </c>
      <c r="C1996" s="1" t="n">
        <v>46046</v>
      </c>
      <c r="D1996" t="inlineStr">
        <is>
          <t>NORRBOTTENS LÄN</t>
        </is>
      </c>
      <c r="E1996" t="inlineStr">
        <is>
          <t>HAPARANDA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21829-2025</t>
        </is>
      </c>
      <c r="B1997" s="1" t="n">
        <v>45783.96920138889</v>
      </c>
      <c r="C1997" s="1" t="n">
        <v>46046</v>
      </c>
      <c r="D1997" t="inlineStr">
        <is>
          <t>NORRBOTTENS LÄN</t>
        </is>
      </c>
      <c r="E1997" t="inlineStr">
        <is>
          <t>JOKKMOKK</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30291-2023</t>
        </is>
      </c>
      <c r="B1998" s="1" t="n">
        <v>45110.92523148148</v>
      </c>
      <c r="C1998" s="1" t="n">
        <v>46046</v>
      </c>
      <c r="D1998" t="inlineStr">
        <is>
          <t>NORRBOTTENS LÄN</t>
        </is>
      </c>
      <c r="E1998" t="inlineStr">
        <is>
          <t>JOKKMOKK</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5653-2022</t>
        </is>
      </c>
      <c r="B1999" s="1" t="n">
        <v>44595</v>
      </c>
      <c r="C1999" s="1" t="n">
        <v>46046</v>
      </c>
      <c r="D1999" t="inlineStr">
        <is>
          <t>NORRBOTTENS LÄN</t>
        </is>
      </c>
      <c r="E1999" t="inlineStr">
        <is>
          <t>ÖVERKALIX</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53074-2024</t>
        </is>
      </c>
      <c r="B2000" s="1" t="n">
        <v>45611.48670138889</v>
      </c>
      <c r="C2000" s="1" t="n">
        <v>46046</v>
      </c>
      <c r="D2000" t="inlineStr">
        <is>
          <t>NORRBOTTENS LÄN</t>
        </is>
      </c>
      <c r="E2000" t="inlineStr">
        <is>
          <t>PAJALA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12794-2023</t>
        </is>
      </c>
      <c r="B2001" s="1" t="n">
        <v>45001</v>
      </c>
      <c r="C2001" s="1" t="n">
        <v>46046</v>
      </c>
      <c r="D2001" t="inlineStr">
        <is>
          <t>NORRBOTTENS LÄN</t>
        </is>
      </c>
      <c r="E2001" t="inlineStr">
        <is>
          <t>ARVIDSJAUR</t>
        </is>
      </c>
      <c r="F2001" t="inlineStr">
        <is>
          <t>Sveaskog</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55078-2024</t>
        </is>
      </c>
      <c r="B2002" s="1" t="n">
        <v>45621</v>
      </c>
      <c r="C2002" s="1" t="n">
        <v>46046</v>
      </c>
      <c r="D2002" t="inlineStr">
        <is>
          <t>NORRBOTTENS LÄN</t>
        </is>
      </c>
      <c r="E2002" t="inlineStr">
        <is>
          <t>ÄLVSBYN</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55124-2024</t>
        </is>
      </c>
      <c r="B2003" s="1" t="n">
        <v>45618</v>
      </c>
      <c r="C2003" s="1" t="n">
        <v>46046</v>
      </c>
      <c r="D2003" t="inlineStr">
        <is>
          <t>NORRBOTTENS LÄN</t>
        </is>
      </c>
      <c r="E2003" t="inlineStr">
        <is>
          <t>ARJEPLOG</t>
        </is>
      </c>
      <c r="G2003" t="n">
        <v>18.3</v>
      </c>
      <c r="H2003" t="n">
        <v>0</v>
      </c>
      <c r="I2003" t="n">
        <v>0</v>
      </c>
      <c r="J2003" t="n">
        <v>0</v>
      </c>
      <c r="K2003" t="n">
        <v>0</v>
      </c>
      <c r="L2003" t="n">
        <v>0</v>
      </c>
      <c r="M2003" t="n">
        <v>0</v>
      </c>
      <c r="N2003" t="n">
        <v>0</v>
      </c>
      <c r="O2003" t="n">
        <v>0</v>
      </c>
      <c r="P2003" t="n">
        <v>0</v>
      </c>
      <c r="Q2003" t="n">
        <v>0</v>
      </c>
      <c r="R2003" s="2" t="inlineStr"/>
    </row>
    <row r="2004" ht="15" customHeight="1">
      <c r="A2004" t="inlineStr">
        <is>
          <t>A 55164-2024</t>
        </is>
      </c>
      <c r="B2004" s="1" t="n">
        <v>45621</v>
      </c>
      <c r="C2004" s="1" t="n">
        <v>46046</v>
      </c>
      <c r="D2004" t="inlineStr">
        <is>
          <t>NORRBOTTENS LÄN</t>
        </is>
      </c>
      <c r="E2004" t="inlineStr">
        <is>
          <t>ARVIDSJAUR</t>
        </is>
      </c>
      <c r="G2004" t="n">
        <v>21.1</v>
      </c>
      <c r="H2004" t="n">
        <v>0</v>
      </c>
      <c r="I2004" t="n">
        <v>0</v>
      </c>
      <c r="J2004" t="n">
        <v>0</v>
      </c>
      <c r="K2004" t="n">
        <v>0</v>
      </c>
      <c r="L2004" t="n">
        <v>0</v>
      </c>
      <c r="M2004" t="n">
        <v>0</v>
      </c>
      <c r="N2004" t="n">
        <v>0</v>
      </c>
      <c r="O2004" t="n">
        <v>0</v>
      </c>
      <c r="P2004" t="n">
        <v>0</v>
      </c>
      <c r="Q2004" t="n">
        <v>0</v>
      </c>
      <c r="R2004" s="2" t="inlineStr"/>
    </row>
    <row r="2005" ht="15" customHeight="1">
      <c r="A2005" t="inlineStr">
        <is>
          <t>A 21874-2025</t>
        </is>
      </c>
      <c r="B2005" s="1" t="n">
        <v>45784.389375</v>
      </c>
      <c r="C2005" s="1" t="n">
        <v>46046</v>
      </c>
      <c r="D2005" t="inlineStr">
        <is>
          <t>NORRBOTTENS LÄN</t>
        </is>
      </c>
      <c r="E2005" t="inlineStr">
        <is>
          <t>HAPARANDA</t>
        </is>
      </c>
      <c r="F2005" t="inlineStr">
        <is>
          <t>Kommuner</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31579-2023</t>
        </is>
      </c>
      <c r="B2006" s="1" t="n">
        <v>45117.44940972222</v>
      </c>
      <c r="C2006" s="1" t="n">
        <v>46046</v>
      </c>
      <c r="D2006" t="inlineStr">
        <is>
          <t>NORRBOTTENS LÄN</t>
        </is>
      </c>
      <c r="E2006" t="inlineStr">
        <is>
          <t>KALIX</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44982-2023</t>
        </is>
      </c>
      <c r="B2007" s="1" t="n">
        <v>45190.95821759259</v>
      </c>
      <c r="C2007" s="1" t="n">
        <v>46046</v>
      </c>
      <c r="D2007" t="inlineStr">
        <is>
          <t>NORRBOTTENS LÄN</t>
        </is>
      </c>
      <c r="E2007" t="inlineStr">
        <is>
          <t>GÄLLIVARE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44985-2023</t>
        </is>
      </c>
      <c r="B2008" s="1" t="n">
        <v>45190.95814814815</v>
      </c>
      <c r="C2008" s="1" t="n">
        <v>46046</v>
      </c>
      <c r="D2008" t="inlineStr">
        <is>
          <t>NORRBOTTENS LÄN</t>
        </is>
      </c>
      <c r="E2008" t="inlineStr">
        <is>
          <t>GÄLLIVARE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55422-2021</t>
        </is>
      </c>
      <c r="B2009" s="1" t="n">
        <v>44475</v>
      </c>
      <c r="C2009" s="1" t="n">
        <v>46046</v>
      </c>
      <c r="D2009" t="inlineStr">
        <is>
          <t>NORRBOTTENS LÄN</t>
        </is>
      </c>
      <c r="E2009" t="inlineStr">
        <is>
          <t>ARJEPLOG</t>
        </is>
      </c>
      <c r="F2009" t="inlineStr">
        <is>
          <t>Sveaskog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3504-2024</t>
        </is>
      </c>
      <c r="B2010" s="1" t="n">
        <v>45320</v>
      </c>
      <c r="C2010" s="1" t="n">
        <v>46046</v>
      </c>
      <c r="D2010" t="inlineStr">
        <is>
          <t>NORRBOTTENS LÄN</t>
        </is>
      </c>
      <c r="E2010" t="inlineStr">
        <is>
          <t>PITEÅ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285-2024</t>
        </is>
      </c>
      <c r="B2011" s="1" t="n">
        <v>45295.41796296297</v>
      </c>
      <c r="C2011" s="1" t="n">
        <v>46046</v>
      </c>
      <c r="D2011" t="inlineStr">
        <is>
          <t>NORRBOTTENS LÄN</t>
        </is>
      </c>
      <c r="E2011" t="inlineStr">
        <is>
          <t>KALIX</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13846-2024</t>
        </is>
      </c>
      <c r="B2012" s="1" t="n">
        <v>45390</v>
      </c>
      <c r="C2012" s="1" t="n">
        <v>46046</v>
      </c>
      <c r="D2012" t="inlineStr">
        <is>
          <t>NORRBOTTENS LÄN</t>
        </is>
      </c>
      <c r="E2012" t="inlineStr">
        <is>
          <t>LULEÅ</t>
        </is>
      </c>
      <c r="G2012" t="n">
        <v>16.4</v>
      </c>
      <c r="H2012" t="n">
        <v>0</v>
      </c>
      <c r="I2012" t="n">
        <v>0</v>
      </c>
      <c r="J2012" t="n">
        <v>0</v>
      </c>
      <c r="K2012" t="n">
        <v>0</v>
      </c>
      <c r="L2012" t="n">
        <v>0</v>
      </c>
      <c r="M2012" t="n">
        <v>0</v>
      </c>
      <c r="N2012" t="n">
        <v>0</v>
      </c>
      <c r="O2012" t="n">
        <v>0</v>
      </c>
      <c r="P2012" t="n">
        <v>0</v>
      </c>
      <c r="Q2012" t="n">
        <v>0</v>
      </c>
      <c r="R2012" s="2" t="inlineStr"/>
    </row>
    <row r="2013" ht="15" customHeight="1">
      <c r="A2013" t="inlineStr">
        <is>
          <t>A 14072-2024</t>
        </is>
      </c>
      <c r="B2013" s="1" t="n">
        <v>45392.5745949074</v>
      </c>
      <c r="C2013" s="1" t="n">
        <v>46046</v>
      </c>
      <c r="D2013" t="inlineStr">
        <is>
          <t>NORRBOTTENS LÄN</t>
        </is>
      </c>
      <c r="E2013" t="inlineStr">
        <is>
          <t>PAJALA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27923-2023</t>
        </is>
      </c>
      <c r="B2014" s="1" t="n">
        <v>45098</v>
      </c>
      <c r="C2014" s="1" t="n">
        <v>46046</v>
      </c>
      <c r="D2014" t="inlineStr">
        <is>
          <t>NORRBOTTENS LÄN</t>
        </is>
      </c>
      <c r="E2014" t="inlineStr">
        <is>
          <t>PITEÅ</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61858-2023</t>
        </is>
      </c>
      <c r="B2015" s="1" t="n">
        <v>45264</v>
      </c>
      <c r="C2015" s="1" t="n">
        <v>46046</v>
      </c>
      <c r="D2015" t="inlineStr">
        <is>
          <t>NORRBOTTENS LÄN</t>
        </is>
      </c>
      <c r="E2015" t="inlineStr">
        <is>
          <t>PITEÅ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6957-2025</t>
        </is>
      </c>
      <c r="B2016" s="1" t="n">
        <v>45701.49048611111</v>
      </c>
      <c r="C2016" s="1" t="n">
        <v>46046</v>
      </c>
      <c r="D2016" t="inlineStr">
        <is>
          <t>NORRBOTTENS LÄN</t>
        </is>
      </c>
      <c r="E2016" t="inlineStr">
        <is>
          <t>LULEÅ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8802-2025</t>
        </is>
      </c>
      <c r="B2017" s="1" t="n">
        <v>45712.65888888889</v>
      </c>
      <c r="C2017" s="1" t="n">
        <v>46046</v>
      </c>
      <c r="D2017" t="inlineStr">
        <is>
          <t>NORRBOTTENS LÄN</t>
        </is>
      </c>
      <c r="E2017" t="inlineStr">
        <is>
          <t>KALIX</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9286-2023</t>
        </is>
      </c>
      <c r="B2018" s="1" t="n">
        <v>44977</v>
      </c>
      <c r="C2018" s="1" t="n">
        <v>46046</v>
      </c>
      <c r="D2018" t="inlineStr">
        <is>
          <t>NORRBOTTENS LÄN</t>
        </is>
      </c>
      <c r="E2018" t="inlineStr">
        <is>
          <t>LULEÅ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9289-2023</t>
        </is>
      </c>
      <c r="B2019" s="1" t="n">
        <v>44977</v>
      </c>
      <c r="C2019" s="1" t="n">
        <v>46046</v>
      </c>
      <c r="D2019" t="inlineStr">
        <is>
          <t>NORRBOTTENS LÄN</t>
        </is>
      </c>
      <c r="E2019" t="inlineStr">
        <is>
          <t>LULEÅ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44324-2024</t>
        </is>
      </c>
      <c r="B2020" s="1" t="n">
        <v>45573.59376157408</v>
      </c>
      <c r="C2020" s="1" t="n">
        <v>46046</v>
      </c>
      <c r="D2020" t="inlineStr">
        <is>
          <t>NORRBOTTENS LÄN</t>
        </is>
      </c>
      <c r="E2020" t="inlineStr">
        <is>
          <t>LULEÅ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44327-2024</t>
        </is>
      </c>
      <c r="B2021" s="1" t="n">
        <v>45573</v>
      </c>
      <c r="C2021" s="1" t="n">
        <v>46046</v>
      </c>
      <c r="D2021" t="inlineStr">
        <is>
          <t>NORRBOTTENS LÄN</t>
        </is>
      </c>
      <c r="E2021" t="inlineStr">
        <is>
          <t>GÄLLIVARE</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55319-2023</t>
        </is>
      </c>
      <c r="B2022" s="1" t="n">
        <v>45237</v>
      </c>
      <c r="C2022" s="1" t="n">
        <v>46046</v>
      </c>
      <c r="D2022" t="inlineStr">
        <is>
          <t>NORRBOTTENS LÄN</t>
        </is>
      </c>
      <c r="E2022" t="inlineStr">
        <is>
          <t>PITEÅ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22108-2025</t>
        </is>
      </c>
      <c r="B2023" s="1" t="n">
        <v>45785</v>
      </c>
      <c r="C2023" s="1" t="n">
        <v>46046</v>
      </c>
      <c r="D2023" t="inlineStr">
        <is>
          <t>NORRBOTTENS LÄN</t>
        </is>
      </c>
      <c r="E2023" t="inlineStr">
        <is>
          <t>ÖVERKALIX</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17318-2024</t>
        </is>
      </c>
      <c r="B2024" s="1" t="n">
        <v>45414</v>
      </c>
      <c r="C2024" s="1" t="n">
        <v>46046</v>
      </c>
      <c r="D2024" t="inlineStr">
        <is>
          <t>NORRBOTTENS LÄN</t>
        </is>
      </c>
      <c r="E2024" t="inlineStr">
        <is>
          <t>PITEÅ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6271-2024</t>
        </is>
      </c>
      <c r="B2025" s="1" t="n">
        <v>45337</v>
      </c>
      <c r="C2025" s="1" t="n">
        <v>46046</v>
      </c>
      <c r="D2025" t="inlineStr">
        <is>
          <t>NORRBOTTENS LÄN</t>
        </is>
      </c>
      <c r="E2025" t="inlineStr">
        <is>
          <t>GÄLLIVARE</t>
        </is>
      </c>
      <c r="G2025" t="n">
        <v>14.7</v>
      </c>
      <c r="H2025" t="n">
        <v>0</v>
      </c>
      <c r="I2025" t="n">
        <v>0</v>
      </c>
      <c r="J2025" t="n">
        <v>0</v>
      </c>
      <c r="K2025" t="n">
        <v>0</v>
      </c>
      <c r="L2025" t="n">
        <v>0</v>
      </c>
      <c r="M2025" t="n">
        <v>0</v>
      </c>
      <c r="N2025" t="n">
        <v>0</v>
      </c>
      <c r="O2025" t="n">
        <v>0</v>
      </c>
      <c r="P2025" t="n">
        <v>0</v>
      </c>
      <c r="Q2025" t="n">
        <v>0</v>
      </c>
      <c r="R2025" s="2" t="inlineStr"/>
    </row>
    <row r="2026" ht="15" customHeight="1">
      <c r="A2026" t="inlineStr">
        <is>
          <t>A 22216-2025</t>
        </is>
      </c>
      <c r="B2026" s="1" t="n">
        <v>45785.65818287037</v>
      </c>
      <c r="C2026" s="1" t="n">
        <v>46046</v>
      </c>
      <c r="D2026" t="inlineStr">
        <is>
          <t>NORRBOTTENS LÄN</t>
        </is>
      </c>
      <c r="E2026" t="inlineStr">
        <is>
          <t>KALIX</t>
        </is>
      </c>
      <c r="F2026" t="inlineStr">
        <is>
          <t>SCA</t>
        </is>
      </c>
      <c r="G2026" t="n">
        <v>20.9</v>
      </c>
      <c r="H2026" t="n">
        <v>0</v>
      </c>
      <c r="I2026" t="n">
        <v>0</v>
      </c>
      <c r="J2026" t="n">
        <v>0</v>
      </c>
      <c r="K2026" t="n">
        <v>0</v>
      </c>
      <c r="L2026" t="n">
        <v>0</v>
      </c>
      <c r="M2026" t="n">
        <v>0</v>
      </c>
      <c r="N2026" t="n">
        <v>0</v>
      </c>
      <c r="O2026" t="n">
        <v>0</v>
      </c>
      <c r="P2026" t="n">
        <v>0</v>
      </c>
      <c r="Q2026" t="n">
        <v>0</v>
      </c>
      <c r="R2026" s="2" t="inlineStr"/>
    </row>
    <row r="2027" ht="15" customHeight="1">
      <c r="A2027" t="inlineStr">
        <is>
          <t>A 24616-2024</t>
        </is>
      </c>
      <c r="B2027" s="1" t="n">
        <v>45460</v>
      </c>
      <c r="C2027" s="1" t="n">
        <v>46046</v>
      </c>
      <c r="D2027" t="inlineStr">
        <is>
          <t>NORRBOTTENS LÄN</t>
        </is>
      </c>
      <c r="E2027" t="inlineStr">
        <is>
          <t>KALIX</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7028-2023</t>
        </is>
      </c>
      <c r="B2028" s="1" t="n">
        <v>44968</v>
      </c>
      <c r="C2028" s="1" t="n">
        <v>46046</v>
      </c>
      <c r="D2028" t="inlineStr">
        <is>
          <t>NORRBOTTENS LÄN</t>
        </is>
      </c>
      <c r="E2028" t="inlineStr">
        <is>
          <t>PAJALA</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7029-2023</t>
        </is>
      </c>
      <c r="B2029" s="1" t="n">
        <v>44968</v>
      </c>
      <c r="C2029" s="1" t="n">
        <v>46046</v>
      </c>
      <c r="D2029" t="inlineStr">
        <is>
          <t>NORRBOTTENS LÄN</t>
        </is>
      </c>
      <c r="E2029" t="inlineStr">
        <is>
          <t>PAJALA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7031-2023</t>
        </is>
      </c>
      <c r="B2030" s="1" t="n">
        <v>44968</v>
      </c>
      <c r="C2030" s="1" t="n">
        <v>46046</v>
      </c>
      <c r="D2030" t="inlineStr">
        <is>
          <t>NORRBOTTENS LÄN</t>
        </is>
      </c>
      <c r="E2030" t="inlineStr">
        <is>
          <t>PAJALA</t>
        </is>
      </c>
      <c r="G2030" t="n">
        <v>41.3</v>
      </c>
      <c r="H2030" t="n">
        <v>0</v>
      </c>
      <c r="I2030" t="n">
        <v>0</v>
      </c>
      <c r="J2030" t="n">
        <v>0</v>
      </c>
      <c r="K2030" t="n">
        <v>0</v>
      </c>
      <c r="L2030" t="n">
        <v>0</v>
      </c>
      <c r="M2030" t="n">
        <v>0</v>
      </c>
      <c r="N2030" t="n">
        <v>0</v>
      </c>
      <c r="O2030" t="n">
        <v>0</v>
      </c>
      <c r="P2030" t="n">
        <v>0</v>
      </c>
      <c r="Q2030" t="n">
        <v>0</v>
      </c>
      <c r="R2030" s="2" t="inlineStr"/>
    </row>
    <row r="2031" ht="15" customHeight="1">
      <c r="A2031" t="inlineStr">
        <is>
          <t>A 32276-2024</t>
        </is>
      </c>
      <c r="B2031" s="1" t="n">
        <v>45512.36836805556</v>
      </c>
      <c r="C2031" s="1" t="n">
        <v>46046</v>
      </c>
      <c r="D2031" t="inlineStr">
        <is>
          <t>NORRBOTTENS LÄN</t>
        </is>
      </c>
      <c r="E2031" t="inlineStr">
        <is>
          <t>BODEN</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45329-2024</t>
        </is>
      </c>
      <c r="B2032" s="1" t="n">
        <v>45576.45633101852</v>
      </c>
      <c r="C2032" s="1" t="n">
        <v>46046</v>
      </c>
      <c r="D2032" t="inlineStr">
        <is>
          <t>NORRBOTTENS LÄN</t>
        </is>
      </c>
      <c r="E2032" t="inlineStr">
        <is>
          <t>PITEÅ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27550-2024</t>
        </is>
      </c>
      <c r="B2033" s="1" t="n">
        <v>45474</v>
      </c>
      <c r="C2033" s="1" t="n">
        <v>46046</v>
      </c>
      <c r="D2033" t="inlineStr">
        <is>
          <t>NORRBOTTENS LÄN</t>
        </is>
      </c>
      <c r="E2033" t="inlineStr">
        <is>
          <t>ÄLVSBYN</t>
        </is>
      </c>
      <c r="F2033" t="inlineStr">
        <is>
          <t>Övriga Aktiebolag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21246-2025</t>
        </is>
      </c>
      <c r="B2034" s="1" t="n">
        <v>45779</v>
      </c>
      <c r="C2034" s="1" t="n">
        <v>46046</v>
      </c>
      <c r="D2034" t="inlineStr">
        <is>
          <t>NORRBOTTENS LÄN</t>
        </is>
      </c>
      <c r="E2034" t="inlineStr">
        <is>
          <t>GÄLLIVARE</t>
        </is>
      </c>
      <c r="F2034" t="inlineStr">
        <is>
          <t>SCA</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1615-2024</t>
        </is>
      </c>
      <c r="B2035" s="1" t="n">
        <v>45306</v>
      </c>
      <c r="C2035" s="1" t="n">
        <v>46046</v>
      </c>
      <c r="D2035" t="inlineStr">
        <is>
          <t>NORRBOTTENS LÄN</t>
        </is>
      </c>
      <c r="E2035" t="inlineStr">
        <is>
          <t>JOKKMOKK</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25340-2024</t>
        </is>
      </c>
      <c r="B2036" s="1" t="n">
        <v>45462</v>
      </c>
      <c r="C2036" s="1" t="n">
        <v>46046</v>
      </c>
      <c r="D2036" t="inlineStr">
        <is>
          <t>NORRBOTTENS LÄN</t>
        </is>
      </c>
      <c r="E2036" t="inlineStr">
        <is>
          <t>LULEÅ</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9706-2022</t>
        </is>
      </c>
      <c r="B2037" s="1" t="n">
        <v>44617</v>
      </c>
      <c r="C2037" s="1" t="n">
        <v>46046</v>
      </c>
      <c r="D2037" t="inlineStr">
        <is>
          <t>NORRBOTTENS LÄN</t>
        </is>
      </c>
      <c r="E2037" t="inlineStr">
        <is>
          <t>LULEÅ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55317-2023</t>
        </is>
      </c>
      <c r="B2038" s="1" t="n">
        <v>45237</v>
      </c>
      <c r="C2038" s="1" t="n">
        <v>46046</v>
      </c>
      <c r="D2038" t="inlineStr">
        <is>
          <t>NORRBOTTENS LÄN</t>
        </is>
      </c>
      <c r="E2038" t="inlineStr">
        <is>
          <t>BODEN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9274-2023</t>
        </is>
      </c>
      <c r="B2039" s="1" t="n">
        <v>44977</v>
      </c>
      <c r="C2039" s="1" t="n">
        <v>46046</v>
      </c>
      <c r="D2039" t="inlineStr">
        <is>
          <t>NORRBOTTENS LÄN</t>
        </is>
      </c>
      <c r="E2039" t="inlineStr">
        <is>
          <t>LULEÅ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9278-2023</t>
        </is>
      </c>
      <c r="B2040" s="1" t="n">
        <v>44977</v>
      </c>
      <c r="C2040" s="1" t="n">
        <v>46046</v>
      </c>
      <c r="D2040" t="inlineStr">
        <is>
          <t>NORRBOTTENS LÄN</t>
        </is>
      </c>
      <c r="E2040" t="inlineStr">
        <is>
          <t>LULEÅ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45049-2024</t>
        </is>
      </c>
      <c r="B2041" s="1" t="n">
        <v>45575.54700231482</v>
      </c>
      <c r="C2041" s="1" t="n">
        <v>46046</v>
      </c>
      <c r="D2041" t="inlineStr">
        <is>
          <t>NORRBOTTENS LÄN</t>
        </is>
      </c>
      <c r="E2041" t="inlineStr">
        <is>
          <t>ÖVERTORNEÅ</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66326-2021</t>
        </is>
      </c>
      <c r="B2042" s="1" t="n">
        <v>44518</v>
      </c>
      <c r="C2042" s="1" t="n">
        <v>46046</v>
      </c>
      <c r="D2042" t="inlineStr">
        <is>
          <t>NORRBOTTENS LÄN</t>
        </is>
      </c>
      <c r="E2042" t="inlineStr">
        <is>
          <t>PAJALA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30787-2024</t>
        </is>
      </c>
      <c r="B2043" s="1" t="n">
        <v>45496.95108796296</v>
      </c>
      <c r="C2043" s="1" t="n">
        <v>46046</v>
      </c>
      <c r="D2043" t="inlineStr">
        <is>
          <t>NORRBOTTENS LÄN</t>
        </is>
      </c>
      <c r="E2043" t="inlineStr">
        <is>
          <t>LULEÅ</t>
        </is>
      </c>
      <c r="F2043" t="inlineStr">
        <is>
          <t>Naturvårdsverket</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60417-2024</t>
        </is>
      </c>
      <c r="B2044" s="1" t="n">
        <v>45643.53211805555</v>
      </c>
      <c r="C2044" s="1" t="n">
        <v>46046</v>
      </c>
      <c r="D2044" t="inlineStr">
        <is>
          <t>NORRBOTTENS LÄN</t>
        </is>
      </c>
      <c r="E2044" t="inlineStr">
        <is>
          <t>ÖVERKALIX</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7442-2024</t>
        </is>
      </c>
      <c r="B2045" s="1" t="n">
        <v>45345</v>
      </c>
      <c r="C2045" s="1" t="n">
        <v>46046</v>
      </c>
      <c r="D2045" t="inlineStr">
        <is>
          <t>NORRBOTTENS LÄN</t>
        </is>
      </c>
      <c r="E2045" t="inlineStr">
        <is>
          <t>BODEN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20166-2025</t>
        </is>
      </c>
      <c r="B2046" s="1" t="n">
        <v>45772</v>
      </c>
      <c r="C2046" s="1" t="n">
        <v>46046</v>
      </c>
      <c r="D2046" t="inlineStr">
        <is>
          <t>NORRBOTTENS LÄN</t>
        </is>
      </c>
      <c r="E2046" t="inlineStr">
        <is>
          <t>ÄLVSBYN</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57180-2022</t>
        </is>
      </c>
      <c r="B2047" s="1" t="n">
        <v>44895.61856481482</v>
      </c>
      <c r="C2047" s="1" t="n">
        <v>46046</v>
      </c>
      <c r="D2047" t="inlineStr">
        <is>
          <t>NORRBOTTENS LÄN</t>
        </is>
      </c>
      <c r="E2047" t="inlineStr">
        <is>
          <t>PITEÅ</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21990-2025</t>
        </is>
      </c>
      <c r="B2048" s="1" t="n">
        <v>45784</v>
      </c>
      <c r="C2048" s="1" t="n">
        <v>46046</v>
      </c>
      <c r="D2048" t="inlineStr">
        <is>
          <t>NORRBOTTENS LÄN</t>
        </is>
      </c>
      <c r="E2048" t="inlineStr">
        <is>
          <t>ÄLVSBYN</t>
        </is>
      </c>
      <c r="F2048" t="inlineStr">
        <is>
          <t>Övriga Aktiebolag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2547-2025</t>
        </is>
      </c>
      <c r="B2049" s="1" t="n">
        <v>45674.63210648148</v>
      </c>
      <c r="C2049" s="1" t="n">
        <v>46046</v>
      </c>
      <c r="D2049" t="inlineStr">
        <is>
          <t>NORRBOTTENS LÄN</t>
        </is>
      </c>
      <c r="E2049" t="inlineStr">
        <is>
          <t>BODEN</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5129-2025</t>
        </is>
      </c>
      <c r="B2050" s="1" t="n">
        <v>45691.56939814815</v>
      </c>
      <c r="C2050" s="1" t="n">
        <v>46046</v>
      </c>
      <c r="D2050" t="inlineStr">
        <is>
          <t>NORRBOTTENS LÄN</t>
        </is>
      </c>
      <c r="E2050" t="inlineStr">
        <is>
          <t>BODEN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6272-2024</t>
        </is>
      </c>
      <c r="B2051" s="1" t="n">
        <v>45337</v>
      </c>
      <c r="C2051" s="1" t="n">
        <v>46046</v>
      </c>
      <c r="D2051" t="inlineStr">
        <is>
          <t>NORRBOTTENS LÄN</t>
        </is>
      </c>
      <c r="E2051" t="inlineStr">
        <is>
          <t>GÄLLIVARE</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58379-2022</t>
        </is>
      </c>
      <c r="B2052" s="1" t="n">
        <v>44901.63513888889</v>
      </c>
      <c r="C2052" s="1" t="n">
        <v>46046</v>
      </c>
      <c r="D2052" t="inlineStr">
        <is>
          <t>NORRBOTTENS LÄN</t>
        </is>
      </c>
      <c r="E2052" t="inlineStr">
        <is>
          <t>HAPARANDA</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7266-2024</t>
        </is>
      </c>
      <c r="B2053" s="1" t="n">
        <v>45344.82890046296</v>
      </c>
      <c r="C2053" s="1" t="n">
        <v>46046</v>
      </c>
      <c r="D2053" t="inlineStr">
        <is>
          <t>NORRBOTTENS LÄN</t>
        </is>
      </c>
      <c r="E2053" t="inlineStr">
        <is>
          <t>ÄLVSBYN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4242-2024</t>
        </is>
      </c>
      <c r="B2054" s="1" t="n">
        <v>45324.46291666666</v>
      </c>
      <c r="C2054" s="1" t="n">
        <v>46046</v>
      </c>
      <c r="D2054" t="inlineStr">
        <is>
          <t>NORRBOTTENS LÄN</t>
        </is>
      </c>
      <c r="E2054" t="inlineStr">
        <is>
          <t>PITEÅ</t>
        </is>
      </c>
      <c r="F2054" t="inlineStr">
        <is>
          <t>Sveaskog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56163-2022</t>
        </is>
      </c>
      <c r="B2055" s="1" t="n">
        <v>44889</v>
      </c>
      <c r="C2055" s="1" t="n">
        <v>46046</v>
      </c>
      <c r="D2055" t="inlineStr">
        <is>
          <t>NORRBOTTENS LÄN</t>
        </is>
      </c>
      <c r="E2055" t="inlineStr">
        <is>
          <t>BODEN</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3387-2023</t>
        </is>
      </c>
      <c r="B2056" s="1" t="n">
        <v>44945</v>
      </c>
      <c r="C2056" s="1" t="n">
        <v>46046</v>
      </c>
      <c r="D2056" t="inlineStr">
        <is>
          <t>NORRBOTTENS LÄN</t>
        </is>
      </c>
      <c r="E2056" t="inlineStr">
        <is>
          <t>KALIX</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48409-2023</t>
        </is>
      </c>
      <c r="B2057" s="1" t="n">
        <v>45205</v>
      </c>
      <c r="C2057" s="1" t="n">
        <v>46046</v>
      </c>
      <c r="D2057" t="inlineStr">
        <is>
          <t>NORRBOTTENS LÄN</t>
        </is>
      </c>
      <c r="E2057" t="inlineStr">
        <is>
          <t>LULEÅ</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48410-2023</t>
        </is>
      </c>
      <c r="B2058" s="1" t="n">
        <v>45205</v>
      </c>
      <c r="C2058" s="1" t="n">
        <v>46046</v>
      </c>
      <c r="D2058" t="inlineStr">
        <is>
          <t>NORRBOTTENS LÄN</t>
        </is>
      </c>
      <c r="E2058" t="inlineStr">
        <is>
          <t>LULEÅ</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9655-2024</t>
        </is>
      </c>
      <c r="B2059" s="1" t="n">
        <v>45362</v>
      </c>
      <c r="C2059" s="1" t="n">
        <v>46046</v>
      </c>
      <c r="D2059" t="inlineStr">
        <is>
          <t>NORRBOTTENS LÄN</t>
        </is>
      </c>
      <c r="E2059" t="inlineStr">
        <is>
          <t>GÄLLIVARE</t>
        </is>
      </c>
      <c r="F2059" t="inlineStr">
        <is>
          <t>Sveaskog</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50672-2024</t>
        </is>
      </c>
      <c r="B2060" s="1" t="n">
        <v>45601</v>
      </c>
      <c r="C2060" s="1" t="n">
        <v>46046</v>
      </c>
      <c r="D2060" t="inlineStr">
        <is>
          <t>NORRBOTTENS LÄN</t>
        </is>
      </c>
      <c r="E2060" t="inlineStr">
        <is>
          <t>ÄLVSBYN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2175-2022</t>
        </is>
      </c>
      <c r="B2061" s="1" t="n">
        <v>44578</v>
      </c>
      <c r="C2061" s="1" t="n">
        <v>46046</v>
      </c>
      <c r="D2061" t="inlineStr">
        <is>
          <t>NORRBOTTENS LÄN</t>
        </is>
      </c>
      <c r="E2061" t="inlineStr">
        <is>
          <t>PAJALA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32738-2024</t>
        </is>
      </c>
      <c r="B2062" s="1" t="n">
        <v>45516.43415509259</v>
      </c>
      <c r="C2062" s="1" t="n">
        <v>46046</v>
      </c>
      <c r="D2062" t="inlineStr">
        <is>
          <t>NORRBOTTENS LÄN</t>
        </is>
      </c>
      <c r="E2062" t="inlineStr">
        <is>
          <t>ÖVERTORNEÅ</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58274-2024</t>
        </is>
      </c>
      <c r="B2063" s="1" t="n">
        <v>45632.57121527778</v>
      </c>
      <c r="C2063" s="1" t="n">
        <v>46046</v>
      </c>
      <c r="D2063" t="inlineStr">
        <is>
          <t>NORRBOTTENS LÄN</t>
        </is>
      </c>
      <c r="E2063" t="inlineStr">
        <is>
          <t>KALIX</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47364-2024</t>
        </is>
      </c>
      <c r="B2064" s="1" t="n">
        <v>45587.44475694445</v>
      </c>
      <c r="C2064" s="1" t="n">
        <v>46046</v>
      </c>
      <c r="D2064" t="inlineStr">
        <is>
          <t>NORRBOTTENS LÄN</t>
        </is>
      </c>
      <c r="E2064" t="inlineStr">
        <is>
          <t>HAPARANDA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25983-2023</t>
        </is>
      </c>
      <c r="B2065" s="1" t="n">
        <v>45090</v>
      </c>
      <c r="C2065" s="1" t="n">
        <v>46046</v>
      </c>
      <c r="D2065" t="inlineStr">
        <is>
          <t>NORRBOTTENS LÄN</t>
        </is>
      </c>
      <c r="E2065" t="inlineStr">
        <is>
          <t>PITEÅ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50115-2024</t>
        </is>
      </c>
      <c r="B2066" s="1" t="n">
        <v>45600.41362268518</v>
      </c>
      <c r="C2066" s="1" t="n">
        <v>46046</v>
      </c>
      <c r="D2066" t="inlineStr">
        <is>
          <t>NORRBOTTENS LÄN</t>
        </is>
      </c>
      <c r="E2066" t="inlineStr">
        <is>
          <t>KALIX</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15959-2024</t>
        </is>
      </c>
      <c r="B2067" s="1" t="n">
        <v>45405</v>
      </c>
      <c r="C2067" s="1" t="n">
        <v>46046</v>
      </c>
      <c r="D2067" t="inlineStr">
        <is>
          <t>NORRBOTTENS LÄN</t>
        </is>
      </c>
      <c r="E2067" t="inlineStr">
        <is>
          <t>ÄLVSBYN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49852-2024</t>
        </is>
      </c>
      <c r="B2068" s="1" t="n">
        <v>45597.46708333334</v>
      </c>
      <c r="C2068" s="1" t="n">
        <v>46046</v>
      </c>
      <c r="D2068" t="inlineStr">
        <is>
          <t>NORRBOTTENS LÄN</t>
        </is>
      </c>
      <c r="E2068" t="inlineStr">
        <is>
          <t>HAPARANDA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37030-2022</t>
        </is>
      </c>
      <c r="B2069" s="1" t="n">
        <v>44806.43287037037</v>
      </c>
      <c r="C2069" s="1" t="n">
        <v>46046</v>
      </c>
      <c r="D2069" t="inlineStr">
        <is>
          <t>NORRBOTTENS LÄN</t>
        </is>
      </c>
      <c r="E2069" t="inlineStr">
        <is>
          <t>PITEÅ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7306-2024</t>
        </is>
      </c>
      <c r="B2070" s="1" t="n">
        <v>45344</v>
      </c>
      <c r="C2070" s="1" t="n">
        <v>46046</v>
      </c>
      <c r="D2070" t="inlineStr">
        <is>
          <t>NORRBOTTENS LÄN</t>
        </is>
      </c>
      <c r="E2070" t="inlineStr">
        <is>
          <t>LULEÅ</t>
        </is>
      </c>
      <c r="G2070" t="n">
        <v>29.2</v>
      </c>
      <c r="H2070" t="n">
        <v>0</v>
      </c>
      <c r="I2070" t="n">
        <v>0</v>
      </c>
      <c r="J2070" t="n">
        <v>0</v>
      </c>
      <c r="K2070" t="n">
        <v>0</v>
      </c>
      <c r="L2070" t="n">
        <v>0</v>
      </c>
      <c r="M2070" t="n">
        <v>0</v>
      </c>
      <c r="N2070" t="n">
        <v>0</v>
      </c>
      <c r="O2070" t="n">
        <v>0</v>
      </c>
      <c r="P2070" t="n">
        <v>0</v>
      </c>
      <c r="Q2070" t="n">
        <v>0</v>
      </c>
      <c r="R2070" s="2" t="inlineStr"/>
    </row>
    <row r="2071" ht="15" customHeight="1">
      <c r="A2071" t="inlineStr">
        <is>
          <t>A 38406-2024</t>
        </is>
      </c>
      <c r="B2071" s="1" t="n">
        <v>45546</v>
      </c>
      <c r="C2071" s="1" t="n">
        <v>46046</v>
      </c>
      <c r="D2071" t="inlineStr">
        <is>
          <t>NORRBOTTENS LÄN</t>
        </is>
      </c>
      <c r="E2071" t="inlineStr">
        <is>
          <t>PITEÅ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21875-2025</t>
        </is>
      </c>
      <c r="B2072" s="1" t="n">
        <v>45784</v>
      </c>
      <c r="C2072" s="1" t="n">
        <v>46046</v>
      </c>
      <c r="D2072" t="inlineStr">
        <is>
          <t>NORRBOTTENS LÄN</t>
        </is>
      </c>
      <c r="E2072" t="inlineStr">
        <is>
          <t>KALIX</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44711-2024</t>
        </is>
      </c>
      <c r="B2073" s="1" t="n">
        <v>45574</v>
      </c>
      <c r="C2073" s="1" t="n">
        <v>46046</v>
      </c>
      <c r="D2073" t="inlineStr">
        <is>
          <t>NORRBOTTENS LÄN</t>
        </is>
      </c>
      <c r="E2073" t="inlineStr">
        <is>
          <t>KALIX</t>
        </is>
      </c>
      <c r="F2073" t="inlineStr">
        <is>
          <t>Sveaskog</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60399-2024</t>
        </is>
      </c>
      <c r="B2074" s="1" t="n">
        <v>45643</v>
      </c>
      <c r="C2074" s="1" t="n">
        <v>46046</v>
      </c>
      <c r="D2074" t="inlineStr">
        <is>
          <t>NORRBOTTENS LÄN</t>
        </is>
      </c>
      <c r="E2074" t="inlineStr">
        <is>
          <t>PAJALA</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46031-2021</t>
        </is>
      </c>
      <c r="B2075" s="1" t="n">
        <v>44441</v>
      </c>
      <c r="C2075" s="1" t="n">
        <v>46046</v>
      </c>
      <c r="D2075" t="inlineStr">
        <is>
          <t>NORRBOTTENS LÄN</t>
        </is>
      </c>
      <c r="E2075" t="inlineStr">
        <is>
          <t>ÖVERTORNEÅ</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52446-2023</t>
        </is>
      </c>
      <c r="B2076" s="1" t="n">
        <v>45217</v>
      </c>
      <c r="C2076" s="1" t="n">
        <v>46046</v>
      </c>
      <c r="D2076" t="inlineStr">
        <is>
          <t>NORRBOTTENS LÄN</t>
        </is>
      </c>
      <c r="E2076" t="inlineStr">
        <is>
          <t>PAJALA</t>
        </is>
      </c>
      <c r="F2076" t="inlineStr">
        <is>
          <t>Kommuner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42822-2024</t>
        </is>
      </c>
      <c r="B2077" s="1" t="n">
        <v>45566.59611111111</v>
      </c>
      <c r="C2077" s="1" t="n">
        <v>46046</v>
      </c>
      <c r="D2077" t="inlineStr">
        <is>
          <t>NORRBOTTENS LÄN</t>
        </is>
      </c>
      <c r="E2077" t="inlineStr">
        <is>
          <t>LULEÅ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48624-2023</t>
        </is>
      </c>
      <c r="B2078" s="1" t="n">
        <v>45208</v>
      </c>
      <c r="C2078" s="1" t="n">
        <v>46046</v>
      </c>
      <c r="D2078" t="inlineStr">
        <is>
          <t>NORRBOTTENS LÄN</t>
        </is>
      </c>
      <c r="E2078" t="inlineStr">
        <is>
          <t>PITEÅ</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19808-2025</t>
        </is>
      </c>
      <c r="B2079" s="1" t="n">
        <v>45771.4549537037</v>
      </c>
      <c r="C2079" s="1" t="n">
        <v>46046</v>
      </c>
      <c r="D2079" t="inlineStr">
        <is>
          <t>NORRBOTTENS LÄN</t>
        </is>
      </c>
      <c r="E2079" t="inlineStr">
        <is>
          <t>PITEÅ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59325-2022</t>
        </is>
      </c>
      <c r="B2080" s="1" t="n">
        <v>44904</v>
      </c>
      <c r="C2080" s="1" t="n">
        <v>46046</v>
      </c>
      <c r="D2080" t="inlineStr">
        <is>
          <t>NORRBOTTENS LÄN</t>
        </is>
      </c>
      <c r="E2080" t="inlineStr">
        <is>
          <t>ARVIDSJAUR</t>
        </is>
      </c>
      <c r="F2080" t="inlineStr">
        <is>
          <t>Sveaskog</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16046-2024</t>
        </is>
      </c>
      <c r="B2081" s="1" t="n">
        <v>45405</v>
      </c>
      <c r="C2081" s="1" t="n">
        <v>46046</v>
      </c>
      <c r="D2081" t="inlineStr">
        <is>
          <t>NORRBOTTENS LÄN</t>
        </is>
      </c>
      <c r="E2081" t="inlineStr">
        <is>
          <t>KALIX</t>
        </is>
      </c>
      <c r="G2081" t="n">
        <v>13.5</v>
      </c>
      <c r="H2081" t="n">
        <v>0</v>
      </c>
      <c r="I2081" t="n">
        <v>0</v>
      </c>
      <c r="J2081" t="n">
        <v>0</v>
      </c>
      <c r="K2081" t="n">
        <v>0</v>
      </c>
      <c r="L2081" t="n">
        <v>0</v>
      </c>
      <c r="M2081" t="n">
        <v>0</v>
      </c>
      <c r="N2081" t="n">
        <v>0</v>
      </c>
      <c r="O2081" t="n">
        <v>0</v>
      </c>
      <c r="P2081" t="n">
        <v>0</v>
      </c>
      <c r="Q2081" t="n">
        <v>0</v>
      </c>
      <c r="R2081" s="2" t="inlineStr"/>
    </row>
    <row r="2082" ht="15" customHeight="1">
      <c r="A2082" t="inlineStr">
        <is>
          <t>A 25414-2024</t>
        </is>
      </c>
      <c r="B2082" s="1" t="n">
        <v>45462</v>
      </c>
      <c r="C2082" s="1" t="n">
        <v>46046</v>
      </c>
      <c r="D2082" t="inlineStr">
        <is>
          <t>NORRBOTTENS LÄN</t>
        </is>
      </c>
      <c r="E2082" t="inlineStr">
        <is>
          <t>PITEÅ</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32377-2023</t>
        </is>
      </c>
      <c r="B2083" s="1" t="n">
        <v>45110</v>
      </c>
      <c r="C2083" s="1" t="n">
        <v>46046</v>
      </c>
      <c r="D2083" t="inlineStr">
        <is>
          <t>NORRBOTTENS LÄN</t>
        </is>
      </c>
      <c r="E2083" t="inlineStr">
        <is>
          <t>PITEÅ</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50258-2023</t>
        </is>
      </c>
      <c r="B2084" s="1" t="n">
        <v>45216</v>
      </c>
      <c r="C2084" s="1" t="n">
        <v>46046</v>
      </c>
      <c r="D2084" t="inlineStr">
        <is>
          <t>NORRBOTTENS LÄN</t>
        </is>
      </c>
      <c r="E2084" t="inlineStr">
        <is>
          <t>JOKKMOKK</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55545-2024</t>
        </is>
      </c>
      <c r="B2085" s="1" t="n">
        <v>45622.50797453704</v>
      </c>
      <c r="C2085" s="1" t="n">
        <v>46046</v>
      </c>
      <c r="D2085" t="inlineStr">
        <is>
          <t>NORRBOTTENS LÄN</t>
        </is>
      </c>
      <c r="E2085" t="inlineStr">
        <is>
          <t>ÖVERTORNEÅ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62061-2022</t>
        </is>
      </c>
      <c r="B2086" s="1" t="n">
        <v>44914</v>
      </c>
      <c r="C2086" s="1" t="n">
        <v>46046</v>
      </c>
      <c r="D2086" t="inlineStr">
        <is>
          <t>NORRBOTTENS LÄN</t>
        </is>
      </c>
      <c r="E2086" t="inlineStr">
        <is>
          <t>LULEÅ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30914-2024</t>
        </is>
      </c>
      <c r="B2087" s="1" t="n">
        <v>45498</v>
      </c>
      <c r="C2087" s="1" t="n">
        <v>46046</v>
      </c>
      <c r="D2087" t="inlineStr">
        <is>
          <t>NORRBOTTENS LÄN</t>
        </is>
      </c>
      <c r="E2087" t="inlineStr">
        <is>
          <t>PAJALA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56276-2021</t>
        </is>
      </c>
      <c r="B2088" s="1" t="n">
        <v>44479</v>
      </c>
      <c r="C2088" s="1" t="n">
        <v>46046</v>
      </c>
      <c r="D2088" t="inlineStr">
        <is>
          <t>NORRBOTTENS LÄN</t>
        </is>
      </c>
      <c r="E2088" t="inlineStr">
        <is>
          <t>ARJEPLOG</t>
        </is>
      </c>
      <c r="G2088" t="n">
        <v>19.8</v>
      </c>
      <c r="H2088" t="n">
        <v>0</v>
      </c>
      <c r="I2088" t="n">
        <v>0</v>
      </c>
      <c r="J2088" t="n">
        <v>0</v>
      </c>
      <c r="K2088" t="n">
        <v>0</v>
      </c>
      <c r="L2088" t="n">
        <v>0</v>
      </c>
      <c r="M2088" t="n">
        <v>0</v>
      </c>
      <c r="N2088" t="n">
        <v>0</v>
      </c>
      <c r="O2088" t="n">
        <v>0</v>
      </c>
      <c r="P2088" t="n">
        <v>0</v>
      </c>
      <c r="Q2088" t="n">
        <v>0</v>
      </c>
      <c r="R2088" s="2" t="inlineStr"/>
    </row>
    <row r="2089" ht="15" customHeight="1">
      <c r="A2089" t="inlineStr">
        <is>
          <t>A 19527-2024</t>
        </is>
      </c>
      <c r="B2089" s="1" t="n">
        <v>45429</v>
      </c>
      <c r="C2089" s="1" t="n">
        <v>46046</v>
      </c>
      <c r="D2089" t="inlineStr">
        <is>
          <t>NORRBOTTENS LÄN</t>
        </is>
      </c>
      <c r="E2089" t="inlineStr">
        <is>
          <t>KALIX</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16208-2024</t>
        </is>
      </c>
      <c r="B2090" s="1" t="n">
        <v>45406.84912037037</v>
      </c>
      <c r="C2090" s="1" t="n">
        <v>46046</v>
      </c>
      <c r="D2090" t="inlineStr">
        <is>
          <t>NORRBOTTENS LÄN</t>
        </is>
      </c>
      <c r="E2090" t="inlineStr">
        <is>
          <t>PAJALA</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16221-2024</t>
        </is>
      </c>
      <c r="B2091" s="1" t="n">
        <v>45406.9640625</v>
      </c>
      <c r="C2091" s="1" t="n">
        <v>46046</v>
      </c>
      <c r="D2091" t="inlineStr">
        <is>
          <t>NORRBOTTENS LÄN</t>
        </is>
      </c>
      <c r="E2091" t="inlineStr">
        <is>
          <t>KALIX</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16222-2024</t>
        </is>
      </c>
      <c r="B2092" s="1" t="n">
        <v>45406</v>
      </c>
      <c r="C2092" s="1" t="n">
        <v>46046</v>
      </c>
      <c r="D2092" t="inlineStr">
        <is>
          <t>NORRBOTTENS LÄN</t>
        </is>
      </c>
      <c r="E2092" t="inlineStr">
        <is>
          <t>BODEN</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17980-2021</t>
        </is>
      </c>
      <c r="B2093" s="1" t="n">
        <v>44301.66649305556</v>
      </c>
      <c r="C2093" s="1" t="n">
        <v>46046</v>
      </c>
      <c r="D2093" t="inlineStr">
        <is>
          <t>NORRBOTTENS LÄN</t>
        </is>
      </c>
      <c r="E2093" t="inlineStr">
        <is>
          <t>BODEN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15848-2022</t>
        </is>
      </c>
      <c r="B2094" s="1" t="n">
        <v>44664</v>
      </c>
      <c r="C2094" s="1" t="n">
        <v>46046</v>
      </c>
      <c r="D2094" t="inlineStr">
        <is>
          <t>NORRBOTTENS LÄN</t>
        </is>
      </c>
      <c r="E2094" t="inlineStr">
        <is>
          <t>LULEÅ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14255-2023</t>
        </is>
      </c>
      <c r="B2095" s="1" t="n">
        <v>45009</v>
      </c>
      <c r="C2095" s="1" t="n">
        <v>46046</v>
      </c>
      <c r="D2095" t="inlineStr">
        <is>
          <t>NORRBOTTENS LÄN</t>
        </is>
      </c>
      <c r="E2095" t="inlineStr">
        <is>
          <t>ÖVERKALIX</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59695-2024</t>
        </is>
      </c>
      <c r="B2096" s="1" t="n">
        <v>45639</v>
      </c>
      <c r="C2096" s="1" t="n">
        <v>46046</v>
      </c>
      <c r="D2096" t="inlineStr">
        <is>
          <t>NORRBOTTENS LÄN</t>
        </is>
      </c>
      <c r="E2096" t="inlineStr">
        <is>
          <t>GÄLLIVARE</t>
        </is>
      </c>
      <c r="F2096" t="inlineStr">
        <is>
          <t>Sveaskog</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41707-2024</t>
        </is>
      </c>
      <c r="B2097" s="1" t="n">
        <v>45560.69846064815</v>
      </c>
      <c r="C2097" s="1" t="n">
        <v>46046</v>
      </c>
      <c r="D2097" t="inlineStr">
        <is>
          <t>NORRBOTTENS LÄN</t>
        </is>
      </c>
      <c r="E2097" t="inlineStr">
        <is>
          <t>LULEÅ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41708-2024</t>
        </is>
      </c>
      <c r="B2098" s="1" t="n">
        <v>45560.6984837963</v>
      </c>
      <c r="C2098" s="1" t="n">
        <v>46046</v>
      </c>
      <c r="D2098" t="inlineStr">
        <is>
          <t>NORRBOTTENS LÄN</t>
        </is>
      </c>
      <c r="E2098" t="inlineStr">
        <is>
          <t>LULEÅ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24578-2021</t>
        </is>
      </c>
      <c r="B2099" s="1" t="n">
        <v>44339</v>
      </c>
      <c r="C2099" s="1" t="n">
        <v>46046</v>
      </c>
      <c r="D2099" t="inlineStr">
        <is>
          <t>NORRBOTTENS LÄN</t>
        </is>
      </c>
      <c r="E2099" t="inlineStr">
        <is>
          <t>PITEÅ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60964-2024</t>
        </is>
      </c>
      <c r="B2100" s="1" t="n">
        <v>45645.39828703704</v>
      </c>
      <c r="C2100" s="1" t="n">
        <v>46046</v>
      </c>
      <c r="D2100" t="inlineStr">
        <is>
          <t>NORRBOTTENS LÄN</t>
        </is>
      </c>
      <c r="E2100" t="inlineStr">
        <is>
          <t>KALIX</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10753-2024</t>
        </is>
      </c>
      <c r="B2101" s="1" t="n">
        <v>45369</v>
      </c>
      <c r="C2101" s="1" t="n">
        <v>46046</v>
      </c>
      <c r="D2101" t="inlineStr">
        <is>
          <t>NORRBOTTENS LÄN</t>
        </is>
      </c>
      <c r="E2101" t="inlineStr">
        <is>
          <t>ÖVERTORNEÅ</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15493-2025</t>
        </is>
      </c>
      <c r="B2102" s="1" t="n">
        <v>45747</v>
      </c>
      <c r="C2102" s="1" t="n">
        <v>46046</v>
      </c>
      <c r="D2102" t="inlineStr">
        <is>
          <t>NORRBOTTENS LÄN</t>
        </is>
      </c>
      <c r="E2102" t="inlineStr">
        <is>
          <t>ÖVERKALIX</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15823-2025</t>
        </is>
      </c>
      <c r="B2103" s="1" t="n">
        <v>45748</v>
      </c>
      <c r="C2103" s="1" t="n">
        <v>46046</v>
      </c>
      <c r="D2103" t="inlineStr">
        <is>
          <t>NORRBOTTENS LÄN</t>
        </is>
      </c>
      <c r="E2103" t="inlineStr">
        <is>
          <t>KALIX</t>
        </is>
      </c>
      <c r="F2103" t="inlineStr">
        <is>
          <t>SCA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3895-2025</t>
        </is>
      </c>
      <c r="B2104" s="1" t="n">
        <v>45683</v>
      </c>
      <c r="C2104" s="1" t="n">
        <v>46046</v>
      </c>
      <c r="D2104" t="inlineStr">
        <is>
          <t>NORRBOTTENS LÄN</t>
        </is>
      </c>
      <c r="E2104" t="inlineStr">
        <is>
          <t>LULEÅ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22697-2025</t>
        </is>
      </c>
      <c r="B2105" s="1" t="n">
        <v>45789</v>
      </c>
      <c r="C2105" s="1" t="n">
        <v>46046</v>
      </c>
      <c r="D2105" t="inlineStr">
        <is>
          <t>NORRBOTTENS LÄN</t>
        </is>
      </c>
      <c r="E2105" t="inlineStr">
        <is>
          <t>HAPARANDA</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14405-2023</t>
        </is>
      </c>
      <c r="B2106" s="1" t="n">
        <v>45012.49284722222</v>
      </c>
      <c r="C2106" s="1" t="n">
        <v>46046</v>
      </c>
      <c r="D2106" t="inlineStr">
        <is>
          <t>NORRBOTTENS LÄN</t>
        </is>
      </c>
      <c r="E2106" t="inlineStr">
        <is>
          <t>PAJALA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18061-2025</t>
        </is>
      </c>
      <c r="B2107" s="1" t="n">
        <v>45761.48025462963</v>
      </c>
      <c r="C2107" s="1" t="n">
        <v>46046</v>
      </c>
      <c r="D2107" t="inlineStr">
        <is>
          <t>NORRBOTTENS LÄN</t>
        </is>
      </c>
      <c r="E2107" t="inlineStr">
        <is>
          <t>KALIX</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46271-2023</t>
        </is>
      </c>
      <c r="B2108" s="1" t="n">
        <v>45196</v>
      </c>
      <c r="C2108" s="1" t="n">
        <v>46046</v>
      </c>
      <c r="D2108" t="inlineStr">
        <is>
          <t>NORRBOTTENS LÄN</t>
        </is>
      </c>
      <c r="E2108" t="inlineStr">
        <is>
          <t>GÄLLIVARE</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49477-2024</t>
        </is>
      </c>
      <c r="B2109" s="1" t="n">
        <v>45596.34576388889</v>
      </c>
      <c r="C2109" s="1" t="n">
        <v>46046</v>
      </c>
      <c r="D2109" t="inlineStr">
        <is>
          <t>NORRBOTTENS LÄN</t>
        </is>
      </c>
      <c r="E2109" t="inlineStr">
        <is>
          <t>JOKKMOKK</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49478-2024</t>
        </is>
      </c>
      <c r="B2110" s="1" t="n">
        <v>45596.34599537037</v>
      </c>
      <c r="C2110" s="1" t="n">
        <v>46046</v>
      </c>
      <c r="D2110" t="inlineStr">
        <is>
          <t>NORRBOTTENS LÄN</t>
        </is>
      </c>
      <c r="E2110" t="inlineStr">
        <is>
          <t>JOKKMOKK</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50085-2024</t>
        </is>
      </c>
      <c r="B2111" s="1" t="n">
        <v>45600.38277777778</v>
      </c>
      <c r="C2111" s="1" t="n">
        <v>46046</v>
      </c>
      <c r="D2111" t="inlineStr">
        <is>
          <t>NORRBOTTENS LÄN</t>
        </is>
      </c>
      <c r="E2111" t="inlineStr">
        <is>
          <t>BODEN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14336-2025</t>
        </is>
      </c>
      <c r="B2112" s="1" t="n">
        <v>45740.9174537037</v>
      </c>
      <c r="C2112" s="1" t="n">
        <v>46046</v>
      </c>
      <c r="D2112" t="inlineStr">
        <is>
          <t>NORRBOTTENS LÄN</t>
        </is>
      </c>
      <c r="E2112" t="inlineStr">
        <is>
          <t>PAJALA</t>
        </is>
      </c>
      <c r="G2112" t="n">
        <v>17.5</v>
      </c>
      <c r="H2112" t="n">
        <v>0</v>
      </c>
      <c r="I2112" t="n">
        <v>0</v>
      </c>
      <c r="J2112" t="n">
        <v>0</v>
      </c>
      <c r="K2112" t="n">
        <v>0</v>
      </c>
      <c r="L2112" t="n">
        <v>0</v>
      </c>
      <c r="M2112" t="n">
        <v>0</v>
      </c>
      <c r="N2112" t="n">
        <v>0</v>
      </c>
      <c r="O2112" t="n">
        <v>0</v>
      </c>
      <c r="P2112" t="n">
        <v>0</v>
      </c>
      <c r="Q2112" t="n">
        <v>0</v>
      </c>
      <c r="R2112" s="2" t="inlineStr"/>
    </row>
    <row r="2113" ht="15" customHeight="1">
      <c r="A2113" t="inlineStr">
        <is>
          <t>A 40240-2023</t>
        </is>
      </c>
      <c r="B2113" s="1" t="n">
        <v>45169.48806712963</v>
      </c>
      <c r="C2113" s="1" t="n">
        <v>46046</v>
      </c>
      <c r="D2113" t="inlineStr">
        <is>
          <t>NORRBOTTENS LÄN</t>
        </is>
      </c>
      <c r="E2113" t="inlineStr">
        <is>
          <t>PAJALA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19968-2025</t>
        </is>
      </c>
      <c r="B2114" s="1" t="n">
        <v>45771.68158564815</v>
      </c>
      <c r="C2114" s="1" t="n">
        <v>46046</v>
      </c>
      <c r="D2114" t="inlineStr">
        <is>
          <t>NORRBOTTENS LÄN</t>
        </is>
      </c>
      <c r="E2114" t="inlineStr">
        <is>
          <t>BODEN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22522-2025</t>
        </is>
      </c>
      <c r="B2115" s="1" t="n">
        <v>45786.69824074074</v>
      </c>
      <c r="C2115" s="1" t="n">
        <v>46046</v>
      </c>
      <c r="D2115" t="inlineStr">
        <is>
          <t>NORRBOTTENS LÄN</t>
        </is>
      </c>
      <c r="E2115" t="inlineStr">
        <is>
          <t>PAJALA</t>
        </is>
      </c>
      <c r="F2115" t="inlineStr">
        <is>
          <t>SCA</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30401-2024</t>
        </is>
      </c>
      <c r="B2116" s="1" t="n">
        <v>45491</v>
      </c>
      <c r="C2116" s="1" t="n">
        <v>46046</v>
      </c>
      <c r="D2116" t="inlineStr">
        <is>
          <t>NORRBOTTENS LÄN</t>
        </is>
      </c>
      <c r="E2116" t="inlineStr">
        <is>
          <t>JOKKMOKK</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28498-2024</t>
        </is>
      </c>
      <c r="B2117" s="1" t="n">
        <v>45477.92725694444</v>
      </c>
      <c r="C2117" s="1" t="n">
        <v>46046</v>
      </c>
      <c r="D2117" t="inlineStr">
        <is>
          <t>NORRBOTTENS LÄN</t>
        </is>
      </c>
      <c r="E2117" t="inlineStr">
        <is>
          <t>LULEÅ</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46830-2024</t>
        </is>
      </c>
      <c r="B2118" s="1" t="n">
        <v>45583.5820949074</v>
      </c>
      <c r="C2118" s="1" t="n">
        <v>46046</v>
      </c>
      <c r="D2118" t="inlineStr">
        <is>
          <t>NORRBOTTENS LÄN</t>
        </is>
      </c>
      <c r="E2118" t="inlineStr">
        <is>
          <t>PAJALA</t>
        </is>
      </c>
      <c r="F2118" t="inlineStr">
        <is>
          <t>Sveaskog</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2842-2024</t>
        </is>
      </c>
      <c r="B2119" s="1" t="n">
        <v>45315</v>
      </c>
      <c r="C2119" s="1" t="n">
        <v>46046</v>
      </c>
      <c r="D2119" t="inlineStr">
        <is>
          <t>NORRBOTTENS LÄN</t>
        </is>
      </c>
      <c r="E2119" t="inlineStr">
        <is>
          <t>PITEÅ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2889-2024</t>
        </is>
      </c>
      <c r="B2120" s="1" t="n">
        <v>45315.49657407407</v>
      </c>
      <c r="C2120" s="1" t="n">
        <v>46046</v>
      </c>
      <c r="D2120" t="inlineStr">
        <is>
          <t>NORRBOTTENS LÄN</t>
        </is>
      </c>
      <c r="E2120" t="inlineStr">
        <is>
          <t>PITEÅ</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17421-2023</t>
        </is>
      </c>
      <c r="B2121" s="1" t="n">
        <v>45035.92607638889</v>
      </c>
      <c r="C2121" s="1" t="n">
        <v>46046</v>
      </c>
      <c r="D2121" t="inlineStr">
        <is>
          <t>NORRBOTTENS LÄN</t>
        </is>
      </c>
      <c r="E2121" t="inlineStr">
        <is>
          <t>LULEÅ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23484-2023</t>
        </is>
      </c>
      <c r="B2122" s="1" t="n">
        <v>45076.66361111111</v>
      </c>
      <c r="C2122" s="1" t="n">
        <v>46046</v>
      </c>
      <c r="D2122" t="inlineStr">
        <is>
          <t>NORRBOTTENS LÄN</t>
        </is>
      </c>
      <c r="E2122" t="inlineStr">
        <is>
          <t>HAPARANDA</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39562-2023</t>
        </is>
      </c>
      <c r="B2123" s="1" t="n">
        <v>45167.3946412037</v>
      </c>
      <c r="C2123" s="1" t="n">
        <v>46046</v>
      </c>
      <c r="D2123" t="inlineStr">
        <is>
          <t>NORRBOTTENS LÄN</t>
        </is>
      </c>
      <c r="E2123" t="inlineStr">
        <is>
          <t>PITEÅ</t>
        </is>
      </c>
      <c r="F2123" t="inlineStr">
        <is>
          <t>Sveaskog</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55124-2023</t>
        </is>
      </c>
      <c r="B2124" s="1" t="n">
        <v>45237.48104166667</v>
      </c>
      <c r="C2124" s="1" t="n">
        <v>46046</v>
      </c>
      <c r="D2124" t="inlineStr">
        <is>
          <t>NORRBOTTENS LÄN</t>
        </is>
      </c>
      <c r="E2124" t="inlineStr">
        <is>
          <t>PITEÅ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52355-2022</t>
        </is>
      </c>
      <c r="B2125" s="1" t="n">
        <v>44874</v>
      </c>
      <c r="C2125" s="1" t="n">
        <v>46046</v>
      </c>
      <c r="D2125" t="inlineStr">
        <is>
          <t>NORRBOTTENS LÄN</t>
        </is>
      </c>
      <c r="E2125" t="inlineStr">
        <is>
          <t>PITEÅ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2993-2024</t>
        </is>
      </c>
      <c r="B2126" s="1" t="n">
        <v>45315.72337962963</v>
      </c>
      <c r="C2126" s="1" t="n">
        <v>46046</v>
      </c>
      <c r="D2126" t="inlineStr">
        <is>
          <t>NORRBOTTENS LÄN</t>
        </is>
      </c>
      <c r="E2126" t="inlineStr">
        <is>
          <t>ÖVERKALIX</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10713-2023</t>
        </is>
      </c>
      <c r="B2127" s="1" t="n">
        <v>44984</v>
      </c>
      <c r="C2127" s="1" t="n">
        <v>46046</v>
      </c>
      <c r="D2127" t="inlineStr">
        <is>
          <t>NORRBOTTENS LÄN</t>
        </is>
      </c>
      <c r="E2127" t="inlineStr">
        <is>
          <t>PITEÅ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49742-2022</t>
        </is>
      </c>
      <c r="B2128" s="1" t="n">
        <v>44859</v>
      </c>
      <c r="C2128" s="1" t="n">
        <v>46046</v>
      </c>
      <c r="D2128" t="inlineStr">
        <is>
          <t>NORRBOTTENS LÄN</t>
        </is>
      </c>
      <c r="E2128" t="inlineStr">
        <is>
          <t>LULEÅ</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40836-2022</t>
        </is>
      </c>
      <c r="B2129" s="1" t="n">
        <v>44824</v>
      </c>
      <c r="C2129" s="1" t="n">
        <v>46046</v>
      </c>
      <c r="D2129" t="inlineStr">
        <is>
          <t>NORRBOTTENS LÄN</t>
        </is>
      </c>
      <c r="E2129" t="inlineStr">
        <is>
          <t>JOKKMOKK</t>
        </is>
      </c>
      <c r="F2129" t="inlineStr">
        <is>
          <t>SCA</t>
        </is>
      </c>
      <c r="G2129" t="n">
        <v>229.8</v>
      </c>
      <c r="H2129" t="n">
        <v>0</v>
      </c>
      <c r="I2129" t="n">
        <v>0</v>
      </c>
      <c r="J2129" t="n">
        <v>0</v>
      </c>
      <c r="K2129" t="n">
        <v>0</v>
      </c>
      <c r="L2129" t="n">
        <v>0</v>
      </c>
      <c r="M2129" t="n">
        <v>0</v>
      </c>
      <c r="N2129" t="n">
        <v>0</v>
      </c>
      <c r="O2129" t="n">
        <v>0</v>
      </c>
      <c r="P2129" t="n">
        <v>0</v>
      </c>
      <c r="Q2129" t="n">
        <v>0</v>
      </c>
      <c r="R2129" s="2" t="inlineStr"/>
    </row>
    <row r="2130" ht="15" customHeight="1">
      <c r="A2130" t="inlineStr">
        <is>
          <t>A 59680-2024</t>
        </is>
      </c>
      <c r="B2130" s="1" t="n">
        <v>45639</v>
      </c>
      <c r="C2130" s="1" t="n">
        <v>46046</v>
      </c>
      <c r="D2130" t="inlineStr">
        <is>
          <t>NORRBOTTENS LÄN</t>
        </is>
      </c>
      <c r="E2130" t="inlineStr">
        <is>
          <t>GÄLLIVARE</t>
        </is>
      </c>
      <c r="F2130" t="inlineStr">
        <is>
          <t>Sveaskog</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51272-2024</t>
        </is>
      </c>
      <c r="B2131" s="1" t="n">
        <v>45602</v>
      </c>
      <c r="C2131" s="1" t="n">
        <v>46046</v>
      </c>
      <c r="D2131" t="inlineStr">
        <is>
          <t>NORRBOTTENS LÄN</t>
        </is>
      </c>
      <c r="E2131" t="inlineStr">
        <is>
          <t>ÖVERTORNEÅ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32347-2024</t>
        </is>
      </c>
      <c r="B2132" s="1" t="n">
        <v>45512.53328703704</v>
      </c>
      <c r="C2132" s="1" t="n">
        <v>46046</v>
      </c>
      <c r="D2132" t="inlineStr">
        <is>
          <t>NORRBOTTENS LÄN</t>
        </is>
      </c>
      <c r="E2132" t="inlineStr">
        <is>
          <t>BODEN</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22314-2025</t>
        </is>
      </c>
      <c r="B2133" s="1" t="n">
        <v>45786.3859837963</v>
      </c>
      <c r="C2133" s="1" t="n">
        <v>46046</v>
      </c>
      <c r="D2133" t="inlineStr">
        <is>
          <t>NORRBOTTENS LÄN</t>
        </is>
      </c>
      <c r="E2133" t="inlineStr">
        <is>
          <t>PAJALA</t>
        </is>
      </c>
      <c r="F2133" t="inlineStr">
        <is>
          <t>SCA</t>
        </is>
      </c>
      <c r="G2133" t="n">
        <v>21.3</v>
      </c>
      <c r="H2133" t="n">
        <v>0</v>
      </c>
      <c r="I2133" t="n">
        <v>0</v>
      </c>
      <c r="J2133" t="n">
        <v>0</v>
      </c>
      <c r="K2133" t="n">
        <v>0</v>
      </c>
      <c r="L2133" t="n">
        <v>0</v>
      </c>
      <c r="M2133" t="n">
        <v>0</v>
      </c>
      <c r="N2133" t="n">
        <v>0</v>
      </c>
      <c r="O2133" t="n">
        <v>0</v>
      </c>
      <c r="P2133" t="n">
        <v>0</v>
      </c>
      <c r="Q2133" t="n">
        <v>0</v>
      </c>
      <c r="R2133" s="2" t="inlineStr"/>
    </row>
    <row r="2134" ht="15" customHeight="1">
      <c r="A2134" t="inlineStr">
        <is>
          <t>A 74264-2021</t>
        </is>
      </c>
      <c r="B2134" s="1" t="n">
        <v>44558</v>
      </c>
      <c r="C2134" s="1" t="n">
        <v>46046</v>
      </c>
      <c r="D2134" t="inlineStr">
        <is>
          <t>NORRBOTTENS LÄN</t>
        </is>
      </c>
      <c r="E2134" t="inlineStr">
        <is>
          <t>BODEN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60466-2022</t>
        </is>
      </c>
      <c r="B2135" s="1" t="n">
        <v>44911</v>
      </c>
      <c r="C2135" s="1" t="n">
        <v>46046</v>
      </c>
      <c r="D2135" t="inlineStr">
        <is>
          <t>NORRBOTTENS LÄN</t>
        </is>
      </c>
      <c r="E2135" t="inlineStr">
        <is>
          <t>ARVIDSJAUR</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60476-2022</t>
        </is>
      </c>
      <c r="B2136" s="1" t="n">
        <v>44911.4128587963</v>
      </c>
      <c r="C2136" s="1" t="n">
        <v>46046</v>
      </c>
      <c r="D2136" t="inlineStr">
        <is>
          <t>NORRBOTTENS LÄN</t>
        </is>
      </c>
      <c r="E2136" t="inlineStr">
        <is>
          <t>PITEÅ</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22956-2025</t>
        </is>
      </c>
      <c r="B2137" s="1" t="n">
        <v>45789</v>
      </c>
      <c r="C2137" s="1" t="n">
        <v>46046</v>
      </c>
      <c r="D2137" t="inlineStr">
        <is>
          <t>NORRBOTTENS LÄN</t>
        </is>
      </c>
      <c r="E2137" t="inlineStr">
        <is>
          <t>PITEÅ</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62443-2023</t>
        </is>
      </c>
      <c r="B2138" s="1" t="n">
        <v>45268</v>
      </c>
      <c r="C2138" s="1" t="n">
        <v>46046</v>
      </c>
      <c r="D2138" t="inlineStr">
        <is>
          <t>NORRBOTTENS LÄN</t>
        </is>
      </c>
      <c r="E2138" t="inlineStr">
        <is>
          <t>KALIX</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10183-2025</t>
        </is>
      </c>
      <c r="B2139" s="1" t="n">
        <v>45719</v>
      </c>
      <c r="C2139" s="1" t="n">
        <v>46046</v>
      </c>
      <c r="D2139" t="inlineStr">
        <is>
          <t>NORRBOTTENS LÄN</t>
        </is>
      </c>
      <c r="E2139" t="inlineStr">
        <is>
          <t>LULEÅ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22710-2025</t>
        </is>
      </c>
      <c r="B2140" s="1" t="n">
        <v>45789.55678240741</v>
      </c>
      <c r="C2140" s="1" t="n">
        <v>46046</v>
      </c>
      <c r="D2140" t="inlineStr">
        <is>
          <t>NORRBOTTENS LÄN</t>
        </is>
      </c>
      <c r="E2140" t="inlineStr">
        <is>
          <t>ÖVERKALIX</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53824-2024</t>
        </is>
      </c>
      <c r="B2141" s="1" t="n">
        <v>45615.61038194445</v>
      </c>
      <c r="C2141" s="1" t="n">
        <v>46046</v>
      </c>
      <c r="D2141" t="inlineStr">
        <is>
          <t>NORRBOTTENS LÄN</t>
        </is>
      </c>
      <c r="E2141" t="inlineStr">
        <is>
          <t>GÄLLIVARE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22726-2025</t>
        </is>
      </c>
      <c r="B2142" s="1" t="n">
        <v>45789.57393518519</v>
      </c>
      <c r="C2142" s="1" t="n">
        <v>46046</v>
      </c>
      <c r="D2142" t="inlineStr">
        <is>
          <t>NORRBOTTENS LÄN</t>
        </is>
      </c>
      <c r="E2142" t="inlineStr">
        <is>
          <t>ÖVERTORNEÅ</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61075-2024</t>
        </is>
      </c>
      <c r="B2143" s="1" t="n">
        <v>45645.50744212963</v>
      </c>
      <c r="C2143" s="1" t="n">
        <v>46046</v>
      </c>
      <c r="D2143" t="inlineStr">
        <is>
          <t>NORRBOTTENS LÄN</t>
        </is>
      </c>
      <c r="E2143" t="inlineStr">
        <is>
          <t>HAPARANDA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22702-2025</t>
        </is>
      </c>
      <c r="B2144" s="1" t="n">
        <v>45789</v>
      </c>
      <c r="C2144" s="1" t="n">
        <v>46046</v>
      </c>
      <c r="D2144" t="inlineStr">
        <is>
          <t>NORRBOTTENS LÄN</t>
        </is>
      </c>
      <c r="E2144" t="inlineStr">
        <is>
          <t>ÖVERKALIX</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36115-2023</t>
        </is>
      </c>
      <c r="B2145" s="1" t="n">
        <v>45149</v>
      </c>
      <c r="C2145" s="1" t="n">
        <v>46046</v>
      </c>
      <c r="D2145" t="inlineStr">
        <is>
          <t>NORRBOTTENS LÄN</t>
        </is>
      </c>
      <c r="E2145" t="inlineStr">
        <is>
          <t>BODEN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48372-2021</t>
        </is>
      </c>
      <c r="B2146" s="1" t="n">
        <v>44451</v>
      </c>
      <c r="C2146" s="1" t="n">
        <v>46046</v>
      </c>
      <c r="D2146" t="inlineStr">
        <is>
          <t>NORRBOTTENS LÄN</t>
        </is>
      </c>
      <c r="E2146" t="inlineStr">
        <is>
          <t>PAJALA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40937-2023</t>
        </is>
      </c>
      <c r="B2147" s="1" t="n">
        <v>45173</v>
      </c>
      <c r="C2147" s="1" t="n">
        <v>46046</v>
      </c>
      <c r="D2147" t="inlineStr">
        <is>
          <t>NORRBOTTENS LÄN</t>
        </is>
      </c>
      <c r="E2147" t="inlineStr">
        <is>
          <t>ARVIDSJAUR</t>
        </is>
      </c>
      <c r="F2147" t="inlineStr">
        <is>
          <t>Övriga Aktiebolag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13652-2023</t>
        </is>
      </c>
      <c r="B2148" s="1" t="n">
        <v>45006</v>
      </c>
      <c r="C2148" s="1" t="n">
        <v>46046</v>
      </c>
      <c r="D2148" t="inlineStr">
        <is>
          <t>NORRBOTTENS LÄN</t>
        </is>
      </c>
      <c r="E2148" t="inlineStr">
        <is>
          <t>PAJALA</t>
        </is>
      </c>
      <c r="F2148" t="inlineStr">
        <is>
          <t>Allmännings- och besparingsskogar</t>
        </is>
      </c>
      <c r="G2148" t="n">
        <v>31.1</v>
      </c>
      <c r="H2148" t="n">
        <v>0</v>
      </c>
      <c r="I2148" t="n">
        <v>0</v>
      </c>
      <c r="J2148" t="n">
        <v>0</v>
      </c>
      <c r="K2148" t="n">
        <v>0</v>
      </c>
      <c r="L2148" t="n">
        <v>0</v>
      </c>
      <c r="M2148" t="n">
        <v>0</v>
      </c>
      <c r="N2148" t="n">
        <v>0</v>
      </c>
      <c r="O2148" t="n">
        <v>0</v>
      </c>
      <c r="P2148" t="n">
        <v>0</v>
      </c>
      <c r="Q2148" t="n">
        <v>0</v>
      </c>
      <c r="R2148" s="2" t="inlineStr"/>
    </row>
    <row r="2149" ht="15" customHeight="1">
      <c r="A2149" t="inlineStr">
        <is>
          <t>A 16847-2023</t>
        </is>
      </c>
      <c r="B2149" s="1" t="n">
        <v>45028</v>
      </c>
      <c r="C2149" s="1" t="n">
        <v>46046</v>
      </c>
      <c r="D2149" t="inlineStr">
        <is>
          <t>NORRBOTTENS LÄN</t>
        </is>
      </c>
      <c r="E2149" t="inlineStr">
        <is>
          <t>JOKKMOKK</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28862-2024</t>
        </is>
      </c>
      <c r="B2150" s="1" t="n">
        <v>45478.92890046296</v>
      </c>
      <c r="C2150" s="1" t="n">
        <v>46046</v>
      </c>
      <c r="D2150" t="inlineStr">
        <is>
          <t>NORRBOTTENS LÄN</t>
        </is>
      </c>
      <c r="E2150" t="inlineStr">
        <is>
          <t>ÄLVSBYN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54104-2022</t>
        </is>
      </c>
      <c r="B2151" s="1" t="n">
        <v>44881.55375</v>
      </c>
      <c r="C2151" s="1" t="n">
        <v>46046</v>
      </c>
      <c r="D2151" t="inlineStr">
        <is>
          <t>NORRBOTTENS LÄN</t>
        </is>
      </c>
      <c r="E2151" t="inlineStr">
        <is>
          <t>BODEN</t>
        </is>
      </c>
      <c r="F2151" t="inlineStr">
        <is>
          <t>Sveaskog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56449-2022</t>
        </is>
      </c>
      <c r="B2152" s="1" t="n">
        <v>44892</v>
      </c>
      <c r="C2152" s="1" t="n">
        <v>46046</v>
      </c>
      <c r="D2152" t="inlineStr">
        <is>
          <t>NORRBOTTENS LÄN</t>
        </is>
      </c>
      <c r="E2152" t="inlineStr">
        <is>
          <t>PAJALA</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47157-2024</t>
        </is>
      </c>
      <c r="B2153" s="1" t="n">
        <v>45586</v>
      </c>
      <c r="C2153" s="1" t="n">
        <v>46046</v>
      </c>
      <c r="D2153" t="inlineStr">
        <is>
          <t>NORRBOTTENS LÄN</t>
        </is>
      </c>
      <c r="E2153" t="inlineStr">
        <is>
          <t>JOKKMOKK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736-2025</t>
        </is>
      </c>
      <c r="B2154" s="1" t="n">
        <v>45664</v>
      </c>
      <c r="C2154" s="1" t="n">
        <v>46046</v>
      </c>
      <c r="D2154" t="inlineStr">
        <is>
          <t>NORRBOTTENS LÄN</t>
        </is>
      </c>
      <c r="E2154" t="inlineStr">
        <is>
          <t>LULEÅ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19082-2025</t>
        </is>
      </c>
      <c r="B2155" s="1" t="n">
        <v>45766</v>
      </c>
      <c r="C2155" s="1" t="n">
        <v>46046</v>
      </c>
      <c r="D2155" t="inlineStr">
        <is>
          <t>NORRBOTTENS LÄN</t>
        </is>
      </c>
      <c r="E2155" t="inlineStr">
        <is>
          <t>BODEN</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6641-2022</t>
        </is>
      </c>
      <c r="B2156" s="1" t="n">
        <v>44601.93563657408</v>
      </c>
      <c r="C2156" s="1" t="n">
        <v>46046</v>
      </c>
      <c r="D2156" t="inlineStr">
        <is>
          <t>NORRBOTTENS LÄN</t>
        </is>
      </c>
      <c r="E2156" t="inlineStr">
        <is>
          <t>ÖVERKALIX</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30454-2024</t>
        </is>
      </c>
      <c r="B2157" s="1" t="n">
        <v>45491.92782407408</v>
      </c>
      <c r="C2157" s="1" t="n">
        <v>46046</v>
      </c>
      <c r="D2157" t="inlineStr">
        <is>
          <t>NORRBOTTENS LÄN</t>
        </is>
      </c>
      <c r="E2157" t="inlineStr">
        <is>
          <t>PITEÅ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39378-2023</t>
        </is>
      </c>
      <c r="B2158" s="1" t="n">
        <v>45166.6403125</v>
      </c>
      <c r="C2158" s="1" t="n">
        <v>46046</v>
      </c>
      <c r="D2158" t="inlineStr">
        <is>
          <t>NORRBOTTENS LÄN</t>
        </is>
      </c>
      <c r="E2158" t="inlineStr">
        <is>
          <t>ÄLVSBYN</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18712-2025</t>
        </is>
      </c>
      <c r="B2159" s="1" t="n">
        <v>45763</v>
      </c>
      <c r="C2159" s="1" t="n">
        <v>46046</v>
      </c>
      <c r="D2159" t="inlineStr">
        <is>
          <t>NORRBOTTENS LÄN</t>
        </is>
      </c>
      <c r="E2159" t="inlineStr">
        <is>
          <t>KIRUNA</t>
        </is>
      </c>
      <c r="G2159" t="n">
        <v>66.5</v>
      </c>
      <c r="H2159" t="n">
        <v>0</v>
      </c>
      <c r="I2159" t="n">
        <v>0</v>
      </c>
      <c r="J2159" t="n">
        <v>0</v>
      </c>
      <c r="K2159" t="n">
        <v>0</v>
      </c>
      <c r="L2159" t="n">
        <v>0</v>
      </c>
      <c r="M2159" t="n">
        <v>0</v>
      </c>
      <c r="N2159" t="n">
        <v>0</v>
      </c>
      <c r="O2159" t="n">
        <v>0</v>
      </c>
      <c r="P2159" t="n">
        <v>0</v>
      </c>
      <c r="Q2159" t="n">
        <v>0</v>
      </c>
      <c r="R2159" s="2" t="inlineStr"/>
    </row>
    <row r="2160" ht="15" customHeight="1">
      <c r="A2160" t="inlineStr">
        <is>
          <t>A 34702-2024</t>
        </is>
      </c>
      <c r="B2160" s="1" t="n">
        <v>45526</v>
      </c>
      <c r="C2160" s="1" t="n">
        <v>46046</v>
      </c>
      <c r="D2160" t="inlineStr">
        <is>
          <t>NORRBOTTENS LÄN</t>
        </is>
      </c>
      <c r="E2160" t="inlineStr">
        <is>
          <t>ÖVERTORNEÅ</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22372-2025</t>
        </is>
      </c>
      <c r="B2161" s="1" t="n">
        <v>45786</v>
      </c>
      <c r="C2161" s="1" t="n">
        <v>46046</v>
      </c>
      <c r="D2161" t="inlineStr">
        <is>
          <t>NORRBOTTENS LÄN</t>
        </is>
      </c>
      <c r="E2161" t="inlineStr">
        <is>
          <t>BODEN</t>
        </is>
      </c>
      <c r="F2161" t="inlineStr">
        <is>
          <t>Kommuner</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28803-2024</t>
        </is>
      </c>
      <c r="B2162" s="1" t="n">
        <v>45478</v>
      </c>
      <c r="C2162" s="1" t="n">
        <v>46046</v>
      </c>
      <c r="D2162" t="inlineStr">
        <is>
          <t>NORRBOTTENS LÄN</t>
        </is>
      </c>
      <c r="E2162" t="inlineStr">
        <is>
          <t>ARVIDSJAUR</t>
        </is>
      </c>
      <c r="F2162" t="inlineStr">
        <is>
          <t>Övriga Aktiebolag</t>
        </is>
      </c>
      <c r="G2162" t="n">
        <v>16.5</v>
      </c>
      <c r="H2162" t="n">
        <v>0</v>
      </c>
      <c r="I2162" t="n">
        <v>0</v>
      </c>
      <c r="J2162" t="n">
        <v>0</v>
      </c>
      <c r="K2162" t="n">
        <v>0</v>
      </c>
      <c r="L2162" t="n">
        <v>0</v>
      </c>
      <c r="M2162" t="n">
        <v>0</v>
      </c>
      <c r="N2162" t="n">
        <v>0</v>
      </c>
      <c r="O2162" t="n">
        <v>0</v>
      </c>
      <c r="P2162" t="n">
        <v>0</v>
      </c>
      <c r="Q2162" t="n">
        <v>0</v>
      </c>
      <c r="R2162" s="2" t="inlineStr"/>
    </row>
    <row r="2163" ht="15" customHeight="1">
      <c r="A2163" t="inlineStr">
        <is>
          <t>A 50924-2021</t>
        </is>
      </c>
      <c r="B2163" s="1" t="n">
        <v>44460</v>
      </c>
      <c r="C2163" s="1" t="n">
        <v>46046</v>
      </c>
      <c r="D2163" t="inlineStr">
        <is>
          <t>NORRBOTTENS LÄN</t>
        </is>
      </c>
      <c r="E2163" t="inlineStr">
        <is>
          <t>ÄLVSBYN</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14341-2024</t>
        </is>
      </c>
      <c r="B2164" s="1" t="n">
        <v>45393</v>
      </c>
      <c r="C2164" s="1" t="n">
        <v>46046</v>
      </c>
      <c r="D2164" t="inlineStr">
        <is>
          <t>NORRBOTTENS LÄN</t>
        </is>
      </c>
      <c r="E2164" t="inlineStr">
        <is>
          <t>PITEÅ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43298-2021</t>
        </is>
      </c>
      <c r="B2165" s="1" t="n">
        <v>44432</v>
      </c>
      <c r="C2165" s="1" t="n">
        <v>46046</v>
      </c>
      <c r="D2165" t="inlineStr">
        <is>
          <t>NORRBOTTENS LÄN</t>
        </is>
      </c>
      <c r="E2165" t="inlineStr">
        <is>
          <t>PITEÅ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49875-2023</t>
        </is>
      </c>
      <c r="B2166" s="1" t="n">
        <v>45212</v>
      </c>
      <c r="C2166" s="1" t="n">
        <v>46046</v>
      </c>
      <c r="D2166" t="inlineStr">
        <is>
          <t>NORRBOTTENS LÄN</t>
        </is>
      </c>
      <c r="E2166" t="inlineStr">
        <is>
          <t>GÄLLIVARE</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18269-2022</t>
        </is>
      </c>
      <c r="B2167" s="1" t="n">
        <v>44685</v>
      </c>
      <c r="C2167" s="1" t="n">
        <v>46046</v>
      </c>
      <c r="D2167" t="inlineStr">
        <is>
          <t>NORRBOTTENS LÄN</t>
        </is>
      </c>
      <c r="E2167" t="inlineStr">
        <is>
          <t>PITEÅ</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13197-2023</t>
        </is>
      </c>
      <c r="B2168" s="1" t="n">
        <v>45002</v>
      </c>
      <c r="C2168" s="1" t="n">
        <v>46046</v>
      </c>
      <c r="D2168" t="inlineStr">
        <is>
          <t>NORRBOTTENS LÄN</t>
        </is>
      </c>
      <c r="E2168" t="inlineStr">
        <is>
          <t>PAJALA</t>
        </is>
      </c>
      <c r="F2168" t="inlineStr">
        <is>
          <t>Allmännings- och besparingsskogar</t>
        </is>
      </c>
      <c r="G2168" t="n">
        <v>26.1</v>
      </c>
      <c r="H2168" t="n">
        <v>0</v>
      </c>
      <c r="I2168" t="n">
        <v>0</v>
      </c>
      <c r="J2168" t="n">
        <v>0</v>
      </c>
      <c r="K2168" t="n">
        <v>0</v>
      </c>
      <c r="L2168" t="n">
        <v>0</v>
      </c>
      <c r="M2168" t="n">
        <v>0</v>
      </c>
      <c r="N2168" t="n">
        <v>0</v>
      </c>
      <c r="O2168" t="n">
        <v>0</v>
      </c>
      <c r="P2168" t="n">
        <v>0</v>
      </c>
      <c r="Q2168" t="n">
        <v>0</v>
      </c>
      <c r="R2168" s="2" t="inlineStr"/>
    </row>
    <row r="2169" ht="15" customHeight="1">
      <c r="A2169" t="inlineStr">
        <is>
          <t>A 51174-2023</t>
        </is>
      </c>
      <c r="B2169" s="1" t="n">
        <v>45219.38791666667</v>
      </c>
      <c r="C2169" s="1" t="n">
        <v>46046</v>
      </c>
      <c r="D2169" t="inlineStr">
        <is>
          <t>NORRBOTTENS LÄN</t>
        </is>
      </c>
      <c r="E2169" t="inlineStr">
        <is>
          <t>PITEÅ</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23203-2024</t>
        </is>
      </c>
      <c r="B2170" s="1" t="n">
        <v>45451</v>
      </c>
      <c r="C2170" s="1" t="n">
        <v>46046</v>
      </c>
      <c r="D2170" t="inlineStr">
        <is>
          <t>NORRBOTTENS LÄN</t>
        </is>
      </c>
      <c r="E2170" t="inlineStr">
        <is>
          <t>JOKKMOKK</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38127-2024</t>
        </is>
      </c>
      <c r="B2171" s="1" t="n">
        <v>45545.40748842592</v>
      </c>
      <c r="C2171" s="1" t="n">
        <v>46046</v>
      </c>
      <c r="D2171" t="inlineStr">
        <is>
          <t>NORRBOTTENS LÄN</t>
        </is>
      </c>
      <c r="E2171" t="inlineStr">
        <is>
          <t>ÖVERTORNEÅ</t>
        </is>
      </c>
      <c r="F2171" t="inlineStr">
        <is>
          <t>Sveaskog</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38154-2024</t>
        </is>
      </c>
      <c r="B2172" s="1" t="n">
        <v>45545</v>
      </c>
      <c r="C2172" s="1" t="n">
        <v>46046</v>
      </c>
      <c r="D2172" t="inlineStr">
        <is>
          <t>NORRBOTTENS LÄN</t>
        </is>
      </c>
      <c r="E2172" t="inlineStr">
        <is>
          <t>ÖVERKALIX</t>
        </is>
      </c>
      <c r="F2172" t="inlineStr">
        <is>
          <t>Sveaskog</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5170-2025</t>
        </is>
      </c>
      <c r="B2173" s="1" t="n">
        <v>45691.61585648148</v>
      </c>
      <c r="C2173" s="1" t="n">
        <v>46046</v>
      </c>
      <c r="D2173" t="inlineStr">
        <is>
          <t>NORRBOTTENS LÄN</t>
        </is>
      </c>
      <c r="E2173" t="inlineStr">
        <is>
          <t>ÖVERKALIX</t>
        </is>
      </c>
      <c r="F2173" t="inlineStr">
        <is>
          <t>SCA</t>
        </is>
      </c>
      <c r="G2173" t="n">
        <v>20.3</v>
      </c>
      <c r="H2173" t="n">
        <v>0</v>
      </c>
      <c r="I2173" t="n">
        <v>0</v>
      </c>
      <c r="J2173" t="n">
        <v>0</v>
      </c>
      <c r="K2173" t="n">
        <v>0</v>
      </c>
      <c r="L2173" t="n">
        <v>0</v>
      </c>
      <c r="M2173" t="n">
        <v>0</v>
      </c>
      <c r="N2173" t="n">
        <v>0</v>
      </c>
      <c r="O2173" t="n">
        <v>0</v>
      </c>
      <c r="P2173" t="n">
        <v>0</v>
      </c>
      <c r="Q2173" t="n">
        <v>0</v>
      </c>
      <c r="R2173" s="2" t="inlineStr"/>
    </row>
    <row r="2174" ht="15" customHeight="1">
      <c r="A2174" t="inlineStr">
        <is>
          <t>A 37821-2024</t>
        </is>
      </c>
      <c r="B2174" s="1" t="n">
        <v>45544</v>
      </c>
      <c r="C2174" s="1" t="n">
        <v>46046</v>
      </c>
      <c r="D2174" t="inlineStr">
        <is>
          <t>NORRBOTTENS LÄN</t>
        </is>
      </c>
      <c r="E2174" t="inlineStr">
        <is>
          <t>PITEÅ</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44238-2024</t>
        </is>
      </c>
      <c r="B2175" s="1" t="n">
        <v>45573.41719907407</v>
      </c>
      <c r="C2175" s="1" t="n">
        <v>46046</v>
      </c>
      <c r="D2175" t="inlineStr">
        <is>
          <t>NORRBOTTENS LÄN</t>
        </is>
      </c>
      <c r="E2175" t="inlineStr">
        <is>
          <t>ÖVERTORNEÅ</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2799-2025</t>
        </is>
      </c>
      <c r="B2176" s="1" t="n">
        <v>45677</v>
      </c>
      <c r="C2176" s="1" t="n">
        <v>46046</v>
      </c>
      <c r="D2176" t="inlineStr">
        <is>
          <t>NORRBOTTENS LÄN</t>
        </is>
      </c>
      <c r="E2176" t="inlineStr">
        <is>
          <t>PAJALA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838-2025</t>
        </is>
      </c>
      <c r="B2177" s="1" t="n">
        <v>45665</v>
      </c>
      <c r="C2177" s="1" t="n">
        <v>46046</v>
      </c>
      <c r="D2177" t="inlineStr">
        <is>
          <t>NORRBOTTENS LÄN</t>
        </is>
      </c>
      <c r="E2177" t="inlineStr">
        <is>
          <t>GÄLLIVARE</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27789-2021</t>
        </is>
      </c>
      <c r="B2178" s="1" t="n">
        <v>44354</v>
      </c>
      <c r="C2178" s="1" t="n">
        <v>46046</v>
      </c>
      <c r="D2178" t="inlineStr">
        <is>
          <t>NORRBOTTENS LÄN</t>
        </is>
      </c>
      <c r="E2178" t="inlineStr">
        <is>
          <t>ÖVERTORNEÅ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28313-2023</t>
        </is>
      </c>
      <c r="B2179" s="1" t="n">
        <v>45099</v>
      </c>
      <c r="C2179" s="1" t="n">
        <v>46046</v>
      </c>
      <c r="D2179" t="inlineStr">
        <is>
          <t>NORRBOTTENS LÄN</t>
        </is>
      </c>
      <c r="E2179" t="inlineStr">
        <is>
          <t>ARVIDSJAUR</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26554-2023</t>
        </is>
      </c>
      <c r="B2180" s="1" t="n">
        <v>45092</v>
      </c>
      <c r="C2180" s="1" t="n">
        <v>46046</v>
      </c>
      <c r="D2180" t="inlineStr">
        <is>
          <t>NORRBOTTENS LÄN</t>
        </is>
      </c>
      <c r="E2180" t="inlineStr">
        <is>
          <t>ÖVERKALIX</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28378-2021</t>
        </is>
      </c>
      <c r="B2181" s="1" t="n">
        <v>44356</v>
      </c>
      <c r="C2181" s="1" t="n">
        <v>46046</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41467-2023</t>
        </is>
      </c>
      <c r="B2182" s="1" t="n">
        <v>45175</v>
      </c>
      <c r="C2182" s="1" t="n">
        <v>46046</v>
      </c>
      <c r="D2182" t="inlineStr">
        <is>
          <t>NORRBOTTENS LÄN</t>
        </is>
      </c>
      <c r="E2182" t="inlineStr">
        <is>
          <t>ÄLVSBYN</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53257-2023</t>
        </is>
      </c>
      <c r="B2183" s="1" t="n">
        <v>45229</v>
      </c>
      <c r="C2183" s="1" t="n">
        <v>46046</v>
      </c>
      <c r="D2183" t="inlineStr">
        <is>
          <t>NORRBOTTENS LÄN</t>
        </is>
      </c>
      <c r="E2183" t="inlineStr">
        <is>
          <t>HAPARANDA</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5703-2023</t>
        </is>
      </c>
      <c r="B2184" s="1" t="n">
        <v>44960.94230324074</v>
      </c>
      <c r="C2184" s="1" t="n">
        <v>46046</v>
      </c>
      <c r="D2184" t="inlineStr">
        <is>
          <t>NORRBOTTENS LÄN</t>
        </is>
      </c>
      <c r="E2184" t="inlineStr">
        <is>
          <t>ÖVERKALIX</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5706-2023</t>
        </is>
      </c>
      <c r="B2185" s="1" t="n">
        <v>44960.9424537037</v>
      </c>
      <c r="C2185" s="1" t="n">
        <v>46046</v>
      </c>
      <c r="D2185" t="inlineStr">
        <is>
          <t>NORRBOTTENS LÄN</t>
        </is>
      </c>
      <c r="E2185" t="inlineStr">
        <is>
          <t>PAJALA</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11964-2024</t>
        </is>
      </c>
      <c r="B2186" s="1" t="n">
        <v>45376.92693287037</v>
      </c>
      <c r="C2186" s="1" t="n">
        <v>46046</v>
      </c>
      <c r="D2186" t="inlineStr">
        <is>
          <t>NORRBOTTENS LÄN</t>
        </is>
      </c>
      <c r="E2186" t="inlineStr">
        <is>
          <t>PITEÅ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5707-2023</t>
        </is>
      </c>
      <c r="B2187" s="1" t="n">
        <v>44960</v>
      </c>
      <c r="C2187" s="1" t="n">
        <v>46046</v>
      </c>
      <c r="D2187" t="inlineStr">
        <is>
          <t>NORRBOTTENS LÄN</t>
        </is>
      </c>
      <c r="E2187" t="inlineStr">
        <is>
          <t>PAJALA</t>
        </is>
      </c>
      <c r="F2187" t="inlineStr">
        <is>
          <t>SCA</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5708-2023</t>
        </is>
      </c>
      <c r="B2188" s="1" t="n">
        <v>44960</v>
      </c>
      <c r="C2188" s="1" t="n">
        <v>46046</v>
      </c>
      <c r="D2188" t="inlineStr">
        <is>
          <t>NORRBOTTENS LÄN</t>
        </is>
      </c>
      <c r="E2188" t="inlineStr">
        <is>
          <t>GÄLLIVARE</t>
        </is>
      </c>
      <c r="F2188" t="inlineStr">
        <is>
          <t>SCA</t>
        </is>
      </c>
      <c r="G2188" t="n">
        <v>15.3</v>
      </c>
      <c r="H2188" t="n">
        <v>0</v>
      </c>
      <c r="I2188" t="n">
        <v>0</v>
      </c>
      <c r="J2188" t="n">
        <v>0</v>
      </c>
      <c r="K2188" t="n">
        <v>0</v>
      </c>
      <c r="L2188" t="n">
        <v>0</v>
      </c>
      <c r="M2188" t="n">
        <v>0</v>
      </c>
      <c r="N2188" t="n">
        <v>0</v>
      </c>
      <c r="O2188" t="n">
        <v>0</v>
      </c>
      <c r="P2188" t="n">
        <v>0</v>
      </c>
      <c r="Q2188" t="n">
        <v>0</v>
      </c>
      <c r="R2188" s="2" t="inlineStr"/>
    </row>
    <row r="2189" ht="15" customHeight="1">
      <c r="A2189" t="inlineStr">
        <is>
          <t>A 5709-2023</t>
        </is>
      </c>
      <c r="B2189" s="1" t="n">
        <v>44960</v>
      </c>
      <c r="C2189" s="1" t="n">
        <v>46046</v>
      </c>
      <c r="D2189" t="inlineStr">
        <is>
          <t>NORRBOTTENS LÄN</t>
        </is>
      </c>
      <c r="E2189" t="inlineStr">
        <is>
          <t>GÄLLIVARE</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36618-2023</t>
        </is>
      </c>
      <c r="B2190" s="1" t="n">
        <v>45152</v>
      </c>
      <c r="C2190" s="1" t="n">
        <v>46046</v>
      </c>
      <c r="D2190" t="inlineStr">
        <is>
          <t>NORRBOTTENS LÄN</t>
        </is>
      </c>
      <c r="E2190" t="inlineStr">
        <is>
          <t>BODEN</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10465-2025</t>
        </is>
      </c>
      <c r="B2191" s="1" t="n">
        <v>45720.82733796296</v>
      </c>
      <c r="C2191" s="1" t="n">
        <v>46046</v>
      </c>
      <c r="D2191" t="inlineStr">
        <is>
          <t>NORRBOTTENS LÄN</t>
        </is>
      </c>
      <c r="E2191" t="inlineStr">
        <is>
          <t>HAPARANDA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14264-2024</t>
        </is>
      </c>
      <c r="B2192" s="1" t="n">
        <v>45393</v>
      </c>
      <c r="C2192" s="1" t="n">
        <v>46046</v>
      </c>
      <c r="D2192" t="inlineStr">
        <is>
          <t>NORRBOTTENS LÄN</t>
        </is>
      </c>
      <c r="E2192" t="inlineStr">
        <is>
          <t>ÖVERTORNEÅ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46784-2024</t>
        </is>
      </c>
      <c r="B2193" s="1" t="n">
        <v>45583.52376157408</v>
      </c>
      <c r="C2193" s="1" t="n">
        <v>46046</v>
      </c>
      <c r="D2193" t="inlineStr">
        <is>
          <t>NORRBOTTENS LÄN</t>
        </is>
      </c>
      <c r="E2193" t="inlineStr">
        <is>
          <t>ÄLVSBYN</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62525-2022</t>
        </is>
      </c>
      <c r="B2194" s="1" t="n">
        <v>44917</v>
      </c>
      <c r="C2194" s="1" t="n">
        <v>46046</v>
      </c>
      <c r="D2194" t="inlineStr">
        <is>
          <t>NORRBOTTENS LÄN</t>
        </is>
      </c>
      <c r="E2194" t="inlineStr">
        <is>
          <t>KALIX</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61866-2023</t>
        </is>
      </c>
      <c r="B2195" s="1" t="n">
        <v>45264</v>
      </c>
      <c r="C2195" s="1" t="n">
        <v>46046</v>
      </c>
      <c r="D2195" t="inlineStr">
        <is>
          <t>NORRBOTTENS LÄN</t>
        </is>
      </c>
      <c r="E2195" t="inlineStr">
        <is>
          <t>LULEÅ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22481-2025</t>
        </is>
      </c>
      <c r="B2196" s="1" t="n">
        <v>45786.63832175926</v>
      </c>
      <c r="C2196" s="1" t="n">
        <v>46046</v>
      </c>
      <c r="D2196" t="inlineStr">
        <is>
          <t>NORRBOTTENS LÄN</t>
        </is>
      </c>
      <c r="E2196" t="inlineStr">
        <is>
          <t>ÖVERTORNEÅ</t>
        </is>
      </c>
      <c r="F2196" t="inlineStr">
        <is>
          <t>Sveaskog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46820-2024</t>
        </is>
      </c>
      <c r="B2197" s="1" t="n">
        <v>45583.57577546296</v>
      </c>
      <c r="C2197" s="1" t="n">
        <v>46046</v>
      </c>
      <c r="D2197" t="inlineStr">
        <is>
          <t>NORRBOTTENS LÄN</t>
        </is>
      </c>
      <c r="E2197" t="inlineStr">
        <is>
          <t>PAJALA</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22618-2025</t>
        </is>
      </c>
      <c r="B2198" s="1" t="n">
        <v>45789.42767361111</v>
      </c>
      <c r="C2198" s="1" t="n">
        <v>46046</v>
      </c>
      <c r="D2198" t="inlineStr">
        <is>
          <t>NORRBOTTENS LÄN</t>
        </is>
      </c>
      <c r="E2198" t="inlineStr">
        <is>
          <t>KALIX</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37114-2024</t>
        </is>
      </c>
      <c r="B2199" s="1" t="n">
        <v>45539.52540509259</v>
      </c>
      <c r="C2199" s="1" t="n">
        <v>46046</v>
      </c>
      <c r="D2199" t="inlineStr">
        <is>
          <t>NORRBOTTENS LÄN</t>
        </is>
      </c>
      <c r="E2199" t="inlineStr">
        <is>
          <t>BODEN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48461-2024</t>
        </is>
      </c>
      <c r="B2200" s="1" t="n">
        <v>45590</v>
      </c>
      <c r="C2200" s="1" t="n">
        <v>46046</v>
      </c>
      <c r="D2200" t="inlineStr">
        <is>
          <t>NORRBOTTENS LÄN</t>
        </is>
      </c>
      <c r="E2200" t="inlineStr">
        <is>
          <t>ARVIDSJAUR</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33301-2024</t>
        </is>
      </c>
      <c r="B2201" s="1" t="n">
        <v>45518.96950231482</v>
      </c>
      <c r="C2201" s="1" t="n">
        <v>46046</v>
      </c>
      <c r="D2201" t="inlineStr">
        <is>
          <t>NORRBOTTENS LÄN</t>
        </is>
      </c>
      <c r="E2201" t="inlineStr">
        <is>
          <t>ÖVERKALIX</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2723-2025</t>
        </is>
      </c>
      <c r="B2202" s="1" t="n">
        <v>45677</v>
      </c>
      <c r="C2202" s="1" t="n">
        <v>46046</v>
      </c>
      <c r="D2202" t="inlineStr">
        <is>
          <t>NORRBOTTENS LÄN</t>
        </is>
      </c>
      <c r="E2202" t="inlineStr">
        <is>
          <t>ÖVERKALIX</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2725-2025</t>
        </is>
      </c>
      <c r="B2203" s="1" t="n">
        <v>45677.43979166666</v>
      </c>
      <c r="C2203" s="1" t="n">
        <v>46046</v>
      </c>
      <c r="D2203" t="inlineStr">
        <is>
          <t>NORRBOTTENS LÄN</t>
        </is>
      </c>
      <c r="E2203" t="inlineStr">
        <is>
          <t>ÖVERKALIX</t>
        </is>
      </c>
      <c r="G2203" t="n">
        <v>13.6</v>
      </c>
      <c r="H2203" t="n">
        <v>0</v>
      </c>
      <c r="I2203" t="n">
        <v>0</v>
      </c>
      <c r="J2203" t="n">
        <v>0</v>
      </c>
      <c r="K2203" t="n">
        <v>0</v>
      </c>
      <c r="L2203" t="n">
        <v>0</v>
      </c>
      <c r="M2203" t="n">
        <v>0</v>
      </c>
      <c r="N2203" t="n">
        <v>0</v>
      </c>
      <c r="O2203" t="n">
        <v>0</v>
      </c>
      <c r="P2203" t="n">
        <v>0</v>
      </c>
      <c r="Q2203" t="n">
        <v>0</v>
      </c>
      <c r="R2203" s="2" t="inlineStr"/>
    </row>
    <row r="2204" ht="15" customHeight="1">
      <c r="A2204" t="inlineStr">
        <is>
          <t>A 39845-2023</t>
        </is>
      </c>
      <c r="B2204" s="1" t="n">
        <v>45166</v>
      </c>
      <c r="C2204" s="1" t="n">
        <v>46046</v>
      </c>
      <c r="D2204" t="inlineStr">
        <is>
          <t>NORRBOTTENS LÄN</t>
        </is>
      </c>
      <c r="E2204" t="inlineStr">
        <is>
          <t>ARVIDSJAUR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35843-2021</t>
        </is>
      </c>
      <c r="B2205" s="1" t="n">
        <v>44386</v>
      </c>
      <c r="C2205" s="1" t="n">
        <v>46046</v>
      </c>
      <c r="D2205" t="inlineStr">
        <is>
          <t>NORRBOTTENS LÄN</t>
        </is>
      </c>
      <c r="E2205" t="inlineStr">
        <is>
          <t>BODEN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22703-2025</t>
        </is>
      </c>
      <c r="B2206" s="1" t="n">
        <v>45789.55039351852</v>
      </c>
      <c r="C2206" s="1" t="n">
        <v>46046</v>
      </c>
      <c r="D2206" t="inlineStr">
        <is>
          <t>NORRBOTTENS LÄN</t>
        </is>
      </c>
      <c r="E2206" t="inlineStr">
        <is>
          <t>HAPARANDA</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49704-2024</t>
        </is>
      </c>
      <c r="B2207" s="1" t="n">
        <v>45596</v>
      </c>
      <c r="C2207" s="1" t="n">
        <v>46046</v>
      </c>
      <c r="D2207" t="inlineStr">
        <is>
          <t>NORRBOTTENS LÄN</t>
        </is>
      </c>
      <c r="E2207" t="inlineStr">
        <is>
          <t>KIRUNA</t>
        </is>
      </c>
      <c r="G2207" t="n">
        <v>17.4</v>
      </c>
      <c r="H2207" t="n">
        <v>0</v>
      </c>
      <c r="I2207" t="n">
        <v>0</v>
      </c>
      <c r="J2207" t="n">
        <v>0</v>
      </c>
      <c r="K2207" t="n">
        <v>0</v>
      </c>
      <c r="L2207" t="n">
        <v>0</v>
      </c>
      <c r="M2207" t="n">
        <v>0</v>
      </c>
      <c r="N2207" t="n">
        <v>0</v>
      </c>
      <c r="O2207" t="n">
        <v>0</v>
      </c>
      <c r="P2207" t="n">
        <v>0</v>
      </c>
      <c r="Q2207" t="n">
        <v>0</v>
      </c>
      <c r="R2207" s="2" t="inlineStr"/>
    </row>
    <row r="2208" ht="15" customHeight="1">
      <c r="A2208" t="inlineStr">
        <is>
          <t>A 6963-2025</t>
        </is>
      </c>
      <c r="B2208" s="1" t="n">
        <v>45701.4969212963</v>
      </c>
      <c r="C2208" s="1" t="n">
        <v>46046</v>
      </c>
      <c r="D2208" t="inlineStr">
        <is>
          <t>NORRBOTTENS LÄN</t>
        </is>
      </c>
      <c r="E2208" t="inlineStr">
        <is>
          <t>PITEÅ</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60651-2023</t>
        </is>
      </c>
      <c r="B2209" s="1" t="n">
        <v>45260</v>
      </c>
      <c r="C2209" s="1" t="n">
        <v>46046</v>
      </c>
      <c r="D2209" t="inlineStr">
        <is>
          <t>NORRBOTTENS LÄN</t>
        </is>
      </c>
      <c r="E2209" t="inlineStr">
        <is>
          <t>LULEÅ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12927-2024</t>
        </is>
      </c>
      <c r="B2210" s="1" t="n">
        <v>45385.44969907407</v>
      </c>
      <c r="C2210" s="1" t="n">
        <v>46046</v>
      </c>
      <c r="D2210" t="inlineStr">
        <is>
          <t>NORRBOTTENS LÄN</t>
        </is>
      </c>
      <c r="E2210" t="inlineStr">
        <is>
          <t>KALIX</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50537-2021</t>
        </is>
      </c>
      <c r="B2211" s="1" t="n">
        <v>44459</v>
      </c>
      <c r="C2211" s="1" t="n">
        <v>46046</v>
      </c>
      <c r="D2211" t="inlineStr">
        <is>
          <t>NORRBOTTENS LÄN</t>
        </is>
      </c>
      <c r="E2211" t="inlineStr">
        <is>
          <t>PAJALA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8271-2025</t>
        </is>
      </c>
      <c r="B2212" s="1" t="n">
        <v>45708</v>
      </c>
      <c r="C2212" s="1" t="n">
        <v>46046</v>
      </c>
      <c r="D2212" t="inlineStr">
        <is>
          <t>NORRBOTTENS LÄN</t>
        </is>
      </c>
      <c r="E2212" t="inlineStr">
        <is>
          <t>LULEÅ</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24810-2023</t>
        </is>
      </c>
      <c r="B2213" s="1" t="n">
        <v>45084</v>
      </c>
      <c r="C2213" s="1" t="n">
        <v>46046</v>
      </c>
      <c r="D2213" t="inlineStr">
        <is>
          <t>NORRBOTTENS LÄN</t>
        </is>
      </c>
      <c r="E2213" t="inlineStr">
        <is>
          <t>ARVIDSJAUR</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5525-2024</t>
        </is>
      </c>
      <c r="B2214" s="1" t="n">
        <v>45334</v>
      </c>
      <c r="C2214" s="1" t="n">
        <v>46046</v>
      </c>
      <c r="D2214" t="inlineStr">
        <is>
          <t>NORRBOTTENS LÄN</t>
        </is>
      </c>
      <c r="E2214" t="inlineStr">
        <is>
          <t>PITEÅ</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10664-2023</t>
        </is>
      </c>
      <c r="B2215" s="1" t="n">
        <v>44988</v>
      </c>
      <c r="C2215" s="1" t="n">
        <v>46046</v>
      </c>
      <c r="D2215" t="inlineStr">
        <is>
          <t>NORRBOTTENS LÄN</t>
        </is>
      </c>
      <c r="E2215" t="inlineStr">
        <is>
          <t>ARVIDSJAUR</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42520-2023</t>
        </is>
      </c>
      <c r="B2216" s="1" t="n">
        <v>45180.96025462963</v>
      </c>
      <c r="C2216" s="1" t="n">
        <v>46046</v>
      </c>
      <c r="D2216" t="inlineStr">
        <is>
          <t>NORRBOTTENS LÄN</t>
        </is>
      </c>
      <c r="E2216" t="inlineStr">
        <is>
          <t>PITEÅ</t>
        </is>
      </c>
      <c r="F2216" t="inlineStr">
        <is>
          <t>Naturvårdsverket</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52976-2023</t>
        </is>
      </c>
      <c r="B2217" s="1" t="n">
        <v>45226</v>
      </c>
      <c r="C2217" s="1" t="n">
        <v>46046</v>
      </c>
      <c r="D2217" t="inlineStr">
        <is>
          <t>NORRBOTTENS LÄN</t>
        </is>
      </c>
      <c r="E2217" t="inlineStr">
        <is>
          <t>BODEN</t>
        </is>
      </c>
      <c r="F2217" t="inlineStr">
        <is>
          <t>Sveaskog</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2003-2024</t>
        </is>
      </c>
      <c r="B2218" s="1" t="n">
        <v>45308.65068287037</v>
      </c>
      <c r="C2218" s="1" t="n">
        <v>46046</v>
      </c>
      <c r="D2218" t="inlineStr">
        <is>
          <t>NORRBOTTENS LÄN</t>
        </is>
      </c>
      <c r="E2218" t="inlineStr">
        <is>
          <t>ÖVERKALIX</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1049-2024</t>
        </is>
      </c>
      <c r="B2219" s="1" t="n">
        <v>45301</v>
      </c>
      <c r="C2219" s="1" t="n">
        <v>46046</v>
      </c>
      <c r="D2219" t="inlineStr">
        <is>
          <t>NORRBOTTENS LÄN</t>
        </is>
      </c>
      <c r="E2219" t="inlineStr">
        <is>
          <t>BODEN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47423-2024</t>
        </is>
      </c>
      <c r="B2220" s="1" t="n">
        <v>45587</v>
      </c>
      <c r="C2220" s="1" t="n">
        <v>46046</v>
      </c>
      <c r="D2220" t="inlineStr">
        <is>
          <t>NORRBOTTENS LÄN</t>
        </is>
      </c>
      <c r="E2220" t="inlineStr">
        <is>
          <t>BODEN</t>
        </is>
      </c>
      <c r="G2220" t="n">
        <v>17.2</v>
      </c>
      <c r="H2220" t="n">
        <v>0</v>
      </c>
      <c r="I2220" t="n">
        <v>0</v>
      </c>
      <c r="J2220" t="n">
        <v>0</v>
      </c>
      <c r="K2220" t="n">
        <v>0</v>
      </c>
      <c r="L2220" t="n">
        <v>0</v>
      </c>
      <c r="M2220" t="n">
        <v>0</v>
      </c>
      <c r="N2220" t="n">
        <v>0</v>
      </c>
      <c r="O2220" t="n">
        <v>0</v>
      </c>
      <c r="P2220" t="n">
        <v>0</v>
      </c>
      <c r="Q2220" t="n">
        <v>0</v>
      </c>
      <c r="R2220" s="2" t="inlineStr"/>
    </row>
    <row r="2221" ht="15" customHeight="1">
      <c r="A2221" t="inlineStr">
        <is>
          <t>A 50447-2024</t>
        </is>
      </c>
      <c r="B2221" s="1" t="n">
        <v>45601</v>
      </c>
      <c r="C2221" s="1" t="n">
        <v>46046</v>
      </c>
      <c r="D2221" t="inlineStr">
        <is>
          <t>NORRBOTTENS LÄN</t>
        </is>
      </c>
      <c r="E2221" t="inlineStr">
        <is>
          <t>ÖVERTORNEÅ</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9011-2024</t>
        </is>
      </c>
      <c r="B2222" s="1" t="n">
        <v>45356</v>
      </c>
      <c r="C2222" s="1" t="n">
        <v>46046</v>
      </c>
      <c r="D2222" t="inlineStr">
        <is>
          <t>NORRBOTTENS LÄN</t>
        </is>
      </c>
      <c r="E2222" t="inlineStr">
        <is>
          <t>PITEÅ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19493-2025</t>
        </is>
      </c>
      <c r="B2223" s="1" t="n">
        <v>45770.38886574074</v>
      </c>
      <c r="C2223" s="1" t="n">
        <v>46046</v>
      </c>
      <c r="D2223" t="inlineStr">
        <is>
          <t>NORRBOTTENS LÄN</t>
        </is>
      </c>
      <c r="E2223" t="inlineStr">
        <is>
          <t>JOKKMOKK</t>
        </is>
      </c>
      <c r="F2223" t="inlineStr">
        <is>
          <t>SCA</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62076-2024</t>
        </is>
      </c>
      <c r="B2224" s="1" t="n">
        <v>45656.41377314815</v>
      </c>
      <c r="C2224" s="1" t="n">
        <v>46046</v>
      </c>
      <c r="D2224" t="inlineStr">
        <is>
          <t>NORRBOTTENS LÄN</t>
        </is>
      </c>
      <c r="E2224" t="inlineStr">
        <is>
          <t>ÖVERTORNEÅ</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2116-2024</t>
        </is>
      </c>
      <c r="B2225" s="1" t="n">
        <v>45309</v>
      </c>
      <c r="C2225" s="1" t="n">
        <v>46046</v>
      </c>
      <c r="D2225" t="inlineStr">
        <is>
          <t>NORRBOTTENS LÄN</t>
        </is>
      </c>
      <c r="E2225" t="inlineStr">
        <is>
          <t>ARVIDSJAUR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53037-2024</t>
        </is>
      </c>
      <c r="B2226" s="1" t="n">
        <v>45611</v>
      </c>
      <c r="C2226" s="1" t="n">
        <v>46046</v>
      </c>
      <c r="D2226" t="inlineStr">
        <is>
          <t>NORRBOTTENS LÄN</t>
        </is>
      </c>
      <c r="E2226" t="inlineStr">
        <is>
          <t>PAJALA</t>
        </is>
      </c>
      <c r="G2226" t="n">
        <v>11.7</v>
      </c>
      <c r="H2226" t="n">
        <v>0</v>
      </c>
      <c r="I2226" t="n">
        <v>0</v>
      </c>
      <c r="J2226" t="n">
        <v>0</v>
      </c>
      <c r="K2226" t="n">
        <v>0</v>
      </c>
      <c r="L2226" t="n">
        <v>0</v>
      </c>
      <c r="M2226" t="n">
        <v>0</v>
      </c>
      <c r="N2226" t="n">
        <v>0</v>
      </c>
      <c r="O2226" t="n">
        <v>0</v>
      </c>
      <c r="P2226" t="n">
        <v>0</v>
      </c>
      <c r="Q2226" t="n">
        <v>0</v>
      </c>
      <c r="R2226" s="2" t="inlineStr"/>
    </row>
    <row r="2227" ht="15" customHeight="1">
      <c r="A2227" t="inlineStr">
        <is>
          <t>A 51674-2024</t>
        </is>
      </c>
      <c r="B2227" s="1" t="n">
        <v>45607.29293981481</v>
      </c>
      <c r="C2227" s="1" t="n">
        <v>46046</v>
      </c>
      <c r="D2227" t="inlineStr">
        <is>
          <t>NORRBOTTENS LÄN</t>
        </is>
      </c>
      <c r="E2227" t="inlineStr">
        <is>
          <t>ÖVERTORNEÅ</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11535-2025</t>
        </is>
      </c>
      <c r="B2228" s="1" t="n">
        <v>45726</v>
      </c>
      <c r="C2228" s="1" t="n">
        <v>46046</v>
      </c>
      <c r="D2228" t="inlineStr">
        <is>
          <t>NORRBOTTENS LÄN</t>
        </is>
      </c>
      <c r="E2228" t="inlineStr">
        <is>
          <t>ARVIDSJAUR</t>
        </is>
      </c>
      <c r="F2228" t="inlineStr">
        <is>
          <t>Allmännings- och besparingsskogar</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11539-2025</t>
        </is>
      </c>
      <c r="B2229" s="1" t="n">
        <v>45726</v>
      </c>
      <c r="C2229" s="1" t="n">
        <v>46046</v>
      </c>
      <c r="D2229" t="inlineStr">
        <is>
          <t>NORRBOTTENS LÄN</t>
        </is>
      </c>
      <c r="E2229" t="inlineStr">
        <is>
          <t>ARVIDSJAUR</t>
        </is>
      </c>
      <c r="F2229" t="inlineStr">
        <is>
          <t>Allmännings- och besparingsskogar</t>
        </is>
      </c>
      <c r="G2229" t="n">
        <v>14.3</v>
      </c>
      <c r="H2229" t="n">
        <v>0</v>
      </c>
      <c r="I2229" t="n">
        <v>0</v>
      </c>
      <c r="J2229" t="n">
        <v>0</v>
      </c>
      <c r="K2229" t="n">
        <v>0</v>
      </c>
      <c r="L2229" t="n">
        <v>0</v>
      </c>
      <c r="M2229" t="n">
        <v>0</v>
      </c>
      <c r="N2229" t="n">
        <v>0</v>
      </c>
      <c r="O2229" t="n">
        <v>0</v>
      </c>
      <c r="P2229" t="n">
        <v>0</v>
      </c>
      <c r="Q2229" t="n">
        <v>0</v>
      </c>
      <c r="R2229" s="2" t="inlineStr"/>
    </row>
    <row r="2230" ht="15" customHeight="1">
      <c r="A2230" t="inlineStr">
        <is>
          <t>A 48592-2024</t>
        </is>
      </c>
      <c r="B2230" s="1" t="n">
        <v>45593</v>
      </c>
      <c r="C2230" s="1" t="n">
        <v>46046</v>
      </c>
      <c r="D2230" t="inlineStr">
        <is>
          <t>NORRBOTTENS LÄN</t>
        </is>
      </c>
      <c r="E2230" t="inlineStr">
        <is>
          <t>BODEN</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58099-2023</t>
        </is>
      </c>
      <c r="B2231" s="1" t="n">
        <v>45248.94667824074</v>
      </c>
      <c r="C2231" s="1" t="n">
        <v>46046</v>
      </c>
      <c r="D2231" t="inlineStr">
        <is>
          <t>NORRBOTTENS LÄN</t>
        </is>
      </c>
      <c r="E2231" t="inlineStr">
        <is>
          <t>BODEN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23315-2025</t>
        </is>
      </c>
      <c r="B2232" s="1" t="n">
        <v>45791.61200231482</v>
      </c>
      <c r="C2232" s="1" t="n">
        <v>46046</v>
      </c>
      <c r="D2232" t="inlineStr">
        <is>
          <t>NORRBOTTENS LÄN</t>
        </is>
      </c>
      <c r="E2232" t="inlineStr">
        <is>
          <t>BODEN</t>
        </is>
      </c>
      <c r="F2232" t="inlineStr">
        <is>
          <t>Sveaskog</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11620-2025</t>
        </is>
      </c>
      <c r="B2233" s="1" t="n">
        <v>45726</v>
      </c>
      <c r="C2233" s="1" t="n">
        <v>46046</v>
      </c>
      <c r="D2233" t="inlineStr">
        <is>
          <t>NORRBOTTENS LÄN</t>
        </is>
      </c>
      <c r="E2233" t="inlineStr">
        <is>
          <t>ARVIDSJAUR</t>
        </is>
      </c>
      <c r="F2233" t="inlineStr">
        <is>
          <t>Allmännings- och besparingsskogar</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8858-2024</t>
        </is>
      </c>
      <c r="B2234" s="1" t="n">
        <v>45356</v>
      </c>
      <c r="C2234" s="1" t="n">
        <v>46046</v>
      </c>
      <c r="D2234" t="inlineStr">
        <is>
          <t>NORRBOTTENS LÄN</t>
        </is>
      </c>
      <c r="E2234" t="inlineStr">
        <is>
          <t>PAJALA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23592-2024</t>
        </is>
      </c>
      <c r="B2235" s="1" t="n">
        <v>45454</v>
      </c>
      <c r="C2235" s="1" t="n">
        <v>46046</v>
      </c>
      <c r="D2235" t="inlineStr">
        <is>
          <t>NORRBOTTENS LÄN</t>
        </is>
      </c>
      <c r="E2235" t="inlineStr">
        <is>
          <t>ARVIDSJAUR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48379-2022</t>
        </is>
      </c>
      <c r="B2236" s="1" t="n">
        <v>44854</v>
      </c>
      <c r="C2236" s="1" t="n">
        <v>46046</v>
      </c>
      <c r="D2236" t="inlineStr">
        <is>
          <t>NORRBOTTENS LÄN</t>
        </is>
      </c>
      <c r="E2236" t="inlineStr">
        <is>
          <t>LULEÅ</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23297-2025</t>
        </is>
      </c>
      <c r="B2237" s="1" t="n">
        <v>45791.59445601852</v>
      </c>
      <c r="C2237" s="1" t="n">
        <v>46046</v>
      </c>
      <c r="D2237" t="inlineStr">
        <is>
          <t>NORRBOTTENS LÄN</t>
        </is>
      </c>
      <c r="E2237" t="inlineStr">
        <is>
          <t>KALIX</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23317-2025</t>
        </is>
      </c>
      <c r="B2238" s="1" t="n">
        <v>45791.61278935185</v>
      </c>
      <c r="C2238" s="1" t="n">
        <v>46046</v>
      </c>
      <c r="D2238" t="inlineStr">
        <is>
          <t>NORRBOTTENS LÄN</t>
        </is>
      </c>
      <c r="E2238" t="inlineStr">
        <is>
          <t>JOKKMOKK</t>
        </is>
      </c>
      <c r="F2238" t="inlineStr">
        <is>
          <t>Sveaskog</t>
        </is>
      </c>
      <c r="G2238" t="n">
        <v>22.4</v>
      </c>
      <c r="H2238" t="n">
        <v>0</v>
      </c>
      <c r="I2238" t="n">
        <v>0</v>
      </c>
      <c r="J2238" t="n">
        <v>0</v>
      </c>
      <c r="K2238" t="n">
        <v>0</v>
      </c>
      <c r="L2238" t="n">
        <v>0</v>
      </c>
      <c r="M2238" t="n">
        <v>0</v>
      </c>
      <c r="N2238" t="n">
        <v>0</v>
      </c>
      <c r="O2238" t="n">
        <v>0</v>
      </c>
      <c r="P2238" t="n">
        <v>0</v>
      </c>
      <c r="Q2238" t="n">
        <v>0</v>
      </c>
      <c r="R2238" s="2" t="inlineStr"/>
    </row>
    <row r="2239" ht="15" customHeight="1">
      <c r="A2239" t="inlineStr">
        <is>
          <t>A 40813-2022</t>
        </is>
      </c>
      <c r="B2239" s="1" t="n">
        <v>44824</v>
      </c>
      <c r="C2239" s="1" t="n">
        <v>46046</v>
      </c>
      <c r="D2239" t="inlineStr">
        <is>
          <t>NORRBOTTENS LÄN</t>
        </is>
      </c>
      <c r="E2239" t="inlineStr">
        <is>
          <t>PITEÅ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34143-2023</t>
        </is>
      </c>
      <c r="B2240" s="1" t="n">
        <v>45136</v>
      </c>
      <c r="C2240" s="1" t="n">
        <v>46046</v>
      </c>
      <c r="D2240" t="inlineStr">
        <is>
          <t>NORRBOTTENS LÄN</t>
        </is>
      </c>
      <c r="E2240" t="inlineStr">
        <is>
          <t>ÖVERTORNEÅ</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34144-2023</t>
        </is>
      </c>
      <c r="B2241" s="1" t="n">
        <v>45136.45347222222</v>
      </c>
      <c r="C2241" s="1" t="n">
        <v>46046</v>
      </c>
      <c r="D2241" t="inlineStr">
        <is>
          <t>NORRBOTTENS LÄN</t>
        </is>
      </c>
      <c r="E2241" t="inlineStr">
        <is>
          <t>ÖVERTORNEÅ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52645-2023</t>
        </is>
      </c>
      <c r="B2242" s="1" t="n">
        <v>45225</v>
      </c>
      <c r="C2242" s="1" t="n">
        <v>46046</v>
      </c>
      <c r="D2242" t="inlineStr">
        <is>
          <t>NORRBOTTENS LÄN</t>
        </is>
      </c>
      <c r="E2242" t="inlineStr">
        <is>
          <t>ARVIDSJAUR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68560-2021</t>
        </is>
      </c>
      <c r="B2243" s="1" t="n">
        <v>44529</v>
      </c>
      <c r="C2243" s="1" t="n">
        <v>46046</v>
      </c>
      <c r="D2243" t="inlineStr">
        <is>
          <t>NORRBOTTENS LÄN</t>
        </is>
      </c>
      <c r="E2243" t="inlineStr">
        <is>
          <t>BODEN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68565-2021</t>
        </is>
      </c>
      <c r="B2244" s="1" t="n">
        <v>44529</v>
      </c>
      <c r="C2244" s="1" t="n">
        <v>46046</v>
      </c>
      <c r="D2244" t="inlineStr">
        <is>
          <t>NORRBOTTENS LÄN</t>
        </is>
      </c>
      <c r="E2244" t="inlineStr">
        <is>
          <t>BODEN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3677-2025</t>
        </is>
      </c>
      <c r="B2245" s="1" t="n">
        <v>45681.44248842593</v>
      </c>
      <c r="C2245" s="1" t="n">
        <v>46046</v>
      </c>
      <c r="D2245" t="inlineStr">
        <is>
          <t>NORRBOTTENS LÄN</t>
        </is>
      </c>
      <c r="E2245" t="inlineStr">
        <is>
          <t>PITEÅ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3693-2025</t>
        </is>
      </c>
      <c r="B2246" s="1" t="n">
        <v>45681.46563657407</v>
      </c>
      <c r="C2246" s="1" t="n">
        <v>46046</v>
      </c>
      <c r="D2246" t="inlineStr">
        <is>
          <t>NORRBOTTENS LÄN</t>
        </is>
      </c>
      <c r="E2246" t="inlineStr">
        <is>
          <t>LULEÅ</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28591-2021</t>
        </is>
      </c>
      <c r="B2247" s="1" t="n">
        <v>44356</v>
      </c>
      <c r="C2247" s="1" t="n">
        <v>46046</v>
      </c>
      <c r="D2247" t="inlineStr">
        <is>
          <t>NORRBOTTENS LÄN</t>
        </is>
      </c>
      <c r="E2247" t="inlineStr">
        <is>
          <t>PAJALA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38975-2024</t>
        </is>
      </c>
      <c r="B2248" s="1" t="n">
        <v>45548</v>
      </c>
      <c r="C2248" s="1" t="n">
        <v>46046</v>
      </c>
      <c r="D2248" t="inlineStr">
        <is>
          <t>NORRBOTTENS LÄN</t>
        </is>
      </c>
      <c r="E2248" t="inlineStr">
        <is>
          <t>ÖVERKALIX</t>
        </is>
      </c>
      <c r="F2248" t="inlineStr">
        <is>
          <t>SCA</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51293-2024</t>
        </is>
      </c>
      <c r="B2249" s="1" t="n">
        <v>45603.92878472222</v>
      </c>
      <c r="C2249" s="1" t="n">
        <v>46046</v>
      </c>
      <c r="D2249" t="inlineStr">
        <is>
          <t>NORRBOTTENS LÄN</t>
        </is>
      </c>
      <c r="E2249" t="inlineStr">
        <is>
          <t>JOKKMOKK</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18652-2024</t>
        </is>
      </c>
      <c r="B2250" s="1" t="n">
        <v>45425</v>
      </c>
      <c r="C2250" s="1" t="n">
        <v>46046</v>
      </c>
      <c r="D2250" t="inlineStr">
        <is>
          <t>NORRBOTTENS LÄN</t>
        </is>
      </c>
      <c r="E2250" t="inlineStr">
        <is>
          <t>HAPARANDA</t>
        </is>
      </c>
      <c r="F2250" t="inlineStr">
        <is>
          <t>Kommuner</t>
        </is>
      </c>
      <c r="G2250" t="n">
        <v>13.9</v>
      </c>
      <c r="H2250" t="n">
        <v>0</v>
      </c>
      <c r="I2250" t="n">
        <v>0</v>
      </c>
      <c r="J2250" t="n">
        <v>0</v>
      </c>
      <c r="K2250" t="n">
        <v>0</v>
      </c>
      <c r="L2250" t="n">
        <v>0</v>
      </c>
      <c r="M2250" t="n">
        <v>0</v>
      </c>
      <c r="N2250" t="n">
        <v>0</v>
      </c>
      <c r="O2250" t="n">
        <v>0</v>
      </c>
      <c r="P2250" t="n">
        <v>0</v>
      </c>
      <c r="Q2250" t="n">
        <v>0</v>
      </c>
      <c r="R2250" s="2" t="inlineStr"/>
    </row>
    <row r="2251" ht="15" customHeight="1">
      <c r="A2251" t="inlineStr">
        <is>
          <t>A 50396-2022</t>
        </is>
      </c>
      <c r="B2251" s="1" t="n">
        <v>44861</v>
      </c>
      <c r="C2251" s="1" t="n">
        <v>46046</v>
      </c>
      <c r="D2251" t="inlineStr">
        <is>
          <t>NORRBOTTENS LÄN</t>
        </is>
      </c>
      <c r="E2251" t="inlineStr">
        <is>
          <t>PAJALA</t>
        </is>
      </c>
      <c r="F2251" t="inlineStr">
        <is>
          <t>Allmännings- och besparingsskogar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42547-2023</t>
        </is>
      </c>
      <c r="B2252" s="1" t="n">
        <v>45181.37510416667</v>
      </c>
      <c r="C2252" s="1" t="n">
        <v>46046</v>
      </c>
      <c r="D2252" t="inlineStr">
        <is>
          <t>NORRBOTTENS LÄN</t>
        </is>
      </c>
      <c r="E2252" t="inlineStr">
        <is>
          <t>HAPARANDA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22978-2025</t>
        </is>
      </c>
      <c r="B2253" s="1" t="n">
        <v>45790</v>
      </c>
      <c r="C2253" s="1" t="n">
        <v>46046</v>
      </c>
      <c r="D2253" t="inlineStr">
        <is>
          <t>NORRBOTTENS LÄN</t>
        </is>
      </c>
      <c r="E2253" t="inlineStr">
        <is>
          <t>PITEÅ</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45072-2023</t>
        </is>
      </c>
      <c r="B2254" s="1" t="n">
        <v>45187</v>
      </c>
      <c r="C2254" s="1" t="n">
        <v>46046</v>
      </c>
      <c r="D2254" t="inlineStr">
        <is>
          <t>NORRBOTTENS LÄN</t>
        </is>
      </c>
      <c r="E2254" t="inlineStr">
        <is>
          <t>ARJEPLOG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58585-2022</t>
        </is>
      </c>
      <c r="B2255" s="1" t="n">
        <v>44894</v>
      </c>
      <c r="C2255" s="1" t="n">
        <v>46046</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58592-2022</t>
        </is>
      </c>
      <c r="B2256" s="1" t="n">
        <v>44894</v>
      </c>
      <c r="C2256" s="1" t="n">
        <v>46046</v>
      </c>
      <c r="D2256" t="inlineStr">
        <is>
          <t>NORRBOTTENS LÄN</t>
        </is>
      </c>
      <c r="E2256" t="inlineStr">
        <is>
          <t>KALIX</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23109-2025</t>
        </is>
      </c>
      <c r="B2257" s="1" t="n">
        <v>45791.36502314815</v>
      </c>
      <c r="C2257" s="1" t="n">
        <v>46046</v>
      </c>
      <c r="D2257" t="inlineStr">
        <is>
          <t>NORRBOTTENS LÄN</t>
        </is>
      </c>
      <c r="E2257" t="inlineStr">
        <is>
          <t>PAJALA</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23321-2025</t>
        </is>
      </c>
      <c r="B2258" s="1" t="n">
        <v>45791.615625</v>
      </c>
      <c r="C2258" s="1" t="n">
        <v>46046</v>
      </c>
      <c r="D2258" t="inlineStr">
        <is>
          <t>NORRBOTTENS LÄN</t>
        </is>
      </c>
      <c r="E2258" t="inlineStr">
        <is>
          <t>BODEN</t>
        </is>
      </c>
      <c r="F2258" t="inlineStr">
        <is>
          <t>Sveaskog</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19237-2025</t>
        </is>
      </c>
      <c r="B2259" s="1" t="n">
        <v>45769</v>
      </c>
      <c r="C2259" s="1" t="n">
        <v>46046</v>
      </c>
      <c r="D2259" t="inlineStr">
        <is>
          <t>NORRBOTTENS LÄN</t>
        </is>
      </c>
      <c r="E2259" t="inlineStr">
        <is>
          <t>ARVIDSJAUR</t>
        </is>
      </c>
      <c r="F2259" t="inlineStr">
        <is>
          <t>Sveaskog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19238-2025</t>
        </is>
      </c>
      <c r="B2260" s="1" t="n">
        <v>45769.47217592593</v>
      </c>
      <c r="C2260" s="1" t="n">
        <v>46046</v>
      </c>
      <c r="D2260" t="inlineStr">
        <is>
          <t>NORRBOTTENS LÄN</t>
        </is>
      </c>
      <c r="E2260" t="inlineStr">
        <is>
          <t>LULEÅ</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7928-2022</t>
        </is>
      </c>
      <c r="B2261" s="1" t="n">
        <v>44608</v>
      </c>
      <c r="C2261" s="1" t="n">
        <v>46046</v>
      </c>
      <c r="D2261" t="inlineStr">
        <is>
          <t>NORRBOTTENS LÄN</t>
        </is>
      </c>
      <c r="E2261" t="inlineStr">
        <is>
          <t>PITEÅ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23819-2023</t>
        </is>
      </c>
      <c r="B2262" s="1" t="n">
        <v>45075</v>
      </c>
      <c r="C2262" s="1" t="n">
        <v>46046</v>
      </c>
      <c r="D2262" t="inlineStr">
        <is>
          <t>NORRBOTTENS LÄN</t>
        </is>
      </c>
      <c r="E2262" t="inlineStr">
        <is>
          <t>LULEÅ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11008-2025</t>
        </is>
      </c>
      <c r="B2263" s="1" t="n">
        <v>45723</v>
      </c>
      <c r="C2263" s="1" t="n">
        <v>46046</v>
      </c>
      <c r="D2263" t="inlineStr">
        <is>
          <t>NORRBOTTENS LÄN</t>
        </is>
      </c>
      <c r="E2263" t="inlineStr">
        <is>
          <t>GÄLLIVARE</t>
        </is>
      </c>
      <c r="G2263" t="n">
        <v>20.6</v>
      </c>
      <c r="H2263" t="n">
        <v>0</v>
      </c>
      <c r="I2263" t="n">
        <v>0</v>
      </c>
      <c r="J2263" t="n">
        <v>0</v>
      </c>
      <c r="K2263" t="n">
        <v>0</v>
      </c>
      <c r="L2263" t="n">
        <v>0</v>
      </c>
      <c r="M2263" t="n">
        <v>0</v>
      </c>
      <c r="N2263" t="n">
        <v>0</v>
      </c>
      <c r="O2263" t="n">
        <v>0</v>
      </c>
      <c r="P2263" t="n">
        <v>0</v>
      </c>
      <c r="Q2263" t="n">
        <v>0</v>
      </c>
      <c r="R2263" s="2" t="inlineStr"/>
    </row>
    <row r="2264" ht="15" customHeight="1">
      <c r="A2264" t="inlineStr">
        <is>
          <t>A 56300-2024</t>
        </is>
      </c>
      <c r="B2264" s="1" t="n">
        <v>45624</v>
      </c>
      <c r="C2264" s="1" t="n">
        <v>46046</v>
      </c>
      <c r="D2264" t="inlineStr">
        <is>
          <t>NORRBOTTENS LÄN</t>
        </is>
      </c>
      <c r="E2264" t="inlineStr">
        <is>
          <t>PAJALA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24760-2022</t>
        </is>
      </c>
      <c r="B2265" s="1" t="n">
        <v>44728</v>
      </c>
      <c r="C2265" s="1" t="n">
        <v>46046</v>
      </c>
      <c r="D2265" t="inlineStr">
        <is>
          <t>NORRBOTTENS LÄN</t>
        </is>
      </c>
      <c r="E2265" t="inlineStr">
        <is>
          <t>ÄLVSBYN</t>
        </is>
      </c>
      <c r="G2265" t="n">
        <v>14.2</v>
      </c>
      <c r="H2265" t="n">
        <v>0</v>
      </c>
      <c r="I2265" t="n">
        <v>0</v>
      </c>
      <c r="J2265" t="n">
        <v>0</v>
      </c>
      <c r="K2265" t="n">
        <v>0</v>
      </c>
      <c r="L2265" t="n">
        <v>0</v>
      </c>
      <c r="M2265" t="n">
        <v>0</v>
      </c>
      <c r="N2265" t="n">
        <v>0</v>
      </c>
      <c r="O2265" t="n">
        <v>0</v>
      </c>
      <c r="P2265" t="n">
        <v>0</v>
      </c>
      <c r="Q2265" t="n">
        <v>0</v>
      </c>
      <c r="R2265" s="2" t="inlineStr"/>
    </row>
    <row r="2266" ht="15" customHeight="1">
      <c r="A2266" t="inlineStr">
        <is>
          <t>A 55567-2023</t>
        </is>
      </c>
      <c r="B2266" s="1" t="n">
        <v>45238.64976851852</v>
      </c>
      <c r="C2266" s="1" t="n">
        <v>46046</v>
      </c>
      <c r="D2266" t="inlineStr">
        <is>
          <t>NORRBOTTENS LÄN</t>
        </is>
      </c>
      <c r="E2266" t="inlineStr">
        <is>
          <t>KALIX</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22990-2025</t>
        </is>
      </c>
      <c r="B2267" s="1" t="n">
        <v>45790</v>
      </c>
      <c r="C2267" s="1" t="n">
        <v>46046</v>
      </c>
      <c r="D2267" t="inlineStr">
        <is>
          <t>NORRBOTTENS LÄN</t>
        </is>
      </c>
      <c r="E2267" t="inlineStr">
        <is>
          <t>PITEÅ</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23028-2025</t>
        </is>
      </c>
      <c r="B2268" s="1" t="n">
        <v>45790.65724537037</v>
      </c>
      <c r="C2268" s="1" t="n">
        <v>46046</v>
      </c>
      <c r="D2268" t="inlineStr">
        <is>
          <t>NORRBOTTENS LÄN</t>
        </is>
      </c>
      <c r="E2268" t="inlineStr">
        <is>
          <t>KALIX</t>
        </is>
      </c>
      <c r="F2268" t="inlineStr">
        <is>
          <t>SCA</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57513-2023</t>
        </is>
      </c>
      <c r="B2269" s="1" t="n">
        <v>45243</v>
      </c>
      <c r="C2269" s="1" t="n">
        <v>46046</v>
      </c>
      <c r="D2269" t="inlineStr">
        <is>
          <t>NORRBOTTENS LÄN</t>
        </is>
      </c>
      <c r="E2269" t="inlineStr">
        <is>
          <t>KALIX</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5095-2025</t>
        </is>
      </c>
      <c r="B2270" s="1" t="n">
        <v>45691</v>
      </c>
      <c r="C2270" s="1" t="n">
        <v>46046</v>
      </c>
      <c r="D2270" t="inlineStr">
        <is>
          <t>NORRBOTTENS LÄN</t>
        </is>
      </c>
      <c r="E2270" t="inlineStr">
        <is>
          <t>ÖVERTORNEÅ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5111-2025</t>
        </is>
      </c>
      <c r="B2271" s="1" t="n">
        <v>45691</v>
      </c>
      <c r="C2271" s="1" t="n">
        <v>46046</v>
      </c>
      <c r="D2271" t="inlineStr">
        <is>
          <t>NORRBOTTENS LÄN</t>
        </is>
      </c>
      <c r="E2271" t="inlineStr">
        <is>
          <t>GÄLLIVARE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5142-2025</t>
        </is>
      </c>
      <c r="B2272" s="1" t="n">
        <v>45691.58537037037</v>
      </c>
      <c r="C2272" s="1" t="n">
        <v>46046</v>
      </c>
      <c r="D2272" t="inlineStr">
        <is>
          <t>NORRBOTTENS LÄN</t>
        </is>
      </c>
      <c r="E2272" t="inlineStr">
        <is>
          <t>ÖVERTORNEÅ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12653-2025</t>
        </is>
      </c>
      <c r="B2273" s="1" t="n">
        <v>45733.41571759259</v>
      </c>
      <c r="C2273" s="1" t="n">
        <v>46046</v>
      </c>
      <c r="D2273" t="inlineStr">
        <is>
          <t>NORRBOTTENS LÄN</t>
        </is>
      </c>
      <c r="E2273" t="inlineStr">
        <is>
          <t>ÖVERTORNEÅ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23089-2025</t>
        </is>
      </c>
      <c r="B2274" s="1" t="n">
        <v>45791.3437037037</v>
      </c>
      <c r="C2274" s="1" t="n">
        <v>46046</v>
      </c>
      <c r="D2274" t="inlineStr">
        <is>
          <t>NORRBOTTENS LÄN</t>
        </is>
      </c>
      <c r="E2274" t="inlineStr">
        <is>
          <t>KALIX</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23092-2025</t>
        </is>
      </c>
      <c r="B2275" s="1" t="n">
        <v>45791.34467592592</v>
      </c>
      <c r="C2275" s="1" t="n">
        <v>46046</v>
      </c>
      <c r="D2275" t="inlineStr">
        <is>
          <t>NORRBOTTENS LÄN</t>
        </is>
      </c>
      <c r="E2275" t="inlineStr">
        <is>
          <t>BODEN</t>
        </is>
      </c>
      <c r="F2275" t="inlineStr">
        <is>
          <t>SCA</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50097-2023</t>
        </is>
      </c>
      <c r="B2276" s="1" t="n">
        <v>45215</v>
      </c>
      <c r="C2276" s="1" t="n">
        <v>46046</v>
      </c>
      <c r="D2276" t="inlineStr">
        <is>
          <t>NORRBOTTENS LÄN</t>
        </is>
      </c>
      <c r="E2276" t="inlineStr">
        <is>
          <t>PAJALA</t>
        </is>
      </c>
      <c r="F2276" t="inlineStr">
        <is>
          <t>Sveaskog</t>
        </is>
      </c>
      <c r="G2276" t="n">
        <v>41.2</v>
      </c>
      <c r="H2276" t="n">
        <v>0</v>
      </c>
      <c r="I2276" t="n">
        <v>0</v>
      </c>
      <c r="J2276" t="n">
        <v>0</v>
      </c>
      <c r="K2276" t="n">
        <v>0</v>
      </c>
      <c r="L2276" t="n">
        <v>0</v>
      </c>
      <c r="M2276" t="n">
        <v>0</v>
      </c>
      <c r="N2276" t="n">
        <v>0</v>
      </c>
      <c r="O2276" t="n">
        <v>0</v>
      </c>
      <c r="P2276" t="n">
        <v>0</v>
      </c>
      <c r="Q2276" t="n">
        <v>0</v>
      </c>
      <c r="R2276" s="2" t="inlineStr"/>
    </row>
    <row r="2277" ht="15" customHeight="1">
      <c r="A2277" t="inlineStr">
        <is>
          <t>A 56168-2023</t>
        </is>
      </c>
      <c r="B2277" s="1" t="n">
        <v>45236</v>
      </c>
      <c r="C2277" s="1" t="n">
        <v>46046</v>
      </c>
      <c r="D2277" t="inlineStr">
        <is>
          <t>NORRBOTTENS LÄN</t>
        </is>
      </c>
      <c r="E2277" t="inlineStr">
        <is>
          <t>KIRUNA</t>
        </is>
      </c>
      <c r="F2277" t="inlineStr">
        <is>
          <t>Sveaskog</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23108-2025</t>
        </is>
      </c>
      <c r="B2278" s="1" t="n">
        <v>45791.36490740741</v>
      </c>
      <c r="C2278" s="1" t="n">
        <v>46046</v>
      </c>
      <c r="D2278" t="inlineStr">
        <is>
          <t>NORRBOTTENS LÄN</t>
        </is>
      </c>
      <c r="E2278" t="inlineStr">
        <is>
          <t>PAJALA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12558-2024</t>
        </is>
      </c>
      <c r="B2279" s="1" t="n">
        <v>45379</v>
      </c>
      <c r="C2279" s="1" t="n">
        <v>46046</v>
      </c>
      <c r="D2279" t="inlineStr">
        <is>
          <t>NORRBOTTENS LÄN</t>
        </is>
      </c>
      <c r="E2279" t="inlineStr">
        <is>
          <t>BODEN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29213-2024</t>
        </is>
      </c>
      <c r="B2280" s="1" t="n">
        <v>45482</v>
      </c>
      <c r="C2280" s="1" t="n">
        <v>46046</v>
      </c>
      <c r="D2280" t="inlineStr">
        <is>
          <t>NORRBOTTENS LÄN</t>
        </is>
      </c>
      <c r="E2280" t="inlineStr">
        <is>
          <t>JOKKMOKK</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49483-2021</t>
        </is>
      </c>
      <c r="B2281" s="1" t="n">
        <v>44454</v>
      </c>
      <c r="C2281" s="1" t="n">
        <v>46046</v>
      </c>
      <c r="D2281" t="inlineStr">
        <is>
          <t>NORRBOTTENS LÄN</t>
        </is>
      </c>
      <c r="E2281" t="inlineStr">
        <is>
          <t>JOKKMOKK</t>
        </is>
      </c>
      <c r="F2281" t="inlineStr">
        <is>
          <t>SCA</t>
        </is>
      </c>
      <c r="G2281" t="n">
        <v>24.2</v>
      </c>
      <c r="H2281" t="n">
        <v>0</v>
      </c>
      <c r="I2281" t="n">
        <v>0</v>
      </c>
      <c r="J2281" t="n">
        <v>0</v>
      </c>
      <c r="K2281" t="n">
        <v>0</v>
      </c>
      <c r="L2281" t="n">
        <v>0</v>
      </c>
      <c r="M2281" t="n">
        <v>0</v>
      </c>
      <c r="N2281" t="n">
        <v>0</v>
      </c>
      <c r="O2281" t="n">
        <v>0</v>
      </c>
      <c r="P2281" t="n">
        <v>0</v>
      </c>
      <c r="Q2281" t="n">
        <v>0</v>
      </c>
      <c r="R2281" s="2" t="inlineStr"/>
    </row>
    <row r="2282" ht="15" customHeight="1">
      <c r="A2282" t="inlineStr">
        <is>
          <t>A 8514-2024</t>
        </is>
      </c>
      <c r="B2282" s="1" t="n">
        <v>45351</v>
      </c>
      <c r="C2282" s="1" t="n">
        <v>46046</v>
      </c>
      <c r="D2282" t="inlineStr">
        <is>
          <t>NORRBOTTENS LÄN</t>
        </is>
      </c>
      <c r="E2282" t="inlineStr">
        <is>
          <t>ÖVERTORNEÅ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36400-2022</t>
        </is>
      </c>
      <c r="B2283" s="1" t="n">
        <v>44804</v>
      </c>
      <c r="C2283" s="1" t="n">
        <v>46046</v>
      </c>
      <c r="D2283" t="inlineStr">
        <is>
          <t>NORRBOTTENS LÄN</t>
        </is>
      </c>
      <c r="E2283" t="inlineStr">
        <is>
          <t>ARVIDSJAUR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23128-2025</t>
        </is>
      </c>
      <c r="B2284" s="1" t="n">
        <v>45791</v>
      </c>
      <c r="C2284" s="1" t="n">
        <v>46046</v>
      </c>
      <c r="D2284" t="inlineStr">
        <is>
          <t>NORRBOTTENS LÄN</t>
        </is>
      </c>
      <c r="E2284" t="inlineStr">
        <is>
          <t>PITEÅ</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42849-2023</t>
        </is>
      </c>
      <c r="B2285" s="1" t="n">
        <v>45177</v>
      </c>
      <c r="C2285" s="1" t="n">
        <v>46046</v>
      </c>
      <c r="D2285" t="inlineStr">
        <is>
          <t>NORRBOTTENS LÄN</t>
        </is>
      </c>
      <c r="E2285" t="inlineStr">
        <is>
          <t>PAJALA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23172-2025</t>
        </is>
      </c>
      <c r="B2286" s="1" t="n">
        <v>45791.42792824074</v>
      </c>
      <c r="C2286" s="1" t="n">
        <v>46046</v>
      </c>
      <c r="D2286" t="inlineStr">
        <is>
          <t>NORRBOTTENS LÄN</t>
        </is>
      </c>
      <c r="E2286" t="inlineStr">
        <is>
          <t>ÄLVSBYN</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23323-2025</t>
        </is>
      </c>
      <c r="B2287" s="1" t="n">
        <v>45791.61981481482</v>
      </c>
      <c r="C2287" s="1" t="n">
        <v>46046</v>
      </c>
      <c r="D2287" t="inlineStr">
        <is>
          <t>NORRBOTTENS LÄN</t>
        </is>
      </c>
      <c r="E2287" t="inlineStr">
        <is>
          <t>BODEN</t>
        </is>
      </c>
      <c r="F2287" t="inlineStr">
        <is>
          <t>Sveaskog</t>
        </is>
      </c>
      <c r="G2287" t="n">
        <v>21.8</v>
      </c>
      <c r="H2287" t="n">
        <v>0</v>
      </c>
      <c r="I2287" t="n">
        <v>0</v>
      </c>
      <c r="J2287" t="n">
        <v>0</v>
      </c>
      <c r="K2287" t="n">
        <v>0</v>
      </c>
      <c r="L2287" t="n">
        <v>0</v>
      </c>
      <c r="M2287" t="n">
        <v>0</v>
      </c>
      <c r="N2287" t="n">
        <v>0</v>
      </c>
      <c r="O2287" t="n">
        <v>0</v>
      </c>
      <c r="P2287" t="n">
        <v>0</v>
      </c>
      <c r="Q2287" t="n">
        <v>0</v>
      </c>
      <c r="R2287" s="2" t="inlineStr"/>
    </row>
    <row r="2288" ht="15" customHeight="1">
      <c r="A2288" t="inlineStr">
        <is>
          <t>A 25715-2024</t>
        </is>
      </c>
      <c r="B2288" s="1" t="n">
        <v>45463</v>
      </c>
      <c r="C2288" s="1" t="n">
        <v>46046</v>
      </c>
      <c r="D2288" t="inlineStr">
        <is>
          <t>NORRBOTTENS LÄN</t>
        </is>
      </c>
      <c r="E2288" t="inlineStr">
        <is>
          <t>JOKKMOKK</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25798-2024</t>
        </is>
      </c>
      <c r="B2289" s="1" t="n">
        <v>45463</v>
      </c>
      <c r="C2289" s="1" t="n">
        <v>46046</v>
      </c>
      <c r="D2289" t="inlineStr">
        <is>
          <t>NORRBOTTENS LÄN</t>
        </is>
      </c>
      <c r="E2289" t="inlineStr">
        <is>
          <t>LULEÅ</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25835-2024</t>
        </is>
      </c>
      <c r="B2290" s="1" t="n">
        <v>45467.41854166667</v>
      </c>
      <c r="C2290" s="1" t="n">
        <v>46046</v>
      </c>
      <c r="D2290" t="inlineStr">
        <is>
          <t>NORRBOTTENS LÄN</t>
        </is>
      </c>
      <c r="E2290" t="inlineStr">
        <is>
          <t>PITEÅ</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1849-2025</t>
        </is>
      </c>
      <c r="B2291" s="1" t="n">
        <v>45671</v>
      </c>
      <c r="C2291" s="1" t="n">
        <v>46046</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46037-2021</t>
        </is>
      </c>
      <c r="B2292" s="1" t="n">
        <v>44441</v>
      </c>
      <c r="C2292" s="1" t="n">
        <v>46046</v>
      </c>
      <c r="D2292" t="inlineStr">
        <is>
          <t>NORRBOTTENS LÄN</t>
        </is>
      </c>
      <c r="E2292" t="inlineStr">
        <is>
          <t>ÖVERTORNEÅ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50119-2024</t>
        </is>
      </c>
      <c r="B2293" s="1" t="n">
        <v>45600.41550925926</v>
      </c>
      <c r="C2293" s="1" t="n">
        <v>46046</v>
      </c>
      <c r="D2293" t="inlineStr">
        <is>
          <t>NORRBOTTENS LÄN</t>
        </is>
      </c>
      <c r="E2293" t="inlineStr">
        <is>
          <t>ARVIDSJAUR</t>
        </is>
      </c>
      <c r="F2293" t="inlineStr">
        <is>
          <t>Sveaskog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52882-2023</t>
        </is>
      </c>
      <c r="B2294" s="1" t="n">
        <v>45222</v>
      </c>
      <c r="C2294" s="1" t="n">
        <v>46046</v>
      </c>
      <c r="D2294" t="inlineStr">
        <is>
          <t>NORRBOTTENS LÄN</t>
        </is>
      </c>
      <c r="E2294" t="inlineStr">
        <is>
          <t>JOKKMOKK</t>
        </is>
      </c>
      <c r="G2294" t="n">
        <v>56.1</v>
      </c>
      <c r="H2294" t="n">
        <v>0</v>
      </c>
      <c r="I2294" t="n">
        <v>0</v>
      </c>
      <c r="J2294" t="n">
        <v>0</v>
      </c>
      <c r="K2294" t="n">
        <v>0</v>
      </c>
      <c r="L2294" t="n">
        <v>0</v>
      </c>
      <c r="M2294" t="n">
        <v>0</v>
      </c>
      <c r="N2294" t="n">
        <v>0</v>
      </c>
      <c r="O2294" t="n">
        <v>0</v>
      </c>
      <c r="P2294" t="n">
        <v>0</v>
      </c>
      <c r="Q2294" t="n">
        <v>0</v>
      </c>
      <c r="R2294" s="2" t="inlineStr"/>
    </row>
    <row r="2295" ht="15" customHeight="1">
      <c r="A2295" t="inlineStr">
        <is>
          <t>A 8799-2025</t>
        </is>
      </c>
      <c r="B2295" s="1" t="n">
        <v>45712.65548611111</v>
      </c>
      <c r="C2295" s="1" t="n">
        <v>46046</v>
      </c>
      <c r="D2295" t="inlineStr">
        <is>
          <t>NORRBOTTENS LÄN</t>
        </is>
      </c>
      <c r="E2295" t="inlineStr">
        <is>
          <t>KALIX</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23161-2025</t>
        </is>
      </c>
      <c r="B2296" s="1" t="n">
        <v>45791.40768518519</v>
      </c>
      <c r="C2296" s="1" t="n">
        <v>46046</v>
      </c>
      <c r="D2296" t="inlineStr">
        <is>
          <t>NORRBOTTENS LÄN</t>
        </is>
      </c>
      <c r="E2296" t="inlineStr">
        <is>
          <t>PITEÅ</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19928-2023</t>
        </is>
      </c>
      <c r="B2297" s="1" t="n">
        <v>45054</v>
      </c>
      <c r="C2297" s="1" t="n">
        <v>46046</v>
      </c>
      <c r="D2297" t="inlineStr">
        <is>
          <t>NORRBOTTENS LÄN</t>
        </is>
      </c>
      <c r="E2297" t="inlineStr">
        <is>
          <t>PAJALA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39328-2023</t>
        </is>
      </c>
      <c r="B2298" s="1" t="n">
        <v>45166</v>
      </c>
      <c r="C2298" s="1" t="n">
        <v>46046</v>
      </c>
      <c r="D2298" t="inlineStr">
        <is>
          <t>NORRBOTTENS LÄN</t>
        </is>
      </c>
      <c r="E2298" t="inlineStr">
        <is>
          <t>ARVIDSJAUR</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60727-2024</t>
        </is>
      </c>
      <c r="B2299" s="1" t="n">
        <v>45644.54008101852</v>
      </c>
      <c r="C2299" s="1" t="n">
        <v>46046</v>
      </c>
      <c r="D2299" t="inlineStr">
        <is>
          <t>NORRBOTTENS LÄN</t>
        </is>
      </c>
      <c r="E2299" t="inlineStr">
        <is>
          <t>LULEÅ</t>
        </is>
      </c>
      <c r="G2299" t="n">
        <v>18.7</v>
      </c>
      <c r="H2299" t="n">
        <v>0</v>
      </c>
      <c r="I2299" t="n">
        <v>0</v>
      </c>
      <c r="J2299" t="n">
        <v>0</v>
      </c>
      <c r="K2299" t="n">
        <v>0</v>
      </c>
      <c r="L2299" t="n">
        <v>0</v>
      </c>
      <c r="M2299" t="n">
        <v>0</v>
      </c>
      <c r="N2299" t="n">
        <v>0</v>
      </c>
      <c r="O2299" t="n">
        <v>0</v>
      </c>
      <c r="P2299" t="n">
        <v>0</v>
      </c>
      <c r="Q2299" t="n">
        <v>0</v>
      </c>
      <c r="R2299" s="2" t="inlineStr"/>
    </row>
    <row r="2300" ht="15" customHeight="1">
      <c r="A2300" t="inlineStr">
        <is>
          <t>A 23336-2025</t>
        </is>
      </c>
      <c r="B2300" s="1" t="n">
        <v>45791.65248842593</v>
      </c>
      <c r="C2300" s="1" t="n">
        <v>46046</v>
      </c>
      <c r="D2300" t="inlineStr">
        <is>
          <t>NORRBOTTENS LÄN</t>
        </is>
      </c>
      <c r="E2300" t="inlineStr">
        <is>
          <t>ÄLVSBYN</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23342-2025</t>
        </is>
      </c>
      <c r="B2301" s="1" t="n">
        <v>45791.65684027778</v>
      </c>
      <c r="C2301" s="1" t="n">
        <v>46046</v>
      </c>
      <c r="D2301" t="inlineStr">
        <is>
          <t>NORRBOTTENS LÄN</t>
        </is>
      </c>
      <c r="E2301" t="inlineStr">
        <is>
          <t>KALIX</t>
        </is>
      </c>
      <c r="F2301" t="inlineStr">
        <is>
          <t>SCA</t>
        </is>
      </c>
      <c r="G2301" t="n">
        <v>7.3</v>
      </c>
      <c r="H2301" t="n">
        <v>0</v>
      </c>
      <c r="I2301" t="n">
        <v>0</v>
      </c>
      <c r="J2301" t="n">
        <v>0</v>
      </c>
      <c r="K2301" t="n">
        <v>0</v>
      </c>
      <c r="L2301" t="n">
        <v>0</v>
      </c>
      <c r="M2301" t="n">
        <v>0</v>
      </c>
      <c r="N2301" t="n">
        <v>0</v>
      </c>
      <c r="O2301" t="n">
        <v>0</v>
      </c>
      <c r="P2301" t="n">
        <v>0</v>
      </c>
      <c r="Q2301" t="n">
        <v>0</v>
      </c>
      <c r="R2301" s="2" t="inlineStr"/>
      <c r="U2301">
        <f>HYPERLINK("https://klasma.github.io/Logging_2514/knärot/A 23342-2025 karta knärot.png", "A 23342-2025")</f>
        <v/>
      </c>
      <c r="V2301">
        <f>HYPERLINK("https://klasma.github.io/Logging_2514/klagomål/A 23342-2025 FSC-klagomål.docx", "A 23342-2025")</f>
        <v/>
      </c>
      <c r="W2301">
        <f>HYPERLINK("https://klasma.github.io/Logging_2514/klagomålsmail/A 23342-2025 FSC-klagomål mail.docx", "A 23342-2025")</f>
        <v/>
      </c>
      <c r="X2301">
        <f>HYPERLINK("https://klasma.github.io/Logging_2514/tillsyn/A 23342-2025 tillsynsbegäran.docx", "A 23342-2025")</f>
        <v/>
      </c>
      <c r="Y2301">
        <f>HYPERLINK("https://klasma.github.io/Logging_2514/tillsynsmail/A 23342-2025 tillsynsbegäran mail.docx", "A 23342-2025")</f>
        <v/>
      </c>
    </row>
    <row r="2302" ht="15" customHeight="1">
      <c r="A2302" t="inlineStr">
        <is>
          <t>A 3701-2024</t>
        </is>
      </c>
      <c r="B2302" s="1" t="n">
        <v>45321</v>
      </c>
      <c r="C2302" s="1" t="n">
        <v>46046</v>
      </c>
      <c r="D2302" t="inlineStr">
        <is>
          <t>NORRBOTTENS LÄN</t>
        </is>
      </c>
      <c r="E2302" t="inlineStr">
        <is>
          <t>ÖVERKALIX</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14447-2023</t>
        </is>
      </c>
      <c r="B2303" s="1" t="n">
        <v>45012</v>
      </c>
      <c r="C2303" s="1" t="n">
        <v>46046</v>
      </c>
      <c r="D2303" t="inlineStr">
        <is>
          <t>NORRBOTTENS LÄN</t>
        </is>
      </c>
      <c r="E2303" t="inlineStr">
        <is>
          <t>LULEÅ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23302-2025</t>
        </is>
      </c>
      <c r="B2304" s="1" t="n">
        <v>45791.59711805556</v>
      </c>
      <c r="C2304" s="1" t="n">
        <v>46046</v>
      </c>
      <c r="D2304" t="inlineStr">
        <is>
          <t>NORRBOTTENS LÄN</t>
        </is>
      </c>
      <c r="E2304" t="inlineStr">
        <is>
          <t>BODEN</t>
        </is>
      </c>
      <c r="F2304" t="inlineStr">
        <is>
          <t>Sveaskog</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66914-2021</t>
        </is>
      </c>
      <c r="B2305" s="1" t="n">
        <v>44522</v>
      </c>
      <c r="C2305" s="1" t="n">
        <v>46046</v>
      </c>
      <c r="D2305" t="inlineStr">
        <is>
          <t>NORRBOTTENS LÄN</t>
        </is>
      </c>
      <c r="E2305" t="inlineStr">
        <is>
          <t>PAJALA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34878-2023</t>
        </is>
      </c>
      <c r="B2306" s="1" t="n">
        <v>45141</v>
      </c>
      <c r="C2306" s="1" t="n">
        <v>46046</v>
      </c>
      <c r="D2306" t="inlineStr">
        <is>
          <t>NORRBOTTENS LÄN</t>
        </is>
      </c>
      <c r="E2306" t="inlineStr">
        <is>
          <t>PITEÅ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21299-2024</t>
        </is>
      </c>
      <c r="B2307" s="1" t="n">
        <v>45440</v>
      </c>
      <c r="C2307" s="1" t="n">
        <v>46046</v>
      </c>
      <c r="D2307" t="inlineStr">
        <is>
          <t>NORRBOTTENS LÄN</t>
        </is>
      </c>
      <c r="E2307" t="inlineStr">
        <is>
          <t>ÖVERKALIX</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42407-2022</t>
        </is>
      </c>
      <c r="B2308" s="1" t="n">
        <v>44830</v>
      </c>
      <c r="C2308" s="1" t="n">
        <v>46046</v>
      </c>
      <c r="D2308" t="inlineStr">
        <is>
          <t>NORRBOTTENS LÄN</t>
        </is>
      </c>
      <c r="E2308" t="inlineStr">
        <is>
          <t>ÖVERKALIX</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11294-2024</t>
        </is>
      </c>
      <c r="B2309" s="1" t="n">
        <v>45371</v>
      </c>
      <c r="C2309" s="1" t="n">
        <v>46046</v>
      </c>
      <c r="D2309" t="inlineStr">
        <is>
          <t>NORRBOTTENS LÄN</t>
        </is>
      </c>
      <c r="E2309" t="inlineStr">
        <is>
          <t>LULEÅ</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28434-2024</t>
        </is>
      </c>
      <c r="B2310" s="1" t="n">
        <v>45477.65798611111</v>
      </c>
      <c r="C2310" s="1" t="n">
        <v>46046</v>
      </c>
      <c r="D2310" t="inlineStr">
        <is>
          <t>NORRBOTTENS LÄN</t>
        </is>
      </c>
      <c r="E2310" t="inlineStr">
        <is>
          <t>PAJALA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23032-2025</t>
        </is>
      </c>
      <c r="B2311" s="1" t="n">
        <v>45790.65756944445</v>
      </c>
      <c r="C2311" s="1" t="n">
        <v>46046</v>
      </c>
      <c r="D2311" t="inlineStr">
        <is>
          <t>NORRBOTTENS LÄN</t>
        </is>
      </c>
      <c r="E2311" t="inlineStr">
        <is>
          <t>PITEÅ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61762-2024</t>
        </is>
      </c>
      <c r="B2312" s="1" t="n">
        <v>45649</v>
      </c>
      <c r="C2312" s="1" t="n">
        <v>46046</v>
      </c>
      <c r="D2312" t="inlineStr">
        <is>
          <t>NORRBOTTENS LÄN</t>
        </is>
      </c>
      <c r="E2312" t="inlineStr">
        <is>
          <t>JOKKMOKK</t>
        </is>
      </c>
      <c r="F2312" t="inlineStr">
        <is>
          <t>Övriga statliga verk och myndigheter</t>
        </is>
      </c>
      <c r="G2312" t="n">
        <v>15.4</v>
      </c>
      <c r="H2312" t="n">
        <v>0</v>
      </c>
      <c r="I2312" t="n">
        <v>0</v>
      </c>
      <c r="J2312" t="n">
        <v>0</v>
      </c>
      <c r="K2312" t="n">
        <v>0</v>
      </c>
      <c r="L2312" t="n">
        <v>0</v>
      </c>
      <c r="M2312" t="n">
        <v>0</v>
      </c>
      <c r="N2312" t="n">
        <v>0</v>
      </c>
      <c r="O2312" t="n">
        <v>0</v>
      </c>
      <c r="P2312" t="n">
        <v>0</v>
      </c>
      <c r="Q2312" t="n">
        <v>0</v>
      </c>
      <c r="R2312" s="2" t="inlineStr"/>
    </row>
    <row r="2313" ht="15" customHeight="1">
      <c r="A2313" t="inlineStr">
        <is>
          <t>A 39606-2024</t>
        </is>
      </c>
      <c r="B2313" s="1" t="n">
        <v>45552</v>
      </c>
      <c r="C2313" s="1" t="n">
        <v>46046</v>
      </c>
      <c r="D2313" t="inlineStr">
        <is>
          <t>NORRBOTTENS LÄN</t>
        </is>
      </c>
      <c r="E2313" t="inlineStr">
        <is>
          <t>PITEÅ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55181-2024</t>
        </is>
      </c>
      <c r="B2314" s="1" t="n">
        <v>45621.53268518519</v>
      </c>
      <c r="C2314" s="1" t="n">
        <v>46046</v>
      </c>
      <c r="D2314" t="inlineStr">
        <is>
          <t>NORRBOTTENS LÄN</t>
        </is>
      </c>
      <c r="E2314" t="inlineStr">
        <is>
          <t>ÄLVSBYN</t>
        </is>
      </c>
      <c r="F2314" t="inlineStr">
        <is>
          <t>Kommuner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55196-2024</t>
        </is>
      </c>
      <c r="B2315" s="1" t="n">
        <v>45621.5512962963</v>
      </c>
      <c r="C2315" s="1" t="n">
        <v>46046</v>
      </c>
      <c r="D2315" t="inlineStr">
        <is>
          <t>NORRBOTTENS LÄN</t>
        </is>
      </c>
      <c r="E2315" t="inlineStr">
        <is>
          <t>ÖVERTORNEÅ</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34062-2021</t>
        </is>
      </c>
      <c r="B2316" s="1" t="n">
        <v>44378</v>
      </c>
      <c r="C2316" s="1" t="n">
        <v>46046</v>
      </c>
      <c r="D2316" t="inlineStr">
        <is>
          <t>NORRBOTTENS LÄN</t>
        </is>
      </c>
      <c r="E2316" t="inlineStr">
        <is>
          <t>JOKKMOKK</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51561-2024</t>
        </is>
      </c>
      <c r="B2317" s="1" t="n">
        <v>45604</v>
      </c>
      <c r="C2317" s="1" t="n">
        <v>46046</v>
      </c>
      <c r="D2317" t="inlineStr">
        <is>
          <t>NORRBOTTENS LÄN</t>
        </is>
      </c>
      <c r="E2317" t="inlineStr">
        <is>
          <t>ÖVERKALIX</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57811-2024</t>
        </is>
      </c>
      <c r="B2318" s="1" t="n">
        <v>45631</v>
      </c>
      <c r="C2318" s="1" t="n">
        <v>46046</v>
      </c>
      <c r="D2318" t="inlineStr">
        <is>
          <t>NORRBOTTENS LÄN</t>
        </is>
      </c>
      <c r="E2318" t="inlineStr">
        <is>
          <t>PITEÅ</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23027-2025</t>
        </is>
      </c>
      <c r="B2319" s="1" t="n">
        <v>45790.65712962963</v>
      </c>
      <c r="C2319" s="1" t="n">
        <v>46046</v>
      </c>
      <c r="D2319" t="inlineStr">
        <is>
          <t>NORRBOTTENS LÄN</t>
        </is>
      </c>
      <c r="E2319" t="inlineStr">
        <is>
          <t>KALIX</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52697-2023</t>
        </is>
      </c>
      <c r="B2320" s="1" t="n">
        <v>45219</v>
      </c>
      <c r="C2320" s="1" t="n">
        <v>46046</v>
      </c>
      <c r="D2320" t="inlineStr">
        <is>
          <t>NORRBOTTENS LÄN</t>
        </is>
      </c>
      <c r="E2320" t="inlineStr">
        <is>
          <t>LULEÅ</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26686-2024</t>
        </is>
      </c>
      <c r="B2321" s="1" t="n">
        <v>45470.35486111111</v>
      </c>
      <c r="C2321" s="1" t="n">
        <v>46046</v>
      </c>
      <c r="D2321" t="inlineStr">
        <is>
          <t>NORRBOTTENS LÄN</t>
        </is>
      </c>
      <c r="E2321" t="inlineStr">
        <is>
          <t>ARVIDSJAUR</t>
        </is>
      </c>
      <c r="F2321" t="inlineStr">
        <is>
          <t>Sveaskog</t>
        </is>
      </c>
      <c r="G2321" t="n">
        <v>9.300000000000001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25697-2024</t>
        </is>
      </c>
      <c r="B2322" s="1" t="n">
        <v>45463</v>
      </c>
      <c r="C2322" s="1" t="n">
        <v>46046</v>
      </c>
      <c r="D2322" t="inlineStr">
        <is>
          <t>NORRBOTTENS LÄN</t>
        </is>
      </c>
      <c r="E2322" t="inlineStr">
        <is>
          <t>ÖVERKALIX</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6459-2023</t>
        </is>
      </c>
      <c r="B2323" s="1" t="n">
        <v>44965</v>
      </c>
      <c r="C2323" s="1" t="n">
        <v>46046</v>
      </c>
      <c r="D2323" t="inlineStr">
        <is>
          <t>NORRBOTTENS LÄN</t>
        </is>
      </c>
      <c r="E2323" t="inlineStr">
        <is>
          <t>GÄLLIVARE</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34615-2022</t>
        </is>
      </c>
      <c r="B2324" s="1" t="n">
        <v>44795</v>
      </c>
      <c r="C2324" s="1" t="n">
        <v>46046</v>
      </c>
      <c r="D2324" t="inlineStr">
        <is>
          <t>NORRBOTTENS LÄN</t>
        </is>
      </c>
      <c r="E2324" t="inlineStr">
        <is>
          <t>PITEÅ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23414-2025</t>
        </is>
      </c>
      <c r="B2325" s="1" t="n">
        <v>45792.34626157407</v>
      </c>
      <c r="C2325" s="1" t="n">
        <v>46046</v>
      </c>
      <c r="D2325" t="inlineStr">
        <is>
          <t>NORRBOTTENS LÄN</t>
        </is>
      </c>
      <c r="E2325" t="inlineStr">
        <is>
          <t>BODEN</t>
        </is>
      </c>
      <c r="F2325" t="inlineStr">
        <is>
          <t>SCA</t>
        </is>
      </c>
      <c r="G2325" t="n">
        <v>12.7</v>
      </c>
      <c r="H2325" t="n">
        <v>0</v>
      </c>
      <c r="I2325" t="n">
        <v>0</v>
      </c>
      <c r="J2325" t="n">
        <v>0</v>
      </c>
      <c r="K2325" t="n">
        <v>0</v>
      </c>
      <c r="L2325" t="n">
        <v>0</v>
      </c>
      <c r="M2325" t="n">
        <v>0</v>
      </c>
      <c r="N2325" t="n">
        <v>0</v>
      </c>
      <c r="O2325" t="n">
        <v>0</v>
      </c>
      <c r="P2325" t="n">
        <v>0</v>
      </c>
      <c r="Q2325" t="n">
        <v>0</v>
      </c>
      <c r="R2325" s="2" t="inlineStr"/>
    </row>
    <row r="2326" ht="15" customHeight="1">
      <c r="A2326" t="inlineStr">
        <is>
          <t>A 5071-2025</t>
        </is>
      </c>
      <c r="B2326" s="1" t="n">
        <v>45691.49005787037</v>
      </c>
      <c r="C2326" s="1" t="n">
        <v>46046</v>
      </c>
      <c r="D2326" t="inlineStr">
        <is>
          <t>NORRBOTTENS LÄN</t>
        </is>
      </c>
      <c r="E2326" t="inlineStr">
        <is>
          <t>BODEN</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5074-2025</t>
        </is>
      </c>
      <c r="B2327" s="1" t="n">
        <v>45691.49449074074</v>
      </c>
      <c r="C2327" s="1" t="n">
        <v>46046</v>
      </c>
      <c r="D2327" t="inlineStr">
        <is>
          <t>NORRBOTTENS LÄN</t>
        </is>
      </c>
      <c r="E2327" t="inlineStr">
        <is>
          <t>KALIX</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762-2025</t>
        </is>
      </c>
      <c r="B2328" s="1" t="n">
        <v>45665.45089120371</v>
      </c>
      <c r="C2328" s="1" t="n">
        <v>46046</v>
      </c>
      <c r="D2328" t="inlineStr">
        <is>
          <t>NORRBOTTENS LÄN</t>
        </is>
      </c>
      <c r="E2328" t="inlineStr">
        <is>
          <t>KALIX</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59233-2023</t>
        </is>
      </c>
      <c r="B2329" s="1" t="n">
        <v>45253</v>
      </c>
      <c r="C2329" s="1" t="n">
        <v>46046</v>
      </c>
      <c r="D2329" t="inlineStr">
        <is>
          <t>NORRBOTTENS LÄN</t>
        </is>
      </c>
      <c r="E2329" t="inlineStr">
        <is>
          <t>KALIX</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804-2025</t>
        </is>
      </c>
      <c r="B2330" s="1" t="n">
        <v>45664</v>
      </c>
      <c r="C2330" s="1" t="n">
        <v>46046</v>
      </c>
      <c r="D2330" t="inlineStr">
        <is>
          <t>NORRBOTTENS LÄN</t>
        </is>
      </c>
      <c r="E2330" t="inlineStr">
        <is>
          <t>LULEÅ</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814-2025</t>
        </is>
      </c>
      <c r="B2331" s="1" t="n">
        <v>45664</v>
      </c>
      <c r="C2331" s="1" t="n">
        <v>46046</v>
      </c>
      <c r="D2331" t="inlineStr">
        <is>
          <t>NORRBOTTENS LÄN</t>
        </is>
      </c>
      <c r="E2331" t="inlineStr">
        <is>
          <t>LULEÅ</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55838-2024</t>
        </is>
      </c>
      <c r="B2332" s="1" t="n">
        <v>45622</v>
      </c>
      <c r="C2332" s="1" t="n">
        <v>46046</v>
      </c>
      <c r="D2332" t="inlineStr">
        <is>
          <t>NORRBOTTENS LÄN</t>
        </is>
      </c>
      <c r="E2332" t="inlineStr">
        <is>
          <t>ÖVERKALIX</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23867-2025</t>
        </is>
      </c>
      <c r="B2333" s="1" t="n">
        <v>45793</v>
      </c>
      <c r="C2333" s="1" t="n">
        <v>46046</v>
      </c>
      <c r="D2333" t="inlineStr">
        <is>
          <t>NORRBOTTENS LÄN</t>
        </is>
      </c>
      <c r="E2333" t="inlineStr">
        <is>
          <t>ÖVERKALIX</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23873-2025</t>
        </is>
      </c>
      <c r="B2334" s="1" t="n">
        <v>45793.67989583333</v>
      </c>
      <c r="C2334" s="1" t="n">
        <v>46046</v>
      </c>
      <c r="D2334" t="inlineStr">
        <is>
          <t>NORRBOTTENS LÄN</t>
        </is>
      </c>
      <c r="E2334" t="inlineStr">
        <is>
          <t>ÖVERKALIX</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23879-2025</t>
        </is>
      </c>
      <c r="B2335" s="1" t="n">
        <v>45793</v>
      </c>
      <c r="C2335" s="1" t="n">
        <v>46046</v>
      </c>
      <c r="D2335" t="inlineStr">
        <is>
          <t>NORRBOTTENS LÄN</t>
        </is>
      </c>
      <c r="E2335" t="inlineStr">
        <is>
          <t>KALIX</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5166-2025</t>
        </is>
      </c>
      <c r="B2336" s="1" t="n">
        <v>45691</v>
      </c>
      <c r="C2336" s="1" t="n">
        <v>46046</v>
      </c>
      <c r="D2336" t="inlineStr">
        <is>
          <t>NORRBOTTENS LÄN</t>
        </is>
      </c>
      <c r="E2336" t="inlineStr">
        <is>
          <t>GÄLLIVARE</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23411-2025</t>
        </is>
      </c>
      <c r="B2337" s="1" t="n">
        <v>45792</v>
      </c>
      <c r="C2337" s="1" t="n">
        <v>46046</v>
      </c>
      <c r="D2337" t="inlineStr">
        <is>
          <t>NORRBOTTENS LÄN</t>
        </is>
      </c>
      <c r="E2337" t="inlineStr">
        <is>
          <t>ÄLVSBYN</t>
        </is>
      </c>
      <c r="F2337" t="inlineStr">
        <is>
          <t>SCA</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11492-2025</t>
        </is>
      </c>
      <c r="B2338" s="1" t="n">
        <v>45726</v>
      </c>
      <c r="C2338" s="1" t="n">
        <v>46046</v>
      </c>
      <c r="D2338" t="inlineStr">
        <is>
          <t>NORRBOTTENS LÄN</t>
        </is>
      </c>
      <c r="E2338" t="inlineStr">
        <is>
          <t>ARVIDSJAUR</t>
        </is>
      </c>
      <c r="F2338" t="inlineStr">
        <is>
          <t>Allmännings- och besparingsskogar</t>
        </is>
      </c>
      <c r="G2338" t="n">
        <v>14.2</v>
      </c>
      <c r="H2338" t="n">
        <v>0</v>
      </c>
      <c r="I2338" t="n">
        <v>0</v>
      </c>
      <c r="J2338" t="n">
        <v>0</v>
      </c>
      <c r="K2338" t="n">
        <v>0</v>
      </c>
      <c r="L2338" t="n">
        <v>0</v>
      </c>
      <c r="M2338" t="n">
        <v>0</v>
      </c>
      <c r="N2338" t="n">
        <v>0</v>
      </c>
      <c r="O2338" t="n">
        <v>0</v>
      </c>
      <c r="P2338" t="n">
        <v>0</v>
      </c>
      <c r="Q2338" t="n">
        <v>0</v>
      </c>
      <c r="R2338" s="2" t="inlineStr"/>
    </row>
    <row r="2339" ht="15" customHeight="1">
      <c r="A2339" t="inlineStr">
        <is>
          <t>A 11494-2025</t>
        </is>
      </c>
      <c r="B2339" s="1" t="n">
        <v>45726</v>
      </c>
      <c r="C2339" s="1" t="n">
        <v>46046</v>
      </c>
      <c r="D2339" t="inlineStr">
        <is>
          <t>NORRBOTTENS LÄN</t>
        </is>
      </c>
      <c r="E2339" t="inlineStr">
        <is>
          <t>ARVIDSJAUR</t>
        </is>
      </c>
      <c r="F2339" t="inlineStr">
        <is>
          <t>Allmännings- och besparingsskogar</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23423-2025</t>
        </is>
      </c>
      <c r="B2340" s="1" t="n">
        <v>45792</v>
      </c>
      <c r="C2340" s="1" t="n">
        <v>46046</v>
      </c>
      <c r="D2340" t="inlineStr">
        <is>
          <t>NORRBOTTENS LÄN</t>
        </is>
      </c>
      <c r="E2340" t="inlineStr">
        <is>
          <t>ÖVERTORNEÅ</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29303-2021</t>
        </is>
      </c>
      <c r="B2341" s="1" t="n">
        <v>44361</v>
      </c>
      <c r="C2341" s="1" t="n">
        <v>46046</v>
      </c>
      <c r="D2341" t="inlineStr">
        <is>
          <t>NORRBOTTENS LÄN</t>
        </is>
      </c>
      <c r="E2341" t="inlineStr">
        <is>
          <t>PITEÅ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44680-2021</t>
        </is>
      </c>
      <c r="B2342" s="1" t="n">
        <v>44435</v>
      </c>
      <c r="C2342" s="1" t="n">
        <v>46046</v>
      </c>
      <c r="D2342" t="inlineStr">
        <is>
          <t>NORRBOTTENS LÄN</t>
        </is>
      </c>
      <c r="E2342" t="inlineStr">
        <is>
          <t>LULEÅ</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7651-2025</t>
        </is>
      </c>
      <c r="B2343" s="1" t="n">
        <v>45705</v>
      </c>
      <c r="C2343" s="1" t="n">
        <v>46046</v>
      </c>
      <c r="D2343" t="inlineStr">
        <is>
          <t>NORRBOTTENS LÄN</t>
        </is>
      </c>
      <c r="E2343" t="inlineStr">
        <is>
          <t>GÄLLIVARE</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13714-2022</t>
        </is>
      </c>
      <c r="B2344" s="1" t="n">
        <v>44648</v>
      </c>
      <c r="C2344" s="1" t="n">
        <v>46046</v>
      </c>
      <c r="D2344" t="inlineStr">
        <is>
          <t>NORRBOTTENS LÄN</t>
        </is>
      </c>
      <c r="E2344" t="inlineStr">
        <is>
          <t>BODEN</t>
        </is>
      </c>
      <c r="F2344" t="inlineStr">
        <is>
          <t>Sveaskog</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9152-2025</t>
        </is>
      </c>
      <c r="B2345" s="1" t="n">
        <v>45714.34454861111</v>
      </c>
      <c r="C2345" s="1" t="n">
        <v>46046</v>
      </c>
      <c r="D2345" t="inlineStr">
        <is>
          <t>NORRBOTTENS LÄN</t>
        </is>
      </c>
      <c r="E2345" t="inlineStr">
        <is>
          <t>PITEÅ</t>
        </is>
      </c>
      <c r="G2345" t="n">
        <v>14.9</v>
      </c>
      <c r="H2345" t="n">
        <v>0</v>
      </c>
      <c r="I2345" t="n">
        <v>0</v>
      </c>
      <c r="J2345" t="n">
        <v>0</v>
      </c>
      <c r="K2345" t="n">
        <v>0</v>
      </c>
      <c r="L2345" t="n">
        <v>0</v>
      </c>
      <c r="M2345" t="n">
        <v>0</v>
      </c>
      <c r="N2345" t="n">
        <v>0</v>
      </c>
      <c r="O2345" t="n">
        <v>0</v>
      </c>
      <c r="P2345" t="n">
        <v>0</v>
      </c>
      <c r="Q2345" t="n">
        <v>0</v>
      </c>
      <c r="R2345" s="2" t="inlineStr"/>
    </row>
    <row r="2346" ht="15" customHeight="1">
      <c r="A2346" t="inlineStr">
        <is>
          <t>A 55774-2024</t>
        </is>
      </c>
      <c r="B2346" s="1" t="n">
        <v>45623.39898148148</v>
      </c>
      <c r="C2346" s="1" t="n">
        <v>46046</v>
      </c>
      <c r="D2346" t="inlineStr">
        <is>
          <t>NORRBOTTENS LÄN</t>
        </is>
      </c>
      <c r="E2346" t="inlineStr">
        <is>
          <t>PAJALA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23870-2025</t>
        </is>
      </c>
      <c r="B2347" s="1" t="n">
        <v>45793.67730324074</v>
      </c>
      <c r="C2347" s="1" t="n">
        <v>46046</v>
      </c>
      <c r="D2347" t="inlineStr">
        <is>
          <t>NORRBOTTENS LÄN</t>
        </is>
      </c>
      <c r="E2347" t="inlineStr">
        <is>
          <t>ÖVERKALIX</t>
        </is>
      </c>
      <c r="F2347" t="inlineStr">
        <is>
          <t>Sveaskog</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44306-2021</t>
        </is>
      </c>
      <c r="B2348" s="1" t="n">
        <v>44435</v>
      </c>
      <c r="C2348" s="1" t="n">
        <v>46046</v>
      </c>
      <c r="D2348" t="inlineStr">
        <is>
          <t>NORRBOTTENS LÄN</t>
        </is>
      </c>
      <c r="E2348" t="inlineStr">
        <is>
          <t>ÖVERKALIX</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26103-2024</t>
        </is>
      </c>
      <c r="B2349" s="1" t="n">
        <v>45467</v>
      </c>
      <c r="C2349" s="1" t="n">
        <v>46046</v>
      </c>
      <c r="D2349" t="inlineStr">
        <is>
          <t>NORRBOTTENS LÄN</t>
        </is>
      </c>
      <c r="E2349" t="inlineStr">
        <is>
          <t>ARJEPLOG</t>
        </is>
      </c>
      <c r="G2349" t="n">
        <v>17.2</v>
      </c>
      <c r="H2349" t="n">
        <v>0</v>
      </c>
      <c r="I2349" t="n">
        <v>0</v>
      </c>
      <c r="J2349" t="n">
        <v>0</v>
      </c>
      <c r="K2349" t="n">
        <v>0</v>
      </c>
      <c r="L2349" t="n">
        <v>0</v>
      </c>
      <c r="M2349" t="n">
        <v>0</v>
      </c>
      <c r="N2349" t="n">
        <v>0</v>
      </c>
      <c r="O2349" t="n">
        <v>0</v>
      </c>
      <c r="P2349" t="n">
        <v>0</v>
      </c>
      <c r="Q2349" t="n">
        <v>0</v>
      </c>
      <c r="R2349" s="2" t="inlineStr"/>
    </row>
    <row r="2350" ht="15" customHeight="1">
      <c r="A2350" t="inlineStr">
        <is>
          <t>A 23558-2025</t>
        </is>
      </c>
      <c r="B2350" s="1" t="n">
        <v>45792.58125</v>
      </c>
      <c r="C2350" s="1" t="n">
        <v>46046</v>
      </c>
      <c r="D2350" t="inlineStr">
        <is>
          <t>NORRBOTTENS LÄN</t>
        </is>
      </c>
      <c r="E2350" t="inlineStr">
        <is>
          <t>PAJALA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23613-2025</t>
        </is>
      </c>
      <c r="B2351" s="1" t="n">
        <v>45792</v>
      </c>
      <c r="C2351" s="1" t="n">
        <v>46046</v>
      </c>
      <c r="D2351" t="inlineStr">
        <is>
          <t>NORRBOTTENS LÄN</t>
        </is>
      </c>
      <c r="E2351" t="inlineStr">
        <is>
          <t>ÖVERTORNEÅ</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40940-2024</t>
        </is>
      </c>
      <c r="B2352" s="1" t="n">
        <v>45558.64387731482</v>
      </c>
      <c r="C2352" s="1" t="n">
        <v>46046</v>
      </c>
      <c r="D2352" t="inlineStr">
        <is>
          <t>NORRBOTTENS LÄN</t>
        </is>
      </c>
      <c r="E2352" t="inlineStr">
        <is>
          <t>ARVIDSJAUR</t>
        </is>
      </c>
      <c r="F2352" t="inlineStr">
        <is>
          <t>Sveaskog</t>
        </is>
      </c>
      <c r="G2352" t="n">
        <v>15.4</v>
      </c>
      <c r="H2352" t="n">
        <v>0</v>
      </c>
      <c r="I2352" t="n">
        <v>0</v>
      </c>
      <c r="J2352" t="n">
        <v>0</v>
      </c>
      <c r="K2352" t="n">
        <v>0</v>
      </c>
      <c r="L2352" t="n">
        <v>0</v>
      </c>
      <c r="M2352" t="n">
        <v>0</v>
      </c>
      <c r="N2352" t="n">
        <v>0</v>
      </c>
      <c r="O2352" t="n">
        <v>0</v>
      </c>
      <c r="P2352" t="n">
        <v>0</v>
      </c>
      <c r="Q2352" t="n">
        <v>0</v>
      </c>
      <c r="R2352" s="2" t="inlineStr"/>
    </row>
    <row r="2353" ht="15" customHeight="1">
      <c r="A2353" t="inlineStr">
        <is>
          <t>A 26118-2024</t>
        </is>
      </c>
      <c r="B2353" s="1" t="n">
        <v>45467</v>
      </c>
      <c r="C2353" s="1" t="n">
        <v>46046</v>
      </c>
      <c r="D2353" t="inlineStr">
        <is>
          <t>NORRBOTTENS LÄN</t>
        </is>
      </c>
      <c r="E2353" t="inlineStr">
        <is>
          <t>ÖVERTORNEÅ</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53822-2024</t>
        </is>
      </c>
      <c r="B2354" s="1" t="n">
        <v>45614</v>
      </c>
      <c r="C2354" s="1" t="n">
        <v>46046</v>
      </c>
      <c r="D2354" t="inlineStr">
        <is>
          <t>NORRBOTTENS LÄN</t>
        </is>
      </c>
      <c r="E2354" t="inlineStr">
        <is>
          <t>ARJEPLOG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23516-2025</t>
        </is>
      </c>
      <c r="B2355" s="1" t="n">
        <v>45792</v>
      </c>
      <c r="C2355" s="1" t="n">
        <v>46046</v>
      </c>
      <c r="D2355" t="inlineStr">
        <is>
          <t>NORRBOTTENS LÄN</t>
        </is>
      </c>
      <c r="E2355" t="inlineStr">
        <is>
          <t>LULEÅ</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23519-2025</t>
        </is>
      </c>
      <c r="B2356" s="1" t="n">
        <v>45792.51074074074</v>
      </c>
      <c r="C2356" s="1" t="n">
        <v>46046</v>
      </c>
      <c r="D2356" t="inlineStr">
        <is>
          <t>NORRBOTTENS LÄN</t>
        </is>
      </c>
      <c r="E2356" t="inlineStr">
        <is>
          <t>LULEÅ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5086-2025</t>
        </is>
      </c>
      <c r="B2357" s="1" t="n">
        <v>45691</v>
      </c>
      <c r="C2357" s="1" t="n">
        <v>46046</v>
      </c>
      <c r="D2357" t="inlineStr">
        <is>
          <t>NORRBOTTENS LÄN</t>
        </is>
      </c>
      <c r="E2357" t="inlineStr">
        <is>
          <t>GÄLLIVARE</t>
        </is>
      </c>
      <c r="F2357" t="inlineStr">
        <is>
          <t>SCA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23761-2025</t>
        </is>
      </c>
      <c r="B2358" s="1" t="n">
        <v>45793</v>
      </c>
      <c r="C2358" s="1" t="n">
        <v>46046</v>
      </c>
      <c r="D2358" t="inlineStr">
        <is>
          <t>NORRBOTTENS LÄN</t>
        </is>
      </c>
      <c r="E2358" t="inlineStr">
        <is>
          <t>BODEN</t>
        </is>
      </c>
      <c r="F2358" t="inlineStr">
        <is>
          <t>SCA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61711-2022</t>
        </is>
      </c>
      <c r="B2359" s="1" t="n">
        <v>44917</v>
      </c>
      <c r="C2359" s="1" t="n">
        <v>46046</v>
      </c>
      <c r="D2359" t="inlineStr">
        <is>
          <t>NORRBOTTENS LÄN</t>
        </is>
      </c>
      <c r="E2359" t="inlineStr">
        <is>
          <t>PITEÅ</t>
        </is>
      </c>
      <c r="F2359" t="inlineStr">
        <is>
          <t>Sveaskog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2840-2025</t>
        </is>
      </c>
      <c r="B2360" s="1" t="n">
        <v>45677.64444444444</v>
      </c>
      <c r="C2360" s="1" t="n">
        <v>46046</v>
      </c>
      <c r="D2360" t="inlineStr">
        <is>
          <t>NORRBOTTENS LÄN</t>
        </is>
      </c>
      <c r="E2360" t="inlineStr">
        <is>
          <t>PAJALA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61273-2024</t>
        </is>
      </c>
      <c r="B2361" s="1" t="n">
        <v>45645</v>
      </c>
      <c r="C2361" s="1" t="n">
        <v>46046</v>
      </c>
      <c r="D2361" t="inlineStr">
        <is>
          <t>NORRBOTTENS LÄN</t>
        </is>
      </c>
      <c r="E2361" t="inlineStr">
        <is>
          <t>PAJALA</t>
        </is>
      </c>
      <c r="G2361" t="n">
        <v>14.2</v>
      </c>
      <c r="H2361" t="n">
        <v>0</v>
      </c>
      <c r="I2361" t="n">
        <v>0</v>
      </c>
      <c r="J2361" t="n">
        <v>0</v>
      </c>
      <c r="K2361" t="n">
        <v>0</v>
      </c>
      <c r="L2361" t="n">
        <v>0</v>
      </c>
      <c r="M2361" t="n">
        <v>0</v>
      </c>
      <c r="N2361" t="n">
        <v>0</v>
      </c>
      <c r="O2361" t="n">
        <v>0</v>
      </c>
      <c r="P2361" t="n">
        <v>0</v>
      </c>
      <c r="Q2361" t="n">
        <v>0</v>
      </c>
      <c r="R2361" s="2" t="inlineStr"/>
    </row>
    <row r="2362" ht="15" customHeight="1">
      <c r="A2362" t="inlineStr">
        <is>
          <t>A 39141-2024</t>
        </is>
      </c>
      <c r="B2362" s="1" t="n">
        <v>45548.61486111111</v>
      </c>
      <c r="C2362" s="1" t="n">
        <v>46046</v>
      </c>
      <c r="D2362" t="inlineStr">
        <is>
          <t>NORRBOTTENS LÄN</t>
        </is>
      </c>
      <c r="E2362" t="inlineStr">
        <is>
          <t>ÖVERTORNEÅ</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42854-2024</t>
        </is>
      </c>
      <c r="B2363" s="1" t="n">
        <v>45566.64958333333</v>
      </c>
      <c r="C2363" s="1" t="n">
        <v>46046</v>
      </c>
      <c r="D2363" t="inlineStr">
        <is>
          <t>NORRBOTTENS LÄN</t>
        </is>
      </c>
      <c r="E2363" t="inlineStr">
        <is>
          <t>LULEÅ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42870-2024</t>
        </is>
      </c>
      <c r="B2364" s="1" t="n">
        <v>45566.66489583333</v>
      </c>
      <c r="C2364" s="1" t="n">
        <v>46046</v>
      </c>
      <c r="D2364" t="inlineStr">
        <is>
          <t>NORRBOTTENS LÄN</t>
        </is>
      </c>
      <c r="E2364" t="inlineStr">
        <is>
          <t>ARVIDSJAUR</t>
        </is>
      </c>
      <c r="F2364" t="inlineStr">
        <is>
          <t>Sveaskog</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40658-2024</t>
        </is>
      </c>
      <c r="B2365" s="1" t="n">
        <v>45558</v>
      </c>
      <c r="C2365" s="1" t="n">
        <v>46046</v>
      </c>
      <c r="D2365" t="inlineStr">
        <is>
          <t>NORRBOTTENS LÄN</t>
        </is>
      </c>
      <c r="E2365" t="inlineStr">
        <is>
          <t>JOKKMOKK</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40697-2024</t>
        </is>
      </c>
      <c r="B2366" s="1" t="n">
        <v>45558.41288194444</v>
      </c>
      <c r="C2366" s="1" t="n">
        <v>46046</v>
      </c>
      <c r="D2366" t="inlineStr">
        <is>
          <t>NORRBOTTENS LÄN</t>
        </is>
      </c>
      <c r="E2366" t="inlineStr">
        <is>
          <t>LULEÅ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23608-2025</t>
        </is>
      </c>
      <c r="B2367" s="1" t="n">
        <v>45792.65879629629</v>
      </c>
      <c r="C2367" s="1" t="n">
        <v>46046</v>
      </c>
      <c r="D2367" t="inlineStr">
        <is>
          <t>NORRBOTTENS LÄN</t>
        </is>
      </c>
      <c r="E2367" t="inlineStr">
        <is>
          <t>ÖVERTORNEÅ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30866-2024</t>
        </is>
      </c>
      <c r="B2368" s="1" t="n">
        <v>45497</v>
      </c>
      <c r="C2368" s="1" t="n">
        <v>46046</v>
      </c>
      <c r="D2368" t="inlineStr">
        <is>
          <t>NORRBOTTENS LÄN</t>
        </is>
      </c>
      <c r="E2368" t="inlineStr">
        <is>
          <t>PAJALA</t>
        </is>
      </c>
      <c r="G2368" t="n">
        <v>84.3</v>
      </c>
      <c r="H2368" t="n">
        <v>0</v>
      </c>
      <c r="I2368" t="n">
        <v>0</v>
      </c>
      <c r="J2368" t="n">
        <v>0</v>
      </c>
      <c r="K2368" t="n">
        <v>0</v>
      </c>
      <c r="L2368" t="n">
        <v>0</v>
      </c>
      <c r="M2368" t="n">
        <v>0</v>
      </c>
      <c r="N2368" t="n">
        <v>0</v>
      </c>
      <c r="O2368" t="n">
        <v>0</v>
      </c>
      <c r="P2368" t="n">
        <v>0</v>
      </c>
      <c r="Q2368" t="n">
        <v>0</v>
      </c>
      <c r="R2368" s="2" t="inlineStr"/>
    </row>
    <row r="2369" ht="15" customHeight="1">
      <c r="A2369" t="inlineStr">
        <is>
          <t>A 467-2022</t>
        </is>
      </c>
      <c r="B2369" s="1" t="n">
        <v>44565</v>
      </c>
      <c r="C2369" s="1" t="n">
        <v>46046</v>
      </c>
      <c r="D2369" t="inlineStr">
        <is>
          <t>NORRBOTTENS LÄN</t>
        </is>
      </c>
      <c r="E2369" t="inlineStr">
        <is>
          <t>BODEN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23763-2025</t>
        </is>
      </c>
      <c r="B2370" s="1" t="n">
        <v>45793.4693287037</v>
      </c>
      <c r="C2370" s="1" t="n">
        <v>46046</v>
      </c>
      <c r="D2370" t="inlineStr">
        <is>
          <t>NORRBOTTENS LÄN</t>
        </is>
      </c>
      <c r="E2370" t="inlineStr">
        <is>
          <t>BODEN</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59954-2024</t>
        </is>
      </c>
      <c r="B2371" s="1" t="n">
        <v>45642.34875</v>
      </c>
      <c r="C2371" s="1" t="n">
        <v>46046</v>
      </c>
      <c r="D2371" t="inlineStr">
        <is>
          <t>NORRBOTTENS LÄN</t>
        </is>
      </c>
      <c r="E2371" t="inlineStr">
        <is>
          <t>PITEÅ</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15043-2025</t>
        </is>
      </c>
      <c r="B2372" s="1" t="n">
        <v>45743</v>
      </c>
      <c r="C2372" s="1" t="n">
        <v>46046</v>
      </c>
      <c r="D2372" t="inlineStr">
        <is>
          <t>NORRBOTTENS LÄN</t>
        </is>
      </c>
      <c r="E2372" t="inlineStr">
        <is>
          <t>ÖVERTORNEÅ</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40926-2024</t>
        </is>
      </c>
      <c r="B2373" s="1" t="n">
        <v>45558</v>
      </c>
      <c r="C2373" s="1" t="n">
        <v>46046</v>
      </c>
      <c r="D2373" t="inlineStr">
        <is>
          <t>NORRBOTTENS LÄN</t>
        </is>
      </c>
      <c r="E2373" t="inlineStr">
        <is>
          <t>PAJALA</t>
        </is>
      </c>
      <c r="G2373" t="n">
        <v>28.7</v>
      </c>
      <c r="H2373" t="n">
        <v>0</v>
      </c>
      <c r="I2373" t="n">
        <v>0</v>
      </c>
      <c r="J2373" t="n">
        <v>0</v>
      </c>
      <c r="K2373" t="n">
        <v>0</v>
      </c>
      <c r="L2373" t="n">
        <v>0</v>
      </c>
      <c r="M2373" t="n">
        <v>0</v>
      </c>
      <c r="N2373" t="n">
        <v>0</v>
      </c>
      <c r="O2373" t="n">
        <v>0</v>
      </c>
      <c r="P2373" t="n">
        <v>0</v>
      </c>
      <c r="Q2373" t="n">
        <v>0</v>
      </c>
      <c r="R2373" s="2" t="inlineStr"/>
    </row>
    <row r="2374" ht="15" customHeight="1">
      <c r="A2374" t="inlineStr">
        <is>
          <t>A 23607-2025</t>
        </is>
      </c>
      <c r="B2374" s="1" t="n">
        <v>45792.65668981482</v>
      </c>
      <c r="C2374" s="1" t="n">
        <v>46046</v>
      </c>
      <c r="D2374" t="inlineStr">
        <is>
          <t>NORRBOTTENS LÄN</t>
        </is>
      </c>
      <c r="E2374" t="inlineStr">
        <is>
          <t>GÄLLIVARE</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37321-2024</t>
        </is>
      </c>
      <c r="B2375" s="1" t="n">
        <v>45540.49607638889</v>
      </c>
      <c r="C2375" s="1" t="n">
        <v>46046</v>
      </c>
      <c r="D2375" t="inlineStr">
        <is>
          <t>NORRBOTTENS LÄN</t>
        </is>
      </c>
      <c r="E2375" t="inlineStr">
        <is>
          <t>PAJALA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41001-2024</t>
        </is>
      </c>
      <c r="B2376" s="1" t="n">
        <v>45558.8234837963</v>
      </c>
      <c r="C2376" s="1" t="n">
        <v>46046</v>
      </c>
      <c r="D2376" t="inlineStr">
        <is>
          <t>NORRBOTTENS LÄN</t>
        </is>
      </c>
      <c r="E2376" t="inlineStr">
        <is>
          <t>PAJALA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48602-2022</t>
        </is>
      </c>
      <c r="B2377" s="1" t="n">
        <v>44859</v>
      </c>
      <c r="C2377" s="1" t="n">
        <v>46046</v>
      </c>
      <c r="D2377" t="inlineStr">
        <is>
          <t>NORRBOTTENS LÄN</t>
        </is>
      </c>
      <c r="E2377" t="inlineStr">
        <is>
          <t>PITEÅ</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23647-2025</t>
        </is>
      </c>
      <c r="B2378" s="1" t="n">
        <v>45792.6985300926</v>
      </c>
      <c r="C2378" s="1" t="n">
        <v>46046</v>
      </c>
      <c r="D2378" t="inlineStr">
        <is>
          <t>NORRBOTTENS LÄN</t>
        </is>
      </c>
      <c r="E2378" t="inlineStr">
        <is>
          <t>KALIX</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5771-2023</t>
        </is>
      </c>
      <c r="B2379" s="1" t="n">
        <v>44958</v>
      </c>
      <c r="C2379" s="1" t="n">
        <v>46046</v>
      </c>
      <c r="D2379" t="inlineStr">
        <is>
          <t>NORRBOTTENS LÄN</t>
        </is>
      </c>
      <c r="E2379" t="inlineStr">
        <is>
          <t>PAJALA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44646-2021</t>
        </is>
      </c>
      <c r="B2380" s="1" t="n">
        <v>44437</v>
      </c>
      <c r="C2380" s="1" t="n">
        <v>46046</v>
      </c>
      <c r="D2380" t="inlineStr">
        <is>
          <t>NORRBOTTENS LÄN</t>
        </is>
      </c>
      <c r="E2380" t="inlineStr">
        <is>
          <t>JOKKMOKK</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2219-2024</t>
        </is>
      </c>
      <c r="B2381" s="1" t="n">
        <v>45309.86796296296</v>
      </c>
      <c r="C2381" s="1" t="n">
        <v>46046</v>
      </c>
      <c r="D2381" t="inlineStr">
        <is>
          <t>NORRBOTTENS LÄN</t>
        </is>
      </c>
      <c r="E2381" t="inlineStr">
        <is>
          <t>PITEÅ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23638-2025</t>
        </is>
      </c>
      <c r="B2382" s="1" t="n">
        <v>45792</v>
      </c>
      <c r="C2382" s="1" t="n">
        <v>46046</v>
      </c>
      <c r="D2382" t="inlineStr">
        <is>
          <t>NORRBOTTENS LÄN</t>
        </is>
      </c>
      <c r="E2382" t="inlineStr">
        <is>
          <t>GÄLLIVARE</t>
        </is>
      </c>
      <c r="F2382" t="inlineStr">
        <is>
          <t>Allmännings- och besparingsskogar</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9458-2025</t>
        </is>
      </c>
      <c r="B2383" s="1" t="n">
        <v>45715</v>
      </c>
      <c r="C2383" s="1" t="n">
        <v>46046</v>
      </c>
      <c r="D2383" t="inlineStr">
        <is>
          <t>NORRBOTTENS LÄN</t>
        </is>
      </c>
      <c r="E2383" t="inlineStr">
        <is>
          <t>ÖVERKALIX</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23866-2025</t>
        </is>
      </c>
      <c r="B2384" s="1" t="n">
        <v>45793</v>
      </c>
      <c r="C2384" s="1" t="n">
        <v>46046</v>
      </c>
      <c r="D2384" t="inlineStr">
        <is>
          <t>NORRBOTTENS LÄN</t>
        </is>
      </c>
      <c r="E2384" t="inlineStr">
        <is>
          <t>ÖVERKALIX</t>
        </is>
      </c>
      <c r="F2384" t="inlineStr">
        <is>
          <t>Sveaskog</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1867-2023</t>
        </is>
      </c>
      <c r="B2385" s="1" t="n">
        <v>44938.93743055555</v>
      </c>
      <c r="C2385" s="1" t="n">
        <v>46046</v>
      </c>
      <c r="D2385" t="inlineStr">
        <is>
          <t>NORRBOTTENS LÄN</t>
        </is>
      </c>
      <c r="E2385" t="inlineStr">
        <is>
          <t>ÖVERKALIX</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39775-2022</t>
        </is>
      </c>
      <c r="B2386" s="1" t="n">
        <v>44819</v>
      </c>
      <c r="C2386" s="1" t="n">
        <v>46046</v>
      </c>
      <c r="D2386" t="inlineStr">
        <is>
          <t>NORRBOTTENS LÄN</t>
        </is>
      </c>
      <c r="E2386" t="inlineStr">
        <is>
          <t>ARVIDSJAUR</t>
        </is>
      </c>
      <c r="F2386" t="inlineStr">
        <is>
          <t>Sveaskog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49401-2022</t>
        </is>
      </c>
      <c r="B2387" s="1" t="n">
        <v>44861</v>
      </c>
      <c r="C2387" s="1" t="n">
        <v>46046</v>
      </c>
      <c r="D2387" t="inlineStr">
        <is>
          <t>NORRBOTTENS LÄN</t>
        </is>
      </c>
      <c r="E2387" t="inlineStr">
        <is>
          <t>LULEÅ</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18493-2025</t>
        </is>
      </c>
      <c r="B2388" s="1" t="n">
        <v>45763.34474537037</v>
      </c>
      <c r="C2388" s="1" t="n">
        <v>46046</v>
      </c>
      <c r="D2388" t="inlineStr">
        <is>
          <t>NORRBOTTENS LÄN</t>
        </is>
      </c>
      <c r="E2388" t="inlineStr">
        <is>
          <t>JOKKMOKK</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9878-2023</t>
        </is>
      </c>
      <c r="B2389" s="1" t="n">
        <v>44984</v>
      </c>
      <c r="C2389" s="1" t="n">
        <v>46046</v>
      </c>
      <c r="D2389" t="inlineStr">
        <is>
          <t>NORRBOTTENS LÄN</t>
        </is>
      </c>
      <c r="E2389" t="inlineStr">
        <is>
          <t>JOKKMOKK</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53836-2024</t>
        </is>
      </c>
      <c r="B2390" s="1" t="n">
        <v>45615.62185185185</v>
      </c>
      <c r="C2390" s="1" t="n">
        <v>46046</v>
      </c>
      <c r="D2390" t="inlineStr">
        <is>
          <t>NORRBOTTENS LÄN</t>
        </is>
      </c>
      <c r="E2390" t="inlineStr">
        <is>
          <t>LULEÅ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23724-2025</t>
        </is>
      </c>
      <c r="B2391" s="1" t="n">
        <v>45793</v>
      </c>
      <c r="C2391" s="1" t="n">
        <v>46046</v>
      </c>
      <c r="D2391" t="inlineStr">
        <is>
          <t>NORRBOTTENS LÄN</t>
        </is>
      </c>
      <c r="E2391" t="inlineStr">
        <is>
          <t>BODEN</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60385-2022</t>
        </is>
      </c>
      <c r="B2392" s="1" t="n">
        <v>44910.79755787037</v>
      </c>
      <c r="C2392" s="1" t="n">
        <v>46046</v>
      </c>
      <c r="D2392" t="inlineStr">
        <is>
          <t>NORRBOTTENS LÄN</t>
        </is>
      </c>
      <c r="E2392" t="inlineStr">
        <is>
          <t>ÖVERTORNEÅ</t>
        </is>
      </c>
      <c r="G2392" t="n">
        <v>17.2</v>
      </c>
      <c r="H2392" t="n">
        <v>0</v>
      </c>
      <c r="I2392" t="n">
        <v>0</v>
      </c>
      <c r="J2392" t="n">
        <v>0</v>
      </c>
      <c r="K2392" t="n">
        <v>0</v>
      </c>
      <c r="L2392" t="n">
        <v>0</v>
      </c>
      <c r="M2392" t="n">
        <v>0</v>
      </c>
      <c r="N2392" t="n">
        <v>0</v>
      </c>
      <c r="O2392" t="n">
        <v>0</v>
      </c>
      <c r="P2392" t="n">
        <v>0</v>
      </c>
      <c r="Q2392" t="n">
        <v>0</v>
      </c>
      <c r="R2392" s="2" t="inlineStr"/>
    </row>
    <row r="2393" ht="15" customHeight="1">
      <c r="A2393" t="inlineStr">
        <is>
          <t>A 25510-2024</t>
        </is>
      </c>
      <c r="B2393" s="1" t="n">
        <v>45463</v>
      </c>
      <c r="C2393" s="1" t="n">
        <v>46046</v>
      </c>
      <c r="D2393" t="inlineStr">
        <is>
          <t>NORRBOTTENS LÄN</t>
        </is>
      </c>
      <c r="E2393" t="inlineStr">
        <is>
          <t>ÖVERKALIX</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29011-2024</t>
        </is>
      </c>
      <c r="B2394" s="1" t="n">
        <v>45481</v>
      </c>
      <c r="C2394" s="1" t="n">
        <v>46046</v>
      </c>
      <c r="D2394" t="inlineStr">
        <is>
          <t>NORRBOTTENS LÄN</t>
        </is>
      </c>
      <c r="E2394" t="inlineStr">
        <is>
          <t>GÄLLIVARE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23520-2025</t>
        </is>
      </c>
      <c r="B2395" s="1" t="n">
        <v>45792.51074074074</v>
      </c>
      <c r="C2395" s="1" t="n">
        <v>46046</v>
      </c>
      <c r="D2395" t="inlineStr">
        <is>
          <t>NORRBOTTENS LÄN</t>
        </is>
      </c>
      <c r="E2395" t="inlineStr">
        <is>
          <t>LULEÅ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23524-2025</t>
        </is>
      </c>
      <c r="B2396" s="1" t="n">
        <v>45792</v>
      </c>
      <c r="C2396" s="1" t="n">
        <v>46046</v>
      </c>
      <c r="D2396" t="inlineStr">
        <is>
          <t>NORRBOTTENS LÄN</t>
        </is>
      </c>
      <c r="E2396" t="inlineStr">
        <is>
          <t>LULEÅ</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54256-2024</t>
        </is>
      </c>
      <c r="B2397" s="1" t="n">
        <v>45616</v>
      </c>
      <c r="C2397" s="1" t="n">
        <v>46046</v>
      </c>
      <c r="D2397" t="inlineStr">
        <is>
          <t>NORRBOTTENS LÄN</t>
        </is>
      </c>
      <c r="E2397" t="inlineStr">
        <is>
          <t>PAJALA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60584-2024</t>
        </is>
      </c>
      <c r="B2398" s="1" t="n">
        <v>45644.34611111111</v>
      </c>
      <c r="C2398" s="1" t="n">
        <v>46046</v>
      </c>
      <c r="D2398" t="inlineStr">
        <is>
          <t>NORRBOTTENS LÄN</t>
        </is>
      </c>
      <c r="E2398" t="inlineStr">
        <is>
          <t>LULEÅ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23648-2025</t>
        </is>
      </c>
      <c r="B2399" s="1" t="n">
        <v>45792.69864583333</v>
      </c>
      <c r="C2399" s="1" t="n">
        <v>46046</v>
      </c>
      <c r="D2399" t="inlineStr">
        <is>
          <t>NORRBOTTENS LÄN</t>
        </is>
      </c>
      <c r="E2399" t="inlineStr">
        <is>
          <t>BODEN</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14826-2024</t>
        </is>
      </c>
      <c r="B2400" s="1" t="n">
        <v>45398.34453703704</v>
      </c>
      <c r="C2400" s="1" t="n">
        <v>46046</v>
      </c>
      <c r="D2400" t="inlineStr">
        <is>
          <t>NORRBOTTENS LÄN</t>
        </is>
      </c>
      <c r="E2400" t="inlineStr">
        <is>
          <t>ÖVERTORNEÅ</t>
        </is>
      </c>
      <c r="F2400" t="inlineStr">
        <is>
          <t>Sveaskog</t>
        </is>
      </c>
      <c r="G2400" t="n">
        <v>32.7</v>
      </c>
      <c r="H2400" t="n">
        <v>0</v>
      </c>
      <c r="I2400" t="n">
        <v>0</v>
      </c>
      <c r="J2400" t="n">
        <v>0</v>
      </c>
      <c r="K2400" t="n">
        <v>0</v>
      </c>
      <c r="L2400" t="n">
        <v>0</v>
      </c>
      <c r="M2400" t="n">
        <v>0</v>
      </c>
      <c r="N2400" t="n">
        <v>0</v>
      </c>
      <c r="O2400" t="n">
        <v>0</v>
      </c>
      <c r="P2400" t="n">
        <v>0</v>
      </c>
      <c r="Q2400" t="n">
        <v>0</v>
      </c>
      <c r="R2400" s="2" t="inlineStr"/>
    </row>
    <row r="2401" ht="15" customHeight="1">
      <c r="A2401" t="inlineStr">
        <is>
          <t>A 60587-2024</t>
        </is>
      </c>
      <c r="B2401" s="1" t="n">
        <v>45642</v>
      </c>
      <c r="C2401" s="1" t="n">
        <v>46046</v>
      </c>
      <c r="D2401" t="inlineStr">
        <is>
          <t>NORRBOTTENS LÄN</t>
        </is>
      </c>
      <c r="E2401" t="inlineStr">
        <is>
          <t>BODEN</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60589-2024</t>
        </is>
      </c>
      <c r="B2402" s="1" t="n">
        <v>45642</v>
      </c>
      <c r="C2402" s="1" t="n">
        <v>46046</v>
      </c>
      <c r="D2402" t="inlineStr">
        <is>
          <t>NORRBOTTENS LÄN</t>
        </is>
      </c>
      <c r="E2402" t="inlineStr">
        <is>
          <t>ÄLVSBYN</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7159-2023</t>
        </is>
      </c>
      <c r="B2403" s="1" t="n">
        <v>44970</v>
      </c>
      <c r="C2403" s="1" t="n">
        <v>46046</v>
      </c>
      <c r="D2403" t="inlineStr">
        <is>
          <t>NORRBOTTENS LÄN</t>
        </is>
      </c>
      <c r="E2403" t="inlineStr">
        <is>
          <t>BODEN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23505-2025</t>
        </is>
      </c>
      <c r="B2404" s="1" t="n">
        <v>45792</v>
      </c>
      <c r="C2404" s="1" t="n">
        <v>46046</v>
      </c>
      <c r="D2404" t="inlineStr">
        <is>
          <t>NORRBOTTENS LÄN</t>
        </is>
      </c>
      <c r="E2404" t="inlineStr">
        <is>
          <t>LULEÅ</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7184-2023</t>
        </is>
      </c>
      <c r="B2405" s="1" t="n">
        <v>44970.52166666667</v>
      </c>
      <c r="C2405" s="1" t="n">
        <v>46046</v>
      </c>
      <c r="D2405" t="inlineStr">
        <is>
          <t>NORRBOTTENS LÄN</t>
        </is>
      </c>
      <c r="E2405" t="inlineStr">
        <is>
          <t>KALIX</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7196-2023</t>
        </is>
      </c>
      <c r="B2406" s="1" t="n">
        <v>44970.54061342592</v>
      </c>
      <c r="C2406" s="1" t="n">
        <v>46046</v>
      </c>
      <c r="D2406" t="inlineStr">
        <is>
          <t>NORRBOTTENS LÄN</t>
        </is>
      </c>
      <c r="E2406" t="inlineStr">
        <is>
          <t>KALIX</t>
        </is>
      </c>
      <c r="G2406" t="n">
        <v>16.9</v>
      </c>
      <c r="H2406" t="n">
        <v>0</v>
      </c>
      <c r="I2406" t="n">
        <v>0</v>
      </c>
      <c r="J2406" t="n">
        <v>0</v>
      </c>
      <c r="K2406" t="n">
        <v>0</v>
      </c>
      <c r="L2406" t="n">
        <v>0</v>
      </c>
      <c r="M2406" t="n">
        <v>0</v>
      </c>
      <c r="N2406" t="n">
        <v>0</v>
      </c>
      <c r="O2406" t="n">
        <v>0</v>
      </c>
      <c r="P2406" t="n">
        <v>0</v>
      </c>
      <c r="Q2406" t="n">
        <v>0</v>
      </c>
      <c r="R2406" s="2" t="inlineStr"/>
    </row>
    <row r="2407" ht="15" customHeight="1">
      <c r="A2407" t="inlineStr">
        <is>
          <t>A 56076-2021</t>
        </is>
      </c>
      <c r="B2407" s="1" t="n">
        <v>44477.53277777778</v>
      </c>
      <c r="C2407" s="1" t="n">
        <v>46046</v>
      </c>
      <c r="D2407" t="inlineStr">
        <is>
          <t>NORRBOTTENS LÄN</t>
        </is>
      </c>
      <c r="E2407" t="inlineStr">
        <is>
          <t>ÖVERKALIX</t>
        </is>
      </c>
      <c r="F2407" t="inlineStr">
        <is>
          <t>Sveaskog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49727-2022</t>
        </is>
      </c>
      <c r="B2408" s="1" t="n">
        <v>44859</v>
      </c>
      <c r="C2408" s="1" t="n">
        <v>46046</v>
      </c>
      <c r="D2408" t="inlineStr">
        <is>
          <t>NORRBOTTENS LÄN</t>
        </is>
      </c>
      <c r="E2408" t="inlineStr">
        <is>
          <t>LULEÅ</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16702-2025</t>
        </is>
      </c>
      <c r="B2409" s="1" t="n">
        <v>45754.46898148148</v>
      </c>
      <c r="C2409" s="1" t="n">
        <v>46046</v>
      </c>
      <c r="D2409" t="inlineStr">
        <is>
          <t>NORRBOTTENS LÄN</t>
        </is>
      </c>
      <c r="E2409" t="inlineStr">
        <is>
          <t>PITEÅ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30950-2024</t>
        </is>
      </c>
      <c r="B2410" s="1" t="n">
        <v>45499</v>
      </c>
      <c r="C2410" s="1" t="n">
        <v>46046</v>
      </c>
      <c r="D2410" t="inlineStr">
        <is>
          <t>NORRBOTTENS LÄN</t>
        </is>
      </c>
      <c r="E2410" t="inlineStr">
        <is>
          <t>LULEÅ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57608-2023</t>
        </is>
      </c>
      <c r="B2411" s="1" t="n">
        <v>45246.55990740741</v>
      </c>
      <c r="C2411" s="1" t="n">
        <v>46046</v>
      </c>
      <c r="D2411" t="inlineStr">
        <is>
          <t>NORRBOTTENS LÄN</t>
        </is>
      </c>
      <c r="E2411" t="inlineStr">
        <is>
          <t>PAJALA</t>
        </is>
      </c>
      <c r="F2411" t="inlineStr">
        <is>
          <t>Sveaskog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898-2025</t>
        </is>
      </c>
      <c r="B2412" s="1" t="n">
        <v>45665</v>
      </c>
      <c r="C2412" s="1" t="n">
        <v>46046</v>
      </c>
      <c r="D2412" t="inlineStr">
        <is>
          <t>NORRBOTTENS LÄN</t>
        </is>
      </c>
      <c r="E2412" t="inlineStr">
        <is>
          <t>PAJALA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61509-2023</t>
        </is>
      </c>
      <c r="B2413" s="1" t="n">
        <v>45265.27829861111</v>
      </c>
      <c r="C2413" s="1" t="n">
        <v>46046</v>
      </c>
      <c r="D2413" t="inlineStr">
        <is>
          <t>NORRBOTTENS LÄN</t>
        </is>
      </c>
      <c r="E2413" t="inlineStr">
        <is>
          <t>BODEN</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24125-2025</t>
        </is>
      </c>
      <c r="B2414" s="1" t="n">
        <v>45796</v>
      </c>
      <c r="C2414" s="1" t="n">
        <v>46046</v>
      </c>
      <c r="D2414" t="inlineStr">
        <is>
          <t>NORRBOTTENS LÄN</t>
        </is>
      </c>
      <c r="E2414" t="inlineStr">
        <is>
          <t>GÄLLIVARE</t>
        </is>
      </c>
      <c r="F2414" t="inlineStr">
        <is>
          <t>Allmännings- och besparingsskogar</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54139-2023</t>
        </is>
      </c>
      <c r="B2415" s="1" t="n">
        <v>45232</v>
      </c>
      <c r="C2415" s="1" t="n">
        <v>46046</v>
      </c>
      <c r="D2415" t="inlineStr">
        <is>
          <t>NORRBOTTENS LÄN</t>
        </is>
      </c>
      <c r="E2415" t="inlineStr">
        <is>
          <t>BODEN</t>
        </is>
      </c>
      <c r="F2415" t="inlineStr">
        <is>
          <t>Sveaskog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36251-2023</t>
        </is>
      </c>
      <c r="B2416" s="1" t="n">
        <v>45150.94185185185</v>
      </c>
      <c r="C2416" s="1" t="n">
        <v>46046</v>
      </c>
      <c r="D2416" t="inlineStr">
        <is>
          <t>NORRBOTTENS LÄN</t>
        </is>
      </c>
      <c r="E2416" t="inlineStr">
        <is>
          <t>GÄLLIVARE</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22328-2021</t>
        </is>
      </c>
      <c r="B2417" s="1" t="n">
        <v>44321</v>
      </c>
      <c r="C2417" s="1" t="n">
        <v>46046</v>
      </c>
      <c r="D2417" t="inlineStr">
        <is>
          <t>NORRBOTTENS LÄN</t>
        </is>
      </c>
      <c r="E2417" t="inlineStr">
        <is>
          <t>ARVIDSJAUR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62460-2022</t>
        </is>
      </c>
      <c r="B2418" s="1" t="n">
        <v>44916</v>
      </c>
      <c r="C2418" s="1" t="n">
        <v>46046</v>
      </c>
      <c r="D2418" t="inlineStr">
        <is>
          <t>NORRBOTTENS LÄN</t>
        </is>
      </c>
      <c r="E2418" t="inlineStr">
        <is>
          <t>KIRUNA</t>
        </is>
      </c>
      <c r="G2418" t="n">
        <v>13.4</v>
      </c>
      <c r="H2418" t="n">
        <v>0</v>
      </c>
      <c r="I2418" t="n">
        <v>0</v>
      </c>
      <c r="J2418" t="n">
        <v>0</v>
      </c>
      <c r="K2418" t="n">
        <v>0</v>
      </c>
      <c r="L2418" t="n">
        <v>0</v>
      </c>
      <c r="M2418" t="n">
        <v>0</v>
      </c>
      <c r="N2418" t="n">
        <v>0</v>
      </c>
      <c r="O2418" t="n">
        <v>0</v>
      </c>
      <c r="P2418" t="n">
        <v>0</v>
      </c>
      <c r="Q2418" t="n">
        <v>0</v>
      </c>
      <c r="R2418" s="2" t="inlineStr"/>
    </row>
    <row r="2419" ht="15" customHeight="1">
      <c r="A2419" t="inlineStr">
        <is>
          <t>A 35840-2023</t>
        </is>
      </c>
      <c r="B2419" s="1" t="n">
        <v>45147</v>
      </c>
      <c r="C2419" s="1" t="n">
        <v>46046</v>
      </c>
      <c r="D2419" t="inlineStr">
        <is>
          <t>NORRBOTTENS LÄN</t>
        </is>
      </c>
      <c r="E2419" t="inlineStr">
        <is>
          <t>KALIX</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61743-2024</t>
        </is>
      </c>
      <c r="B2420" s="1" t="n">
        <v>45649.38344907408</v>
      </c>
      <c r="C2420" s="1" t="n">
        <v>46046</v>
      </c>
      <c r="D2420" t="inlineStr">
        <is>
          <t>NORRBOTTENS LÄN</t>
        </is>
      </c>
      <c r="E2420" t="inlineStr">
        <is>
          <t>BODEN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16631-2025</t>
        </is>
      </c>
      <c r="B2421" s="1" t="n">
        <v>45751</v>
      </c>
      <c r="C2421" s="1" t="n">
        <v>46046</v>
      </c>
      <c r="D2421" t="inlineStr">
        <is>
          <t>NORRBOTTENS LÄN</t>
        </is>
      </c>
      <c r="E2421" t="inlineStr">
        <is>
          <t>HAPARANDA</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24221-2025</t>
        </is>
      </c>
      <c r="B2422" s="1" t="n">
        <v>45797.36483796296</v>
      </c>
      <c r="C2422" s="1" t="n">
        <v>46046</v>
      </c>
      <c r="D2422" t="inlineStr">
        <is>
          <t>NORRBOTTENS LÄN</t>
        </is>
      </c>
      <c r="E2422" t="inlineStr">
        <is>
          <t>GÄLLIVARE</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60516-2023</t>
        </is>
      </c>
      <c r="B2423" s="1" t="n">
        <v>45259.65206018519</v>
      </c>
      <c r="C2423" s="1" t="n">
        <v>46046</v>
      </c>
      <c r="D2423" t="inlineStr">
        <is>
          <t>NORRBOTTENS LÄN</t>
        </is>
      </c>
      <c r="E2423" t="inlineStr">
        <is>
          <t>KALIX</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7461-2024</t>
        </is>
      </c>
      <c r="B2424" s="1" t="n">
        <v>45345</v>
      </c>
      <c r="C2424" s="1" t="n">
        <v>46046</v>
      </c>
      <c r="D2424" t="inlineStr">
        <is>
          <t>NORRBOTTENS LÄN</t>
        </is>
      </c>
      <c r="E2424" t="inlineStr">
        <is>
          <t>PITEÅ</t>
        </is>
      </c>
      <c r="G2424" t="n">
        <v>14.7</v>
      </c>
      <c r="H2424" t="n">
        <v>0</v>
      </c>
      <c r="I2424" t="n">
        <v>0</v>
      </c>
      <c r="J2424" t="n">
        <v>0</v>
      </c>
      <c r="K2424" t="n">
        <v>0</v>
      </c>
      <c r="L2424" t="n">
        <v>0</v>
      </c>
      <c r="M2424" t="n">
        <v>0</v>
      </c>
      <c r="N2424" t="n">
        <v>0</v>
      </c>
      <c r="O2424" t="n">
        <v>0</v>
      </c>
      <c r="P2424" t="n">
        <v>0</v>
      </c>
      <c r="Q2424" t="n">
        <v>0</v>
      </c>
      <c r="R2424" s="2" t="inlineStr"/>
    </row>
    <row r="2425" ht="15" customHeight="1">
      <c r="A2425" t="inlineStr">
        <is>
          <t>A 61617-2024</t>
        </is>
      </c>
      <c r="B2425" s="1" t="n">
        <v>45646.65767361111</v>
      </c>
      <c r="C2425" s="1" t="n">
        <v>46046</v>
      </c>
      <c r="D2425" t="inlineStr">
        <is>
          <t>NORRBOTTENS LÄN</t>
        </is>
      </c>
      <c r="E2425" t="inlineStr">
        <is>
          <t>BODEN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24276-2025</t>
        </is>
      </c>
      <c r="B2426" s="1" t="n">
        <v>45797.44836805556</v>
      </c>
      <c r="C2426" s="1" t="n">
        <v>46046</v>
      </c>
      <c r="D2426" t="inlineStr">
        <is>
          <t>NORRBOTTENS LÄN</t>
        </is>
      </c>
      <c r="E2426" t="inlineStr">
        <is>
          <t>GÄLLIVARE</t>
        </is>
      </c>
      <c r="F2426" t="inlineStr">
        <is>
          <t>SCA</t>
        </is>
      </c>
      <c r="G2426" t="n">
        <v>9.6</v>
      </c>
      <c r="H2426" t="n">
        <v>0</v>
      </c>
      <c r="I2426" t="n">
        <v>0</v>
      </c>
      <c r="J2426" t="n">
        <v>0</v>
      </c>
      <c r="K2426" t="n">
        <v>0</v>
      </c>
      <c r="L2426" t="n">
        <v>0</v>
      </c>
      <c r="M2426" t="n">
        <v>0</v>
      </c>
      <c r="N2426" t="n">
        <v>0</v>
      </c>
      <c r="O2426" t="n">
        <v>0</v>
      </c>
      <c r="P2426" t="n">
        <v>0</v>
      </c>
      <c r="Q2426" t="n">
        <v>0</v>
      </c>
      <c r="R2426" s="2" t="inlineStr"/>
    </row>
    <row r="2427" ht="15" customHeight="1">
      <c r="A2427" t="inlineStr">
        <is>
          <t>A 24302-2025</t>
        </is>
      </c>
      <c r="B2427" s="1" t="n">
        <v>45797.48444444445</v>
      </c>
      <c r="C2427" s="1" t="n">
        <v>46046</v>
      </c>
      <c r="D2427" t="inlineStr">
        <is>
          <t>NORRBOTTENS LÄN</t>
        </is>
      </c>
      <c r="E2427" t="inlineStr">
        <is>
          <t>PITEÅ</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2553-2025</t>
        </is>
      </c>
      <c r="B2428" s="1" t="n">
        <v>45673</v>
      </c>
      <c r="C2428" s="1" t="n">
        <v>46046</v>
      </c>
      <c r="D2428" t="inlineStr">
        <is>
          <t>NORRBOTTENS LÄN</t>
        </is>
      </c>
      <c r="E2428" t="inlineStr">
        <is>
          <t>KALIX</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42882-2024</t>
        </is>
      </c>
      <c r="B2429" s="1" t="n">
        <v>45566.71395833333</v>
      </c>
      <c r="C2429" s="1" t="n">
        <v>46046</v>
      </c>
      <c r="D2429" t="inlineStr">
        <is>
          <t>NORRBOTTENS LÄN</t>
        </is>
      </c>
      <c r="E2429" t="inlineStr">
        <is>
          <t>PAJALA</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31902-2023</t>
        </is>
      </c>
      <c r="B2430" s="1" t="n">
        <v>45118.79663194445</v>
      </c>
      <c r="C2430" s="1" t="n">
        <v>46046</v>
      </c>
      <c r="D2430" t="inlineStr">
        <is>
          <t>NORRBOTTENS LÄN</t>
        </is>
      </c>
      <c r="E2430" t="inlineStr">
        <is>
          <t>PAJALA</t>
        </is>
      </c>
      <c r="G2430" t="n">
        <v>21.5</v>
      </c>
      <c r="H2430" t="n">
        <v>0</v>
      </c>
      <c r="I2430" t="n">
        <v>0</v>
      </c>
      <c r="J2430" t="n">
        <v>0</v>
      </c>
      <c r="K2430" t="n">
        <v>0</v>
      </c>
      <c r="L2430" t="n">
        <v>0</v>
      </c>
      <c r="M2430" t="n">
        <v>0</v>
      </c>
      <c r="N2430" t="n">
        <v>0</v>
      </c>
      <c r="O2430" t="n">
        <v>0</v>
      </c>
      <c r="P2430" t="n">
        <v>0</v>
      </c>
      <c r="Q2430" t="n">
        <v>0</v>
      </c>
      <c r="R2430" s="2" t="inlineStr"/>
    </row>
    <row r="2431" ht="15" customHeight="1">
      <c r="A2431" t="inlineStr">
        <is>
          <t>A 39188-2024</t>
        </is>
      </c>
      <c r="B2431" s="1" t="n">
        <v>45548</v>
      </c>
      <c r="C2431" s="1" t="n">
        <v>46046</v>
      </c>
      <c r="D2431" t="inlineStr">
        <is>
          <t>NORRBOTTENS LÄN</t>
        </is>
      </c>
      <c r="E2431" t="inlineStr">
        <is>
          <t>PAJALA</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5455-2021</t>
        </is>
      </c>
      <c r="B2432" s="1" t="n">
        <v>44229</v>
      </c>
      <c r="C2432" s="1" t="n">
        <v>46046</v>
      </c>
      <c r="D2432" t="inlineStr">
        <is>
          <t>NORRBOTTENS LÄN</t>
        </is>
      </c>
      <c r="E2432" t="inlineStr">
        <is>
          <t>ÄLVSBYN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48891-2022</t>
        </is>
      </c>
      <c r="B2433" s="1" t="n">
        <v>44859.92850694444</v>
      </c>
      <c r="C2433" s="1" t="n">
        <v>46046</v>
      </c>
      <c r="D2433" t="inlineStr">
        <is>
          <t>NORRBOTTENS LÄN</t>
        </is>
      </c>
      <c r="E2433" t="inlineStr">
        <is>
          <t>ÖVERTORNEÅ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47195-2024</t>
        </is>
      </c>
      <c r="B2434" s="1" t="n">
        <v>45586.63122685185</v>
      </c>
      <c r="C2434" s="1" t="n">
        <v>46046</v>
      </c>
      <c r="D2434" t="inlineStr">
        <is>
          <t>NORRBOTTENS LÄN</t>
        </is>
      </c>
      <c r="E2434" t="inlineStr">
        <is>
          <t>PAJALA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47199-2024</t>
        </is>
      </c>
      <c r="B2435" s="1" t="n">
        <v>45586</v>
      </c>
      <c r="C2435" s="1" t="n">
        <v>46046</v>
      </c>
      <c r="D2435" t="inlineStr">
        <is>
          <t>NORRBOTTENS LÄN</t>
        </is>
      </c>
      <c r="E2435" t="inlineStr">
        <is>
          <t>PAJALA</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34680-2023</t>
        </is>
      </c>
      <c r="B2436" s="1" t="n">
        <v>45140</v>
      </c>
      <c r="C2436" s="1" t="n">
        <v>46046</v>
      </c>
      <c r="D2436" t="inlineStr">
        <is>
          <t>NORRBOTTENS LÄN</t>
        </is>
      </c>
      <c r="E2436" t="inlineStr">
        <is>
          <t>LULEÅ</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6459-2025</t>
        </is>
      </c>
      <c r="B2437" s="1" t="n">
        <v>45699.56368055556</v>
      </c>
      <c r="C2437" s="1" t="n">
        <v>46046</v>
      </c>
      <c r="D2437" t="inlineStr">
        <is>
          <t>NORRBOTTENS LÄN</t>
        </is>
      </c>
      <c r="E2437" t="inlineStr">
        <is>
          <t>LULEÅ</t>
        </is>
      </c>
      <c r="F2437" t="inlineStr">
        <is>
          <t>Övriga Aktiebolag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51285-2023</t>
        </is>
      </c>
      <c r="B2438" s="1" t="n">
        <v>45219</v>
      </c>
      <c r="C2438" s="1" t="n">
        <v>46046</v>
      </c>
      <c r="D2438" t="inlineStr">
        <is>
          <t>NORRBOTTENS LÄN</t>
        </is>
      </c>
      <c r="E2438" t="inlineStr">
        <is>
          <t>PITEÅ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49721-2022</t>
        </is>
      </c>
      <c r="B2439" s="1" t="n">
        <v>44859</v>
      </c>
      <c r="C2439" s="1" t="n">
        <v>46046</v>
      </c>
      <c r="D2439" t="inlineStr">
        <is>
          <t>NORRBOTTENS LÄN</t>
        </is>
      </c>
      <c r="E2439" t="inlineStr">
        <is>
          <t>LULEÅ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24136-2025</t>
        </is>
      </c>
      <c r="B2440" s="1" t="n">
        <v>45796</v>
      </c>
      <c r="C2440" s="1" t="n">
        <v>46046</v>
      </c>
      <c r="D2440" t="inlineStr">
        <is>
          <t>NORRBOTTENS LÄN</t>
        </is>
      </c>
      <c r="E2440" t="inlineStr">
        <is>
          <t>ÖVERKALIX</t>
        </is>
      </c>
      <c r="F2440" t="inlineStr">
        <is>
          <t>Sveaskog</t>
        </is>
      </c>
      <c r="G2440" t="n">
        <v>33.5</v>
      </c>
      <c r="H2440" t="n">
        <v>0</v>
      </c>
      <c r="I2440" t="n">
        <v>0</v>
      </c>
      <c r="J2440" t="n">
        <v>0</v>
      </c>
      <c r="K2440" t="n">
        <v>0</v>
      </c>
      <c r="L2440" t="n">
        <v>0</v>
      </c>
      <c r="M2440" t="n">
        <v>0</v>
      </c>
      <c r="N2440" t="n">
        <v>0</v>
      </c>
      <c r="O2440" t="n">
        <v>0</v>
      </c>
      <c r="P2440" t="n">
        <v>0</v>
      </c>
      <c r="Q2440" t="n">
        <v>0</v>
      </c>
      <c r="R2440" s="2" t="inlineStr"/>
    </row>
    <row r="2441" ht="15" customHeight="1">
      <c r="A2441" t="inlineStr">
        <is>
          <t>A 24153-2025</t>
        </is>
      </c>
      <c r="B2441" s="1" t="n">
        <v>45796</v>
      </c>
      <c r="C2441" s="1" t="n">
        <v>46046</v>
      </c>
      <c r="D2441" t="inlineStr">
        <is>
          <t>NORRBOTTENS LÄN</t>
        </is>
      </c>
      <c r="E2441" t="inlineStr">
        <is>
          <t>KALIX</t>
        </is>
      </c>
      <c r="F2441" t="inlineStr">
        <is>
          <t>SCA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12782-2023</t>
        </is>
      </c>
      <c r="B2442" s="1" t="n">
        <v>45000</v>
      </c>
      <c r="C2442" s="1" t="n">
        <v>46046</v>
      </c>
      <c r="D2442" t="inlineStr">
        <is>
          <t>NORRBOTTENS LÄN</t>
        </is>
      </c>
      <c r="E2442" t="inlineStr">
        <is>
          <t>LULEÅ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24237-2025</t>
        </is>
      </c>
      <c r="B2443" s="1" t="n">
        <v>45797</v>
      </c>
      <c r="C2443" s="1" t="n">
        <v>46046</v>
      </c>
      <c r="D2443" t="inlineStr">
        <is>
          <t>NORRBOTTENS LÄN</t>
        </is>
      </c>
      <c r="E2443" t="inlineStr">
        <is>
          <t>GÄLLIVARE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25149-2022</t>
        </is>
      </c>
      <c r="B2444" s="1" t="n">
        <v>44729</v>
      </c>
      <c r="C2444" s="1" t="n">
        <v>46046</v>
      </c>
      <c r="D2444" t="inlineStr">
        <is>
          <t>NORRBOTTENS LÄN</t>
        </is>
      </c>
      <c r="E2444" t="inlineStr">
        <is>
          <t>ÖVERTORNEÅ</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20125-2025</t>
        </is>
      </c>
      <c r="B2445" s="1" t="n">
        <v>45772.49487268519</v>
      </c>
      <c r="C2445" s="1" t="n">
        <v>46046</v>
      </c>
      <c r="D2445" t="inlineStr">
        <is>
          <t>NORRBOTTENS LÄN</t>
        </is>
      </c>
      <c r="E2445" t="inlineStr">
        <is>
          <t>KALIX</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2550-2024</t>
        </is>
      </c>
      <c r="B2446" s="1" t="n">
        <v>45313</v>
      </c>
      <c r="C2446" s="1" t="n">
        <v>46046</v>
      </c>
      <c r="D2446" t="inlineStr">
        <is>
          <t>NORRBOTTENS LÄN</t>
        </is>
      </c>
      <c r="E2446" t="inlineStr">
        <is>
          <t>PITEÅ</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22494-2024</t>
        </is>
      </c>
      <c r="B2447" s="1" t="n">
        <v>45447</v>
      </c>
      <c r="C2447" s="1" t="n">
        <v>46046</v>
      </c>
      <c r="D2447" t="inlineStr">
        <is>
          <t>NORRBOTTENS LÄN</t>
        </is>
      </c>
      <c r="E2447" t="inlineStr">
        <is>
          <t>KIRUNA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57326-2024</t>
        </is>
      </c>
      <c r="B2448" s="1" t="n">
        <v>45629</v>
      </c>
      <c r="C2448" s="1" t="n">
        <v>46046</v>
      </c>
      <c r="D2448" t="inlineStr">
        <is>
          <t>NORRBOTTENS LÄN</t>
        </is>
      </c>
      <c r="E2448" t="inlineStr">
        <is>
          <t>KALIX</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48420-2024</t>
        </is>
      </c>
      <c r="B2449" s="1" t="n">
        <v>45590</v>
      </c>
      <c r="C2449" s="1" t="n">
        <v>46046</v>
      </c>
      <c r="D2449" t="inlineStr">
        <is>
          <t>NORRBOTTENS LÄN</t>
        </is>
      </c>
      <c r="E2449" t="inlineStr">
        <is>
          <t>BODEN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48427-2024</t>
        </is>
      </c>
      <c r="B2450" s="1" t="n">
        <v>45590</v>
      </c>
      <c r="C2450" s="1" t="n">
        <v>46046</v>
      </c>
      <c r="D2450" t="inlineStr">
        <is>
          <t>NORRBOTTENS LÄN</t>
        </is>
      </c>
      <c r="E2450" t="inlineStr">
        <is>
          <t>BODEN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52181-2023</t>
        </is>
      </c>
      <c r="B2451" s="1" t="n">
        <v>45224</v>
      </c>
      <c r="C2451" s="1" t="n">
        <v>46046</v>
      </c>
      <c r="D2451" t="inlineStr">
        <is>
          <t>NORRBOTTENS LÄN</t>
        </is>
      </c>
      <c r="E2451" t="inlineStr">
        <is>
          <t>JOKKMOKK</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58034-2024</t>
        </is>
      </c>
      <c r="B2452" s="1" t="n">
        <v>45631.71248842592</v>
      </c>
      <c r="C2452" s="1" t="n">
        <v>46046</v>
      </c>
      <c r="D2452" t="inlineStr">
        <is>
          <t>NORRBOTTENS LÄN</t>
        </is>
      </c>
      <c r="E2452" t="inlineStr">
        <is>
          <t>PITEÅ</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24141-2025</t>
        </is>
      </c>
      <c r="B2453" s="1" t="n">
        <v>45796.64229166666</v>
      </c>
      <c r="C2453" s="1" t="n">
        <v>46046</v>
      </c>
      <c r="D2453" t="inlineStr">
        <is>
          <t>NORRBOTTENS LÄN</t>
        </is>
      </c>
      <c r="E2453" t="inlineStr">
        <is>
          <t>ÖVERKALIX</t>
        </is>
      </c>
      <c r="F2453" t="inlineStr">
        <is>
          <t>Sveaskog</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24148-2025</t>
        </is>
      </c>
      <c r="B2454" s="1" t="n">
        <v>45796</v>
      </c>
      <c r="C2454" s="1" t="n">
        <v>46046</v>
      </c>
      <c r="D2454" t="inlineStr">
        <is>
          <t>NORRBOTTENS LÄN</t>
        </is>
      </c>
      <c r="E2454" t="inlineStr">
        <is>
          <t>GÄLLIVARE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24155-2025</t>
        </is>
      </c>
      <c r="B2455" s="1" t="n">
        <v>45796.65706018519</v>
      </c>
      <c r="C2455" s="1" t="n">
        <v>46046</v>
      </c>
      <c r="D2455" t="inlineStr">
        <is>
          <t>NORRBOTTENS LÄN</t>
        </is>
      </c>
      <c r="E2455" t="inlineStr">
        <is>
          <t>PAJALA</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25991-2024</t>
        </is>
      </c>
      <c r="B2456" s="1" t="n">
        <v>45467.76189814815</v>
      </c>
      <c r="C2456" s="1" t="n">
        <v>46046</v>
      </c>
      <c r="D2456" t="inlineStr">
        <is>
          <t>NORRBOTTENS LÄN</t>
        </is>
      </c>
      <c r="E2456" t="inlineStr">
        <is>
          <t>ÖVERKALIX</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46013-2024</t>
        </is>
      </c>
      <c r="B2457" s="1" t="n">
        <v>45580</v>
      </c>
      <c r="C2457" s="1" t="n">
        <v>46046</v>
      </c>
      <c r="D2457" t="inlineStr">
        <is>
          <t>NORRBOTTENS LÄN</t>
        </is>
      </c>
      <c r="E2457" t="inlineStr">
        <is>
          <t>PAJALA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44540-2024</t>
        </is>
      </c>
      <c r="B2458" s="1" t="n">
        <v>45574.45646990741</v>
      </c>
      <c r="C2458" s="1" t="n">
        <v>46046</v>
      </c>
      <c r="D2458" t="inlineStr">
        <is>
          <t>NORRBOTTENS LÄN</t>
        </is>
      </c>
      <c r="E2458" t="inlineStr">
        <is>
          <t>ÖVERTORNEÅ</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44553-2024</t>
        </is>
      </c>
      <c r="B2459" s="1" t="n">
        <v>45574.46930555555</v>
      </c>
      <c r="C2459" s="1" t="n">
        <v>46046</v>
      </c>
      <c r="D2459" t="inlineStr">
        <is>
          <t>NORRBOTTENS LÄN</t>
        </is>
      </c>
      <c r="E2459" t="inlineStr">
        <is>
          <t>BODEN</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23102-2024</t>
        </is>
      </c>
      <c r="B2460" s="1" t="n">
        <v>45450.5350925926</v>
      </c>
      <c r="C2460" s="1" t="n">
        <v>46046</v>
      </c>
      <c r="D2460" t="inlineStr">
        <is>
          <t>NORRBOTTENS LÄN</t>
        </is>
      </c>
      <c r="E2460" t="inlineStr">
        <is>
          <t>PAJALA</t>
        </is>
      </c>
      <c r="F2460" t="inlineStr">
        <is>
          <t>Sveaskog</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48531-2023</t>
        </is>
      </c>
      <c r="B2461" s="1" t="n">
        <v>45208</v>
      </c>
      <c r="C2461" s="1" t="n">
        <v>46046</v>
      </c>
      <c r="D2461" t="inlineStr">
        <is>
          <t>NORRBOTTENS LÄN</t>
        </is>
      </c>
      <c r="E2461" t="inlineStr">
        <is>
          <t>GÄLLIVARE</t>
        </is>
      </c>
      <c r="G2461" t="n">
        <v>16.5</v>
      </c>
      <c r="H2461" t="n">
        <v>0</v>
      </c>
      <c r="I2461" t="n">
        <v>0</v>
      </c>
      <c r="J2461" t="n">
        <v>0</v>
      </c>
      <c r="K2461" t="n">
        <v>0</v>
      </c>
      <c r="L2461" t="n">
        <v>0</v>
      </c>
      <c r="M2461" t="n">
        <v>0</v>
      </c>
      <c r="N2461" t="n">
        <v>0</v>
      </c>
      <c r="O2461" t="n">
        <v>0</v>
      </c>
      <c r="P2461" t="n">
        <v>0</v>
      </c>
      <c r="Q2461" t="n">
        <v>0</v>
      </c>
      <c r="R2461" s="2" t="inlineStr"/>
    </row>
    <row r="2462" ht="15" customHeight="1">
      <c r="A2462" t="inlineStr">
        <is>
          <t>A 28839-2023</t>
        </is>
      </c>
      <c r="B2462" s="1" t="n">
        <v>45104</v>
      </c>
      <c r="C2462" s="1" t="n">
        <v>46046</v>
      </c>
      <c r="D2462" t="inlineStr">
        <is>
          <t>NORRBOTTENS LÄN</t>
        </is>
      </c>
      <c r="E2462" t="inlineStr">
        <is>
          <t>ÖVERTORNEÅ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53752-2023</t>
        </is>
      </c>
      <c r="B2463" s="1" t="n">
        <v>45230</v>
      </c>
      <c r="C2463" s="1" t="n">
        <v>46046</v>
      </c>
      <c r="D2463" t="inlineStr">
        <is>
          <t>NORRBOTTENS LÄN</t>
        </is>
      </c>
      <c r="E2463" t="inlineStr">
        <is>
          <t>PITEÅ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86-2025</t>
        </is>
      </c>
      <c r="B2464" s="1" t="n">
        <v>45659.45902777778</v>
      </c>
      <c r="C2464" s="1" t="n">
        <v>46046</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71301-2021</t>
        </is>
      </c>
      <c r="B2465" s="1" t="n">
        <v>44538</v>
      </c>
      <c r="C2465" s="1" t="n">
        <v>46046</v>
      </c>
      <c r="D2465" t="inlineStr">
        <is>
          <t>NORRBOTTENS LÄN</t>
        </is>
      </c>
      <c r="E2465" t="inlineStr">
        <is>
          <t>PITEÅ</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59825-2024</t>
        </is>
      </c>
      <c r="B2466" s="1" t="n">
        <v>45639.64152777778</v>
      </c>
      <c r="C2466" s="1" t="n">
        <v>46046</v>
      </c>
      <c r="D2466" t="inlineStr">
        <is>
          <t>NORRBOTTENS LÄN</t>
        </is>
      </c>
      <c r="E2466" t="inlineStr">
        <is>
          <t>LULEÅ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20848-2023</t>
        </is>
      </c>
      <c r="B2467" s="1" t="n">
        <v>45058</v>
      </c>
      <c r="C2467" s="1" t="n">
        <v>46046</v>
      </c>
      <c r="D2467" t="inlineStr">
        <is>
          <t>NORRBOTTENS LÄN</t>
        </is>
      </c>
      <c r="E2467" t="inlineStr">
        <is>
          <t>PAJALA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16006-2024</t>
        </is>
      </c>
      <c r="B2468" s="1" t="n">
        <v>45405</v>
      </c>
      <c r="C2468" s="1" t="n">
        <v>46046</v>
      </c>
      <c r="D2468" t="inlineStr">
        <is>
          <t>NORRBOTTENS LÄN</t>
        </is>
      </c>
      <c r="E2468" t="inlineStr">
        <is>
          <t>ÖVERTORNEÅ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57518-2024</t>
        </is>
      </c>
      <c r="B2469" s="1" t="n">
        <v>45629</v>
      </c>
      <c r="C2469" s="1" t="n">
        <v>46046</v>
      </c>
      <c r="D2469" t="inlineStr">
        <is>
          <t>NORRBOTTENS LÄN</t>
        </is>
      </c>
      <c r="E2469" t="inlineStr">
        <is>
          <t>LULEÅ</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7459-2024</t>
        </is>
      </c>
      <c r="B2470" s="1" t="n">
        <v>45345</v>
      </c>
      <c r="C2470" s="1" t="n">
        <v>46046</v>
      </c>
      <c r="D2470" t="inlineStr">
        <is>
          <t>NORRBOTTENS LÄN</t>
        </is>
      </c>
      <c r="E2470" t="inlineStr">
        <is>
          <t>PITEÅ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44216-2024</t>
        </is>
      </c>
      <c r="B2471" s="1" t="n">
        <v>45573.37666666666</v>
      </c>
      <c r="C2471" s="1" t="n">
        <v>46046</v>
      </c>
      <c r="D2471" t="inlineStr">
        <is>
          <t>NORRBOTTENS LÄN</t>
        </is>
      </c>
      <c r="E2471" t="inlineStr">
        <is>
          <t>PAJALA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62148-2023</t>
        </is>
      </c>
      <c r="B2472" s="1" t="n">
        <v>45266</v>
      </c>
      <c r="C2472" s="1" t="n">
        <v>46046</v>
      </c>
      <c r="D2472" t="inlineStr">
        <is>
          <t>NORRBOTTENS LÄN</t>
        </is>
      </c>
      <c r="E2472" t="inlineStr">
        <is>
          <t>KALIX</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64975-2023</t>
        </is>
      </c>
      <c r="B2473" s="1" t="n">
        <v>45285</v>
      </c>
      <c r="C2473" s="1" t="n">
        <v>46046</v>
      </c>
      <c r="D2473" t="inlineStr">
        <is>
          <t>NORRBOTTENS LÄN</t>
        </is>
      </c>
      <c r="E2473" t="inlineStr">
        <is>
          <t>BODEN</t>
        </is>
      </c>
      <c r="G2473" t="n">
        <v>9.4</v>
      </c>
      <c r="H2473" t="n">
        <v>0</v>
      </c>
      <c r="I2473" t="n">
        <v>0</v>
      </c>
      <c r="J2473" t="n">
        <v>0</v>
      </c>
      <c r="K2473" t="n">
        <v>0</v>
      </c>
      <c r="L2473" t="n">
        <v>0</v>
      </c>
      <c r="M2473" t="n">
        <v>0</v>
      </c>
      <c r="N2473" t="n">
        <v>0</v>
      </c>
      <c r="O2473" t="n">
        <v>0</v>
      </c>
      <c r="P2473" t="n">
        <v>0</v>
      </c>
      <c r="Q2473" t="n">
        <v>0</v>
      </c>
      <c r="R2473" s="2" t="inlineStr"/>
    </row>
    <row r="2474" ht="15" customHeight="1">
      <c r="A2474" t="inlineStr">
        <is>
          <t>A 39891-2024</t>
        </is>
      </c>
      <c r="B2474" s="1" t="n">
        <v>45553</v>
      </c>
      <c r="C2474" s="1" t="n">
        <v>46046</v>
      </c>
      <c r="D2474" t="inlineStr">
        <is>
          <t>NORRBOTTENS LÄN</t>
        </is>
      </c>
      <c r="E2474" t="inlineStr">
        <is>
          <t>PITEÅ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17201-2024</t>
        </is>
      </c>
      <c r="B2475" s="1" t="n">
        <v>45413.59373842592</v>
      </c>
      <c r="C2475" s="1" t="n">
        <v>46046</v>
      </c>
      <c r="D2475" t="inlineStr">
        <is>
          <t>NORRBOTTENS LÄN</t>
        </is>
      </c>
      <c r="E2475" t="inlineStr">
        <is>
          <t>GÄLLIVARE</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61066-2024</t>
        </is>
      </c>
      <c r="B2476" s="1" t="n">
        <v>45645.49744212963</v>
      </c>
      <c r="C2476" s="1" t="n">
        <v>46046</v>
      </c>
      <c r="D2476" t="inlineStr">
        <is>
          <t>NORRBOTTENS LÄN</t>
        </is>
      </c>
      <c r="E2476" t="inlineStr">
        <is>
          <t>KIRUNA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1081-2024</t>
        </is>
      </c>
      <c r="B2477" s="1" t="n">
        <v>45301</v>
      </c>
      <c r="C2477" s="1" t="n">
        <v>46046</v>
      </c>
      <c r="D2477" t="inlineStr">
        <is>
          <t>NORRBOTTENS LÄN</t>
        </is>
      </c>
      <c r="E2477" t="inlineStr">
        <is>
          <t>BODEN</t>
        </is>
      </c>
      <c r="F2477" t="inlineStr">
        <is>
          <t>Övriga statliga verk och myndigheter</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19528-2024</t>
        </is>
      </c>
      <c r="B2478" s="1" t="n">
        <v>45429</v>
      </c>
      <c r="C2478" s="1" t="n">
        <v>46046</v>
      </c>
      <c r="D2478" t="inlineStr">
        <is>
          <t>NORRBOTTENS LÄN</t>
        </is>
      </c>
      <c r="E2478" t="inlineStr">
        <is>
          <t>BODEN</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19533-2024</t>
        </is>
      </c>
      <c r="B2479" s="1" t="n">
        <v>45429</v>
      </c>
      <c r="C2479" s="1" t="n">
        <v>46046</v>
      </c>
      <c r="D2479" t="inlineStr">
        <is>
          <t>NORRBOTTENS LÄN</t>
        </is>
      </c>
      <c r="E2479" t="inlineStr">
        <is>
          <t>BODEN</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48291-2023</t>
        </is>
      </c>
      <c r="B2480" s="1" t="n">
        <v>45201</v>
      </c>
      <c r="C2480" s="1" t="n">
        <v>46046</v>
      </c>
      <c r="D2480" t="inlineStr">
        <is>
          <t>NORRBOTTENS LÄN</t>
        </is>
      </c>
      <c r="E2480" t="inlineStr">
        <is>
          <t>ARVIDSJAUR</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17806-2024</t>
        </is>
      </c>
      <c r="B2481" s="1" t="n">
        <v>45418.92696759259</v>
      </c>
      <c r="C2481" s="1" t="n">
        <v>46046</v>
      </c>
      <c r="D2481" t="inlineStr">
        <is>
          <t>NORRBOTTENS LÄN</t>
        </is>
      </c>
      <c r="E2481" t="inlineStr">
        <is>
          <t>PAJALA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44179-2023</t>
        </is>
      </c>
      <c r="B2482" s="1" t="n">
        <v>45188.51991898148</v>
      </c>
      <c r="C2482" s="1" t="n">
        <v>46046</v>
      </c>
      <c r="D2482" t="inlineStr">
        <is>
          <t>NORRBOTTENS LÄN</t>
        </is>
      </c>
      <c r="E2482" t="inlineStr">
        <is>
          <t>ARVIDSJAUR</t>
        </is>
      </c>
      <c r="F2482" t="inlineStr">
        <is>
          <t>Sveaskog</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44199-2023</t>
        </is>
      </c>
      <c r="B2483" s="1" t="n">
        <v>45188</v>
      </c>
      <c r="C2483" s="1" t="n">
        <v>46046</v>
      </c>
      <c r="D2483" t="inlineStr">
        <is>
          <t>NORRBOTTENS LÄN</t>
        </is>
      </c>
      <c r="E2483" t="inlineStr">
        <is>
          <t>PITEÅ</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7234-2023</t>
        </is>
      </c>
      <c r="B2484" s="1" t="n">
        <v>44970.60267361111</v>
      </c>
      <c r="C2484" s="1" t="n">
        <v>46046</v>
      </c>
      <c r="D2484" t="inlineStr">
        <is>
          <t>NORRBOTTENS LÄN</t>
        </is>
      </c>
      <c r="E2484" t="inlineStr">
        <is>
          <t>ÖVERKALIX</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24223-2025</t>
        </is>
      </c>
      <c r="B2485" s="1" t="n">
        <v>45797.36726851852</v>
      </c>
      <c r="C2485" s="1" t="n">
        <v>46046</v>
      </c>
      <c r="D2485" t="inlineStr">
        <is>
          <t>NORRBOTTENS LÄN</t>
        </is>
      </c>
      <c r="E2485" t="inlineStr">
        <is>
          <t>PAJALA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38163-2024</t>
        </is>
      </c>
      <c r="B2486" s="1" t="n">
        <v>45545</v>
      </c>
      <c r="C2486" s="1" t="n">
        <v>46046</v>
      </c>
      <c r="D2486" t="inlineStr">
        <is>
          <t>NORRBOTTENS LÄN</t>
        </is>
      </c>
      <c r="E2486" t="inlineStr">
        <is>
          <t>PAJALA</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17304-2025</t>
        </is>
      </c>
      <c r="B2487" s="1" t="n">
        <v>45756</v>
      </c>
      <c r="C2487" s="1" t="n">
        <v>46046</v>
      </c>
      <c r="D2487" t="inlineStr">
        <is>
          <t>NORRBOTTENS LÄN</t>
        </is>
      </c>
      <c r="E2487" t="inlineStr">
        <is>
          <t>LULEÅ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17306-2025</t>
        </is>
      </c>
      <c r="B2488" s="1" t="n">
        <v>45756.60434027778</v>
      </c>
      <c r="C2488" s="1" t="n">
        <v>46046</v>
      </c>
      <c r="D2488" t="inlineStr">
        <is>
          <t>NORRBOTTENS LÄN</t>
        </is>
      </c>
      <c r="E2488" t="inlineStr">
        <is>
          <t>LULEÅ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26727-2024</t>
        </is>
      </c>
      <c r="B2489" s="1" t="n">
        <v>45470</v>
      </c>
      <c r="C2489" s="1" t="n">
        <v>46046</v>
      </c>
      <c r="D2489" t="inlineStr">
        <is>
          <t>NORRBOTTENS LÄN</t>
        </is>
      </c>
      <c r="E2489" t="inlineStr">
        <is>
          <t>ÄLVSBYN</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27652-2024</t>
        </is>
      </c>
      <c r="B2490" s="1" t="n">
        <v>45474.94982638889</v>
      </c>
      <c r="C2490" s="1" t="n">
        <v>46046</v>
      </c>
      <c r="D2490" t="inlineStr">
        <is>
          <t>NORRBOTTENS LÄN</t>
        </is>
      </c>
      <c r="E2490" t="inlineStr">
        <is>
          <t>JOKKMOKK</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4919-2025</t>
        </is>
      </c>
      <c r="B2491" s="1" t="n">
        <v>45688.68407407407</v>
      </c>
      <c r="C2491" s="1" t="n">
        <v>46046</v>
      </c>
      <c r="D2491" t="inlineStr">
        <is>
          <t>NORRBOTTENS LÄN</t>
        </is>
      </c>
      <c r="E2491" t="inlineStr">
        <is>
          <t>LULEÅ</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25920-2023</t>
        </is>
      </c>
      <c r="B2492" s="1" t="n">
        <v>45085</v>
      </c>
      <c r="C2492" s="1" t="n">
        <v>46046</v>
      </c>
      <c r="D2492" t="inlineStr">
        <is>
          <t>NORRBOTTENS LÄN</t>
        </is>
      </c>
      <c r="E2492" t="inlineStr">
        <is>
          <t>BODEN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26556-2023</t>
        </is>
      </c>
      <c r="B2493" s="1" t="n">
        <v>45092</v>
      </c>
      <c r="C2493" s="1" t="n">
        <v>46046</v>
      </c>
      <c r="D2493" t="inlineStr">
        <is>
          <t>NORRBOTTENS LÄN</t>
        </is>
      </c>
      <c r="E2493" t="inlineStr">
        <is>
          <t>ÖVERTORNEÅ</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21188-2024</t>
        </is>
      </c>
      <c r="B2494" s="1" t="n">
        <v>45440.48613425926</v>
      </c>
      <c r="C2494" s="1" t="n">
        <v>46046</v>
      </c>
      <c r="D2494" t="inlineStr">
        <is>
          <t>NORRBOTTENS LÄN</t>
        </is>
      </c>
      <c r="E2494" t="inlineStr">
        <is>
          <t>PITEÅ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24139-2025</t>
        </is>
      </c>
      <c r="B2495" s="1" t="n">
        <v>45796</v>
      </c>
      <c r="C2495" s="1" t="n">
        <v>46046</v>
      </c>
      <c r="D2495" t="inlineStr">
        <is>
          <t>NORRBOTTENS LÄN</t>
        </is>
      </c>
      <c r="E2495" t="inlineStr">
        <is>
          <t>GÄLLIVARE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18173-2025</t>
        </is>
      </c>
      <c r="B2496" s="1" t="n">
        <v>45761</v>
      </c>
      <c r="C2496" s="1" t="n">
        <v>46046</v>
      </c>
      <c r="D2496" t="inlineStr">
        <is>
          <t>NORRBOTTENS LÄN</t>
        </is>
      </c>
      <c r="E2496" t="inlineStr">
        <is>
          <t>BODEN</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24144-2025</t>
        </is>
      </c>
      <c r="B2497" s="1" t="n">
        <v>45796.6446412037</v>
      </c>
      <c r="C2497" s="1" t="n">
        <v>46046</v>
      </c>
      <c r="D2497" t="inlineStr">
        <is>
          <t>NORRBOTTENS LÄN</t>
        </is>
      </c>
      <c r="E2497" t="inlineStr">
        <is>
          <t>ÖVERKALIX</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14404-2023</t>
        </is>
      </c>
      <c r="B2498" s="1" t="n">
        <v>45009</v>
      </c>
      <c r="C2498" s="1" t="n">
        <v>46046</v>
      </c>
      <c r="D2498" t="inlineStr">
        <is>
          <t>NORRBOTTENS LÄN</t>
        </is>
      </c>
      <c r="E2498" t="inlineStr">
        <is>
          <t>KALIX</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14409-2023</t>
        </is>
      </c>
      <c r="B2499" s="1" t="n">
        <v>45012.50460648148</v>
      </c>
      <c r="C2499" s="1" t="n">
        <v>46046</v>
      </c>
      <c r="D2499" t="inlineStr">
        <is>
          <t>NORRBOTTENS LÄN</t>
        </is>
      </c>
      <c r="E2499" t="inlineStr">
        <is>
          <t>PAJALA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57826-2022</t>
        </is>
      </c>
      <c r="B2500" s="1" t="n">
        <v>44897</v>
      </c>
      <c r="C2500" s="1" t="n">
        <v>46046</v>
      </c>
      <c r="D2500" t="inlineStr">
        <is>
          <t>NORRBOTTENS LÄN</t>
        </is>
      </c>
      <c r="E2500" t="inlineStr">
        <is>
          <t>LULEÅ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17851-2024</t>
        </is>
      </c>
      <c r="B2501" s="1" t="n">
        <v>45419</v>
      </c>
      <c r="C2501" s="1" t="n">
        <v>46046</v>
      </c>
      <c r="D2501" t="inlineStr">
        <is>
          <t>NORRBOTTENS LÄN</t>
        </is>
      </c>
      <c r="E2501" t="inlineStr">
        <is>
          <t>PITEÅ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61782-2022</t>
        </is>
      </c>
      <c r="B2502" s="1" t="n">
        <v>44917</v>
      </c>
      <c r="C2502" s="1" t="n">
        <v>46046</v>
      </c>
      <c r="D2502" t="inlineStr">
        <is>
          <t>NORRBOTTENS LÄN</t>
        </is>
      </c>
      <c r="E2502" t="inlineStr">
        <is>
          <t>ÖVERTORNEÅ</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23895-2025</t>
        </is>
      </c>
      <c r="B2503" s="1" t="n">
        <v>45794</v>
      </c>
      <c r="C2503" s="1" t="n">
        <v>46046</v>
      </c>
      <c r="D2503" t="inlineStr">
        <is>
          <t>NORRBOTTENS LÄN</t>
        </is>
      </c>
      <c r="E2503" t="inlineStr">
        <is>
          <t>PAJALA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53784-2024</t>
        </is>
      </c>
      <c r="B2504" s="1" t="n">
        <v>45615</v>
      </c>
      <c r="C2504" s="1" t="n">
        <v>46046</v>
      </c>
      <c r="D2504" t="inlineStr">
        <is>
          <t>NORRBOTTENS LÄN</t>
        </is>
      </c>
      <c r="E2504" t="inlineStr">
        <is>
          <t>GÄLLIVARE</t>
        </is>
      </c>
      <c r="G2504" t="n">
        <v>9.300000000000001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39423-2024</t>
        </is>
      </c>
      <c r="B2505" s="1" t="n">
        <v>45551</v>
      </c>
      <c r="C2505" s="1" t="n">
        <v>46046</v>
      </c>
      <c r="D2505" t="inlineStr">
        <is>
          <t>NORRBOTTENS LÄN</t>
        </is>
      </c>
      <c r="E2505" t="inlineStr">
        <is>
          <t>PITEÅ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57200-2023</t>
        </is>
      </c>
      <c r="B2506" s="1" t="n">
        <v>45245</v>
      </c>
      <c r="C2506" s="1" t="n">
        <v>46046</v>
      </c>
      <c r="D2506" t="inlineStr">
        <is>
          <t>NORRBOTTENS LÄN</t>
        </is>
      </c>
      <c r="E2506" t="inlineStr">
        <is>
          <t>PITEÅ</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24132-2025</t>
        </is>
      </c>
      <c r="B2507" s="1" t="n">
        <v>45796.63579861111</v>
      </c>
      <c r="C2507" s="1" t="n">
        <v>46046</v>
      </c>
      <c r="D2507" t="inlineStr">
        <is>
          <t>NORRBOTTENS LÄN</t>
        </is>
      </c>
      <c r="E2507" t="inlineStr">
        <is>
          <t>PAJALA</t>
        </is>
      </c>
      <c r="F2507" t="inlineStr">
        <is>
          <t>SCA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1609-2023</t>
        </is>
      </c>
      <c r="B2508" s="1" t="n">
        <v>44937</v>
      </c>
      <c r="C2508" s="1" t="n">
        <v>46046</v>
      </c>
      <c r="D2508" t="inlineStr">
        <is>
          <t>NORRBOTTENS LÄN</t>
        </is>
      </c>
      <c r="E2508" t="inlineStr">
        <is>
          <t>GÄLLIVARE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24304-2025</t>
        </is>
      </c>
      <c r="B2509" s="1" t="n">
        <v>45797.48927083334</v>
      </c>
      <c r="C2509" s="1" t="n">
        <v>46046</v>
      </c>
      <c r="D2509" t="inlineStr">
        <is>
          <t>NORRBOTTENS LÄN</t>
        </is>
      </c>
      <c r="E2509" t="inlineStr">
        <is>
          <t>PITEÅ</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6731-2025</t>
        </is>
      </c>
      <c r="B2510" s="1" t="n">
        <v>45700.59357638889</v>
      </c>
      <c r="C2510" s="1" t="n">
        <v>46046</v>
      </c>
      <c r="D2510" t="inlineStr">
        <is>
          <t>NORRBOTTENS LÄN</t>
        </is>
      </c>
      <c r="E2510" t="inlineStr">
        <is>
          <t>LULEÅ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48742-2022</t>
        </is>
      </c>
      <c r="B2511" s="1" t="n">
        <v>44855</v>
      </c>
      <c r="C2511" s="1" t="n">
        <v>46046</v>
      </c>
      <c r="D2511" t="inlineStr">
        <is>
          <t>NORRBOTTENS LÄN</t>
        </is>
      </c>
      <c r="E2511" t="inlineStr">
        <is>
          <t>ÄLVSBYN</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27776-2024</t>
        </is>
      </c>
      <c r="B2512" s="1" t="n">
        <v>45475</v>
      </c>
      <c r="C2512" s="1" t="n">
        <v>46046</v>
      </c>
      <c r="D2512" t="inlineStr">
        <is>
          <t>NORRBOTTENS LÄN</t>
        </is>
      </c>
      <c r="E2512" t="inlineStr">
        <is>
          <t>PAJALA</t>
        </is>
      </c>
      <c r="G2512" t="n">
        <v>20.5</v>
      </c>
      <c r="H2512" t="n">
        <v>0</v>
      </c>
      <c r="I2512" t="n">
        <v>0</v>
      </c>
      <c r="J2512" t="n">
        <v>0</v>
      </c>
      <c r="K2512" t="n">
        <v>0</v>
      </c>
      <c r="L2512" t="n">
        <v>0</v>
      </c>
      <c r="M2512" t="n">
        <v>0</v>
      </c>
      <c r="N2512" t="n">
        <v>0</v>
      </c>
      <c r="O2512" t="n">
        <v>0</v>
      </c>
      <c r="P2512" t="n">
        <v>0</v>
      </c>
      <c r="Q2512" t="n">
        <v>0</v>
      </c>
      <c r="R2512" s="2" t="inlineStr"/>
    </row>
    <row r="2513" ht="15" customHeight="1">
      <c r="A2513" t="inlineStr">
        <is>
          <t>A 42477-2024</t>
        </is>
      </c>
      <c r="B2513" s="1" t="n">
        <v>45565</v>
      </c>
      <c r="C2513" s="1" t="n">
        <v>46046</v>
      </c>
      <c r="D2513" t="inlineStr">
        <is>
          <t>NORRBOTTENS LÄN</t>
        </is>
      </c>
      <c r="E2513" t="inlineStr">
        <is>
          <t>ÄLVSBYN</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32371-2023</t>
        </is>
      </c>
      <c r="B2514" s="1" t="n">
        <v>45110</v>
      </c>
      <c r="C2514" s="1" t="n">
        <v>46046</v>
      </c>
      <c r="D2514" t="inlineStr">
        <is>
          <t>NORRBOTTENS LÄN</t>
        </is>
      </c>
      <c r="E2514" t="inlineStr">
        <is>
          <t>PITEÅ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42558-2024</t>
        </is>
      </c>
      <c r="B2515" s="1" t="n">
        <v>45565</v>
      </c>
      <c r="C2515" s="1" t="n">
        <v>46046</v>
      </c>
      <c r="D2515" t="inlineStr">
        <is>
          <t>NORRBOTTENS LÄN</t>
        </is>
      </c>
      <c r="E2515" t="inlineStr">
        <is>
          <t>ÄLVSBYN</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21638-2022</t>
        </is>
      </c>
      <c r="B2516" s="1" t="n">
        <v>44706.92641203704</v>
      </c>
      <c r="C2516" s="1" t="n">
        <v>46046</v>
      </c>
      <c r="D2516" t="inlineStr">
        <is>
          <t>NORRBOTTENS LÄN</t>
        </is>
      </c>
      <c r="E2516" t="inlineStr">
        <is>
          <t>KALIX</t>
        </is>
      </c>
      <c r="F2516" t="inlineStr">
        <is>
          <t>Sveaskog</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40032-2024</t>
        </is>
      </c>
      <c r="B2517" s="1" t="n">
        <v>45553</v>
      </c>
      <c r="C2517" s="1" t="n">
        <v>46046</v>
      </c>
      <c r="D2517" t="inlineStr">
        <is>
          <t>NORRBOTTENS LÄN</t>
        </is>
      </c>
      <c r="E2517" t="inlineStr">
        <is>
          <t>KALIX</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49679-2024</t>
        </is>
      </c>
      <c r="B2518" s="1" t="n">
        <v>45596.6649537037</v>
      </c>
      <c r="C2518" s="1" t="n">
        <v>46046</v>
      </c>
      <c r="D2518" t="inlineStr">
        <is>
          <t>NORRBOTTENS LÄN</t>
        </is>
      </c>
      <c r="E2518" t="inlineStr">
        <is>
          <t>JOKKMOKK</t>
        </is>
      </c>
      <c r="F2518" t="inlineStr">
        <is>
          <t>Allmännings- och besparingsskogar</t>
        </is>
      </c>
      <c r="G2518" t="n">
        <v>14.1</v>
      </c>
      <c r="H2518" t="n">
        <v>0</v>
      </c>
      <c r="I2518" t="n">
        <v>0</v>
      </c>
      <c r="J2518" t="n">
        <v>0</v>
      </c>
      <c r="K2518" t="n">
        <v>0</v>
      </c>
      <c r="L2518" t="n">
        <v>0</v>
      </c>
      <c r="M2518" t="n">
        <v>0</v>
      </c>
      <c r="N2518" t="n">
        <v>0</v>
      </c>
      <c r="O2518" t="n">
        <v>0</v>
      </c>
      <c r="P2518" t="n">
        <v>0</v>
      </c>
      <c r="Q2518" t="n">
        <v>0</v>
      </c>
      <c r="R2518" s="2" t="inlineStr"/>
    </row>
    <row r="2519" ht="15" customHeight="1">
      <c r="A2519" t="inlineStr">
        <is>
          <t>A 16180-2025</t>
        </is>
      </c>
      <c r="B2519" s="1" t="n">
        <v>45750</v>
      </c>
      <c r="C2519" s="1" t="n">
        <v>46046</v>
      </c>
      <c r="D2519" t="inlineStr">
        <is>
          <t>NORRBOTTENS LÄN</t>
        </is>
      </c>
      <c r="E2519" t="inlineStr">
        <is>
          <t>BODEN</t>
        </is>
      </c>
      <c r="F2519" t="inlineStr">
        <is>
          <t>Övriga Aktiebolag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47845-2023</t>
        </is>
      </c>
      <c r="B2520" s="1" t="n">
        <v>45204.39530092593</v>
      </c>
      <c r="C2520" s="1" t="n">
        <v>46046</v>
      </c>
      <c r="D2520" t="inlineStr">
        <is>
          <t>NORRBOTTENS LÄN</t>
        </is>
      </c>
      <c r="E2520" t="inlineStr">
        <is>
          <t>PITEÅ</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64139-2023</t>
        </is>
      </c>
      <c r="B2521" s="1" t="n">
        <v>45279.56569444444</v>
      </c>
      <c r="C2521" s="1" t="n">
        <v>46046</v>
      </c>
      <c r="D2521" t="inlineStr">
        <is>
          <t>NORRBOTTENS LÄN</t>
        </is>
      </c>
      <c r="E2521" t="inlineStr">
        <is>
          <t>HAPARANDA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4011-2022</t>
        </is>
      </c>
      <c r="B2522" s="1" t="n">
        <v>44587</v>
      </c>
      <c r="C2522" s="1" t="n">
        <v>46046</v>
      </c>
      <c r="D2522" t="inlineStr">
        <is>
          <t>NORRBOTTENS LÄN</t>
        </is>
      </c>
      <c r="E2522" t="inlineStr">
        <is>
          <t>ÖVERTORNEÅ</t>
        </is>
      </c>
      <c r="F2522" t="inlineStr">
        <is>
          <t>Kommuner</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43314-2022</t>
        </is>
      </c>
      <c r="B2523" s="1" t="n">
        <v>44834</v>
      </c>
      <c r="C2523" s="1" t="n">
        <v>46046</v>
      </c>
      <c r="D2523" t="inlineStr">
        <is>
          <t>NORRBOTTENS LÄN</t>
        </is>
      </c>
      <c r="E2523" t="inlineStr">
        <is>
          <t>ÖVERKALIX</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16213-2021</t>
        </is>
      </c>
      <c r="B2524" s="1" t="n">
        <v>44292</v>
      </c>
      <c r="C2524" s="1" t="n">
        <v>46046</v>
      </c>
      <c r="D2524" t="inlineStr">
        <is>
          <t>NORRBOTTENS LÄN</t>
        </is>
      </c>
      <c r="E2524" t="inlineStr">
        <is>
          <t>BODEN</t>
        </is>
      </c>
      <c r="G2524" t="n">
        <v>21.2</v>
      </c>
      <c r="H2524" t="n">
        <v>0</v>
      </c>
      <c r="I2524" t="n">
        <v>0</v>
      </c>
      <c r="J2524" t="n">
        <v>0</v>
      </c>
      <c r="K2524" t="n">
        <v>0</v>
      </c>
      <c r="L2524" t="n">
        <v>0</v>
      </c>
      <c r="M2524" t="n">
        <v>0</v>
      </c>
      <c r="N2524" t="n">
        <v>0</v>
      </c>
      <c r="O2524" t="n">
        <v>0</v>
      </c>
      <c r="P2524" t="n">
        <v>0</v>
      </c>
      <c r="Q2524" t="n">
        <v>0</v>
      </c>
      <c r="R2524" s="2" t="inlineStr"/>
    </row>
    <row r="2525" ht="15" customHeight="1">
      <c r="A2525" t="inlineStr">
        <is>
          <t>A 51614-2024</t>
        </is>
      </c>
      <c r="B2525" s="1" t="n">
        <v>45604.69282407407</v>
      </c>
      <c r="C2525" s="1" t="n">
        <v>46046</v>
      </c>
      <c r="D2525" t="inlineStr">
        <is>
          <t>NORRBOTTENS LÄN</t>
        </is>
      </c>
      <c r="E2525" t="inlineStr">
        <is>
          <t>BODEN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42102-2024</t>
        </is>
      </c>
      <c r="B2526" s="1" t="n">
        <v>45562.35875</v>
      </c>
      <c r="C2526" s="1" t="n">
        <v>46046</v>
      </c>
      <c r="D2526" t="inlineStr">
        <is>
          <t>NORRBOTTENS LÄN</t>
        </is>
      </c>
      <c r="E2526" t="inlineStr">
        <is>
          <t>LULEÅ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23196-2024</t>
        </is>
      </c>
      <c r="B2527" s="1" t="n">
        <v>45451.42575231481</v>
      </c>
      <c r="C2527" s="1" t="n">
        <v>46046</v>
      </c>
      <c r="D2527" t="inlineStr">
        <is>
          <t>NORRBOTTENS LÄN</t>
        </is>
      </c>
      <c r="E2527" t="inlineStr">
        <is>
          <t>ÖVERTORNEÅ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64816-2023</t>
        </is>
      </c>
      <c r="B2528" s="1" t="n">
        <v>45281</v>
      </c>
      <c r="C2528" s="1" t="n">
        <v>46046</v>
      </c>
      <c r="D2528" t="inlineStr">
        <is>
          <t>NORRBOTTENS LÄN</t>
        </is>
      </c>
      <c r="E2528" t="inlineStr">
        <is>
          <t>ARJEPLOG</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4661-2022</t>
        </is>
      </c>
      <c r="B2529" s="1" t="n">
        <v>44589</v>
      </c>
      <c r="C2529" s="1" t="n">
        <v>46046</v>
      </c>
      <c r="D2529" t="inlineStr">
        <is>
          <t>NORRBOTTENS LÄN</t>
        </is>
      </c>
      <c r="E2529" t="inlineStr">
        <is>
          <t>JOKKMOKK</t>
        </is>
      </c>
      <c r="G2529" t="n">
        <v>39.5</v>
      </c>
      <c r="H2529" t="n">
        <v>0</v>
      </c>
      <c r="I2529" t="n">
        <v>0</v>
      </c>
      <c r="J2529" t="n">
        <v>0</v>
      </c>
      <c r="K2529" t="n">
        <v>0</v>
      </c>
      <c r="L2529" t="n">
        <v>0</v>
      </c>
      <c r="M2529" t="n">
        <v>0</v>
      </c>
      <c r="N2529" t="n">
        <v>0</v>
      </c>
      <c r="O2529" t="n">
        <v>0</v>
      </c>
      <c r="P2529" t="n">
        <v>0</v>
      </c>
      <c r="Q2529" t="n">
        <v>0</v>
      </c>
      <c r="R2529" s="2" t="inlineStr"/>
    </row>
    <row r="2530" ht="15" customHeight="1">
      <c r="A2530" t="inlineStr">
        <is>
          <t>A 24358-2025</t>
        </is>
      </c>
      <c r="B2530" s="1" t="n">
        <v>45797</v>
      </c>
      <c r="C2530" s="1" t="n">
        <v>46046</v>
      </c>
      <c r="D2530" t="inlineStr">
        <is>
          <t>NORRBOTTENS LÄN</t>
        </is>
      </c>
      <c r="E2530" t="inlineStr">
        <is>
          <t>BODEN</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2691-2023</t>
        </is>
      </c>
      <c r="B2531" s="1" t="n">
        <v>44944.47784722222</v>
      </c>
      <c r="C2531" s="1" t="n">
        <v>46046</v>
      </c>
      <c r="D2531" t="inlineStr">
        <is>
          <t>NORRBOTTENS LÄN</t>
        </is>
      </c>
      <c r="E2531" t="inlineStr">
        <is>
          <t>PITEÅ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8907-2023</t>
        </is>
      </c>
      <c r="B2532" s="1" t="n">
        <v>44973</v>
      </c>
      <c r="C2532" s="1" t="n">
        <v>46046</v>
      </c>
      <c r="D2532" t="inlineStr">
        <is>
          <t>NORRBOTTENS LÄN</t>
        </is>
      </c>
      <c r="E2532" t="inlineStr">
        <is>
          <t>PAJALA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61630-2024</t>
        </is>
      </c>
      <c r="B2533" s="1" t="n">
        <v>45646.66561342592</v>
      </c>
      <c r="C2533" s="1" t="n">
        <v>46046</v>
      </c>
      <c r="D2533" t="inlineStr">
        <is>
          <t>NORRBOTTENS LÄN</t>
        </is>
      </c>
      <c r="E2533" t="inlineStr">
        <is>
          <t>BODEN</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54274-2023</t>
        </is>
      </c>
      <c r="B2534" s="1" t="n">
        <v>45232.68149305556</v>
      </c>
      <c r="C2534" s="1" t="n">
        <v>46046</v>
      </c>
      <c r="D2534" t="inlineStr">
        <is>
          <t>NORRBOTTENS LÄN</t>
        </is>
      </c>
      <c r="E2534" t="inlineStr">
        <is>
          <t>PITEÅ</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23949-2025</t>
        </is>
      </c>
      <c r="B2535" s="1" t="n">
        <v>45796.3506712963</v>
      </c>
      <c r="C2535" s="1" t="n">
        <v>46046</v>
      </c>
      <c r="D2535" t="inlineStr">
        <is>
          <t>NORRBOTTENS LÄN</t>
        </is>
      </c>
      <c r="E2535" t="inlineStr">
        <is>
          <t>PITEÅ</t>
        </is>
      </c>
      <c r="G2535" t="n">
        <v>13.4</v>
      </c>
      <c r="H2535" t="n">
        <v>0</v>
      </c>
      <c r="I2535" t="n">
        <v>0</v>
      </c>
      <c r="J2535" t="n">
        <v>0</v>
      </c>
      <c r="K2535" t="n">
        <v>0</v>
      </c>
      <c r="L2535" t="n">
        <v>0</v>
      </c>
      <c r="M2535" t="n">
        <v>0</v>
      </c>
      <c r="N2535" t="n">
        <v>0</v>
      </c>
      <c r="O2535" t="n">
        <v>0</v>
      </c>
      <c r="P2535" t="n">
        <v>0</v>
      </c>
      <c r="Q2535" t="n">
        <v>0</v>
      </c>
      <c r="R2535" s="2" t="inlineStr"/>
    </row>
    <row r="2536" ht="15" customHeight="1">
      <c r="A2536" t="inlineStr">
        <is>
          <t>A 57897-2022</t>
        </is>
      </c>
      <c r="B2536" s="1" t="n">
        <v>44900</v>
      </c>
      <c r="C2536" s="1" t="n">
        <v>46046</v>
      </c>
      <c r="D2536" t="inlineStr">
        <is>
          <t>NORRBOTTENS LÄN</t>
        </is>
      </c>
      <c r="E2536" t="inlineStr">
        <is>
          <t>BODEN</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41612-2024</t>
        </is>
      </c>
      <c r="B2537" s="1" t="n">
        <v>45560.59424768519</v>
      </c>
      <c r="C2537" s="1" t="n">
        <v>46046</v>
      </c>
      <c r="D2537" t="inlineStr">
        <is>
          <t>NORRBOTTENS LÄN</t>
        </is>
      </c>
      <c r="E2537" t="inlineStr">
        <is>
          <t>PAJALA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24271-2025</t>
        </is>
      </c>
      <c r="B2538" s="1" t="n">
        <v>45797.43649305555</v>
      </c>
      <c r="C2538" s="1" t="n">
        <v>46046</v>
      </c>
      <c r="D2538" t="inlineStr">
        <is>
          <t>NORRBOTTENS LÄN</t>
        </is>
      </c>
      <c r="E2538" t="inlineStr">
        <is>
          <t>PAJALA</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24184-2025</t>
        </is>
      </c>
      <c r="B2539" s="1" t="n">
        <v>45796</v>
      </c>
      <c r="C2539" s="1" t="n">
        <v>46046</v>
      </c>
      <c r="D2539" t="inlineStr">
        <is>
          <t>NORRBOTTENS LÄN</t>
        </is>
      </c>
      <c r="E2539" t="inlineStr">
        <is>
          <t>ARVIDSJAUR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29939-2022</t>
        </is>
      </c>
      <c r="B2540" s="1" t="n">
        <v>44756</v>
      </c>
      <c r="C2540" s="1" t="n">
        <v>46046</v>
      </c>
      <c r="D2540" t="inlineStr">
        <is>
          <t>NORRBOTTENS LÄN</t>
        </is>
      </c>
      <c r="E2540" t="inlineStr">
        <is>
          <t>PAJALA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45677-2021</t>
        </is>
      </c>
      <c r="B2541" s="1" t="n">
        <v>44441.35422453703</v>
      </c>
      <c r="C2541" s="1" t="n">
        <v>46046</v>
      </c>
      <c r="D2541" t="inlineStr">
        <is>
          <t>NORRBOTTENS LÄN</t>
        </is>
      </c>
      <c r="E2541" t="inlineStr">
        <is>
          <t>BODEN</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57836-2022</t>
        </is>
      </c>
      <c r="B2542" s="1" t="n">
        <v>44897</v>
      </c>
      <c r="C2542" s="1" t="n">
        <v>46046</v>
      </c>
      <c r="D2542" t="inlineStr">
        <is>
          <t>NORRBOTTENS LÄN</t>
        </is>
      </c>
      <c r="E2542" t="inlineStr">
        <is>
          <t>ÖVERKALIX</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73216-2021</t>
        </is>
      </c>
      <c r="B2543" s="1" t="n">
        <v>44547</v>
      </c>
      <c r="C2543" s="1" t="n">
        <v>46046</v>
      </c>
      <c r="D2543" t="inlineStr">
        <is>
          <t>NORRBOTTENS LÄN</t>
        </is>
      </c>
      <c r="E2543" t="inlineStr">
        <is>
          <t>ÖVERKALIX</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23972-2025</t>
        </is>
      </c>
      <c r="B2544" s="1" t="n">
        <v>45796.38576388889</v>
      </c>
      <c r="C2544" s="1" t="n">
        <v>46046</v>
      </c>
      <c r="D2544" t="inlineStr">
        <is>
          <t>NORRBOTTENS LÄN</t>
        </is>
      </c>
      <c r="E2544" t="inlineStr">
        <is>
          <t>KALIX</t>
        </is>
      </c>
      <c r="F2544" t="inlineStr">
        <is>
          <t>SCA</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24120-2025</t>
        </is>
      </c>
      <c r="B2545" s="1" t="n">
        <v>45796</v>
      </c>
      <c r="C2545" s="1" t="n">
        <v>46046</v>
      </c>
      <c r="D2545" t="inlineStr">
        <is>
          <t>NORRBOTTENS LÄN</t>
        </is>
      </c>
      <c r="E2545" t="inlineStr">
        <is>
          <t>HAPARANDA</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24134-2025</t>
        </is>
      </c>
      <c r="B2546" s="1" t="n">
        <v>45796.63600694444</v>
      </c>
      <c r="C2546" s="1" t="n">
        <v>46046</v>
      </c>
      <c r="D2546" t="inlineStr">
        <is>
          <t>NORRBOTTENS LÄN</t>
        </is>
      </c>
      <c r="E2546" t="inlineStr">
        <is>
          <t>BODEN</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64832-2023</t>
        </is>
      </c>
      <c r="B2547" s="1" t="n">
        <v>45281</v>
      </c>
      <c r="C2547" s="1" t="n">
        <v>46046</v>
      </c>
      <c r="D2547" t="inlineStr">
        <is>
          <t>NORRBOTTENS LÄN</t>
        </is>
      </c>
      <c r="E2547" t="inlineStr">
        <is>
          <t>ARJEPLOG</t>
        </is>
      </c>
      <c r="G2547" t="n">
        <v>43.6</v>
      </c>
      <c r="H2547" t="n">
        <v>0</v>
      </c>
      <c r="I2547" t="n">
        <v>0</v>
      </c>
      <c r="J2547" t="n">
        <v>0</v>
      </c>
      <c r="K2547" t="n">
        <v>0</v>
      </c>
      <c r="L2547" t="n">
        <v>0</v>
      </c>
      <c r="M2547" t="n">
        <v>0</v>
      </c>
      <c r="N2547" t="n">
        <v>0</v>
      </c>
      <c r="O2547" t="n">
        <v>0</v>
      </c>
      <c r="P2547" t="n">
        <v>0</v>
      </c>
      <c r="Q2547" t="n">
        <v>0</v>
      </c>
      <c r="R2547" s="2" t="inlineStr"/>
    </row>
    <row r="2548" ht="15" customHeight="1">
      <c r="A2548" t="inlineStr">
        <is>
          <t>A 24394-2025</t>
        </is>
      </c>
      <c r="B2548" s="1" t="n">
        <v>45797.63663194444</v>
      </c>
      <c r="C2548" s="1" t="n">
        <v>46046</v>
      </c>
      <c r="D2548" t="inlineStr">
        <is>
          <t>NORRBOTTENS LÄN</t>
        </is>
      </c>
      <c r="E2548" t="inlineStr">
        <is>
          <t>PAJALA</t>
        </is>
      </c>
      <c r="F2548" t="inlineStr">
        <is>
          <t>SCA</t>
        </is>
      </c>
      <c r="G2548" t="n">
        <v>27.1</v>
      </c>
      <c r="H2548" t="n">
        <v>0</v>
      </c>
      <c r="I2548" t="n">
        <v>0</v>
      </c>
      <c r="J2548" t="n">
        <v>0</v>
      </c>
      <c r="K2548" t="n">
        <v>0</v>
      </c>
      <c r="L2548" t="n">
        <v>0</v>
      </c>
      <c r="M2548" t="n">
        <v>0</v>
      </c>
      <c r="N2548" t="n">
        <v>0</v>
      </c>
      <c r="O2548" t="n">
        <v>0</v>
      </c>
      <c r="P2548" t="n">
        <v>0</v>
      </c>
      <c r="Q2548" t="n">
        <v>0</v>
      </c>
      <c r="R2548" s="2" t="inlineStr"/>
    </row>
    <row r="2549" ht="15" customHeight="1">
      <c r="A2549" t="inlineStr">
        <is>
          <t>A 14375-2021</t>
        </is>
      </c>
      <c r="B2549" s="1" t="n">
        <v>44279</v>
      </c>
      <c r="C2549" s="1" t="n">
        <v>46046</v>
      </c>
      <c r="D2549" t="inlineStr">
        <is>
          <t>NORRBOTTENS LÄN</t>
        </is>
      </c>
      <c r="E2549" t="inlineStr">
        <is>
          <t>ARJEPLOG</t>
        </is>
      </c>
      <c r="F2549" t="inlineStr">
        <is>
          <t>Övriga statliga verk och myndigheter</t>
        </is>
      </c>
      <c r="G2549" t="n">
        <v>60</v>
      </c>
      <c r="H2549" t="n">
        <v>0</v>
      </c>
      <c r="I2549" t="n">
        <v>0</v>
      </c>
      <c r="J2549" t="n">
        <v>0</v>
      </c>
      <c r="K2549" t="n">
        <v>0</v>
      </c>
      <c r="L2549" t="n">
        <v>0</v>
      </c>
      <c r="M2549" t="n">
        <v>0</v>
      </c>
      <c r="N2549" t="n">
        <v>0</v>
      </c>
      <c r="O2549" t="n">
        <v>0</v>
      </c>
      <c r="P2549" t="n">
        <v>0</v>
      </c>
      <c r="Q2549" t="n">
        <v>0</v>
      </c>
      <c r="R2549" s="2" t="inlineStr"/>
    </row>
    <row r="2550" ht="15" customHeight="1">
      <c r="A2550" t="inlineStr">
        <is>
          <t>A 24288-2025</t>
        </is>
      </c>
      <c r="B2550" s="1" t="n">
        <v>45797.46248842592</v>
      </c>
      <c r="C2550" s="1" t="n">
        <v>46046</v>
      </c>
      <c r="D2550" t="inlineStr">
        <is>
          <t>NORRBOTTENS LÄN</t>
        </is>
      </c>
      <c r="E2550" t="inlineStr">
        <is>
          <t>PITEÅ</t>
        </is>
      </c>
      <c r="G2550" t="n">
        <v>17.5</v>
      </c>
      <c r="H2550" t="n">
        <v>0</v>
      </c>
      <c r="I2550" t="n">
        <v>0</v>
      </c>
      <c r="J2550" t="n">
        <v>0</v>
      </c>
      <c r="K2550" t="n">
        <v>0</v>
      </c>
      <c r="L2550" t="n">
        <v>0</v>
      </c>
      <c r="M2550" t="n">
        <v>0</v>
      </c>
      <c r="N2550" t="n">
        <v>0</v>
      </c>
      <c r="O2550" t="n">
        <v>0</v>
      </c>
      <c r="P2550" t="n">
        <v>0</v>
      </c>
      <c r="Q2550" t="n">
        <v>0</v>
      </c>
      <c r="R2550" s="2" t="inlineStr"/>
    </row>
    <row r="2551" ht="15" customHeight="1">
      <c r="A2551" t="inlineStr">
        <is>
          <t>A 25239-2024</t>
        </is>
      </c>
      <c r="B2551" s="1" t="n">
        <v>45462.6018287037</v>
      </c>
      <c r="C2551" s="1" t="n">
        <v>46046</v>
      </c>
      <c r="D2551" t="inlineStr">
        <is>
          <t>NORRBOTTENS LÄN</t>
        </is>
      </c>
      <c r="E2551" t="inlineStr">
        <is>
          <t>KALIX</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23166-2024</t>
        </is>
      </c>
      <c r="B2552" s="1" t="n">
        <v>45450</v>
      </c>
      <c r="C2552" s="1" t="n">
        <v>46046</v>
      </c>
      <c r="D2552" t="inlineStr">
        <is>
          <t>NORRBOTTENS LÄN</t>
        </is>
      </c>
      <c r="E2552" t="inlineStr">
        <is>
          <t>PAJALA</t>
        </is>
      </c>
      <c r="F2552" t="inlineStr">
        <is>
          <t>Allmännings- och besparingsskogar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33751-2021</t>
        </is>
      </c>
      <c r="B2553" s="1" t="n">
        <v>44377</v>
      </c>
      <c r="C2553" s="1" t="n">
        <v>46046</v>
      </c>
      <c r="D2553" t="inlineStr">
        <is>
          <t>NORRBOTTENS LÄN</t>
        </is>
      </c>
      <c r="E2553" t="inlineStr">
        <is>
          <t>KALIX</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263-2025</t>
        </is>
      </c>
      <c r="B2554" s="1" t="n">
        <v>45660.45284722222</v>
      </c>
      <c r="C2554" s="1" t="n">
        <v>46046</v>
      </c>
      <c r="D2554" t="inlineStr">
        <is>
          <t>NORRBOTTENS LÄN</t>
        </is>
      </c>
      <c r="E2554" t="inlineStr">
        <is>
          <t>KALIX</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37572-2024</t>
        </is>
      </c>
      <c r="B2555" s="1" t="n">
        <v>45541</v>
      </c>
      <c r="C2555" s="1" t="n">
        <v>46046</v>
      </c>
      <c r="D2555" t="inlineStr">
        <is>
          <t>NORRBOTTENS LÄN</t>
        </is>
      </c>
      <c r="E2555" t="inlineStr">
        <is>
          <t>KALIX</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14801-2024</t>
        </is>
      </c>
      <c r="B2556" s="1" t="n">
        <v>45397</v>
      </c>
      <c r="C2556" s="1" t="n">
        <v>46046</v>
      </c>
      <c r="D2556" t="inlineStr">
        <is>
          <t>NORRBOTTENS LÄN</t>
        </is>
      </c>
      <c r="E2556" t="inlineStr">
        <is>
          <t>BODEN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14802-2024</t>
        </is>
      </c>
      <c r="B2557" s="1" t="n">
        <v>45397</v>
      </c>
      <c r="C2557" s="1" t="n">
        <v>46046</v>
      </c>
      <c r="D2557" t="inlineStr">
        <is>
          <t>NORRBOTTENS LÄN</t>
        </is>
      </c>
      <c r="E2557" t="inlineStr">
        <is>
          <t>BODEN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433-2022</t>
        </is>
      </c>
      <c r="B2558" s="1" t="n">
        <v>44565.92903935185</v>
      </c>
      <c r="C2558" s="1" t="n">
        <v>46046</v>
      </c>
      <c r="D2558" t="inlineStr">
        <is>
          <t>NORRBOTTENS LÄN</t>
        </is>
      </c>
      <c r="E2558" t="inlineStr">
        <is>
          <t>LULEÅ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17856-2023</t>
        </is>
      </c>
      <c r="B2559" s="1" t="n">
        <v>45037</v>
      </c>
      <c r="C2559" s="1" t="n">
        <v>46046</v>
      </c>
      <c r="D2559" t="inlineStr">
        <is>
          <t>NORRBOTTENS LÄN</t>
        </is>
      </c>
      <c r="E2559" t="inlineStr">
        <is>
          <t>KALIX</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22688-2024</t>
        </is>
      </c>
      <c r="B2560" s="1" t="n">
        <v>45448</v>
      </c>
      <c r="C2560" s="1" t="n">
        <v>46046</v>
      </c>
      <c r="D2560" t="inlineStr">
        <is>
          <t>NORRBOTTENS LÄN</t>
        </is>
      </c>
      <c r="E2560" t="inlineStr">
        <is>
          <t>ARVIDSJAUR</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22691-2024</t>
        </is>
      </c>
      <c r="B2561" s="1" t="n">
        <v>45448</v>
      </c>
      <c r="C2561" s="1" t="n">
        <v>46046</v>
      </c>
      <c r="D2561" t="inlineStr">
        <is>
          <t>NORRBOTTENS LÄN</t>
        </is>
      </c>
      <c r="E2561" t="inlineStr">
        <is>
          <t>ARVIDSJAUR</t>
        </is>
      </c>
      <c r="F2561" t="inlineStr">
        <is>
          <t>Sveaskog</t>
        </is>
      </c>
      <c r="G2561" t="n">
        <v>11.2</v>
      </c>
      <c r="H2561" t="n">
        <v>0</v>
      </c>
      <c r="I2561" t="n">
        <v>0</v>
      </c>
      <c r="J2561" t="n">
        <v>0</v>
      </c>
      <c r="K2561" t="n">
        <v>0</v>
      </c>
      <c r="L2561" t="n">
        <v>0</v>
      </c>
      <c r="M2561" t="n">
        <v>0</v>
      </c>
      <c r="N2561" t="n">
        <v>0</v>
      </c>
      <c r="O2561" t="n">
        <v>0</v>
      </c>
      <c r="P2561" t="n">
        <v>0</v>
      </c>
      <c r="Q2561" t="n">
        <v>0</v>
      </c>
      <c r="R2561" s="2" t="inlineStr"/>
    </row>
    <row r="2562" ht="15" customHeight="1">
      <c r="A2562" t="inlineStr">
        <is>
          <t>A 52354-2022</t>
        </is>
      </c>
      <c r="B2562" s="1" t="n">
        <v>44874</v>
      </c>
      <c r="C2562" s="1" t="n">
        <v>46046</v>
      </c>
      <c r="D2562" t="inlineStr">
        <is>
          <t>NORRBOTTENS LÄN</t>
        </is>
      </c>
      <c r="E2562" t="inlineStr">
        <is>
          <t>PAJALA</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35197-2023</t>
        </is>
      </c>
      <c r="B2563" s="1" t="n">
        <v>45145</v>
      </c>
      <c r="C2563" s="1" t="n">
        <v>46046</v>
      </c>
      <c r="D2563" t="inlineStr">
        <is>
          <t>NORRBOTTENS LÄN</t>
        </is>
      </c>
      <c r="E2563" t="inlineStr">
        <is>
          <t>PITEÅ</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61488-2024</t>
        </is>
      </c>
      <c r="B2564" s="1" t="n">
        <v>45646.54873842592</v>
      </c>
      <c r="C2564" s="1" t="n">
        <v>46046</v>
      </c>
      <c r="D2564" t="inlineStr">
        <is>
          <t>NORRBOTTENS LÄN</t>
        </is>
      </c>
      <c r="E2564" t="inlineStr">
        <is>
          <t>LULEÅ</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24733-2025</t>
        </is>
      </c>
      <c r="B2565" s="1" t="n">
        <v>45799.34436342592</v>
      </c>
      <c r="C2565" s="1" t="n">
        <v>46046</v>
      </c>
      <c r="D2565" t="inlineStr">
        <is>
          <t>NORRBOTTENS LÄN</t>
        </is>
      </c>
      <c r="E2565" t="inlineStr">
        <is>
          <t>BODEN</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24738-2025</t>
        </is>
      </c>
      <c r="B2566" s="1" t="n">
        <v>45799.34511574074</v>
      </c>
      <c r="C2566" s="1" t="n">
        <v>46046</v>
      </c>
      <c r="D2566" t="inlineStr">
        <is>
          <t>NORRBOTTENS LÄN</t>
        </is>
      </c>
      <c r="E2566" t="inlineStr">
        <is>
          <t>BODEN</t>
        </is>
      </c>
      <c r="F2566" t="inlineStr">
        <is>
          <t>SCA</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24739-2025</t>
        </is>
      </c>
      <c r="B2567" s="1" t="n">
        <v>45799</v>
      </c>
      <c r="C2567" s="1" t="n">
        <v>46046</v>
      </c>
      <c r="D2567" t="inlineStr">
        <is>
          <t>NORRBOTTENS LÄN</t>
        </is>
      </c>
      <c r="E2567" t="inlineStr">
        <is>
          <t>GÄLLIVARE</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24740-2025</t>
        </is>
      </c>
      <c r="B2568" s="1" t="n">
        <v>45799.34543981482</v>
      </c>
      <c r="C2568" s="1" t="n">
        <v>46046</v>
      </c>
      <c r="D2568" t="inlineStr">
        <is>
          <t>NORRBOTTENS LÄN</t>
        </is>
      </c>
      <c r="E2568" t="inlineStr">
        <is>
          <t>JOKKMOKK</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24741-2025</t>
        </is>
      </c>
      <c r="B2569" s="1" t="n">
        <v>45799.34563657407</v>
      </c>
      <c r="C2569" s="1" t="n">
        <v>46046</v>
      </c>
      <c r="D2569" t="inlineStr">
        <is>
          <t>NORRBOTTENS LÄN</t>
        </is>
      </c>
      <c r="E2569" t="inlineStr">
        <is>
          <t>GÄLLIVARE</t>
        </is>
      </c>
      <c r="F2569" t="inlineStr">
        <is>
          <t>SCA</t>
        </is>
      </c>
      <c r="G2569" t="n">
        <v>16.2</v>
      </c>
      <c r="H2569" t="n">
        <v>0</v>
      </c>
      <c r="I2569" t="n">
        <v>0</v>
      </c>
      <c r="J2569" t="n">
        <v>0</v>
      </c>
      <c r="K2569" t="n">
        <v>0</v>
      </c>
      <c r="L2569" t="n">
        <v>0</v>
      </c>
      <c r="M2569" t="n">
        <v>0</v>
      </c>
      <c r="N2569" t="n">
        <v>0</v>
      </c>
      <c r="O2569" t="n">
        <v>0</v>
      </c>
      <c r="P2569" t="n">
        <v>0</v>
      </c>
      <c r="Q2569" t="n">
        <v>0</v>
      </c>
      <c r="R2569" s="2" t="inlineStr"/>
    </row>
    <row r="2570" ht="15" customHeight="1">
      <c r="A2570" t="inlineStr">
        <is>
          <t>A 24743-2025</t>
        </is>
      </c>
      <c r="B2570" s="1" t="n">
        <v>45799.34598379629</v>
      </c>
      <c r="C2570" s="1" t="n">
        <v>46046</v>
      </c>
      <c r="D2570" t="inlineStr">
        <is>
          <t>NORRBOTTENS LÄN</t>
        </is>
      </c>
      <c r="E2570" t="inlineStr">
        <is>
          <t>JOKKMOKK</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24749-2025</t>
        </is>
      </c>
      <c r="B2571" s="1" t="n">
        <v>45799.34695601852</v>
      </c>
      <c r="C2571" s="1" t="n">
        <v>46046</v>
      </c>
      <c r="D2571" t="inlineStr">
        <is>
          <t>NORRBOTTENS LÄN</t>
        </is>
      </c>
      <c r="E2571" t="inlineStr">
        <is>
          <t>PITEÅ</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20564-2025</t>
        </is>
      </c>
      <c r="B2572" s="1" t="n">
        <v>45775.65917824074</v>
      </c>
      <c r="C2572" s="1" t="n">
        <v>46046</v>
      </c>
      <c r="D2572" t="inlineStr">
        <is>
          <t>NORRBOTTENS LÄN</t>
        </is>
      </c>
      <c r="E2572" t="inlineStr">
        <is>
          <t>ÖVERTORNEÅ</t>
        </is>
      </c>
      <c r="F2572" t="inlineStr">
        <is>
          <t>Sveaskog</t>
        </is>
      </c>
      <c r="G2572" t="n">
        <v>39.6</v>
      </c>
      <c r="H2572" t="n">
        <v>0</v>
      </c>
      <c r="I2572" t="n">
        <v>0</v>
      </c>
      <c r="J2572" t="n">
        <v>0</v>
      </c>
      <c r="K2572" t="n">
        <v>0</v>
      </c>
      <c r="L2572" t="n">
        <v>0</v>
      </c>
      <c r="M2572" t="n">
        <v>0</v>
      </c>
      <c r="N2572" t="n">
        <v>0</v>
      </c>
      <c r="O2572" t="n">
        <v>0</v>
      </c>
      <c r="P2572" t="n">
        <v>0</v>
      </c>
      <c r="Q2572" t="n">
        <v>0</v>
      </c>
      <c r="R2572" s="2" t="inlineStr"/>
    </row>
    <row r="2573" ht="15" customHeight="1">
      <c r="A2573" t="inlineStr">
        <is>
          <t>A 40106-2023</t>
        </is>
      </c>
      <c r="B2573" s="1" t="n">
        <v>45168.93785879629</v>
      </c>
      <c r="C2573" s="1" t="n">
        <v>46046</v>
      </c>
      <c r="D2573" t="inlineStr">
        <is>
          <t>NORRBOTTENS LÄN</t>
        </is>
      </c>
      <c r="E2573" t="inlineStr">
        <is>
          <t>JOKKMOKK</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42857-2024</t>
        </is>
      </c>
      <c r="B2574" s="1" t="n">
        <v>45566</v>
      </c>
      <c r="C2574" s="1" t="n">
        <v>46046</v>
      </c>
      <c r="D2574" t="inlineStr">
        <is>
          <t>NORRBOTTENS LÄN</t>
        </is>
      </c>
      <c r="E2574" t="inlineStr">
        <is>
          <t>PAJALA</t>
        </is>
      </c>
      <c r="G2574" t="n">
        <v>40.1</v>
      </c>
      <c r="H2574" t="n">
        <v>0</v>
      </c>
      <c r="I2574" t="n">
        <v>0</v>
      </c>
      <c r="J2574" t="n">
        <v>0</v>
      </c>
      <c r="K2574" t="n">
        <v>0</v>
      </c>
      <c r="L2574" t="n">
        <v>0</v>
      </c>
      <c r="M2574" t="n">
        <v>0</v>
      </c>
      <c r="N2574" t="n">
        <v>0</v>
      </c>
      <c r="O2574" t="n">
        <v>0</v>
      </c>
      <c r="P2574" t="n">
        <v>0</v>
      </c>
      <c r="Q2574" t="n">
        <v>0</v>
      </c>
      <c r="R2574" s="2" t="inlineStr"/>
    </row>
    <row r="2575" ht="15" customHeight="1">
      <c r="A2575" t="inlineStr">
        <is>
          <t>A 36939-2022</t>
        </is>
      </c>
      <c r="B2575" s="1" t="n">
        <v>44805</v>
      </c>
      <c r="C2575" s="1" t="n">
        <v>46046</v>
      </c>
      <c r="D2575" t="inlineStr">
        <is>
          <t>NORRBOTTENS LÄN</t>
        </is>
      </c>
      <c r="E2575" t="inlineStr">
        <is>
          <t>KIRUNA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17564-2024</t>
        </is>
      </c>
      <c r="B2576" s="1" t="n">
        <v>45415</v>
      </c>
      <c r="C2576" s="1" t="n">
        <v>46046</v>
      </c>
      <c r="D2576" t="inlineStr">
        <is>
          <t>NORRBOTTENS LÄN</t>
        </is>
      </c>
      <c r="E2576" t="inlineStr">
        <is>
          <t>HAPARANDA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5209-2025</t>
        </is>
      </c>
      <c r="B2577" s="1" t="n">
        <v>45691.67776620371</v>
      </c>
      <c r="C2577" s="1" t="n">
        <v>46046</v>
      </c>
      <c r="D2577" t="inlineStr">
        <is>
          <t>NORRBOTTENS LÄN</t>
        </is>
      </c>
      <c r="E2577" t="inlineStr">
        <is>
          <t>ÖVERKALIX</t>
        </is>
      </c>
      <c r="F2577" t="inlineStr">
        <is>
          <t>SCA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49091-2024</t>
        </is>
      </c>
      <c r="B2578" s="1" t="n">
        <v>45594</v>
      </c>
      <c r="C2578" s="1" t="n">
        <v>46046</v>
      </c>
      <c r="D2578" t="inlineStr">
        <is>
          <t>NORRBOTTENS LÄN</t>
        </is>
      </c>
      <c r="E2578" t="inlineStr">
        <is>
          <t>ÖVERKALIX</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29196-2021</t>
        </is>
      </c>
      <c r="B2579" s="1" t="n">
        <v>44358</v>
      </c>
      <c r="C2579" s="1" t="n">
        <v>46046</v>
      </c>
      <c r="D2579" t="inlineStr">
        <is>
          <t>NORRBOTTENS LÄN</t>
        </is>
      </c>
      <c r="E2579" t="inlineStr">
        <is>
          <t>GÄLLIVARE</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67004-2021</t>
        </is>
      </c>
      <c r="B2580" s="1" t="n">
        <v>44522.63969907408</v>
      </c>
      <c r="C2580" s="1" t="n">
        <v>46046</v>
      </c>
      <c r="D2580" t="inlineStr">
        <is>
          <t>NORRBOTTENS LÄN</t>
        </is>
      </c>
      <c r="E2580" t="inlineStr">
        <is>
          <t>KALIX</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45748-2023</t>
        </is>
      </c>
      <c r="B2581" s="1" t="n">
        <v>45189</v>
      </c>
      <c r="C2581" s="1" t="n">
        <v>46046</v>
      </c>
      <c r="D2581" t="inlineStr">
        <is>
          <t>NORRBOTTENS LÄN</t>
        </is>
      </c>
      <c r="E2581" t="inlineStr">
        <is>
          <t>ÖVERKALIX</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9887-2024</t>
        </is>
      </c>
      <c r="B2582" s="1" t="n">
        <v>45363.46945601852</v>
      </c>
      <c r="C2582" s="1" t="n">
        <v>46046</v>
      </c>
      <c r="D2582" t="inlineStr">
        <is>
          <t>NORRBOTTENS LÄN</t>
        </is>
      </c>
      <c r="E2582" t="inlineStr">
        <is>
          <t>KALIX</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24923-2025</t>
        </is>
      </c>
      <c r="B2583" s="1" t="n">
        <v>45799.55270833334</v>
      </c>
      <c r="C2583" s="1" t="n">
        <v>46046</v>
      </c>
      <c r="D2583" t="inlineStr">
        <is>
          <t>NORRBOTTENS LÄN</t>
        </is>
      </c>
      <c r="E2583" t="inlineStr">
        <is>
          <t>ARVIDSJAUR</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4274-2025</t>
        </is>
      </c>
      <c r="B2584" s="1" t="n">
        <v>45685</v>
      </c>
      <c r="C2584" s="1" t="n">
        <v>46046</v>
      </c>
      <c r="D2584" t="inlineStr">
        <is>
          <t>NORRBOTTENS LÄN</t>
        </is>
      </c>
      <c r="E2584" t="inlineStr">
        <is>
          <t>ÖVERTORNEÅ</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4390-2025</t>
        </is>
      </c>
      <c r="B2585" s="1" t="n">
        <v>45686.41289351852</v>
      </c>
      <c r="C2585" s="1" t="n">
        <v>46046</v>
      </c>
      <c r="D2585" t="inlineStr">
        <is>
          <t>NORRBOTTENS LÄN</t>
        </is>
      </c>
      <c r="E2585" t="inlineStr">
        <is>
          <t>GÄLLIVARE</t>
        </is>
      </c>
      <c r="F2585" t="inlineStr">
        <is>
          <t>Sveaskog</t>
        </is>
      </c>
      <c r="G2585" t="n">
        <v>12.7</v>
      </c>
      <c r="H2585" t="n">
        <v>0</v>
      </c>
      <c r="I2585" t="n">
        <v>0</v>
      </c>
      <c r="J2585" t="n">
        <v>0</v>
      </c>
      <c r="K2585" t="n">
        <v>0</v>
      </c>
      <c r="L2585" t="n">
        <v>0</v>
      </c>
      <c r="M2585" t="n">
        <v>0</v>
      </c>
      <c r="N2585" t="n">
        <v>0</v>
      </c>
      <c r="O2585" t="n">
        <v>0</v>
      </c>
      <c r="P2585" t="n">
        <v>0</v>
      </c>
      <c r="Q2585" t="n">
        <v>0</v>
      </c>
      <c r="R2585" s="2" t="inlineStr"/>
    </row>
    <row r="2586" ht="15" customHeight="1">
      <c r="A2586" t="inlineStr">
        <is>
          <t>A 24626-2025</t>
        </is>
      </c>
      <c r="B2586" s="1" t="n">
        <v>45798.59459490741</v>
      </c>
      <c r="C2586" s="1" t="n">
        <v>46046</v>
      </c>
      <c r="D2586" t="inlineStr">
        <is>
          <t>NORRBOTTENS LÄN</t>
        </is>
      </c>
      <c r="E2586" t="inlineStr">
        <is>
          <t>KALIX</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4921-2025</t>
        </is>
      </c>
      <c r="B2587" s="1" t="n">
        <v>45688.68416666667</v>
      </c>
      <c r="C2587" s="1" t="n">
        <v>46046</v>
      </c>
      <c r="D2587" t="inlineStr">
        <is>
          <t>NORRBOTTENS LÄN</t>
        </is>
      </c>
      <c r="E2587" t="inlineStr">
        <is>
          <t>LULEÅ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25420-2024</t>
        </is>
      </c>
      <c r="B2588" s="1" t="n">
        <v>45463</v>
      </c>
      <c r="C2588" s="1" t="n">
        <v>46046</v>
      </c>
      <c r="D2588" t="inlineStr">
        <is>
          <t>NORRBOTTENS LÄN</t>
        </is>
      </c>
      <c r="E2588" t="inlineStr">
        <is>
          <t>ÄLVSBYN</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61104-2024</t>
        </is>
      </c>
      <c r="B2589" s="1" t="n">
        <v>45645.55509259259</v>
      </c>
      <c r="C2589" s="1" t="n">
        <v>46046</v>
      </c>
      <c r="D2589" t="inlineStr">
        <is>
          <t>NORRBOTTENS LÄN</t>
        </is>
      </c>
      <c r="E2589" t="inlineStr">
        <is>
          <t>KALIX</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339-2025</t>
        </is>
      </c>
      <c r="B2590" s="1" t="n">
        <v>45660.6911574074</v>
      </c>
      <c r="C2590" s="1" t="n">
        <v>46046</v>
      </c>
      <c r="D2590" t="inlineStr">
        <is>
          <t>NORRBOTTENS LÄN</t>
        </is>
      </c>
      <c r="E2590" t="inlineStr">
        <is>
          <t>LULEÅ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33932-2022</t>
        </is>
      </c>
      <c r="B2591" s="1" t="n">
        <v>44790</v>
      </c>
      <c r="C2591" s="1" t="n">
        <v>46046</v>
      </c>
      <c r="D2591" t="inlineStr">
        <is>
          <t>NORRBOTTENS LÄN</t>
        </is>
      </c>
      <c r="E2591" t="inlineStr">
        <is>
          <t>PAJALA</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56445-2022</t>
        </is>
      </c>
      <c r="B2592" s="1" t="n">
        <v>44892</v>
      </c>
      <c r="C2592" s="1" t="n">
        <v>46046</v>
      </c>
      <c r="D2592" t="inlineStr">
        <is>
          <t>NORRBOTTENS LÄN</t>
        </is>
      </c>
      <c r="E2592" t="inlineStr">
        <is>
          <t>PAJALA</t>
        </is>
      </c>
      <c r="G2592" t="n">
        <v>15.6</v>
      </c>
      <c r="H2592" t="n">
        <v>0</v>
      </c>
      <c r="I2592" t="n">
        <v>0</v>
      </c>
      <c r="J2592" t="n">
        <v>0</v>
      </c>
      <c r="K2592" t="n">
        <v>0</v>
      </c>
      <c r="L2592" t="n">
        <v>0</v>
      </c>
      <c r="M2592" t="n">
        <v>0</v>
      </c>
      <c r="N2592" t="n">
        <v>0</v>
      </c>
      <c r="O2592" t="n">
        <v>0</v>
      </c>
      <c r="P2592" t="n">
        <v>0</v>
      </c>
      <c r="Q2592" t="n">
        <v>0</v>
      </c>
      <c r="R2592" s="2" t="inlineStr"/>
    </row>
    <row r="2593" ht="15" customHeight="1">
      <c r="A2593" t="inlineStr">
        <is>
          <t>A 19365-2021</t>
        </is>
      </c>
      <c r="B2593" s="1" t="n">
        <v>44307</v>
      </c>
      <c r="C2593" s="1" t="n">
        <v>46046</v>
      </c>
      <c r="D2593" t="inlineStr">
        <is>
          <t>NORRBOTTENS LÄN</t>
        </is>
      </c>
      <c r="E2593" t="inlineStr">
        <is>
          <t>HAPARANDA</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28859-2024</t>
        </is>
      </c>
      <c r="B2594" s="1" t="n">
        <v>45478.92868055555</v>
      </c>
      <c r="C2594" s="1" t="n">
        <v>46046</v>
      </c>
      <c r="D2594" t="inlineStr">
        <is>
          <t>NORRBOTTENS LÄN</t>
        </is>
      </c>
      <c r="E2594" t="inlineStr">
        <is>
          <t>PITEÅ</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18866-2025</t>
        </is>
      </c>
      <c r="B2595" s="1" t="n">
        <v>45764</v>
      </c>
      <c r="C2595" s="1" t="n">
        <v>46046</v>
      </c>
      <c r="D2595" t="inlineStr">
        <is>
          <t>NORRBOTTENS LÄN</t>
        </is>
      </c>
      <c r="E2595" t="inlineStr">
        <is>
          <t>BODEN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50823-2024</t>
        </is>
      </c>
      <c r="B2596" s="1" t="n">
        <v>45602.57842592592</v>
      </c>
      <c r="C2596" s="1" t="n">
        <v>46046</v>
      </c>
      <c r="D2596" t="inlineStr">
        <is>
          <t>NORRBOTTENS LÄN</t>
        </is>
      </c>
      <c r="E2596" t="inlineStr">
        <is>
          <t>PAJALA</t>
        </is>
      </c>
      <c r="F2596" t="inlineStr">
        <is>
          <t>Sveaskog</t>
        </is>
      </c>
      <c r="G2596" t="n">
        <v>10.2</v>
      </c>
      <c r="H2596" t="n">
        <v>0</v>
      </c>
      <c r="I2596" t="n">
        <v>0</v>
      </c>
      <c r="J2596" t="n">
        <v>0</v>
      </c>
      <c r="K2596" t="n">
        <v>0</v>
      </c>
      <c r="L2596" t="n">
        <v>0</v>
      </c>
      <c r="M2596" t="n">
        <v>0</v>
      </c>
      <c r="N2596" t="n">
        <v>0</v>
      </c>
      <c r="O2596" t="n">
        <v>0</v>
      </c>
      <c r="P2596" t="n">
        <v>0</v>
      </c>
      <c r="Q2596" t="n">
        <v>0</v>
      </c>
      <c r="R2596" s="2" t="inlineStr"/>
    </row>
    <row r="2597" ht="15" customHeight="1">
      <c r="A2597" t="inlineStr">
        <is>
          <t>A 45724-2024</t>
        </is>
      </c>
      <c r="B2597" s="1" t="n">
        <v>45579.5946875</v>
      </c>
      <c r="C2597" s="1" t="n">
        <v>46046</v>
      </c>
      <c r="D2597" t="inlineStr">
        <is>
          <t>NORRBOTTENS LÄN</t>
        </is>
      </c>
      <c r="E2597" t="inlineStr">
        <is>
          <t>ÄLVSBYN</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18780-2024</t>
        </is>
      </c>
      <c r="B2598" s="1" t="n">
        <v>45426</v>
      </c>
      <c r="C2598" s="1" t="n">
        <v>46046</v>
      </c>
      <c r="D2598" t="inlineStr">
        <is>
          <t>NORRBOTTENS LÄN</t>
        </is>
      </c>
      <c r="E2598" t="inlineStr">
        <is>
          <t>ARVIDSJAUR</t>
        </is>
      </c>
      <c r="F2598" t="inlineStr">
        <is>
          <t>Sveaskog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58950-2024</t>
        </is>
      </c>
      <c r="B2599" s="1" t="n">
        <v>45636.55809027778</v>
      </c>
      <c r="C2599" s="1" t="n">
        <v>46046</v>
      </c>
      <c r="D2599" t="inlineStr">
        <is>
          <t>NORRBOTTENS LÄN</t>
        </is>
      </c>
      <c r="E2599" t="inlineStr">
        <is>
          <t>HAPARANDA</t>
        </is>
      </c>
      <c r="G2599" t="n">
        <v>18.6</v>
      </c>
      <c r="H2599" t="n">
        <v>0</v>
      </c>
      <c r="I2599" t="n">
        <v>0</v>
      </c>
      <c r="J2599" t="n">
        <v>0</v>
      </c>
      <c r="K2599" t="n">
        <v>0</v>
      </c>
      <c r="L2599" t="n">
        <v>0</v>
      </c>
      <c r="M2599" t="n">
        <v>0</v>
      </c>
      <c r="N2599" t="n">
        <v>0</v>
      </c>
      <c r="O2599" t="n">
        <v>0</v>
      </c>
      <c r="P2599" t="n">
        <v>0</v>
      </c>
      <c r="Q2599" t="n">
        <v>0</v>
      </c>
      <c r="R2599" s="2" t="inlineStr"/>
    </row>
    <row r="2600" ht="15" customHeight="1">
      <c r="A2600" t="inlineStr">
        <is>
          <t>A 58981-2024</t>
        </is>
      </c>
      <c r="B2600" s="1" t="n">
        <v>45636.61908564815</v>
      </c>
      <c r="C2600" s="1" t="n">
        <v>46046</v>
      </c>
      <c r="D2600" t="inlineStr">
        <is>
          <t>NORRBOTTENS LÄN</t>
        </is>
      </c>
      <c r="E2600" t="inlineStr">
        <is>
          <t>HAPARANDA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65931-2021</t>
        </is>
      </c>
      <c r="B2601" s="1" t="n">
        <v>44517</v>
      </c>
      <c r="C2601" s="1" t="n">
        <v>46046</v>
      </c>
      <c r="D2601" t="inlineStr">
        <is>
          <t>NORRBOTTENS LÄN</t>
        </is>
      </c>
      <c r="E2601" t="inlineStr">
        <is>
          <t>PAJALA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62819-2023</t>
        </is>
      </c>
      <c r="B2602" s="1" t="n">
        <v>45271.92641203704</v>
      </c>
      <c r="C2602" s="1" t="n">
        <v>46046</v>
      </c>
      <c r="D2602" t="inlineStr">
        <is>
          <t>NORRBOTTENS LÄN</t>
        </is>
      </c>
      <c r="E2602" t="inlineStr">
        <is>
          <t>PITEÅ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41131-2023</t>
        </is>
      </c>
      <c r="B2603" s="1" t="n">
        <v>45173</v>
      </c>
      <c r="C2603" s="1" t="n">
        <v>46046</v>
      </c>
      <c r="D2603" t="inlineStr">
        <is>
          <t>NORRBOTTENS LÄN</t>
        </is>
      </c>
      <c r="E2603" t="inlineStr">
        <is>
          <t>KALIX</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17860-2024</t>
        </is>
      </c>
      <c r="B2604" s="1" t="n">
        <v>45419.43320601852</v>
      </c>
      <c r="C2604" s="1" t="n">
        <v>46046</v>
      </c>
      <c r="D2604" t="inlineStr">
        <is>
          <t>NORRBOTTENS LÄN</t>
        </is>
      </c>
      <c r="E2604" t="inlineStr">
        <is>
          <t>PITEÅ</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49141-2022</t>
        </is>
      </c>
      <c r="B2605" s="1" t="n">
        <v>44860</v>
      </c>
      <c r="C2605" s="1" t="n">
        <v>46046</v>
      </c>
      <c r="D2605" t="inlineStr">
        <is>
          <t>NORRBOTTENS LÄN</t>
        </is>
      </c>
      <c r="E2605" t="inlineStr">
        <is>
          <t>ARVIDSJAUR</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11120-2024</t>
        </is>
      </c>
      <c r="B2606" s="1" t="n">
        <v>45371</v>
      </c>
      <c r="C2606" s="1" t="n">
        <v>46046</v>
      </c>
      <c r="D2606" t="inlineStr">
        <is>
          <t>NORRBOTTENS LÄN</t>
        </is>
      </c>
      <c r="E2606" t="inlineStr">
        <is>
          <t>PAJALA</t>
        </is>
      </c>
      <c r="F2606" t="inlineStr">
        <is>
          <t>Allmännings- och besparingsskogar</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15251-2023</t>
        </is>
      </c>
      <c r="B2607" s="1" t="n">
        <v>45016</v>
      </c>
      <c r="C2607" s="1" t="n">
        <v>46046</v>
      </c>
      <c r="D2607" t="inlineStr">
        <is>
          <t>NORRBOTTENS LÄN</t>
        </is>
      </c>
      <c r="E2607" t="inlineStr">
        <is>
          <t>ÄLVSBYN</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17866-2024</t>
        </is>
      </c>
      <c r="B2608" s="1" t="n">
        <v>45419.43966435185</v>
      </c>
      <c r="C2608" s="1" t="n">
        <v>46046</v>
      </c>
      <c r="D2608" t="inlineStr">
        <is>
          <t>NORRBOTTENS LÄN</t>
        </is>
      </c>
      <c r="E2608" t="inlineStr">
        <is>
          <t>PITEÅ</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39901-2021</t>
        </is>
      </c>
      <c r="B2609" s="1" t="n">
        <v>44417</v>
      </c>
      <c r="C2609" s="1" t="n">
        <v>46046</v>
      </c>
      <c r="D2609" t="inlineStr">
        <is>
          <t>NORRBOTTENS LÄN</t>
        </is>
      </c>
      <c r="E2609" t="inlineStr">
        <is>
          <t>PAJALA</t>
        </is>
      </c>
      <c r="G2609" t="n">
        <v>8.800000000000001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58691-2021</t>
        </is>
      </c>
      <c r="B2610" s="1" t="n">
        <v>44489.45143518518</v>
      </c>
      <c r="C2610" s="1" t="n">
        <v>46046</v>
      </c>
      <c r="D2610" t="inlineStr">
        <is>
          <t>NORRBOTTENS LÄN</t>
        </is>
      </c>
      <c r="E2610" t="inlineStr">
        <is>
          <t>ÖVERTORNEÅ</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49907-2024</t>
        </is>
      </c>
      <c r="B2611" s="1" t="n">
        <v>45597.55295138889</v>
      </c>
      <c r="C2611" s="1" t="n">
        <v>46046</v>
      </c>
      <c r="D2611" t="inlineStr">
        <is>
          <t>NORRBOTTENS LÄN</t>
        </is>
      </c>
      <c r="E2611" t="inlineStr">
        <is>
          <t>HAPARANDA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49923-2024</t>
        </is>
      </c>
      <c r="B2612" s="1" t="n">
        <v>45597</v>
      </c>
      <c r="C2612" s="1" t="n">
        <v>46046</v>
      </c>
      <c r="D2612" t="inlineStr">
        <is>
          <t>NORRBOTTENS LÄN</t>
        </is>
      </c>
      <c r="E2612" t="inlineStr">
        <is>
          <t>ÖVERKALIX</t>
        </is>
      </c>
      <c r="F2612" t="inlineStr">
        <is>
          <t>Sveaskog</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36246-2023</t>
        </is>
      </c>
      <c r="B2613" s="1" t="n">
        <v>45150</v>
      </c>
      <c r="C2613" s="1" t="n">
        <v>46046</v>
      </c>
      <c r="D2613" t="inlineStr">
        <is>
          <t>NORRBOTTENS LÄN</t>
        </is>
      </c>
      <c r="E2613" t="inlineStr">
        <is>
          <t>GÄLLIVARE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28354-2022</t>
        </is>
      </c>
      <c r="B2614" s="1" t="n">
        <v>44735</v>
      </c>
      <c r="C2614" s="1" t="n">
        <v>46046</v>
      </c>
      <c r="D2614" t="inlineStr">
        <is>
          <t>NORRBOTTENS LÄN</t>
        </is>
      </c>
      <c r="E2614" t="inlineStr">
        <is>
          <t>ARJEPLOG</t>
        </is>
      </c>
      <c r="F2614" t="inlineStr">
        <is>
          <t>Övriga statliga verk och myndigheter</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11329-2024</t>
        </is>
      </c>
      <c r="B2615" s="1" t="n">
        <v>45371.97140046296</v>
      </c>
      <c r="C2615" s="1" t="n">
        <v>46046</v>
      </c>
      <c r="D2615" t="inlineStr">
        <is>
          <t>NORRBOTTENS LÄN</t>
        </is>
      </c>
      <c r="E2615" t="inlineStr">
        <is>
          <t>ÖVERKALIX</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12573-2024</t>
        </is>
      </c>
      <c r="B2616" s="1" t="n">
        <v>45379</v>
      </c>
      <c r="C2616" s="1" t="n">
        <v>46046</v>
      </c>
      <c r="D2616" t="inlineStr">
        <is>
          <t>NORRBOTTENS LÄN</t>
        </is>
      </c>
      <c r="E2616" t="inlineStr">
        <is>
          <t>PITEÅ</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22054-2024</t>
        </is>
      </c>
      <c r="B2617" s="1" t="n">
        <v>45443</v>
      </c>
      <c r="C2617" s="1" t="n">
        <v>46046</v>
      </c>
      <c r="D2617" t="inlineStr">
        <is>
          <t>NORRBOTTENS LÄN</t>
        </is>
      </c>
      <c r="E2617" t="inlineStr">
        <is>
          <t>PAJALA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34448-2024</t>
        </is>
      </c>
      <c r="B2618" s="1" t="n">
        <v>45525</v>
      </c>
      <c r="C2618" s="1" t="n">
        <v>46046</v>
      </c>
      <c r="D2618" t="inlineStr">
        <is>
          <t>NORRBOTTENS LÄN</t>
        </is>
      </c>
      <c r="E2618" t="inlineStr">
        <is>
          <t>ÄLVSBYN</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29377-2024</t>
        </is>
      </c>
      <c r="B2619" s="1" t="n">
        <v>45483</v>
      </c>
      <c r="C2619" s="1" t="n">
        <v>46046</v>
      </c>
      <c r="D2619" t="inlineStr">
        <is>
          <t>NORRBOTTENS LÄN</t>
        </is>
      </c>
      <c r="E2619" t="inlineStr">
        <is>
          <t>BODEN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19269-2022</t>
        </is>
      </c>
      <c r="B2620" s="1" t="n">
        <v>44691</v>
      </c>
      <c r="C2620" s="1" t="n">
        <v>46046</v>
      </c>
      <c r="D2620" t="inlineStr">
        <is>
          <t>NORRBOTTENS LÄN</t>
        </is>
      </c>
      <c r="E2620" t="inlineStr">
        <is>
          <t>PAJALA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13231-2025</t>
        </is>
      </c>
      <c r="B2621" s="1" t="n">
        <v>45735</v>
      </c>
      <c r="C2621" s="1" t="n">
        <v>46046</v>
      </c>
      <c r="D2621" t="inlineStr">
        <is>
          <t>NORRBOTTENS LÄN</t>
        </is>
      </c>
      <c r="E2621" t="inlineStr">
        <is>
          <t>KALIX</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4114-2024</t>
        </is>
      </c>
      <c r="B2622" s="1" t="n">
        <v>45323</v>
      </c>
      <c r="C2622" s="1" t="n">
        <v>46046</v>
      </c>
      <c r="D2622" t="inlineStr">
        <is>
          <t>NORRBOTTENS LÄN</t>
        </is>
      </c>
      <c r="E2622" t="inlineStr">
        <is>
          <t>ÖVERKALIX</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52698-2024</t>
        </is>
      </c>
      <c r="B2623" s="1" t="n">
        <v>45610</v>
      </c>
      <c r="C2623" s="1" t="n">
        <v>46046</v>
      </c>
      <c r="D2623" t="inlineStr">
        <is>
          <t>NORRBOTTENS LÄN</t>
        </is>
      </c>
      <c r="E2623" t="inlineStr">
        <is>
          <t>LULEÅ</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4918-2025</t>
        </is>
      </c>
      <c r="B2624" s="1" t="n">
        <v>45688.68222222223</v>
      </c>
      <c r="C2624" s="1" t="n">
        <v>46046</v>
      </c>
      <c r="D2624" t="inlineStr">
        <is>
          <t>NORRBOTTENS LÄN</t>
        </is>
      </c>
      <c r="E2624" t="inlineStr">
        <is>
          <t>GÄLLIVARE</t>
        </is>
      </c>
      <c r="F2624" t="inlineStr">
        <is>
          <t>SCA</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13329-2025</t>
        </is>
      </c>
      <c r="B2625" s="1" t="n">
        <v>45735</v>
      </c>
      <c r="C2625" s="1" t="n">
        <v>46046</v>
      </c>
      <c r="D2625" t="inlineStr">
        <is>
          <t>NORRBOTTENS LÄN</t>
        </is>
      </c>
      <c r="E2625" t="inlineStr">
        <is>
          <t>ÄLVSBYN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14100-2025</t>
        </is>
      </c>
      <c r="B2626" s="1" t="n">
        <v>45740</v>
      </c>
      <c r="C2626" s="1" t="n">
        <v>46046</v>
      </c>
      <c r="D2626" t="inlineStr">
        <is>
          <t>NORRBOTTENS LÄN</t>
        </is>
      </c>
      <c r="E2626" t="inlineStr">
        <is>
          <t>KALIX</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25038-2025</t>
        </is>
      </c>
      <c r="B2627" s="1" t="n">
        <v>45799.65711805555</v>
      </c>
      <c r="C2627" s="1" t="n">
        <v>46046</v>
      </c>
      <c r="D2627" t="inlineStr">
        <is>
          <t>NORRBOTTENS LÄN</t>
        </is>
      </c>
      <c r="E2627" t="inlineStr">
        <is>
          <t>GÄLLIVARE</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4920-2025</t>
        </is>
      </c>
      <c r="B2628" s="1" t="n">
        <v>45688.68412037037</v>
      </c>
      <c r="C2628" s="1" t="n">
        <v>46046</v>
      </c>
      <c r="D2628" t="inlineStr">
        <is>
          <t>NORRBOTTENS LÄN</t>
        </is>
      </c>
      <c r="E2628" t="inlineStr">
        <is>
          <t>LULEÅ</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4929-2025</t>
        </is>
      </c>
      <c r="B2629" s="1" t="n">
        <v>45688.68466435185</v>
      </c>
      <c r="C2629" s="1" t="n">
        <v>46046</v>
      </c>
      <c r="D2629" t="inlineStr">
        <is>
          <t>NORRBOTTENS LÄN</t>
        </is>
      </c>
      <c r="E2629" t="inlineStr">
        <is>
          <t>ÄLVSBYN</t>
        </is>
      </c>
      <c r="G2629" t="n">
        <v>11.2</v>
      </c>
      <c r="H2629" t="n">
        <v>0</v>
      </c>
      <c r="I2629" t="n">
        <v>0</v>
      </c>
      <c r="J2629" t="n">
        <v>0</v>
      </c>
      <c r="K2629" t="n">
        <v>0</v>
      </c>
      <c r="L2629" t="n">
        <v>0</v>
      </c>
      <c r="M2629" t="n">
        <v>0</v>
      </c>
      <c r="N2629" t="n">
        <v>0</v>
      </c>
      <c r="O2629" t="n">
        <v>0</v>
      </c>
      <c r="P2629" t="n">
        <v>0</v>
      </c>
      <c r="Q2629" t="n">
        <v>0</v>
      </c>
      <c r="R2629" s="2" t="inlineStr"/>
    </row>
    <row r="2630" ht="15" customHeight="1">
      <c r="A2630" t="inlineStr">
        <is>
          <t>A 4961-2025</t>
        </is>
      </c>
      <c r="B2630" s="1" t="n">
        <v>45689.81684027778</v>
      </c>
      <c r="C2630" s="1" t="n">
        <v>46046</v>
      </c>
      <c r="D2630" t="inlineStr">
        <is>
          <t>NORRBOTTENS LÄN</t>
        </is>
      </c>
      <c r="E2630" t="inlineStr">
        <is>
          <t>ÖVERKALIX</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28036-2024</t>
        </is>
      </c>
      <c r="B2631" s="1" t="n">
        <v>45476.49958333333</v>
      </c>
      <c r="C2631" s="1" t="n">
        <v>46046</v>
      </c>
      <c r="D2631" t="inlineStr">
        <is>
          <t>NORRBOTTENS LÄN</t>
        </is>
      </c>
      <c r="E2631" t="inlineStr">
        <is>
          <t>JOKKMOKK</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41927-2024</t>
        </is>
      </c>
      <c r="B2632" s="1" t="n">
        <v>45561.55981481481</v>
      </c>
      <c r="C2632" s="1" t="n">
        <v>46046</v>
      </c>
      <c r="D2632" t="inlineStr">
        <is>
          <t>NORRBOTTENS LÄN</t>
        </is>
      </c>
      <c r="E2632" t="inlineStr">
        <is>
          <t>GÄLLIVARE</t>
        </is>
      </c>
      <c r="G2632" t="n">
        <v>11.2</v>
      </c>
      <c r="H2632" t="n">
        <v>0</v>
      </c>
      <c r="I2632" t="n">
        <v>0</v>
      </c>
      <c r="J2632" t="n">
        <v>0</v>
      </c>
      <c r="K2632" t="n">
        <v>0</v>
      </c>
      <c r="L2632" t="n">
        <v>0</v>
      </c>
      <c r="M2632" t="n">
        <v>0</v>
      </c>
      <c r="N2632" t="n">
        <v>0</v>
      </c>
      <c r="O2632" t="n">
        <v>0</v>
      </c>
      <c r="P2632" t="n">
        <v>0</v>
      </c>
      <c r="Q2632" t="n">
        <v>0</v>
      </c>
      <c r="R2632" s="2" t="inlineStr"/>
    </row>
    <row r="2633" ht="15" customHeight="1">
      <c r="A2633" t="inlineStr">
        <is>
          <t>A 11844-2024</t>
        </is>
      </c>
      <c r="B2633" s="1" t="n">
        <v>45376</v>
      </c>
      <c r="C2633" s="1" t="n">
        <v>46046</v>
      </c>
      <c r="D2633" t="inlineStr">
        <is>
          <t>NORRBOTTENS LÄN</t>
        </is>
      </c>
      <c r="E2633" t="inlineStr">
        <is>
          <t>PITEÅ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34154-2023</t>
        </is>
      </c>
      <c r="B2634" s="1" t="n">
        <v>45137.27398148148</v>
      </c>
      <c r="C2634" s="1" t="n">
        <v>46046</v>
      </c>
      <c r="D2634" t="inlineStr">
        <is>
          <t>NORRBOTTENS LÄN</t>
        </is>
      </c>
      <c r="E2634" t="inlineStr">
        <is>
          <t>ÖVERTORNEÅ</t>
        </is>
      </c>
      <c r="G2634" t="n">
        <v>37.1</v>
      </c>
      <c r="H2634" t="n">
        <v>0</v>
      </c>
      <c r="I2634" t="n">
        <v>0</v>
      </c>
      <c r="J2634" t="n">
        <v>0</v>
      </c>
      <c r="K2634" t="n">
        <v>0</v>
      </c>
      <c r="L2634" t="n">
        <v>0</v>
      </c>
      <c r="M2634" t="n">
        <v>0</v>
      </c>
      <c r="N2634" t="n">
        <v>0</v>
      </c>
      <c r="O2634" t="n">
        <v>0</v>
      </c>
      <c r="P2634" t="n">
        <v>0</v>
      </c>
      <c r="Q2634" t="n">
        <v>0</v>
      </c>
      <c r="R2634" s="2" t="inlineStr"/>
    </row>
    <row r="2635" ht="15" customHeight="1">
      <c r="A2635" t="inlineStr">
        <is>
          <t>A 49007-2023</t>
        </is>
      </c>
      <c r="B2635" s="1" t="n">
        <v>45209.68086805556</v>
      </c>
      <c r="C2635" s="1" t="n">
        <v>46046</v>
      </c>
      <c r="D2635" t="inlineStr">
        <is>
          <t>NORRBOTTENS LÄN</t>
        </is>
      </c>
      <c r="E2635" t="inlineStr">
        <is>
          <t>HAPARANDA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47805-2022</t>
        </is>
      </c>
      <c r="B2636" s="1" t="n">
        <v>44854</v>
      </c>
      <c r="C2636" s="1" t="n">
        <v>46046</v>
      </c>
      <c r="D2636" t="inlineStr">
        <is>
          <t>NORRBOTTENS LÄN</t>
        </is>
      </c>
      <c r="E2636" t="inlineStr">
        <is>
          <t>GÄLLIVARE</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36915-2023</t>
        </is>
      </c>
      <c r="B2637" s="1" t="n">
        <v>45153</v>
      </c>
      <c r="C2637" s="1" t="n">
        <v>46046</v>
      </c>
      <c r="D2637" t="inlineStr">
        <is>
          <t>NORRBOTTENS LÄN</t>
        </is>
      </c>
      <c r="E2637" t="inlineStr">
        <is>
          <t>BODEN</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51682-2023</t>
        </is>
      </c>
      <c r="B2638" s="1" t="n">
        <v>45222.59935185185</v>
      </c>
      <c r="C2638" s="1" t="n">
        <v>46046</v>
      </c>
      <c r="D2638" t="inlineStr">
        <is>
          <t>NORRBOTTENS LÄN</t>
        </is>
      </c>
      <c r="E2638" t="inlineStr">
        <is>
          <t>ÖVERTORNEÅ</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24963-2024</t>
        </is>
      </c>
      <c r="B2639" s="1" t="n">
        <v>45461</v>
      </c>
      <c r="C2639" s="1" t="n">
        <v>46046</v>
      </c>
      <c r="D2639" t="inlineStr">
        <is>
          <t>NORRBOTTENS LÄN</t>
        </is>
      </c>
      <c r="E2639" t="inlineStr">
        <is>
          <t>PAJALA</t>
        </is>
      </c>
      <c r="F2639" t="inlineStr">
        <is>
          <t>Sveaskog</t>
        </is>
      </c>
      <c r="G2639" t="n">
        <v>12.7</v>
      </c>
      <c r="H2639" t="n">
        <v>0</v>
      </c>
      <c r="I2639" t="n">
        <v>0</v>
      </c>
      <c r="J2639" t="n">
        <v>0</v>
      </c>
      <c r="K2639" t="n">
        <v>0</v>
      </c>
      <c r="L2639" t="n">
        <v>0</v>
      </c>
      <c r="M2639" t="n">
        <v>0</v>
      </c>
      <c r="N2639" t="n">
        <v>0</v>
      </c>
      <c r="O2639" t="n">
        <v>0</v>
      </c>
      <c r="P2639" t="n">
        <v>0</v>
      </c>
      <c r="Q2639" t="n">
        <v>0</v>
      </c>
      <c r="R2639" s="2" t="inlineStr"/>
    </row>
    <row r="2640" ht="15" customHeight="1">
      <c r="A2640" t="inlineStr">
        <is>
          <t>A 45026-2023</t>
        </is>
      </c>
      <c r="B2640" s="1" t="n">
        <v>45190.96262731482</v>
      </c>
      <c r="C2640" s="1" t="n">
        <v>46046</v>
      </c>
      <c r="D2640" t="inlineStr">
        <is>
          <t>NORRBOTTENS LÄN</t>
        </is>
      </c>
      <c r="E2640" t="inlineStr">
        <is>
          <t>GÄLLIVARE</t>
        </is>
      </c>
      <c r="F2640" t="inlineStr">
        <is>
          <t>SCA</t>
        </is>
      </c>
      <c r="G2640" t="n">
        <v>12.6</v>
      </c>
      <c r="H2640" t="n">
        <v>0</v>
      </c>
      <c r="I2640" t="n">
        <v>0</v>
      </c>
      <c r="J2640" t="n">
        <v>0</v>
      </c>
      <c r="K2640" t="n">
        <v>0</v>
      </c>
      <c r="L2640" t="n">
        <v>0</v>
      </c>
      <c r="M2640" t="n">
        <v>0</v>
      </c>
      <c r="N2640" t="n">
        <v>0</v>
      </c>
      <c r="O2640" t="n">
        <v>0</v>
      </c>
      <c r="P2640" t="n">
        <v>0</v>
      </c>
      <c r="Q2640" t="n">
        <v>0</v>
      </c>
      <c r="R2640" s="2" t="inlineStr"/>
    </row>
    <row r="2641" ht="15" customHeight="1">
      <c r="A2641" t="inlineStr">
        <is>
          <t>A 16030-2024</t>
        </is>
      </c>
      <c r="B2641" s="1" t="n">
        <v>45405.71074074074</v>
      </c>
      <c r="C2641" s="1" t="n">
        <v>46046</v>
      </c>
      <c r="D2641" t="inlineStr">
        <is>
          <t>NORRBOTTENS LÄN</t>
        </is>
      </c>
      <c r="E2641" t="inlineStr">
        <is>
          <t>HAPARANDA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16035-2024</t>
        </is>
      </c>
      <c r="B2642" s="1" t="n">
        <v>45405.71791666667</v>
      </c>
      <c r="C2642" s="1" t="n">
        <v>46046</v>
      </c>
      <c r="D2642" t="inlineStr">
        <is>
          <t>NORRBOTTENS LÄN</t>
        </is>
      </c>
      <c r="E2642" t="inlineStr">
        <is>
          <t>HAPARANDA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60217-2024</t>
        </is>
      </c>
      <c r="B2643" s="1" t="n">
        <v>45642.68560185185</v>
      </c>
      <c r="C2643" s="1" t="n">
        <v>46046</v>
      </c>
      <c r="D2643" t="inlineStr">
        <is>
          <t>NORRBOTTENS LÄN</t>
        </is>
      </c>
      <c r="E2643" t="inlineStr">
        <is>
          <t>HAPARANDA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60222-2024</t>
        </is>
      </c>
      <c r="B2644" s="1" t="n">
        <v>45642.69934027778</v>
      </c>
      <c r="C2644" s="1" t="n">
        <v>46046</v>
      </c>
      <c r="D2644" t="inlineStr">
        <is>
          <t>NORRBOTTENS LÄN</t>
        </is>
      </c>
      <c r="E2644" t="inlineStr">
        <is>
          <t>KALIX</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60064-2023</t>
        </is>
      </c>
      <c r="B2645" s="1" t="n">
        <v>45258.3846412037</v>
      </c>
      <c r="C2645" s="1" t="n">
        <v>46046</v>
      </c>
      <c r="D2645" t="inlineStr">
        <is>
          <t>NORRBOTTENS LÄN</t>
        </is>
      </c>
      <c r="E2645" t="inlineStr">
        <is>
          <t>KIRUNA</t>
        </is>
      </c>
      <c r="G2645" t="n">
        <v>19.8</v>
      </c>
      <c r="H2645" t="n">
        <v>0</v>
      </c>
      <c r="I2645" t="n">
        <v>0</v>
      </c>
      <c r="J2645" t="n">
        <v>0</v>
      </c>
      <c r="K2645" t="n">
        <v>0</v>
      </c>
      <c r="L2645" t="n">
        <v>0</v>
      </c>
      <c r="M2645" t="n">
        <v>0</v>
      </c>
      <c r="N2645" t="n">
        <v>0</v>
      </c>
      <c r="O2645" t="n">
        <v>0</v>
      </c>
      <c r="P2645" t="n">
        <v>0</v>
      </c>
      <c r="Q2645" t="n">
        <v>0</v>
      </c>
      <c r="R2645" s="2" t="inlineStr"/>
    </row>
    <row r="2646" ht="15" customHeight="1">
      <c r="A2646" t="inlineStr">
        <is>
          <t>A 38091-2024</t>
        </is>
      </c>
      <c r="B2646" s="1" t="n">
        <v>45545</v>
      </c>
      <c r="C2646" s="1" t="n">
        <v>46046</v>
      </c>
      <c r="D2646" t="inlineStr">
        <is>
          <t>NORRBOTTENS LÄN</t>
        </is>
      </c>
      <c r="E2646" t="inlineStr">
        <is>
          <t>PITEÅ</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38094-2024</t>
        </is>
      </c>
      <c r="B2647" s="1" t="n">
        <v>45545.34473379629</v>
      </c>
      <c r="C2647" s="1" t="n">
        <v>46046</v>
      </c>
      <c r="D2647" t="inlineStr">
        <is>
          <t>NORRBOTTENS LÄN</t>
        </is>
      </c>
      <c r="E2647" t="inlineStr">
        <is>
          <t>PITEÅ</t>
        </is>
      </c>
      <c r="F2647" t="inlineStr">
        <is>
          <t>SCA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57631-2023</t>
        </is>
      </c>
      <c r="B2648" s="1" t="n">
        <v>45246.58479166667</v>
      </c>
      <c r="C2648" s="1" t="n">
        <v>46046</v>
      </c>
      <c r="D2648" t="inlineStr">
        <is>
          <t>NORRBOTTENS LÄN</t>
        </is>
      </c>
      <c r="E2648" t="inlineStr">
        <is>
          <t>KALIX</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24734-2025</t>
        </is>
      </c>
      <c r="B2649" s="1" t="n">
        <v>45799</v>
      </c>
      <c r="C2649" s="1" t="n">
        <v>46046</v>
      </c>
      <c r="D2649" t="inlineStr">
        <is>
          <t>NORRBOTTENS LÄN</t>
        </is>
      </c>
      <c r="E2649" t="inlineStr">
        <is>
          <t>GÄLLIVARE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24746-2025</t>
        </is>
      </c>
      <c r="B2650" s="1" t="n">
        <v>45799.34662037037</v>
      </c>
      <c r="C2650" s="1" t="n">
        <v>46046</v>
      </c>
      <c r="D2650" t="inlineStr">
        <is>
          <t>NORRBOTTENS LÄN</t>
        </is>
      </c>
      <c r="E2650" t="inlineStr">
        <is>
          <t>JOKKMOKK</t>
        </is>
      </c>
      <c r="F2650" t="inlineStr">
        <is>
          <t>SCA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24506-2025</t>
        </is>
      </c>
      <c r="B2651" s="1" t="n">
        <v>45798</v>
      </c>
      <c r="C2651" s="1" t="n">
        <v>46046</v>
      </c>
      <c r="D2651" t="inlineStr">
        <is>
          <t>NORRBOTTENS LÄN</t>
        </is>
      </c>
      <c r="E2651" t="inlineStr">
        <is>
          <t>ARVIDSJAUR</t>
        </is>
      </c>
      <c r="F2651" t="inlineStr">
        <is>
          <t>Sveaskog</t>
        </is>
      </c>
      <c r="G2651" t="n">
        <v>16.6</v>
      </c>
      <c r="H2651" t="n">
        <v>0</v>
      </c>
      <c r="I2651" t="n">
        <v>0</v>
      </c>
      <c r="J2651" t="n">
        <v>0</v>
      </c>
      <c r="K2651" t="n">
        <v>0</v>
      </c>
      <c r="L2651" t="n">
        <v>0</v>
      </c>
      <c r="M2651" t="n">
        <v>0</v>
      </c>
      <c r="N2651" t="n">
        <v>0</v>
      </c>
      <c r="O2651" t="n">
        <v>0</v>
      </c>
      <c r="P2651" t="n">
        <v>0</v>
      </c>
      <c r="Q2651" t="n">
        <v>0</v>
      </c>
      <c r="R2651" s="2" t="inlineStr"/>
    </row>
    <row r="2652" ht="15" customHeight="1">
      <c r="A2652" t="inlineStr">
        <is>
          <t>A 24545-2025</t>
        </is>
      </c>
      <c r="B2652" s="1" t="n">
        <v>45798.44548611111</v>
      </c>
      <c r="C2652" s="1" t="n">
        <v>46046</v>
      </c>
      <c r="D2652" t="inlineStr">
        <is>
          <t>NORRBOTTENS LÄN</t>
        </is>
      </c>
      <c r="E2652" t="inlineStr">
        <is>
          <t>BODEN</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24992-2025</t>
        </is>
      </c>
      <c r="B2653" s="1" t="n">
        <v>45799.61495370371</v>
      </c>
      <c r="C2653" s="1" t="n">
        <v>46046</v>
      </c>
      <c r="D2653" t="inlineStr">
        <is>
          <t>NORRBOTTENS LÄN</t>
        </is>
      </c>
      <c r="E2653" t="inlineStr">
        <is>
          <t>KALIX</t>
        </is>
      </c>
      <c r="F2653" t="inlineStr">
        <is>
          <t>SCA</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26131-2023</t>
        </is>
      </c>
      <c r="B2654" s="1" t="n">
        <v>45086</v>
      </c>
      <c r="C2654" s="1" t="n">
        <v>46046</v>
      </c>
      <c r="D2654" t="inlineStr">
        <is>
          <t>NORRBOTTENS LÄN</t>
        </is>
      </c>
      <c r="E2654" t="inlineStr">
        <is>
          <t>JOKKMOKK</t>
        </is>
      </c>
      <c r="G2654" t="n">
        <v>35.6</v>
      </c>
      <c r="H2654" t="n">
        <v>0</v>
      </c>
      <c r="I2654" t="n">
        <v>0</v>
      </c>
      <c r="J2654" t="n">
        <v>0</v>
      </c>
      <c r="K2654" t="n">
        <v>0</v>
      </c>
      <c r="L2654" t="n">
        <v>0</v>
      </c>
      <c r="M2654" t="n">
        <v>0</v>
      </c>
      <c r="N2654" t="n">
        <v>0</v>
      </c>
      <c r="O2654" t="n">
        <v>0</v>
      </c>
      <c r="P2654" t="n">
        <v>0</v>
      </c>
      <c r="Q2654" t="n">
        <v>0</v>
      </c>
      <c r="R2654" s="2" t="inlineStr"/>
    </row>
    <row r="2655" ht="15" customHeight="1">
      <c r="A2655" t="inlineStr">
        <is>
          <t>A 33823-2021</t>
        </is>
      </c>
      <c r="B2655" s="1" t="n">
        <v>44378</v>
      </c>
      <c r="C2655" s="1" t="n">
        <v>46046</v>
      </c>
      <c r="D2655" t="inlineStr">
        <is>
          <t>NORRBOTTENS LÄN</t>
        </is>
      </c>
      <c r="E2655" t="inlineStr">
        <is>
          <t>ÄLVSBYN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25034-2025</t>
        </is>
      </c>
      <c r="B2656" s="1" t="n">
        <v>45799.65663194445</v>
      </c>
      <c r="C2656" s="1" t="n">
        <v>46046</v>
      </c>
      <c r="D2656" t="inlineStr">
        <is>
          <t>NORRBOTTENS LÄN</t>
        </is>
      </c>
      <c r="E2656" t="inlineStr">
        <is>
          <t>KALIX</t>
        </is>
      </c>
      <c r="F2656" t="inlineStr">
        <is>
          <t>SCA</t>
        </is>
      </c>
      <c r="G2656" t="n">
        <v>17.9</v>
      </c>
      <c r="H2656" t="n">
        <v>0</v>
      </c>
      <c r="I2656" t="n">
        <v>0</v>
      </c>
      <c r="J2656" t="n">
        <v>0</v>
      </c>
      <c r="K2656" t="n">
        <v>0</v>
      </c>
      <c r="L2656" t="n">
        <v>0</v>
      </c>
      <c r="M2656" t="n">
        <v>0</v>
      </c>
      <c r="N2656" t="n">
        <v>0</v>
      </c>
      <c r="O2656" t="n">
        <v>0</v>
      </c>
      <c r="P2656" t="n">
        <v>0</v>
      </c>
      <c r="Q2656" t="n">
        <v>0</v>
      </c>
      <c r="R2656" s="2" t="inlineStr"/>
    </row>
    <row r="2657" ht="15" customHeight="1">
      <c r="A2657" t="inlineStr">
        <is>
          <t>A 25035-2025</t>
        </is>
      </c>
      <c r="B2657" s="1" t="n">
        <v>45799.65689814815</v>
      </c>
      <c r="C2657" s="1" t="n">
        <v>46046</v>
      </c>
      <c r="D2657" t="inlineStr">
        <is>
          <t>NORRBOTTENS LÄN</t>
        </is>
      </c>
      <c r="E2657" t="inlineStr">
        <is>
          <t>GÄLLIVARE</t>
        </is>
      </c>
      <c r="F2657" t="inlineStr">
        <is>
          <t>SCA</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46305-2023</t>
        </is>
      </c>
      <c r="B2658" s="1" t="n">
        <v>45191</v>
      </c>
      <c r="C2658" s="1" t="n">
        <v>46046</v>
      </c>
      <c r="D2658" t="inlineStr">
        <is>
          <t>NORRBOTTENS LÄN</t>
        </is>
      </c>
      <c r="E2658" t="inlineStr">
        <is>
          <t>HAPARANDA</t>
        </is>
      </c>
      <c r="G2658" t="n">
        <v>14.9</v>
      </c>
      <c r="H2658" t="n">
        <v>0</v>
      </c>
      <c r="I2658" t="n">
        <v>0</v>
      </c>
      <c r="J2658" t="n">
        <v>0</v>
      </c>
      <c r="K2658" t="n">
        <v>0</v>
      </c>
      <c r="L2658" t="n">
        <v>0</v>
      </c>
      <c r="M2658" t="n">
        <v>0</v>
      </c>
      <c r="N2658" t="n">
        <v>0</v>
      </c>
      <c r="O2658" t="n">
        <v>0</v>
      </c>
      <c r="P2658" t="n">
        <v>0</v>
      </c>
      <c r="Q2658" t="n">
        <v>0</v>
      </c>
      <c r="R2658" s="2" t="inlineStr"/>
    </row>
    <row r="2659" ht="15" customHeight="1">
      <c r="A2659" t="inlineStr">
        <is>
          <t>A 29212-2024</t>
        </is>
      </c>
      <c r="B2659" s="1" t="n">
        <v>45482</v>
      </c>
      <c r="C2659" s="1" t="n">
        <v>46046</v>
      </c>
      <c r="D2659" t="inlineStr">
        <is>
          <t>NORRBOTTENS LÄN</t>
        </is>
      </c>
      <c r="E2659" t="inlineStr">
        <is>
          <t>JOKKMOKK</t>
        </is>
      </c>
      <c r="G2659" t="n">
        <v>8.5</v>
      </c>
      <c r="H2659" t="n">
        <v>0</v>
      </c>
      <c r="I2659" t="n">
        <v>0</v>
      </c>
      <c r="J2659" t="n">
        <v>0</v>
      </c>
      <c r="K2659" t="n">
        <v>0</v>
      </c>
      <c r="L2659" t="n">
        <v>0</v>
      </c>
      <c r="M2659" t="n">
        <v>0</v>
      </c>
      <c r="N2659" t="n">
        <v>0</v>
      </c>
      <c r="O2659" t="n">
        <v>0</v>
      </c>
      <c r="P2659" t="n">
        <v>0</v>
      </c>
      <c r="Q2659" t="n">
        <v>0</v>
      </c>
      <c r="R2659" s="2" t="inlineStr"/>
    </row>
    <row r="2660" ht="15" customHeight="1">
      <c r="A2660" t="inlineStr">
        <is>
          <t>A 15742-2025</t>
        </is>
      </c>
      <c r="B2660" s="1" t="n">
        <v>45748</v>
      </c>
      <c r="C2660" s="1" t="n">
        <v>46046</v>
      </c>
      <c r="D2660" t="inlineStr">
        <is>
          <t>NORRBOTTENS LÄN</t>
        </is>
      </c>
      <c r="E2660" t="inlineStr">
        <is>
          <t>PITEÅ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15747-2025</t>
        </is>
      </c>
      <c r="B2661" s="1" t="n">
        <v>45748</v>
      </c>
      <c r="C2661" s="1" t="n">
        <v>46046</v>
      </c>
      <c r="D2661" t="inlineStr">
        <is>
          <t>NORRBOTTENS LÄN</t>
        </is>
      </c>
      <c r="E2661" t="inlineStr">
        <is>
          <t>PITEÅ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15760-2025</t>
        </is>
      </c>
      <c r="B2662" s="1" t="n">
        <v>45748.57201388889</v>
      </c>
      <c r="C2662" s="1" t="n">
        <v>46046</v>
      </c>
      <c r="D2662" t="inlineStr">
        <is>
          <t>NORRBOTTENS LÄN</t>
        </is>
      </c>
      <c r="E2662" t="inlineStr">
        <is>
          <t>PITEÅ</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23744-2023</t>
        </is>
      </c>
      <c r="B2663" s="1" t="n">
        <v>45077.82532407407</v>
      </c>
      <c r="C2663" s="1" t="n">
        <v>46046</v>
      </c>
      <c r="D2663" t="inlineStr">
        <is>
          <t>NORRBOTTENS LÄN</t>
        </is>
      </c>
      <c r="E2663" t="inlineStr">
        <is>
          <t>LULEÅ</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8018-2022</t>
        </is>
      </c>
      <c r="B2664" s="1" t="n">
        <v>44609</v>
      </c>
      <c r="C2664" s="1" t="n">
        <v>46046</v>
      </c>
      <c r="D2664" t="inlineStr">
        <is>
          <t>NORRBOTTENS LÄN</t>
        </is>
      </c>
      <c r="E2664" t="inlineStr">
        <is>
          <t>GÄLLIVARE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45575-2024</t>
        </is>
      </c>
      <c r="B2665" s="1" t="n">
        <v>45579</v>
      </c>
      <c r="C2665" s="1" t="n">
        <v>46046</v>
      </c>
      <c r="D2665" t="inlineStr">
        <is>
          <t>NORRBOTTENS LÄN</t>
        </is>
      </c>
      <c r="E2665" t="inlineStr">
        <is>
          <t>HAPARANDA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62165-2023</t>
        </is>
      </c>
      <c r="B2666" s="1" t="n">
        <v>45266</v>
      </c>
      <c r="C2666" s="1" t="n">
        <v>46046</v>
      </c>
      <c r="D2666" t="inlineStr">
        <is>
          <t>NORRBOTTENS LÄN</t>
        </is>
      </c>
      <c r="E2666" t="inlineStr">
        <is>
          <t>KALIX</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62166-2023</t>
        </is>
      </c>
      <c r="B2667" s="1" t="n">
        <v>45266</v>
      </c>
      <c r="C2667" s="1" t="n">
        <v>46046</v>
      </c>
      <c r="D2667" t="inlineStr">
        <is>
          <t>NORRBOTTENS LÄN</t>
        </is>
      </c>
      <c r="E2667" t="inlineStr">
        <is>
          <t>KALIX</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1572-2025</t>
        </is>
      </c>
      <c r="B2668" s="1" t="n">
        <v>45670.55724537037</v>
      </c>
      <c r="C2668" s="1" t="n">
        <v>46046</v>
      </c>
      <c r="D2668" t="inlineStr">
        <is>
          <t>NORRBOTTENS LÄN</t>
        </is>
      </c>
      <c r="E2668" t="inlineStr">
        <is>
          <t>LULEÅ</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51273-2023</t>
        </is>
      </c>
      <c r="B2669" s="1" t="n">
        <v>45219</v>
      </c>
      <c r="C2669" s="1" t="n">
        <v>46046</v>
      </c>
      <c r="D2669" t="inlineStr">
        <is>
          <t>NORRBOTTENS LÄN</t>
        </is>
      </c>
      <c r="E2669" t="inlineStr">
        <is>
          <t>PITEÅ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24994-2025</t>
        </is>
      </c>
      <c r="B2670" s="1" t="n">
        <v>45799.61538194444</v>
      </c>
      <c r="C2670" s="1" t="n">
        <v>46046</v>
      </c>
      <c r="D2670" t="inlineStr">
        <is>
          <t>NORRBOTTENS LÄN</t>
        </is>
      </c>
      <c r="E2670" t="inlineStr">
        <is>
          <t>KALIX</t>
        </is>
      </c>
      <c r="F2670" t="inlineStr">
        <is>
          <t>SCA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8764-2025</t>
        </is>
      </c>
      <c r="B2671" s="1" t="n">
        <v>45712.58021990741</v>
      </c>
      <c r="C2671" s="1" t="n">
        <v>46046</v>
      </c>
      <c r="D2671" t="inlineStr">
        <is>
          <t>NORRBOTTENS LÄN</t>
        </is>
      </c>
      <c r="E2671" t="inlineStr">
        <is>
          <t>LULEÅ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33084-2024</t>
        </is>
      </c>
      <c r="B2672" s="1" t="n">
        <v>45517</v>
      </c>
      <c r="C2672" s="1" t="n">
        <v>46046</v>
      </c>
      <c r="D2672" t="inlineStr">
        <is>
          <t>NORRBOTTENS LÄN</t>
        </is>
      </c>
      <c r="E2672" t="inlineStr">
        <is>
          <t>ARVIDSJAUR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31754-2024</t>
        </is>
      </c>
      <c r="B2673" s="1" t="n">
        <v>45509.43402777778</v>
      </c>
      <c r="C2673" s="1" t="n">
        <v>46046</v>
      </c>
      <c r="D2673" t="inlineStr">
        <is>
          <t>NORRBOTTENS LÄN</t>
        </is>
      </c>
      <c r="E2673" t="inlineStr">
        <is>
          <t>BODEN</t>
        </is>
      </c>
      <c r="G2673" t="n">
        <v>11.1</v>
      </c>
      <c r="H2673" t="n">
        <v>0</v>
      </c>
      <c r="I2673" t="n">
        <v>0</v>
      </c>
      <c r="J2673" t="n">
        <v>0</v>
      </c>
      <c r="K2673" t="n">
        <v>0</v>
      </c>
      <c r="L2673" t="n">
        <v>0</v>
      </c>
      <c r="M2673" t="n">
        <v>0</v>
      </c>
      <c r="N2673" t="n">
        <v>0</v>
      </c>
      <c r="O2673" t="n">
        <v>0</v>
      </c>
      <c r="P2673" t="n">
        <v>0</v>
      </c>
      <c r="Q2673" t="n">
        <v>0</v>
      </c>
      <c r="R2673" s="2" t="inlineStr"/>
    </row>
    <row r="2674" ht="15" customHeight="1">
      <c r="A2674" t="inlineStr">
        <is>
          <t>A 36452-2024</t>
        </is>
      </c>
      <c r="B2674" s="1" t="n">
        <v>45537</v>
      </c>
      <c r="C2674" s="1" t="n">
        <v>46046</v>
      </c>
      <c r="D2674" t="inlineStr">
        <is>
          <t>NORRBOTTENS LÄN</t>
        </is>
      </c>
      <c r="E2674" t="inlineStr">
        <is>
          <t>ARVIDSJAUR</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44403-2024</t>
        </is>
      </c>
      <c r="B2675" s="1" t="n">
        <v>45573.71189814815</v>
      </c>
      <c r="C2675" s="1" t="n">
        <v>46046</v>
      </c>
      <c r="D2675" t="inlineStr">
        <is>
          <t>NORRBOTTENS LÄN</t>
        </is>
      </c>
      <c r="E2675" t="inlineStr">
        <is>
          <t>PITEÅ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24874-2025</t>
        </is>
      </c>
      <c r="B2676" s="1" t="n">
        <v>45799.49063657408</v>
      </c>
      <c r="C2676" s="1" t="n">
        <v>46046</v>
      </c>
      <c r="D2676" t="inlineStr">
        <is>
          <t>NORRBOTTENS LÄN</t>
        </is>
      </c>
      <c r="E2676" t="inlineStr">
        <is>
          <t>KALIX</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24877-2025</t>
        </is>
      </c>
      <c r="B2677" s="1" t="n">
        <v>45799.49234953704</v>
      </c>
      <c r="C2677" s="1" t="n">
        <v>46046</v>
      </c>
      <c r="D2677" t="inlineStr">
        <is>
          <t>NORRBOTTENS LÄN</t>
        </is>
      </c>
      <c r="E2677" t="inlineStr">
        <is>
          <t>ÖVERTORNEÅ</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50257-2021</t>
        </is>
      </c>
      <c r="B2678" s="1" t="n">
        <v>44458.89255787037</v>
      </c>
      <c r="C2678" s="1" t="n">
        <v>46046</v>
      </c>
      <c r="D2678" t="inlineStr">
        <is>
          <t>NORRBOTTENS LÄN</t>
        </is>
      </c>
      <c r="E2678" t="inlineStr">
        <is>
          <t>HAPARANDA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50304-2021</t>
        </is>
      </c>
      <c r="B2679" s="1" t="n">
        <v>44455</v>
      </c>
      <c r="C2679" s="1" t="n">
        <v>46046</v>
      </c>
      <c r="D2679" t="inlineStr">
        <is>
          <t>NORRBOTTENS LÄN</t>
        </is>
      </c>
      <c r="E2679" t="inlineStr">
        <is>
          <t>PAJALA</t>
        </is>
      </c>
      <c r="G2679" t="n">
        <v>21.7</v>
      </c>
      <c r="H2679" t="n">
        <v>0</v>
      </c>
      <c r="I2679" t="n">
        <v>0</v>
      </c>
      <c r="J2679" t="n">
        <v>0</v>
      </c>
      <c r="K2679" t="n">
        <v>0</v>
      </c>
      <c r="L2679" t="n">
        <v>0</v>
      </c>
      <c r="M2679" t="n">
        <v>0</v>
      </c>
      <c r="N2679" t="n">
        <v>0</v>
      </c>
      <c r="O2679" t="n">
        <v>0</v>
      </c>
      <c r="P2679" t="n">
        <v>0</v>
      </c>
      <c r="Q2679" t="n">
        <v>0</v>
      </c>
      <c r="R2679" s="2" t="inlineStr"/>
    </row>
    <row r="2680" ht="15" customHeight="1">
      <c r="A2680" t="inlineStr">
        <is>
          <t>A 60-2025</t>
        </is>
      </c>
      <c r="B2680" s="1" t="n">
        <v>45659</v>
      </c>
      <c r="C2680" s="1" t="n">
        <v>46046</v>
      </c>
      <c r="D2680" t="inlineStr">
        <is>
          <t>NORRBOTTENS LÄN</t>
        </is>
      </c>
      <c r="E2680" t="inlineStr">
        <is>
          <t>ÖVERKALIX</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25245-2025</t>
        </is>
      </c>
      <c r="B2681" s="1" t="n">
        <v>45799</v>
      </c>
      <c r="C2681" s="1" t="n">
        <v>46046</v>
      </c>
      <c r="D2681" t="inlineStr">
        <is>
          <t>NORRBOTTENS LÄN</t>
        </is>
      </c>
      <c r="E2681" t="inlineStr">
        <is>
          <t>ÖVERTORNEÅ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36969-2023</t>
        </is>
      </c>
      <c r="B2682" s="1" t="n">
        <v>45154.95400462963</v>
      </c>
      <c r="C2682" s="1" t="n">
        <v>46046</v>
      </c>
      <c r="D2682" t="inlineStr">
        <is>
          <t>NORRBOTTENS LÄN</t>
        </is>
      </c>
      <c r="E2682" t="inlineStr">
        <is>
          <t>GÄLLIVARE</t>
        </is>
      </c>
      <c r="F2682" t="inlineStr">
        <is>
          <t>SCA</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4924-2025</t>
        </is>
      </c>
      <c r="B2683" s="1" t="n">
        <v>45688.68434027778</v>
      </c>
      <c r="C2683" s="1" t="n">
        <v>46046</v>
      </c>
      <c r="D2683" t="inlineStr">
        <is>
          <t>NORRBOTTENS LÄN</t>
        </is>
      </c>
      <c r="E2683" t="inlineStr">
        <is>
          <t>PITEÅ</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24538-2025</t>
        </is>
      </c>
      <c r="B2684" s="1" t="n">
        <v>45798</v>
      </c>
      <c r="C2684" s="1" t="n">
        <v>46046</v>
      </c>
      <c r="D2684" t="inlineStr">
        <is>
          <t>NORRBOTTENS LÄN</t>
        </is>
      </c>
      <c r="E2684" t="inlineStr">
        <is>
          <t>BODEN</t>
        </is>
      </c>
      <c r="F2684" t="inlineStr">
        <is>
          <t>Sveaskog</t>
        </is>
      </c>
      <c r="G2684" t="n">
        <v>15.8</v>
      </c>
      <c r="H2684" t="n">
        <v>0</v>
      </c>
      <c r="I2684" t="n">
        <v>0</v>
      </c>
      <c r="J2684" t="n">
        <v>0</v>
      </c>
      <c r="K2684" t="n">
        <v>0</v>
      </c>
      <c r="L2684" t="n">
        <v>0</v>
      </c>
      <c r="M2684" t="n">
        <v>0</v>
      </c>
      <c r="N2684" t="n">
        <v>0</v>
      </c>
      <c r="O2684" t="n">
        <v>0</v>
      </c>
      <c r="P2684" t="n">
        <v>0</v>
      </c>
      <c r="Q2684" t="n">
        <v>0</v>
      </c>
      <c r="R2684" s="2" t="inlineStr"/>
    </row>
    <row r="2685" ht="15" customHeight="1">
      <c r="A2685" t="inlineStr">
        <is>
          <t>A 4940-2025</t>
        </is>
      </c>
      <c r="B2685" s="1" t="n">
        <v>45688.69949074074</v>
      </c>
      <c r="C2685" s="1" t="n">
        <v>46046</v>
      </c>
      <c r="D2685" t="inlineStr">
        <is>
          <t>NORRBOTTENS LÄN</t>
        </is>
      </c>
      <c r="E2685" t="inlineStr">
        <is>
          <t>LULEÅ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25955-2024</t>
        </is>
      </c>
      <c r="B2686" s="1" t="n">
        <v>45467</v>
      </c>
      <c r="C2686" s="1" t="n">
        <v>46046</v>
      </c>
      <c r="D2686" t="inlineStr">
        <is>
          <t>NORRBOTTENS LÄN</t>
        </is>
      </c>
      <c r="E2686" t="inlineStr">
        <is>
          <t>PITEÅ</t>
        </is>
      </c>
      <c r="F2686" t="inlineStr">
        <is>
          <t>Kommuner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44526-2024</t>
        </is>
      </c>
      <c r="B2687" s="1" t="n">
        <v>45574.44390046296</v>
      </c>
      <c r="C2687" s="1" t="n">
        <v>46046</v>
      </c>
      <c r="D2687" t="inlineStr">
        <is>
          <t>NORRBOTTENS LÄN</t>
        </is>
      </c>
      <c r="E2687" t="inlineStr">
        <is>
          <t>PITEÅ</t>
        </is>
      </c>
      <c r="F2687" t="inlineStr">
        <is>
          <t>Sveaskog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44532-2024</t>
        </is>
      </c>
      <c r="B2688" s="1" t="n">
        <v>45574.45082175926</v>
      </c>
      <c r="C2688" s="1" t="n">
        <v>46046</v>
      </c>
      <c r="D2688" t="inlineStr">
        <is>
          <t>NORRBOTTENS LÄN</t>
        </is>
      </c>
      <c r="E2688" t="inlineStr">
        <is>
          <t>PITEÅ</t>
        </is>
      </c>
      <c r="F2688" t="inlineStr">
        <is>
          <t>Sveaskog</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9596-2023</t>
        </is>
      </c>
      <c r="B2689" s="1" t="n">
        <v>44983</v>
      </c>
      <c r="C2689" s="1" t="n">
        <v>46046</v>
      </c>
      <c r="D2689" t="inlineStr">
        <is>
          <t>NORRBOTTENS LÄN</t>
        </is>
      </c>
      <c r="E2689" t="inlineStr">
        <is>
          <t>BODEN</t>
        </is>
      </c>
      <c r="G2689" t="n">
        <v>37.1</v>
      </c>
      <c r="H2689" t="n">
        <v>0</v>
      </c>
      <c r="I2689" t="n">
        <v>0</v>
      </c>
      <c r="J2689" t="n">
        <v>0</v>
      </c>
      <c r="K2689" t="n">
        <v>0</v>
      </c>
      <c r="L2689" t="n">
        <v>0</v>
      </c>
      <c r="M2689" t="n">
        <v>0</v>
      </c>
      <c r="N2689" t="n">
        <v>0</v>
      </c>
      <c r="O2689" t="n">
        <v>0</v>
      </c>
      <c r="P2689" t="n">
        <v>0</v>
      </c>
      <c r="Q2689" t="n">
        <v>0</v>
      </c>
      <c r="R2689" s="2" t="inlineStr"/>
    </row>
    <row r="2690" ht="15" customHeight="1">
      <c r="A2690" t="inlineStr">
        <is>
          <t>A 44539-2024</t>
        </is>
      </c>
      <c r="B2690" s="1" t="n">
        <v>45574.45609953703</v>
      </c>
      <c r="C2690" s="1" t="n">
        <v>46046</v>
      </c>
      <c r="D2690" t="inlineStr">
        <is>
          <t>NORRBOTTENS LÄN</t>
        </is>
      </c>
      <c r="E2690" t="inlineStr">
        <is>
          <t>PITEÅ</t>
        </is>
      </c>
      <c r="F2690" t="inlineStr">
        <is>
          <t>Sveaskog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453-2025</t>
        </is>
      </c>
      <c r="B2691" s="1" t="n">
        <v>45664.4005787037</v>
      </c>
      <c r="C2691" s="1" t="n">
        <v>46046</v>
      </c>
      <c r="D2691" t="inlineStr">
        <is>
          <t>NORRBOTTENS LÄN</t>
        </is>
      </c>
      <c r="E2691" t="inlineStr">
        <is>
          <t>JOKKMOKK</t>
        </is>
      </c>
      <c r="F2691" t="inlineStr">
        <is>
          <t>Övriga statliga verk och myndigheter</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16471-2022</t>
        </is>
      </c>
      <c r="B2692" s="1" t="n">
        <v>44671</v>
      </c>
      <c r="C2692" s="1" t="n">
        <v>46046</v>
      </c>
      <c r="D2692" t="inlineStr">
        <is>
          <t>NORRBOTTENS LÄN</t>
        </is>
      </c>
      <c r="E2692" t="inlineStr">
        <is>
          <t>ÖVERTORNEÅ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2826-2025</t>
        </is>
      </c>
      <c r="B2693" s="1" t="n">
        <v>45677.61483796296</v>
      </c>
      <c r="C2693" s="1" t="n">
        <v>46046</v>
      </c>
      <c r="D2693" t="inlineStr">
        <is>
          <t>NORRBOTTENS LÄN</t>
        </is>
      </c>
      <c r="E2693" t="inlineStr">
        <is>
          <t>JOKKMOKK</t>
        </is>
      </c>
      <c r="F2693" t="inlineStr">
        <is>
          <t>Övriga statliga verk och myndigheter</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19714-2025</t>
        </is>
      </c>
      <c r="B2694" s="1" t="n">
        <v>45771.3512962963</v>
      </c>
      <c r="C2694" s="1" t="n">
        <v>46046</v>
      </c>
      <c r="D2694" t="inlineStr">
        <is>
          <t>NORRBOTTENS LÄN</t>
        </is>
      </c>
      <c r="E2694" t="inlineStr">
        <is>
          <t>KALIX</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24449-2025</t>
        </is>
      </c>
      <c r="B2695" s="1" t="n">
        <v>45798</v>
      </c>
      <c r="C2695" s="1" t="n">
        <v>46046</v>
      </c>
      <c r="D2695" t="inlineStr">
        <is>
          <t>NORRBOTTENS LÄN</t>
        </is>
      </c>
      <c r="E2695" t="inlineStr">
        <is>
          <t>PAJALA</t>
        </is>
      </c>
      <c r="G2695" t="n">
        <v>18.3</v>
      </c>
      <c r="H2695" t="n">
        <v>0</v>
      </c>
      <c r="I2695" t="n">
        <v>0</v>
      </c>
      <c r="J2695" t="n">
        <v>0</v>
      </c>
      <c r="K2695" t="n">
        <v>0</v>
      </c>
      <c r="L2695" t="n">
        <v>0</v>
      </c>
      <c r="M2695" t="n">
        <v>0</v>
      </c>
      <c r="N2695" t="n">
        <v>0</v>
      </c>
      <c r="O2695" t="n">
        <v>0</v>
      </c>
      <c r="P2695" t="n">
        <v>0</v>
      </c>
      <c r="Q2695" t="n">
        <v>0</v>
      </c>
      <c r="R2695" s="2" t="inlineStr"/>
    </row>
    <row r="2696" ht="15" customHeight="1">
      <c r="A2696" t="inlineStr">
        <is>
          <t>A 57908-2024</t>
        </is>
      </c>
      <c r="B2696" s="1" t="n">
        <v>45631.49189814815</v>
      </c>
      <c r="C2696" s="1" t="n">
        <v>46046</v>
      </c>
      <c r="D2696" t="inlineStr">
        <is>
          <t>NORRBOTTENS LÄN</t>
        </is>
      </c>
      <c r="E2696" t="inlineStr">
        <is>
          <t>PITEÅ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46651-2023</t>
        </is>
      </c>
      <c r="B2697" s="1" t="n">
        <v>45194</v>
      </c>
      <c r="C2697" s="1" t="n">
        <v>46046</v>
      </c>
      <c r="D2697" t="inlineStr">
        <is>
          <t>NORRBOTTENS LÄN</t>
        </is>
      </c>
      <c r="E2697" t="inlineStr">
        <is>
          <t>ÖVERTORNEÅ</t>
        </is>
      </c>
      <c r="G2697" t="n">
        <v>10.1</v>
      </c>
      <c r="H2697" t="n">
        <v>0</v>
      </c>
      <c r="I2697" t="n">
        <v>0</v>
      </c>
      <c r="J2697" t="n">
        <v>0</v>
      </c>
      <c r="K2697" t="n">
        <v>0</v>
      </c>
      <c r="L2697" t="n">
        <v>0</v>
      </c>
      <c r="M2697" t="n">
        <v>0</v>
      </c>
      <c r="N2697" t="n">
        <v>0</v>
      </c>
      <c r="O2697" t="n">
        <v>0</v>
      </c>
      <c r="P2697" t="n">
        <v>0</v>
      </c>
      <c r="Q2697" t="n">
        <v>0</v>
      </c>
      <c r="R2697" s="2" t="inlineStr"/>
    </row>
    <row r="2698" ht="15" customHeight="1">
      <c r="A2698" t="inlineStr">
        <is>
          <t>A 58370-2023</t>
        </is>
      </c>
      <c r="B2698" s="1" t="n">
        <v>45250</v>
      </c>
      <c r="C2698" s="1" t="n">
        <v>46046</v>
      </c>
      <c r="D2698" t="inlineStr">
        <is>
          <t>NORRBOTTENS LÄN</t>
        </is>
      </c>
      <c r="E2698" t="inlineStr">
        <is>
          <t>ARJEPLOG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52400-2023</t>
        </is>
      </c>
      <c r="B2699" s="1" t="n">
        <v>45224</v>
      </c>
      <c r="C2699" s="1" t="n">
        <v>46046</v>
      </c>
      <c r="D2699" t="inlineStr">
        <is>
          <t>NORRBOTTENS LÄN</t>
        </is>
      </c>
      <c r="E2699" t="inlineStr">
        <is>
          <t>LULEÅ</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55034-2023</t>
        </is>
      </c>
      <c r="B2700" s="1" t="n">
        <v>45237</v>
      </c>
      <c r="C2700" s="1" t="n">
        <v>46046</v>
      </c>
      <c r="D2700" t="inlineStr">
        <is>
          <t>NORRBOTTENS LÄN</t>
        </is>
      </c>
      <c r="E2700" t="inlineStr">
        <is>
          <t>GÄLLIVARE</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45713-2024</t>
        </is>
      </c>
      <c r="B2701" s="1" t="n">
        <v>45579.58488425926</v>
      </c>
      <c r="C2701" s="1" t="n">
        <v>46046</v>
      </c>
      <c r="D2701" t="inlineStr">
        <is>
          <t>NORRBOTTENS LÄN</t>
        </is>
      </c>
      <c r="E2701" t="inlineStr">
        <is>
          <t>PITEÅ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45715-2024</t>
        </is>
      </c>
      <c r="B2702" s="1" t="n">
        <v>45579</v>
      </c>
      <c r="C2702" s="1" t="n">
        <v>46046</v>
      </c>
      <c r="D2702" t="inlineStr">
        <is>
          <t>NORRBOTTENS LÄN</t>
        </is>
      </c>
      <c r="E2702" t="inlineStr">
        <is>
          <t>PITEÅ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45728-2024</t>
        </is>
      </c>
      <c r="B2703" s="1" t="n">
        <v>45579.59833333334</v>
      </c>
      <c r="C2703" s="1" t="n">
        <v>46046</v>
      </c>
      <c r="D2703" t="inlineStr">
        <is>
          <t>NORRBOTTENS LÄN</t>
        </is>
      </c>
      <c r="E2703" t="inlineStr">
        <is>
          <t>PITEÅ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45732-2024</t>
        </is>
      </c>
      <c r="B2704" s="1" t="n">
        <v>45579.60060185185</v>
      </c>
      <c r="C2704" s="1" t="n">
        <v>46046</v>
      </c>
      <c r="D2704" t="inlineStr">
        <is>
          <t>NORRBOTTENS LÄN</t>
        </is>
      </c>
      <c r="E2704" t="inlineStr">
        <is>
          <t>PITEÅ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8229-2024</t>
        </is>
      </c>
      <c r="B2705" s="1" t="n">
        <v>45351</v>
      </c>
      <c r="C2705" s="1" t="n">
        <v>46046</v>
      </c>
      <c r="D2705" t="inlineStr">
        <is>
          <t>NORRBOTTENS LÄN</t>
        </is>
      </c>
      <c r="E2705" t="inlineStr">
        <is>
          <t>LULEÅ</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17412-2024</t>
        </is>
      </c>
      <c r="B2706" s="1" t="n">
        <v>45414</v>
      </c>
      <c r="C2706" s="1" t="n">
        <v>46046</v>
      </c>
      <c r="D2706" t="inlineStr">
        <is>
          <t>NORRBOTTENS LÄN</t>
        </is>
      </c>
      <c r="E2706" t="inlineStr">
        <is>
          <t>BODEN</t>
        </is>
      </c>
      <c r="G2706" t="n">
        <v>14.6</v>
      </c>
      <c r="H2706" t="n">
        <v>0</v>
      </c>
      <c r="I2706" t="n">
        <v>0</v>
      </c>
      <c r="J2706" t="n">
        <v>0</v>
      </c>
      <c r="K2706" t="n">
        <v>0</v>
      </c>
      <c r="L2706" t="n">
        <v>0</v>
      </c>
      <c r="M2706" t="n">
        <v>0</v>
      </c>
      <c r="N2706" t="n">
        <v>0</v>
      </c>
      <c r="O2706" t="n">
        <v>0</v>
      </c>
      <c r="P2706" t="n">
        <v>0</v>
      </c>
      <c r="Q2706" t="n">
        <v>0</v>
      </c>
      <c r="R2706" s="2" t="inlineStr"/>
    </row>
    <row r="2707" ht="15" customHeight="1">
      <c r="A2707" t="inlineStr">
        <is>
          <t>A 17413-2024</t>
        </is>
      </c>
      <c r="B2707" s="1" t="n">
        <v>45414.95038194444</v>
      </c>
      <c r="C2707" s="1" t="n">
        <v>46046</v>
      </c>
      <c r="D2707" t="inlineStr">
        <is>
          <t>NORRBOTTENS LÄN</t>
        </is>
      </c>
      <c r="E2707" t="inlineStr">
        <is>
          <t>BODEN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25170-2025</t>
        </is>
      </c>
      <c r="B2708" s="1" t="n">
        <v>45798</v>
      </c>
      <c r="C2708" s="1" t="n">
        <v>46046</v>
      </c>
      <c r="D2708" t="inlineStr">
        <is>
          <t>NORRBOTTENS LÄN</t>
        </is>
      </c>
      <c r="E2708" t="inlineStr">
        <is>
          <t>ÖVERTORNEÅ</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15180-2025</t>
        </is>
      </c>
      <c r="B2709" s="1" t="n">
        <v>45744.52540509259</v>
      </c>
      <c r="C2709" s="1" t="n">
        <v>46046</v>
      </c>
      <c r="D2709" t="inlineStr">
        <is>
          <t>NORRBOTTENS LÄN</t>
        </is>
      </c>
      <c r="E2709" t="inlineStr">
        <is>
          <t>ÄLVSBYN</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41132-2023</t>
        </is>
      </c>
      <c r="B2710" s="1" t="n">
        <v>45173</v>
      </c>
      <c r="C2710" s="1" t="n">
        <v>46046</v>
      </c>
      <c r="D2710" t="inlineStr">
        <is>
          <t>NORRBOTTENS LÄN</t>
        </is>
      </c>
      <c r="E2710" t="inlineStr">
        <is>
          <t>KALIX</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11290-2023</t>
        </is>
      </c>
      <c r="B2711" s="1" t="n">
        <v>44992</v>
      </c>
      <c r="C2711" s="1" t="n">
        <v>46046</v>
      </c>
      <c r="D2711" t="inlineStr">
        <is>
          <t>NORRBOTTENS LÄN</t>
        </is>
      </c>
      <c r="E2711" t="inlineStr">
        <is>
          <t>GÄLLIVARE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24888-2025</t>
        </is>
      </c>
      <c r="B2712" s="1" t="n">
        <v>45799.51076388889</v>
      </c>
      <c r="C2712" s="1" t="n">
        <v>46046</v>
      </c>
      <c r="D2712" t="inlineStr">
        <is>
          <t>NORRBOTTENS LÄN</t>
        </is>
      </c>
      <c r="E2712" t="inlineStr">
        <is>
          <t>KALIX</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24890-2025</t>
        </is>
      </c>
      <c r="B2713" s="1" t="n">
        <v>45799.51096064815</v>
      </c>
      <c r="C2713" s="1" t="n">
        <v>46046</v>
      </c>
      <c r="D2713" t="inlineStr">
        <is>
          <t>NORRBOTTENS LÄN</t>
        </is>
      </c>
      <c r="E2713" t="inlineStr">
        <is>
          <t>KALIX</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53185-2022</t>
        </is>
      </c>
      <c r="B2714" s="1" t="n">
        <v>44876.57346064815</v>
      </c>
      <c r="C2714" s="1" t="n">
        <v>46046</v>
      </c>
      <c r="D2714" t="inlineStr">
        <is>
          <t>NORRBOTTENS LÄN</t>
        </is>
      </c>
      <c r="E2714" t="inlineStr">
        <is>
          <t>LULEÅ</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51668-2022</t>
        </is>
      </c>
      <c r="B2715" s="1" t="n">
        <v>44867</v>
      </c>
      <c r="C2715" s="1" t="n">
        <v>46046</v>
      </c>
      <c r="D2715" t="inlineStr">
        <is>
          <t>NORRBOTTENS LÄN</t>
        </is>
      </c>
      <c r="E2715" t="inlineStr">
        <is>
          <t>LULEÅ</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24922-2025</t>
        </is>
      </c>
      <c r="B2716" s="1" t="n">
        <v>45799.55261574074</v>
      </c>
      <c r="C2716" s="1" t="n">
        <v>46046</v>
      </c>
      <c r="D2716" t="inlineStr">
        <is>
          <t>NORRBOTTENS LÄN</t>
        </is>
      </c>
      <c r="E2716" t="inlineStr">
        <is>
          <t>ARVIDSJAUR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12849-2025</t>
        </is>
      </c>
      <c r="B2717" s="1" t="n">
        <v>45733.65648148148</v>
      </c>
      <c r="C2717" s="1" t="n">
        <v>46046</v>
      </c>
      <c r="D2717" t="inlineStr">
        <is>
          <t>NORRBOTTENS LÄN</t>
        </is>
      </c>
      <c r="E2717" t="inlineStr">
        <is>
          <t>PITEÅ</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36381-2024</t>
        </is>
      </c>
      <c r="B2718" s="1" t="n">
        <v>45534</v>
      </c>
      <c r="C2718" s="1" t="n">
        <v>46046</v>
      </c>
      <c r="D2718" t="inlineStr">
        <is>
          <t>NORRBOTTENS LÄN</t>
        </is>
      </c>
      <c r="E2718" t="inlineStr">
        <is>
          <t>ÖVERKALIX</t>
        </is>
      </c>
      <c r="F2718" t="inlineStr">
        <is>
          <t>Sveaskog</t>
        </is>
      </c>
      <c r="G2718" t="n">
        <v>26.7</v>
      </c>
      <c r="H2718" t="n">
        <v>0</v>
      </c>
      <c r="I2718" t="n">
        <v>0</v>
      </c>
      <c r="J2718" t="n">
        <v>0</v>
      </c>
      <c r="K2718" t="n">
        <v>0</v>
      </c>
      <c r="L2718" t="n">
        <v>0</v>
      </c>
      <c r="M2718" t="n">
        <v>0</v>
      </c>
      <c r="N2718" t="n">
        <v>0</v>
      </c>
      <c r="O2718" t="n">
        <v>0</v>
      </c>
      <c r="P2718" t="n">
        <v>0</v>
      </c>
      <c r="Q2718" t="n">
        <v>0</v>
      </c>
      <c r="R2718" s="2" t="inlineStr"/>
    </row>
    <row r="2719" ht="15" customHeight="1">
      <c r="A2719" t="inlineStr">
        <is>
          <t>A 19047-2024</t>
        </is>
      </c>
      <c r="B2719" s="1" t="n">
        <v>45427.74662037037</v>
      </c>
      <c r="C2719" s="1" t="n">
        <v>46046</v>
      </c>
      <c r="D2719" t="inlineStr">
        <is>
          <t>NORRBOTTENS LÄN</t>
        </is>
      </c>
      <c r="E2719" t="inlineStr">
        <is>
          <t>PAJALA</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61260-2023</t>
        </is>
      </c>
      <c r="B2720" s="1" t="n">
        <v>45264.48927083334</v>
      </c>
      <c r="C2720" s="1" t="n">
        <v>46046</v>
      </c>
      <c r="D2720" t="inlineStr">
        <is>
          <t>NORRBOTTENS LÄN</t>
        </is>
      </c>
      <c r="E2720" t="inlineStr">
        <is>
          <t>BODEN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59681-2023</t>
        </is>
      </c>
      <c r="B2721" s="1" t="n">
        <v>45255</v>
      </c>
      <c r="C2721" s="1" t="n">
        <v>46046</v>
      </c>
      <c r="D2721" t="inlineStr">
        <is>
          <t>NORRBOTTENS LÄN</t>
        </is>
      </c>
      <c r="E2721" t="inlineStr">
        <is>
          <t>LULEÅ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59688-2023</t>
        </is>
      </c>
      <c r="B2722" s="1" t="n">
        <v>45256</v>
      </c>
      <c r="C2722" s="1" t="n">
        <v>46046</v>
      </c>
      <c r="D2722" t="inlineStr">
        <is>
          <t>NORRBOTTENS LÄN</t>
        </is>
      </c>
      <c r="E2722" t="inlineStr">
        <is>
          <t>BODEN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51489-2023</t>
        </is>
      </c>
      <c r="B2723" s="1" t="n">
        <v>45222</v>
      </c>
      <c r="C2723" s="1" t="n">
        <v>46046</v>
      </c>
      <c r="D2723" t="inlineStr">
        <is>
          <t>NORRBOTTENS LÄN</t>
        </is>
      </c>
      <c r="E2723" t="inlineStr">
        <is>
          <t>PITEÅ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8552-2025</t>
        </is>
      </c>
      <c r="B2724" s="1" t="n">
        <v>45709</v>
      </c>
      <c r="C2724" s="1" t="n">
        <v>46046</v>
      </c>
      <c r="D2724" t="inlineStr">
        <is>
          <t>NORRBOTTENS LÄN</t>
        </is>
      </c>
      <c r="E2724" t="inlineStr">
        <is>
          <t>ÄLVSBYN</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8553-2025</t>
        </is>
      </c>
      <c r="B2725" s="1" t="n">
        <v>45709</v>
      </c>
      <c r="C2725" s="1" t="n">
        <v>46046</v>
      </c>
      <c r="D2725" t="inlineStr">
        <is>
          <t>NORRBOTTENS LÄN</t>
        </is>
      </c>
      <c r="E2725" t="inlineStr">
        <is>
          <t>ÄLVSBYN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50590-2023</t>
        </is>
      </c>
      <c r="B2726" s="1" t="n">
        <v>45217.40167824074</v>
      </c>
      <c r="C2726" s="1" t="n">
        <v>46046</v>
      </c>
      <c r="D2726" t="inlineStr">
        <is>
          <t>NORRBOTTENS LÄN</t>
        </is>
      </c>
      <c r="E2726" t="inlineStr">
        <is>
          <t>KIRUNA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49806-2022</t>
        </is>
      </c>
      <c r="B2727" s="1" t="n">
        <v>44862.66424768518</v>
      </c>
      <c r="C2727" s="1" t="n">
        <v>46046</v>
      </c>
      <c r="D2727" t="inlineStr">
        <is>
          <t>NORRBOTTENS LÄN</t>
        </is>
      </c>
      <c r="E2727" t="inlineStr">
        <is>
          <t>BODEN</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9225-2025</t>
        </is>
      </c>
      <c r="B2728" s="1" t="n">
        <v>45714.53447916666</v>
      </c>
      <c r="C2728" s="1" t="n">
        <v>46046</v>
      </c>
      <c r="D2728" t="inlineStr">
        <is>
          <t>NORRBOTTENS LÄN</t>
        </is>
      </c>
      <c r="E2728" t="inlineStr">
        <is>
          <t>KALIX</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24716-2025</t>
        </is>
      </c>
      <c r="B2729" s="1" t="n">
        <v>45798.99405092592</v>
      </c>
      <c r="C2729" s="1" t="n">
        <v>46046</v>
      </c>
      <c r="D2729" t="inlineStr">
        <is>
          <t>NORRBOTTENS LÄN</t>
        </is>
      </c>
      <c r="E2729" t="inlineStr">
        <is>
          <t>ÄLVSBYN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25014-2025</t>
        </is>
      </c>
      <c r="B2730" s="1" t="n">
        <v>45799.63135416667</v>
      </c>
      <c r="C2730" s="1" t="n">
        <v>46046</v>
      </c>
      <c r="D2730" t="inlineStr">
        <is>
          <t>NORRBOTTENS LÄN</t>
        </is>
      </c>
      <c r="E2730" t="inlineStr">
        <is>
          <t>KALIX</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42196-2024</t>
        </is>
      </c>
      <c r="B2731" s="1" t="n">
        <v>45562</v>
      </c>
      <c r="C2731" s="1" t="n">
        <v>46046</v>
      </c>
      <c r="D2731" t="inlineStr">
        <is>
          <t>NORRBOTTENS LÄN</t>
        </is>
      </c>
      <c r="E2731" t="inlineStr">
        <is>
          <t>BODEN</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46585-2024</t>
        </is>
      </c>
      <c r="B2732" s="1" t="n">
        <v>45582.76248842593</v>
      </c>
      <c r="C2732" s="1" t="n">
        <v>46046</v>
      </c>
      <c r="D2732" t="inlineStr">
        <is>
          <t>NORRBOTTENS LÄN</t>
        </is>
      </c>
      <c r="E2732" t="inlineStr">
        <is>
          <t>KALIX</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24622-2025</t>
        </is>
      </c>
      <c r="B2733" s="1" t="n">
        <v>45798.59416666667</v>
      </c>
      <c r="C2733" s="1" t="n">
        <v>46046</v>
      </c>
      <c r="D2733" t="inlineStr">
        <is>
          <t>NORRBOTTENS LÄN</t>
        </is>
      </c>
      <c r="E2733" t="inlineStr">
        <is>
          <t>KALIX</t>
        </is>
      </c>
      <c r="F2733" t="inlineStr">
        <is>
          <t>SCA</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24624-2025</t>
        </is>
      </c>
      <c r="B2734" s="1" t="n">
        <v>45798.59435185185</v>
      </c>
      <c r="C2734" s="1" t="n">
        <v>46046</v>
      </c>
      <c r="D2734" t="inlineStr">
        <is>
          <t>NORRBOTTENS LÄN</t>
        </is>
      </c>
      <c r="E2734" t="inlineStr">
        <is>
          <t>GÄLLIVARE</t>
        </is>
      </c>
      <c r="F2734" t="inlineStr">
        <is>
          <t>SCA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24625-2025</t>
        </is>
      </c>
      <c r="B2735" s="1" t="n">
        <v>45798.59457175926</v>
      </c>
      <c r="C2735" s="1" t="n">
        <v>46046</v>
      </c>
      <c r="D2735" t="inlineStr">
        <is>
          <t>NORRBOTTENS LÄN</t>
        </is>
      </c>
      <c r="E2735" t="inlineStr">
        <is>
          <t>KALIX</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43487-2021</t>
        </is>
      </c>
      <c r="B2736" s="1" t="n">
        <v>44432.92236111111</v>
      </c>
      <c r="C2736" s="1" t="n">
        <v>46046</v>
      </c>
      <c r="D2736" t="inlineStr">
        <is>
          <t>NORRBOTTENS LÄN</t>
        </is>
      </c>
      <c r="E2736" t="inlineStr">
        <is>
          <t>ÖVERTORNEÅ</t>
        </is>
      </c>
      <c r="G2736" t="n">
        <v>22.5</v>
      </c>
      <c r="H2736" t="n">
        <v>0</v>
      </c>
      <c r="I2736" t="n">
        <v>0</v>
      </c>
      <c r="J2736" t="n">
        <v>0</v>
      </c>
      <c r="K2736" t="n">
        <v>0</v>
      </c>
      <c r="L2736" t="n">
        <v>0</v>
      </c>
      <c r="M2736" t="n">
        <v>0</v>
      </c>
      <c r="N2736" t="n">
        <v>0</v>
      </c>
      <c r="O2736" t="n">
        <v>0</v>
      </c>
      <c r="P2736" t="n">
        <v>0</v>
      </c>
      <c r="Q2736" t="n">
        <v>0</v>
      </c>
      <c r="R2736" s="2" t="inlineStr"/>
    </row>
    <row r="2737" ht="15" customHeight="1">
      <c r="A2737" t="inlineStr">
        <is>
          <t>A 3614-2025</t>
        </is>
      </c>
      <c r="B2737" s="1" t="n">
        <v>45681.36236111111</v>
      </c>
      <c r="C2737" s="1" t="n">
        <v>46046</v>
      </c>
      <c r="D2737" t="inlineStr">
        <is>
          <t>NORRBOTTENS LÄN</t>
        </is>
      </c>
      <c r="E2737" t="inlineStr">
        <is>
          <t>KALIX</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24699-2025</t>
        </is>
      </c>
      <c r="B2738" s="1" t="n">
        <v>45798.71922453704</v>
      </c>
      <c r="C2738" s="1" t="n">
        <v>46046</v>
      </c>
      <c r="D2738" t="inlineStr">
        <is>
          <t>NORRBOTTENS LÄN</t>
        </is>
      </c>
      <c r="E2738" t="inlineStr">
        <is>
          <t>BODEN</t>
        </is>
      </c>
      <c r="F2738" t="inlineStr">
        <is>
          <t>SCA</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61932-2024</t>
        </is>
      </c>
      <c r="B2739" s="1" t="n">
        <v>45653.46015046296</v>
      </c>
      <c r="C2739" s="1" t="n">
        <v>46046</v>
      </c>
      <c r="D2739" t="inlineStr">
        <is>
          <t>NORRBOTTENS LÄN</t>
        </is>
      </c>
      <c r="E2739" t="inlineStr">
        <is>
          <t>BODEN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45468-2022</t>
        </is>
      </c>
      <c r="B2740" s="1" t="n">
        <v>44841</v>
      </c>
      <c r="C2740" s="1" t="n">
        <v>46046</v>
      </c>
      <c r="D2740" t="inlineStr">
        <is>
          <t>NORRBOTTENS LÄN</t>
        </is>
      </c>
      <c r="E2740" t="inlineStr">
        <is>
          <t>JOKKMOKK</t>
        </is>
      </c>
      <c r="F2740" t="inlineStr">
        <is>
          <t>Övriga Aktiebolag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24745-2025</t>
        </is>
      </c>
      <c r="B2741" s="1" t="n">
        <v>45799.34627314815</v>
      </c>
      <c r="C2741" s="1" t="n">
        <v>46046</v>
      </c>
      <c r="D2741" t="inlineStr">
        <is>
          <t>NORRBOTTENS LÄN</t>
        </is>
      </c>
      <c r="E2741" t="inlineStr">
        <is>
          <t>PAJALA</t>
        </is>
      </c>
      <c r="F2741" t="inlineStr">
        <is>
          <t>SCA</t>
        </is>
      </c>
      <c r="G2741" t="n">
        <v>11.5</v>
      </c>
      <c r="H2741" t="n">
        <v>0</v>
      </c>
      <c r="I2741" t="n">
        <v>0</v>
      </c>
      <c r="J2741" t="n">
        <v>0</v>
      </c>
      <c r="K2741" t="n">
        <v>0</v>
      </c>
      <c r="L2741" t="n">
        <v>0</v>
      </c>
      <c r="M2741" t="n">
        <v>0</v>
      </c>
      <c r="N2741" t="n">
        <v>0</v>
      </c>
      <c r="O2741" t="n">
        <v>0</v>
      </c>
      <c r="P2741" t="n">
        <v>0</v>
      </c>
      <c r="Q2741" t="n">
        <v>0</v>
      </c>
      <c r="R2741" s="2" t="inlineStr"/>
    </row>
    <row r="2742" ht="15" customHeight="1">
      <c r="A2742" t="inlineStr">
        <is>
          <t>A 12549-2024</t>
        </is>
      </c>
      <c r="B2742" s="1" t="n">
        <v>45379</v>
      </c>
      <c r="C2742" s="1" t="n">
        <v>46046</v>
      </c>
      <c r="D2742" t="inlineStr">
        <is>
          <t>NORRBOTTENS LÄN</t>
        </is>
      </c>
      <c r="E2742" t="inlineStr">
        <is>
          <t>LULEÅ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10948-2025</t>
        </is>
      </c>
      <c r="B2743" s="1" t="n">
        <v>45723.34453703704</v>
      </c>
      <c r="C2743" s="1" t="n">
        <v>46046</v>
      </c>
      <c r="D2743" t="inlineStr">
        <is>
          <t>NORRBOTTENS LÄN</t>
        </is>
      </c>
      <c r="E2743" t="inlineStr">
        <is>
          <t>GÄLLIVARE</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37649-2024</t>
        </is>
      </c>
      <c r="B2744" s="1" t="n">
        <v>45541</v>
      </c>
      <c r="C2744" s="1" t="n">
        <v>46046</v>
      </c>
      <c r="D2744" t="inlineStr">
        <is>
          <t>NORRBOTTENS LÄN</t>
        </is>
      </c>
      <c r="E2744" t="inlineStr">
        <is>
          <t>ARVIDSJAUR</t>
        </is>
      </c>
      <c r="F2744" t="inlineStr">
        <is>
          <t>Allmännings- och besparingsskogar</t>
        </is>
      </c>
      <c r="G2744" t="n">
        <v>6.1</v>
      </c>
      <c r="H2744" t="n">
        <v>0</v>
      </c>
      <c r="I2744" t="n">
        <v>0</v>
      </c>
      <c r="J2744" t="n">
        <v>0</v>
      </c>
      <c r="K2744" t="n">
        <v>0</v>
      </c>
      <c r="L2744" t="n">
        <v>0</v>
      </c>
      <c r="M2744" t="n">
        <v>0</v>
      </c>
      <c r="N2744" t="n">
        <v>0</v>
      </c>
      <c r="O2744" t="n">
        <v>0</v>
      </c>
      <c r="P2744" t="n">
        <v>0</v>
      </c>
      <c r="Q2744" t="n">
        <v>0</v>
      </c>
      <c r="R2744" s="2" t="inlineStr"/>
      <c r="U2744">
        <f>HYPERLINK("https://klasma.github.io/Logging_2505/knärot/A 37649-2024 karta knärot.png", "A 37649-2024")</f>
        <v/>
      </c>
      <c r="V2744">
        <f>HYPERLINK("https://klasma.github.io/Logging_2505/klagomål/A 37649-2024 FSC-klagomål.docx", "A 37649-2024")</f>
        <v/>
      </c>
      <c r="W2744">
        <f>HYPERLINK("https://klasma.github.io/Logging_2505/klagomålsmail/A 37649-2024 FSC-klagomål mail.docx", "A 37649-2024")</f>
        <v/>
      </c>
      <c r="X2744">
        <f>HYPERLINK("https://klasma.github.io/Logging_2505/tillsyn/A 37649-2024 tillsynsbegäran.docx", "A 37649-2024")</f>
        <v/>
      </c>
      <c r="Y2744">
        <f>HYPERLINK("https://klasma.github.io/Logging_2505/tillsynsmail/A 37649-2024 tillsynsbegäran mail.docx", "A 37649-2024")</f>
        <v/>
      </c>
    </row>
    <row r="2745" ht="15" customHeight="1">
      <c r="A2745" t="inlineStr">
        <is>
          <t>A 12685-2023</t>
        </is>
      </c>
      <c r="B2745" s="1" t="n">
        <v>44999</v>
      </c>
      <c r="C2745" s="1" t="n">
        <v>46046</v>
      </c>
      <c r="D2745" t="inlineStr">
        <is>
          <t>NORRBOTTENS LÄN</t>
        </is>
      </c>
      <c r="E2745" t="inlineStr">
        <is>
          <t>LULEÅ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47154-2024</t>
        </is>
      </c>
      <c r="B2746" s="1" t="n">
        <v>45586.5952662037</v>
      </c>
      <c r="C2746" s="1" t="n">
        <v>46046</v>
      </c>
      <c r="D2746" t="inlineStr">
        <is>
          <t>NORRBOTTENS LÄN</t>
        </is>
      </c>
      <c r="E2746" t="inlineStr">
        <is>
          <t>KALIX</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38472-2024</t>
        </is>
      </c>
      <c r="B2747" s="1" t="n">
        <v>45546</v>
      </c>
      <c r="C2747" s="1" t="n">
        <v>46046</v>
      </c>
      <c r="D2747" t="inlineStr">
        <is>
          <t>NORRBOTTENS LÄN</t>
        </is>
      </c>
      <c r="E2747" t="inlineStr">
        <is>
          <t>ARVIDSJAUR</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18267-2022</t>
        </is>
      </c>
      <c r="B2748" s="1" t="n">
        <v>44685</v>
      </c>
      <c r="C2748" s="1" t="n">
        <v>46046</v>
      </c>
      <c r="D2748" t="inlineStr">
        <is>
          <t>NORRBOTTENS LÄN</t>
        </is>
      </c>
      <c r="E2748" t="inlineStr">
        <is>
          <t>PITEÅ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50109-2024</t>
        </is>
      </c>
      <c r="B2749" s="1" t="n">
        <v>45600</v>
      </c>
      <c r="C2749" s="1" t="n">
        <v>46046</v>
      </c>
      <c r="D2749" t="inlineStr">
        <is>
          <t>NORRBOTTENS LÄN</t>
        </is>
      </c>
      <c r="E2749" t="inlineStr">
        <is>
          <t>ARVIDSJAUR</t>
        </is>
      </c>
      <c r="F2749" t="inlineStr">
        <is>
          <t>Sveaskog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34337-2022</t>
        </is>
      </c>
      <c r="B2750" s="1" t="n">
        <v>44792</v>
      </c>
      <c r="C2750" s="1" t="n">
        <v>46046</v>
      </c>
      <c r="D2750" t="inlineStr">
        <is>
          <t>NORRBOTTENS LÄN</t>
        </is>
      </c>
      <c r="E2750" t="inlineStr">
        <is>
          <t>PITEÅ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25005-2025</t>
        </is>
      </c>
      <c r="B2751" s="1" t="n">
        <v>45799.6247337963</v>
      </c>
      <c r="C2751" s="1" t="n">
        <v>46046</v>
      </c>
      <c r="D2751" t="inlineStr">
        <is>
          <t>NORRBOTTENS LÄN</t>
        </is>
      </c>
      <c r="E2751" t="inlineStr">
        <is>
          <t>KALIX</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34579-2024</t>
        </is>
      </c>
      <c r="B2752" s="1" t="n">
        <v>45526.36474537037</v>
      </c>
      <c r="C2752" s="1" t="n">
        <v>46046</v>
      </c>
      <c r="D2752" t="inlineStr">
        <is>
          <t>NORRBOTTENS LÄN</t>
        </is>
      </c>
      <c r="E2752" t="inlineStr">
        <is>
          <t>ÖVERTORNEÅ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21545-2025</t>
        </is>
      </c>
      <c r="B2753" s="1" t="n">
        <v>45782</v>
      </c>
      <c r="C2753" s="1" t="n">
        <v>46046</v>
      </c>
      <c r="D2753" t="inlineStr">
        <is>
          <t>NORRBOTTENS LÄN</t>
        </is>
      </c>
      <c r="E2753" t="inlineStr">
        <is>
          <t>ÄLVSBYN</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37581-2024</t>
        </is>
      </c>
      <c r="B2754" s="1" t="n">
        <v>45541.45581018519</v>
      </c>
      <c r="C2754" s="1" t="n">
        <v>46046</v>
      </c>
      <c r="D2754" t="inlineStr">
        <is>
          <t>NORRBOTTENS LÄN</t>
        </is>
      </c>
      <c r="E2754" t="inlineStr">
        <is>
          <t>PAJALA</t>
        </is>
      </c>
      <c r="F2754" t="inlineStr">
        <is>
          <t>Sveaskog</t>
        </is>
      </c>
      <c r="G2754" t="n">
        <v>40.3</v>
      </c>
      <c r="H2754" t="n">
        <v>0</v>
      </c>
      <c r="I2754" t="n">
        <v>0</v>
      </c>
      <c r="J2754" t="n">
        <v>0</v>
      </c>
      <c r="K2754" t="n">
        <v>0</v>
      </c>
      <c r="L2754" t="n">
        <v>0</v>
      </c>
      <c r="M2754" t="n">
        <v>0</v>
      </c>
      <c r="N2754" t="n">
        <v>0</v>
      </c>
      <c r="O2754" t="n">
        <v>0</v>
      </c>
      <c r="P2754" t="n">
        <v>0</v>
      </c>
      <c r="Q2754" t="n">
        <v>0</v>
      </c>
      <c r="R2754" s="2" t="inlineStr"/>
    </row>
    <row r="2755" ht="15" customHeight="1">
      <c r="A2755" t="inlineStr">
        <is>
          <t>A 2773-2025</t>
        </is>
      </c>
      <c r="B2755" s="1" t="n">
        <v>45677.51043981482</v>
      </c>
      <c r="C2755" s="1" t="n">
        <v>46046</v>
      </c>
      <c r="D2755" t="inlineStr">
        <is>
          <t>NORRBOTTENS LÄN</t>
        </is>
      </c>
      <c r="E2755" t="inlineStr">
        <is>
          <t>ARVIDSJAUR</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37582-2024</t>
        </is>
      </c>
      <c r="B2756" s="1" t="n">
        <v>45541</v>
      </c>
      <c r="C2756" s="1" t="n">
        <v>46046</v>
      </c>
      <c r="D2756" t="inlineStr">
        <is>
          <t>NORRBOTTENS LÄN</t>
        </is>
      </c>
      <c r="E2756" t="inlineStr">
        <is>
          <t>KALIX</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57739-2024</t>
        </is>
      </c>
      <c r="B2757" s="1" t="n">
        <v>45630</v>
      </c>
      <c r="C2757" s="1" t="n">
        <v>46046</v>
      </c>
      <c r="D2757" t="inlineStr">
        <is>
          <t>NORRBOTTENS LÄN</t>
        </is>
      </c>
      <c r="E2757" t="inlineStr">
        <is>
          <t>PAJALA</t>
        </is>
      </c>
      <c r="G2757" t="n">
        <v>13.9</v>
      </c>
      <c r="H2757" t="n">
        <v>0</v>
      </c>
      <c r="I2757" t="n">
        <v>0</v>
      </c>
      <c r="J2757" t="n">
        <v>0</v>
      </c>
      <c r="K2757" t="n">
        <v>0</v>
      </c>
      <c r="L2757" t="n">
        <v>0</v>
      </c>
      <c r="M2757" t="n">
        <v>0</v>
      </c>
      <c r="N2757" t="n">
        <v>0</v>
      </c>
      <c r="O2757" t="n">
        <v>0</v>
      </c>
      <c r="P2757" t="n">
        <v>0</v>
      </c>
      <c r="Q2757" t="n">
        <v>0</v>
      </c>
      <c r="R2757" s="2" t="inlineStr"/>
    </row>
    <row r="2758" ht="15" customHeight="1">
      <c r="A2758" t="inlineStr">
        <is>
          <t>A 38271-2024</t>
        </is>
      </c>
      <c r="B2758" s="1" t="n">
        <v>45545</v>
      </c>
      <c r="C2758" s="1" t="n">
        <v>46046</v>
      </c>
      <c r="D2758" t="inlineStr">
        <is>
          <t>NORRBOTTENS LÄN</t>
        </is>
      </c>
      <c r="E2758" t="inlineStr">
        <is>
          <t>ARVIDSJAUR</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51684-2024</t>
        </is>
      </c>
      <c r="B2759" s="1" t="n">
        <v>45607</v>
      </c>
      <c r="C2759" s="1" t="n">
        <v>46046</v>
      </c>
      <c r="D2759" t="inlineStr">
        <is>
          <t>NORRBOTTENS LÄN</t>
        </is>
      </c>
      <c r="E2759" t="inlineStr">
        <is>
          <t>ÄLVSBYN</t>
        </is>
      </c>
      <c r="F2759" t="inlineStr">
        <is>
          <t>Sveaskog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15803-2023</t>
        </is>
      </c>
      <c r="B2760" s="1" t="n">
        <v>45021</v>
      </c>
      <c r="C2760" s="1" t="n">
        <v>46046</v>
      </c>
      <c r="D2760" t="inlineStr">
        <is>
          <t>NORRBOTTENS LÄN</t>
        </is>
      </c>
      <c r="E2760" t="inlineStr">
        <is>
          <t>PITEÅ</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44005-2024</t>
        </is>
      </c>
      <c r="B2761" s="1" t="n">
        <v>45572.54814814815</v>
      </c>
      <c r="C2761" s="1" t="n">
        <v>46046</v>
      </c>
      <c r="D2761" t="inlineStr">
        <is>
          <t>NORRBOTTENS LÄN</t>
        </is>
      </c>
      <c r="E2761" t="inlineStr">
        <is>
          <t>LULEÅ</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47613-2023</t>
        </is>
      </c>
      <c r="B2762" s="1" t="n">
        <v>45198</v>
      </c>
      <c r="C2762" s="1" t="n">
        <v>46046</v>
      </c>
      <c r="D2762" t="inlineStr">
        <is>
          <t>NORRBOTTENS LÄN</t>
        </is>
      </c>
      <c r="E2762" t="inlineStr">
        <is>
          <t>GÄLLIVARE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33454-2022</t>
        </is>
      </c>
      <c r="B2763" s="1" t="n">
        <v>44788.65809027778</v>
      </c>
      <c r="C2763" s="1" t="n">
        <v>46046</v>
      </c>
      <c r="D2763" t="inlineStr">
        <is>
          <t>NORRBOTTENS LÄN</t>
        </is>
      </c>
      <c r="E2763" t="inlineStr">
        <is>
          <t>BODEN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47025-2024</t>
        </is>
      </c>
      <c r="B2764" s="1" t="n">
        <v>45586.41365740741</v>
      </c>
      <c r="C2764" s="1" t="n">
        <v>46046</v>
      </c>
      <c r="D2764" t="inlineStr">
        <is>
          <t>NORRBOTTENS LÄN</t>
        </is>
      </c>
      <c r="E2764" t="inlineStr">
        <is>
          <t>PITEÅ</t>
        </is>
      </c>
      <c r="F2764" t="inlineStr">
        <is>
          <t>Övriga Aktiebolag</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25629-2025</t>
        </is>
      </c>
      <c r="B2765" s="1" t="n">
        <v>45803</v>
      </c>
      <c r="C2765" s="1" t="n">
        <v>46046</v>
      </c>
      <c r="D2765" t="inlineStr">
        <is>
          <t>NORRBOTTENS LÄN</t>
        </is>
      </c>
      <c r="E2765" t="inlineStr">
        <is>
          <t>ÖVERKALIX</t>
        </is>
      </c>
      <c r="F2765" t="inlineStr">
        <is>
          <t>Sveaskog</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25670-2025</t>
        </is>
      </c>
      <c r="B2766" s="1" t="n">
        <v>45803.62844907407</v>
      </c>
      <c r="C2766" s="1" t="n">
        <v>46046</v>
      </c>
      <c r="D2766" t="inlineStr">
        <is>
          <t>NORRBOTTENS LÄN</t>
        </is>
      </c>
      <c r="E2766" t="inlineStr">
        <is>
          <t>ÖVERKALIX</t>
        </is>
      </c>
      <c r="F2766" t="inlineStr">
        <is>
          <t>Sveaskog</t>
        </is>
      </c>
      <c r="G2766" t="n">
        <v>22.1</v>
      </c>
      <c r="H2766" t="n">
        <v>0</v>
      </c>
      <c r="I2766" t="n">
        <v>0</v>
      </c>
      <c r="J2766" t="n">
        <v>0</v>
      </c>
      <c r="K2766" t="n">
        <v>0</v>
      </c>
      <c r="L2766" t="n">
        <v>0</v>
      </c>
      <c r="M2766" t="n">
        <v>0</v>
      </c>
      <c r="N2766" t="n">
        <v>0</v>
      </c>
      <c r="O2766" t="n">
        <v>0</v>
      </c>
      <c r="P2766" t="n">
        <v>0</v>
      </c>
      <c r="Q2766" t="n">
        <v>0</v>
      </c>
      <c r="R2766" s="2" t="inlineStr"/>
    </row>
    <row r="2767" ht="15" customHeight="1">
      <c r="A2767" t="inlineStr">
        <is>
          <t>A 49648-2024</t>
        </is>
      </c>
      <c r="B2767" s="1" t="n">
        <v>45596</v>
      </c>
      <c r="C2767" s="1" t="n">
        <v>46046</v>
      </c>
      <c r="D2767" t="inlineStr">
        <is>
          <t>NORRBOTTENS LÄN</t>
        </is>
      </c>
      <c r="E2767" t="inlineStr">
        <is>
          <t>LULEÅ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5498-2023</t>
        </is>
      </c>
      <c r="B2768" s="1" t="n">
        <v>44957</v>
      </c>
      <c r="C2768" s="1" t="n">
        <v>46046</v>
      </c>
      <c r="D2768" t="inlineStr">
        <is>
          <t>NORRBOTTENS LÄN</t>
        </is>
      </c>
      <c r="E2768" t="inlineStr">
        <is>
          <t>HAPARANDA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60082-2024</t>
        </is>
      </c>
      <c r="B2769" s="1" t="n">
        <v>45642.53783564815</v>
      </c>
      <c r="C2769" s="1" t="n">
        <v>46046</v>
      </c>
      <c r="D2769" t="inlineStr">
        <is>
          <t>NORRBOTTENS LÄN</t>
        </is>
      </c>
      <c r="E2769" t="inlineStr">
        <is>
          <t>PITEÅ</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55080-2021</t>
        </is>
      </c>
      <c r="B2770" s="1" t="n">
        <v>44474.65423611111</v>
      </c>
      <c r="C2770" s="1" t="n">
        <v>46046</v>
      </c>
      <c r="D2770" t="inlineStr">
        <is>
          <t>NORRBOTTENS LÄN</t>
        </is>
      </c>
      <c r="E2770" t="inlineStr">
        <is>
          <t>BODEN</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59609-2024</t>
        </is>
      </c>
      <c r="B2771" s="1" t="n">
        <v>45638.75081018519</v>
      </c>
      <c r="C2771" s="1" t="n">
        <v>46046</v>
      </c>
      <c r="D2771" t="inlineStr">
        <is>
          <t>NORRBOTTENS LÄN</t>
        </is>
      </c>
      <c r="E2771" t="inlineStr">
        <is>
          <t>LULEÅ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25622-2025</t>
        </is>
      </c>
      <c r="B2772" s="1" t="n">
        <v>45803.57784722222</v>
      </c>
      <c r="C2772" s="1" t="n">
        <v>46046</v>
      </c>
      <c r="D2772" t="inlineStr">
        <is>
          <t>NORRBOTTENS LÄN</t>
        </is>
      </c>
      <c r="E2772" t="inlineStr">
        <is>
          <t>ÄLVSBYN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17839-2025</t>
        </is>
      </c>
      <c r="B2773" s="1" t="n">
        <v>45758</v>
      </c>
      <c r="C2773" s="1" t="n">
        <v>46046</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39816-2024</t>
        </is>
      </c>
      <c r="B2774" s="1" t="n">
        <v>45553.3859837963</v>
      </c>
      <c r="C2774" s="1" t="n">
        <v>46046</v>
      </c>
      <c r="D2774" t="inlineStr">
        <is>
          <t>NORRBOTTENS LÄN</t>
        </is>
      </c>
      <c r="E2774" t="inlineStr">
        <is>
          <t>LULEÅ</t>
        </is>
      </c>
      <c r="F2774" t="inlineStr">
        <is>
          <t>Naturvårdsverket</t>
        </is>
      </c>
      <c r="G2774" t="n">
        <v>11.1</v>
      </c>
      <c r="H2774" t="n">
        <v>0</v>
      </c>
      <c r="I2774" t="n">
        <v>0</v>
      </c>
      <c r="J2774" t="n">
        <v>0</v>
      </c>
      <c r="K2774" t="n">
        <v>0</v>
      </c>
      <c r="L2774" t="n">
        <v>0</v>
      </c>
      <c r="M2774" t="n">
        <v>0</v>
      </c>
      <c r="N2774" t="n">
        <v>0</v>
      </c>
      <c r="O2774" t="n">
        <v>0</v>
      </c>
      <c r="P2774" t="n">
        <v>0</v>
      </c>
      <c r="Q2774" t="n">
        <v>0</v>
      </c>
      <c r="R2774" s="2" t="inlineStr"/>
    </row>
    <row r="2775" ht="15" customHeight="1">
      <c r="A2775" t="inlineStr">
        <is>
          <t>A 53630-2024</t>
        </is>
      </c>
      <c r="B2775" s="1" t="n">
        <v>45614.81146990741</v>
      </c>
      <c r="C2775" s="1" t="n">
        <v>46046</v>
      </c>
      <c r="D2775" t="inlineStr">
        <is>
          <t>NORRBOTTENS LÄN</t>
        </is>
      </c>
      <c r="E2775" t="inlineStr">
        <is>
          <t>BODEN</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5069-2025</t>
        </is>
      </c>
      <c r="B2776" s="1" t="n">
        <v>45691</v>
      </c>
      <c r="C2776" s="1" t="n">
        <v>46046</v>
      </c>
      <c r="D2776" t="inlineStr">
        <is>
          <t>NORRBOTTENS LÄN</t>
        </is>
      </c>
      <c r="E2776" t="inlineStr">
        <is>
          <t>ÄLVSBYN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44121-2024</t>
        </is>
      </c>
      <c r="B2777" s="1" t="n">
        <v>45572.63907407408</v>
      </c>
      <c r="C2777" s="1" t="n">
        <v>46046</v>
      </c>
      <c r="D2777" t="inlineStr">
        <is>
          <t>NORRBOTTENS LÄN</t>
        </is>
      </c>
      <c r="E2777" t="inlineStr">
        <is>
          <t>PAJALA</t>
        </is>
      </c>
      <c r="F2777" t="inlineStr">
        <is>
          <t>Sveaskog</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5452-2025</t>
        </is>
      </c>
      <c r="B2778" s="1" t="n">
        <v>45692.92622685185</v>
      </c>
      <c r="C2778" s="1" t="n">
        <v>46046</v>
      </c>
      <c r="D2778" t="inlineStr">
        <is>
          <t>NORRBOTTENS LÄN</t>
        </is>
      </c>
      <c r="E2778" t="inlineStr">
        <is>
          <t>BODEN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4639-2025</t>
        </is>
      </c>
      <c r="B2779" s="1" t="n">
        <v>45687.65006944445</v>
      </c>
      <c r="C2779" s="1" t="n">
        <v>46046</v>
      </c>
      <c r="D2779" t="inlineStr">
        <is>
          <t>NORRBOTTENS LÄN</t>
        </is>
      </c>
      <c r="E2779" t="inlineStr">
        <is>
          <t>GÄLLIVARE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16216-2024</t>
        </is>
      </c>
      <c r="B2780" s="1" t="n">
        <v>45406</v>
      </c>
      <c r="C2780" s="1" t="n">
        <v>46046</v>
      </c>
      <c r="D2780" t="inlineStr">
        <is>
          <t>NORRBOTTENS LÄN</t>
        </is>
      </c>
      <c r="E2780" t="inlineStr">
        <is>
          <t>KALIX</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25983-2025</t>
        </is>
      </c>
      <c r="B2781" s="1" t="n">
        <v>45803</v>
      </c>
      <c r="C2781" s="1" t="n">
        <v>46046</v>
      </c>
      <c r="D2781" t="inlineStr">
        <is>
          <t>NORRBOTTENS LÄN</t>
        </is>
      </c>
      <c r="E2781" t="inlineStr">
        <is>
          <t>BODEN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7429-2021</t>
        </is>
      </c>
      <c r="B2782" s="1" t="n">
        <v>44239</v>
      </c>
      <c r="C2782" s="1" t="n">
        <v>46046</v>
      </c>
      <c r="D2782" t="inlineStr">
        <is>
          <t>NORRBOTTENS LÄN</t>
        </is>
      </c>
      <c r="E2782" t="inlineStr">
        <is>
          <t>LULEÅ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38358-2023</t>
        </is>
      </c>
      <c r="B2783" s="1" t="n">
        <v>45161.94293981481</v>
      </c>
      <c r="C2783" s="1" t="n">
        <v>46046</v>
      </c>
      <c r="D2783" t="inlineStr">
        <is>
          <t>NORRBOTTENS LÄN</t>
        </is>
      </c>
      <c r="E2783" t="inlineStr">
        <is>
          <t>LULEÅ</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39551-2023</t>
        </is>
      </c>
      <c r="B2784" s="1" t="n">
        <v>45167.3790162037</v>
      </c>
      <c r="C2784" s="1" t="n">
        <v>46046</v>
      </c>
      <c r="D2784" t="inlineStr">
        <is>
          <t>NORRBOTTENS LÄN</t>
        </is>
      </c>
      <c r="E2784" t="inlineStr">
        <is>
          <t>ÄLVSBYN</t>
        </is>
      </c>
      <c r="G2784" t="n">
        <v>10.4</v>
      </c>
      <c r="H2784" t="n">
        <v>0</v>
      </c>
      <c r="I2784" t="n">
        <v>0</v>
      </c>
      <c r="J2784" t="n">
        <v>0</v>
      </c>
      <c r="K2784" t="n">
        <v>0</v>
      </c>
      <c r="L2784" t="n">
        <v>0</v>
      </c>
      <c r="M2784" t="n">
        <v>0</v>
      </c>
      <c r="N2784" t="n">
        <v>0</v>
      </c>
      <c r="O2784" t="n">
        <v>0</v>
      </c>
      <c r="P2784" t="n">
        <v>0</v>
      </c>
      <c r="Q2784" t="n">
        <v>0</v>
      </c>
      <c r="R2784" s="2" t="inlineStr"/>
    </row>
    <row r="2785" ht="15" customHeight="1">
      <c r="A2785" t="inlineStr">
        <is>
          <t>A 25124-2025</t>
        </is>
      </c>
      <c r="B2785" s="1" t="n">
        <v>45800.37550925926</v>
      </c>
      <c r="C2785" s="1" t="n">
        <v>46046</v>
      </c>
      <c r="D2785" t="inlineStr">
        <is>
          <t>NORRBOTTENS LÄN</t>
        </is>
      </c>
      <c r="E2785" t="inlineStr">
        <is>
          <t>HAPARANDA</t>
        </is>
      </c>
      <c r="F2785" t="inlineStr">
        <is>
          <t>Kommuner</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40412-2023</t>
        </is>
      </c>
      <c r="B2786" s="1" t="n">
        <v>45169.93895833333</v>
      </c>
      <c r="C2786" s="1" t="n">
        <v>46046</v>
      </c>
      <c r="D2786" t="inlineStr">
        <is>
          <t>NORRBOTTENS LÄN</t>
        </is>
      </c>
      <c r="E2786" t="inlineStr">
        <is>
          <t>PAJALA</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52558-2023</t>
        </is>
      </c>
      <c r="B2787" s="1" t="n">
        <v>45218</v>
      </c>
      <c r="C2787" s="1" t="n">
        <v>46046</v>
      </c>
      <c r="D2787" t="inlineStr">
        <is>
          <t>NORRBOTTENS LÄN</t>
        </is>
      </c>
      <c r="E2787" t="inlineStr">
        <is>
          <t>PAJALA</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11657-2024</t>
        </is>
      </c>
      <c r="B2788" s="1" t="n">
        <v>45373</v>
      </c>
      <c r="C2788" s="1" t="n">
        <v>46046</v>
      </c>
      <c r="D2788" t="inlineStr">
        <is>
          <t>NORRBOTTENS LÄN</t>
        </is>
      </c>
      <c r="E2788" t="inlineStr">
        <is>
          <t>JOKKMOKK</t>
        </is>
      </c>
      <c r="G2788" t="n">
        <v>14.3</v>
      </c>
      <c r="H2788" t="n">
        <v>0</v>
      </c>
      <c r="I2788" t="n">
        <v>0</v>
      </c>
      <c r="J2788" t="n">
        <v>0</v>
      </c>
      <c r="K2788" t="n">
        <v>0</v>
      </c>
      <c r="L2788" t="n">
        <v>0</v>
      </c>
      <c r="M2788" t="n">
        <v>0</v>
      </c>
      <c r="N2788" t="n">
        <v>0</v>
      </c>
      <c r="O2788" t="n">
        <v>0</v>
      </c>
      <c r="P2788" t="n">
        <v>0</v>
      </c>
      <c r="Q2788" t="n">
        <v>0</v>
      </c>
      <c r="R2788" s="2" t="inlineStr"/>
    </row>
    <row r="2789" ht="15" customHeight="1">
      <c r="A2789" t="inlineStr">
        <is>
          <t>A 39591-2023</t>
        </is>
      </c>
      <c r="B2789" s="1" t="n">
        <v>45167</v>
      </c>
      <c r="C2789" s="1" t="n">
        <v>46046</v>
      </c>
      <c r="D2789" t="inlineStr">
        <is>
          <t>NORRBOTTENS LÄN</t>
        </is>
      </c>
      <c r="E2789" t="inlineStr">
        <is>
          <t>ARVIDSJAUR</t>
        </is>
      </c>
      <c r="F2789" t="inlineStr">
        <is>
          <t>Sveaskog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28755-2023</t>
        </is>
      </c>
      <c r="B2790" s="1" t="n">
        <v>45103.9419212963</v>
      </c>
      <c r="C2790" s="1" t="n">
        <v>46046</v>
      </c>
      <c r="D2790" t="inlineStr">
        <is>
          <t>NORRBOTTENS LÄN</t>
        </is>
      </c>
      <c r="E2790" t="inlineStr">
        <is>
          <t>ÄLVSBYN</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27054-2024</t>
        </is>
      </c>
      <c r="B2791" s="1" t="n">
        <v>45471.45269675926</v>
      </c>
      <c r="C2791" s="1" t="n">
        <v>46046</v>
      </c>
      <c r="D2791" t="inlineStr">
        <is>
          <t>NORRBOTTENS LÄN</t>
        </is>
      </c>
      <c r="E2791" t="inlineStr">
        <is>
          <t>ÖVERKALIX</t>
        </is>
      </c>
      <c r="F2791" t="inlineStr">
        <is>
          <t>Sveaskog</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27057-2024</t>
        </is>
      </c>
      <c r="B2792" s="1" t="n">
        <v>45471.4519212963</v>
      </c>
      <c r="C2792" s="1" t="n">
        <v>46046</v>
      </c>
      <c r="D2792" t="inlineStr">
        <is>
          <t>NORRBOTTENS LÄN</t>
        </is>
      </c>
      <c r="E2792" t="inlineStr">
        <is>
          <t>ÖVERKALIX</t>
        </is>
      </c>
      <c r="F2792" t="inlineStr">
        <is>
          <t>Sveaskog</t>
        </is>
      </c>
      <c r="G2792" t="n">
        <v>32.6</v>
      </c>
      <c r="H2792" t="n">
        <v>0</v>
      </c>
      <c r="I2792" t="n">
        <v>0</v>
      </c>
      <c r="J2792" t="n">
        <v>0</v>
      </c>
      <c r="K2792" t="n">
        <v>0</v>
      </c>
      <c r="L2792" t="n">
        <v>0</v>
      </c>
      <c r="M2792" t="n">
        <v>0</v>
      </c>
      <c r="N2792" t="n">
        <v>0</v>
      </c>
      <c r="O2792" t="n">
        <v>0</v>
      </c>
      <c r="P2792" t="n">
        <v>0</v>
      </c>
      <c r="Q2792" t="n">
        <v>0</v>
      </c>
      <c r="R2792" s="2" t="inlineStr"/>
    </row>
    <row r="2793" ht="15" customHeight="1">
      <c r="A2793" t="inlineStr">
        <is>
          <t>A 12005-2022</t>
        </is>
      </c>
      <c r="B2793" s="1" t="n">
        <v>44635</v>
      </c>
      <c r="C2793" s="1" t="n">
        <v>46046</v>
      </c>
      <c r="D2793" t="inlineStr">
        <is>
          <t>NORRBOTTENS LÄN</t>
        </is>
      </c>
      <c r="E2793" t="inlineStr">
        <is>
          <t>ÖVERTORNEÅ</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51273-2024</t>
        </is>
      </c>
      <c r="B2794" s="1" t="n">
        <v>45602</v>
      </c>
      <c r="C2794" s="1" t="n">
        <v>46046</v>
      </c>
      <c r="D2794" t="inlineStr">
        <is>
          <t>NORRBOTTENS LÄN</t>
        </is>
      </c>
      <c r="E2794" t="inlineStr">
        <is>
          <t>ÖVERTORNEÅ</t>
        </is>
      </c>
      <c r="G2794" t="n">
        <v>13.6</v>
      </c>
      <c r="H2794" t="n">
        <v>0</v>
      </c>
      <c r="I2794" t="n">
        <v>0</v>
      </c>
      <c r="J2794" t="n">
        <v>0</v>
      </c>
      <c r="K2794" t="n">
        <v>0</v>
      </c>
      <c r="L2794" t="n">
        <v>0</v>
      </c>
      <c r="M2794" t="n">
        <v>0</v>
      </c>
      <c r="N2794" t="n">
        <v>0</v>
      </c>
      <c r="O2794" t="n">
        <v>0</v>
      </c>
      <c r="P2794" t="n">
        <v>0</v>
      </c>
      <c r="Q2794" t="n">
        <v>0</v>
      </c>
      <c r="R2794" s="2" t="inlineStr"/>
    </row>
    <row r="2795" ht="15" customHeight="1">
      <c r="A2795" t="inlineStr">
        <is>
          <t>A 5137-2024</t>
        </is>
      </c>
      <c r="B2795" s="1" t="n">
        <v>45330.46430555556</v>
      </c>
      <c r="C2795" s="1" t="n">
        <v>46046</v>
      </c>
      <c r="D2795" t="inlineStr">
        <is>
          <t>NORRBOTTENS LÄN</t>
        </is>
      </c>
      <c r="E2795" t="inlineStr">
        <is>
          <t>LULEÅ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58760-2023</t>
        </is>
      </c>
      <c r="B2796" s="1" t="n">
        <v>45251</v>
      </c>
      <c r="C2796" s="1" t="n">
        <v>46046</v>
      </c>
      <c r="D2796" t="inlineStr">
        <is>
          <t>NORRBOTTENS LÄN</t>
        </is>
      </c>
      <c r="E2796" t="inlineStr">
        <is>
          <t>LULEÅ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58765-2023</t>
        </is>
      </c>
      <c r="B2797" s="1" t="n">
        <v>45251</v>
      </c>
      <c r="C2797" s="1" t="n">
        <v>46046</v>
      </c>
      <c r="D2797" t="inlineStr">
        <is>
          <t>NORRBOTTENS LÄN</t>
        </is>
      </c>
      <c r="E2797" t="inlineStr">
        <is>
          <t>KALIX</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25654-2025</t>
        </is>
      </c>
      <c r="B2798" s="1" t="n">
        <v>45803.61491898148</v>
      </c>
      <c r="C2798" s="1" t="n">
        <v>46046</v>
      </c>
      <c r="D2798" t="inlineStr">
        <is>
          <t>NORRBOTTENS LÄN</t>
        </is>
      </c>
      <c r="E2798" t="inlineStr">
        <is>
          <t>BODEN</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30511-2023</t>
        </is>
      </c>
      <c r="B2799" s="1" t="n">
        <v>45111</v>
      </c>
      <c r="C2799" s="1" t="n">
        <v>46046</v>
      </c>
      <c r="D2799" t="inlineStr">
        <is>
          <t>NORRBOTTENS LÄN</t>
        </is>
      </c>
      <c r="E2799" t="inlineStr">
        <is>
          <t>JOKKMOKK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43445-2024</t>
        </is>
      </c>
      <c r="B2800" s="1" t="n">
        <v>45568</v>
      </c>
      <c r="C2800" s="1" t="n">
        <v>46046</v>
      </c>
      <c r="D2800" t="inlineStr">
        <is>
          <t>NORRBOTTENS LÄN</t>
        </is>
      </c>
      <c r="E2800" t="inlineStr">
        <is>
          <t>PAJALA</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61477-2022</t>
        </is>
      </c>
      <c r="B2801" s="1" t="n">
        <v>44910</v>
      </c>
      <c r="C2801" s="1" t="n">
        <v>46046</v>
      </c>
      <c r="D2801" t="inlineStr">
        <is>
          <t>NORRBOTTENS LÄN</t>
        </is>
      </c>
      <c r="E2801" t="inlineStr">
        <is>
          <t>PAJALA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52647-2024</t>
        </is>
      </c>
      <c r="B2802" s="1" t="n">
        <v>45610.34540509259</v>
      </c>
      <c r="C2802" s="1" t="n">
        <v>46046</v>
      </c>
      <c r="D2802" t="inlineStr">
        <is>
          <t>NORRBOTTENS LÄN</t>
        </is>
      </c>
      <c r="E2802" t="inlineStr">
        <is>
          <t>ÖVERKALIX</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8297-2025</t>
        </is>
      </c>
      <c r="B2803" s="1" t="n">
        <v>45708.58085648148</v>
      </c>
      <c r="C2803" s="1" t="n">
        <v>46046</v>
      </c>
      <c r="D2803" t="inlineStr">
        <is>
          <t>NORRBOTTENS LÄN</t>
        </is>
      </c>
      <c r="E2803" t="inlineStr">
        <is>
          <t>KALIX</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25692-2025</t>
        </is>
      </c>
      <c r="B2804" s="1" t="n">
        <v>45803.66424768518</v>
      </c>
      <c r="C2804" s="1" t="n">
        <v>46046</v>
      </c>
      <c r="D2804" t="inlineStr">
        <is>
          <t>NORRBOTTENS LÄN</t>
        </is>
      </c>
      <c r="E2804" t="inlineStr">
        <is>
          <t>BODEN</t>
        </is>
      </c>
      <c r="F2804" t="inlineStr">
        <is>
          <t>Sveaskog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57966-2023</t>
        </is>
      </c>
      <c r="B2805" s="1" t="n">
        <v>45244</v>
      </c>
      <c r="C2805" s="1" t="n">
        <v>46046</v>
      </c>
      <c r="D2805" t="inlineStr">
        <is>
          <t>NORRBOTTENS LÄN</t>
        </is>
      </c>
      <c r="E2805" t="inlineStr">
        <is>
          <t>ÖVERKALIX</t>
        </is>
      </c>
      <c r="G2805" t="n">
        <v>21.7</v>
      </c>
      <c r="H2805" t="n">
        <v>0</v>
      </c>
      <c r="I2805" t="n">
        <v>0</v>
      </c>
      <c r="J2805" t="n">
        <v>0</v>
      </c>
      <c r="K2805" t="n">
        <v>0</v>
      </c>
      <c r="L2805" t="n">
        <v>0</v>
      </c>
      <c r="M2805" t="n">
        <v>0</v>
      </c>
      <c r="N2805" t="n">
        <v>0</v>
      </c>
      <c r="O2805" t="n">
        <v>0</v>
      </c>
      <c r="P2805" t="n">
        <v>0</v>
      </c>
      <c r="Q2805" t="n">
        <v>0</v>
      </c>
      <c r="R2805" s="2" t="inlineStr"/>
    </row>
    <row r="2806" ht="15" customHeight="1">
      <c r="A2806" t="inlineStr">
        <is>
          <t>A 67904-2021</t>
        </is>
      </c>
      <c r="B2806" s="1" t="n">
        <v>44525</v>
      </c>
      <c r="C2806" s="1" t="n">
        <v>46046</v>
      </c>
      <c r="D2806" t="inlineStr">
        <is>
          <t>NORRBOTTENS LÄN</t>
        </is>
      </c>
      <c r="E2806" t="inlineStr">
        <is>
          <t>PITEÅ</t>
        </is>
      </c>
      <c r="G2806" t="n">
        <v>12.7</v>
      </c>
      <c r="H2806" t="n">
        <v>0</v>
      </c>
      <c r="I2806" t="n">
        <v>0</v>
      </c>
      <c r="J2806" t="n">
        <v>0</v>
      </c>
      <c r="K2806" t="n">
        <v>0</v>
      </c>
      <c r="L2806" t="n">
        <v>0</v>
      </c>
      <c r="M2806" t="n">
        <v>0</v>
      </c>
      <c r="N2806" t="n">
        <v>0</v>
      </c>
      <c r="O2806" t="n">
        <v>0</v>
      </c>
      <c r="P2806" t="n">
        <v>0</v>
      </c>
      <c r="Q2806" t="n">
        <v>0</v>
      </c>
      <c r="R2806" s="2" t="inlineStr"/>
    </row>
    <row r="2807" ht="15" customHeight="1">
      <c r="A2807" t="inlineStr">
        <is>
          <t>A 54143-2021</t>
        </is>
      </c>
      <c r="B2807" s="1" t="n">
        <v>44469</v>
      </c>
      <c r="C2807" s="1" t="n">
        <v>46046</v>
      </c>
      <c r="D2807" t="inlineStr">
        <is>
          <t>NORRBOTTENS LÄN</t>
        </is>
      </c>
      <c r="E2807" t="inlineStr">
        <is>
          <t>ÖVERKALIX</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1623-2024</t>
        </is>
      </c>
      <c r="B2808" s="1" t="n">
        <v>45306.64623842593</v>
      </c>
      <c r="C2808" s="1" t="n">
        <v>46046</v>
      </c>
      <c r="D2808" t="inlineStr">
        <is>
          <t>NORRBOTTENS LÄN</t>
        </is>
      </c>
      <c r="E2808" t="inlineStr">
        <is>
          <t>ÖVERTORNEÅ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25738-2025</t>
        </is>
      </c>
      <c r="B2809" s="1" t="n">
        <v>45803</v>
      </c>
      <c r="C2809" s="1" t="n">
        <v>46046</v>
      </c>
      <c r="D2809" t="inlineStr">
        <is>
          <t>NORRBOTTENS LÄN</t>
        </is>
      </c>
      <c r="E2809" t="inlineStr">
        <is>
          <t>PAJALA</t>
        </is>
      </c>
      <c r="F2809" t="inlineStr">
        <is>
          <t>Sveaskog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32853-2024</t>
        </is>
      </c>
      <c r="B2810" s="1" t="n">
        <v>45516.63964120371</v>
      </c>
      <c r="C2810" s="1" t="n">
        <v>46046</v>
      </c>
      <c r="D2810" t="inlineStr">
        <is>
          <t>NORRBOTTENS LÄN</t>
        </is>
      </c>
      <c r="E2810" t="inlineStr">
        <is>
          <t>JOKKMOKK</t>
        </is>
      </c>
      <c r="F2810" t="inlineStr">
        <is>
          <t>Sveaskog</t>
        </is>
      </c>
      <c r="G2810" t="n">
        <v>40.4</v>
      </c>
      <c r="H2810" t="n">
        <v>0</v>
      </c>
      <c r="I2810" t="n">
        <v>0</v>
      </c>
      <c r="J2810" t="n">
        <v>0</v>
      </c>
      <c r="K2810" t="n">
        <v>0</v>
      </c>
      <c r="L2810" t="n">
        <v>0</v>
      </c>
      <c r="M2810" t="n">
        <v>0</v>
      </c>
      <c r="N2810" t="n">
        <v>0</v>
      </c>
      <c r="O2810" t="n">
        <v>0</v>
      </c>
      <c r="P2810" t="n">
        <v>0</v>
      </c>
      <c r="Q2810" t="n">
        <v>0</v>
      </c>
      <c r="R2810" s="2" t="inlineStr"/>
    </row>
    <row r="2811" ht="15" customHeight="1">
      <c r="A2811" t="inlineStr">
        <is>
          <t>A 8816-2023</t>
        </is>
      </c>
      <c r="B2811" s="1" t="n">
        <v>44973</v>
      </c>
      <c r="C2811" s="1" t="n">
        <v>46046</v>
      </c>
      <c r="D2811" t="inlineStr">
        <is>
          <t>NORRBOTTENS LÄN</t>
        </is>
      </c>
      <c r="E2811" t="inlineStr">
        <is>
          <t>LULEÅ</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2286-2024</t>
        </is>
      </c>
      <c r="B2812" s="1" t="n">
        <v>45310</v>
      </c>
      <c r="C2812" s="1" t="n">
        <v>46046</v>
      </c>
      <c r="D2812" t="inlineStr">
        <is>
          <t>NORRBOTTENS LÄN</t>
        </is>
      </c>
      <c r="E2812" t="inlineStr">
        <is>
          <t>ARVIDSJAUR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2541-2025</t>
        </is>
      </c>
      <c r="B2813" s="1" t="n">
        <v>45673</v>
      </c>
      <c r="C2813" s="1" t="n">
        <v>46046</v>
      </c>
      <c r="D2813" t="inlineStr">
        <is>
          <t>NORRBOTTENS LÄN</t>
        </is>
      </c>
      <c r="E2813" t="inlineStr">
        <is>
          <t>KALIX</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9996-2023</t>
        </is>
      </c>
      <c r="B2814" s="1" t="n">
        <v>44979</v>
      </c>
      <c r="C2814" s="1" t="n">
        <v>46046</v>
      </c>
      <c r="D2814" t="inlineStr">
        <is>
          <t>NORRBOTTENS LÄN</t>
        </is>
      </c>
      <c r="E2814" t="inlineStr">
        <is>
          <t>ARVIDSJAUR</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24265-2024</t>
        </is>
      </c>
      <c r="B2815" s="1" t="n">
        <v>45457</v>
      </c>
      <c r="C2815" s="1" t="n">
        <v>46046</v>
      </c>
      <c r="D2815" t="inlineStr">
        <is>
          <t>NORRBOTTENS LÄN</t>
        </is>
      </c>
      <c r="E2815" t="inlineStr">
        <is>
          <t>KALIX</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25621-2025</t>
        </is>
      </c>
      <c r="B2816" s="1" t="n">
        <v>45803</v>
      </c>
      <c r="C2816" s="1" t="n">
        <v>46046</v>
      </c>
      <c r="D2816" t="inlineStr">
        <is>
          <t>NORRBOTTENS LÄN</t>
        </is>
      </c>
      <c r="E2816" t="inlineStr">
        <is>
          <t>ÄLVSBYN</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4082-2023</t>
        </is>
      </c>
      <c r="B2817" s="1" t="n">
        <v>44950</v>
      </c>
      <c r="C2817" s="1" t="n">
        <v>46046</v>
      </c>
      <c r="D2817" t="inlineStr">
        <is>
          <t>NORRBOTTENS LÄN</t>
        </is>
      </c>
      <c r="E2817" t="inlineStr">
        <is>
          <t>KALIX</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31535-2024</t>
        </is>
      </c>
      <c r="B2818" s="1" t="n">
        <v>45505</v>
      </c>
      <c r="C2818" s="1" t="n">
        <v>46046</v>
      </c>
      <c r="D2818" t="inlineStr">
        <is>
          <t>NORRBOTTENS LÄN</t>
        </is>
      </c>
      <c r="E2818" t="inlineStr">
        <is>
          <t>JOKKMOKK</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31552-2024</t>
        </is>
      </c>
      <c r="B2819" s="1" t="n">
        <v>45505.96447916667</v>
      </c>
      <c r="C2819" s="1" t="n">
        <v>46046</v>
      </c>
      <c r="D2819" t="inlineStr">
        <is>
          <t>NORRBOTTENS LÄN</t>
        </is>
      </c>
      <c r="E2819" t="inlineStr">
        <is>
          <t>PITEÅ</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29878-2024</t>
        </is>
      </c>
      <c r="B2820" s="1" t="n">
        <v>45486.55885416667</v>
      </c>
      <c r="C2820" s="1" t="n">
        <v>46046</v>
      </c>
      <c r="D2820" t="inlineStr">
        <is>
          <t>NORRBOTTENS LÄN</t>
        </is>
      </c>
      <c r="E2820" t="inlineStr">
        <is>
          <t>PAJALA</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3169-2025</t>
        </is>
      </c>
      <c r="B2821" s="1" t="n">
        <v>45679.36646990741</v>
      </c>
      <c r="C2821" s="1" t="n">
        <v>46046</v>
      </c>
      <c r="D2821" t="inlineStr">
        <is>
          <t>NORRBOTTENS LÄN</t>
        </is>
      </c>
      <c r="E2821" t="inlineStr">
        <is>
          <t>KALIX</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39684-2023</t>
        </is>
      </c>
      <c r="B2822" s="1" t="n">
        <v>45166</v>
      </c>
      <c r="C2822" s="1" t="n">
        <v>46046</v>
      </c>
      <c r="D2822" t="inlineStr">
        <is>
          <t>NORRBOTTENS LÄN</t>
        </is>
      </c>
      <c r="E2822" t="inlineStr">
        <is>
          <t>JOKKMOKK</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4941-2025</t>
        </is>
      </c>
      <c r="B2823" s="1" t="n">
        <v>45688.6995949074</v>
      </c>
      <c r="C2823" s="1" t="n">
        <v>46046</v>
      </c>
      <c r="D2823" t="inlineStr">
        <is>
          <t>NORRBOTTENS LÄN</t>
        </is>
      </c>
      <c r="E2823" t="inlineStr">
        <is>
          <t>LULEÅ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40449-2024</t>
        </is>
      </c>
      <c r="B2824" s="1" t="n">
        <v>45555.49041666667</v>
      </c>
      <c r="C2824" s="1" t="n">
        <v>46046</v>
      </c>
      <c r="D2824" t="inlineStr">
        <is>
          <t>NORRBOTTENS LÄN</t>
        </is>
      </c>
      <c r="E2824" t="inlineStr">
        <is>
          <t>KALIX</t>
        </is>
      </c>
      <c r="F2824" t="inlineStr">
        <is>
          <t>SCA</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57968-2023</t>
        </is>
      </c>
      <c r="B2825" s="1" t="n">
        <v>45247.58217592593</v>
      </c>
      <c r="C2825" s="1" t="n">
        <v>46046</v>
      </c>
      <c r="D2825" t="inlineStr">
        <is>
          <t>NORRBOTTENS LÄN</t>
        </is>
      </c>
      <c r="E2825" t="inlineStr">
        <is>
          <t>BODEN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53172-2024</t>
        </is>
      </c>
      <c r="B2826" s="1" t="n">
        <v>45611.65689814815</v>
      </c>
      <c r="C2826" s="1" t="n">
        <v>46046</v>
      </c>
      <c r="D2826" t="inlineStr">
        <is>
          <t>NORRBOTTENS LÄN</t>
        </is>
      </c>
      <c r="E2826" t="inlineStr">
        <is>
          <t>JOKKMOKK</t>
        </is>
      </c>
      <c r="F2826" t="inlineStr">
        <is>
          <t>Allmännings- och besparingsskogar</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44559-2024</t>
        </is>
      </c>
      <c r="B2827" s="1" t="n">
        <v>45574.47001157407</v>
      </c>
      <c r="C2827" s="1" t="n">
        <v>46046</v>
      </c>
      <c r="D2827" t="inlineStr">
        <is>
          <t>NORRBOTTENS LÄN</t>
        </is>
      </c>
      <c r="E2827" t="inlineStr">
        <is>
          <t>PITEÅ</t>
        </is>
      </c>
      <c r="F2827" t="inlineStr">
        <is>
          <t>Sveaskog</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25429-2025</t>
        </is>
      </c>
      <c r="B2828" s="1" t="n">
        <v>45800.71913194445</v>
      </c>
      <c r="C2828" s="1" t="n">
        <v>46046</v>
      </c>
      <c r="D2828" t="inlineStr">
        <is>
          <t>NORRBOTTENS LÄN</t>
        </is>
      </c>
      <c r="E2828" t="inlineStr">
        <is>
          <t>PITEÅ</t>
        </is>
      </c>
      <c r="F2828" t="inlineStr">
        <is>
          <t>SCA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3343-2024</t>
        </is>
      </c>
      <c r="B2829" s="1" t="n">
        <v>45317</v>
      </c>
      <c r="C2829" s="1" t="n">
        <v>46046</v>
      </c>
      <c r="D2829" t="inlineStr">
        <is>
          <t>NORRBOTTENS LÄN</t>
        </is>
      </c>
      <c r="E2829" t="inlineStr">
        <is>
          <t>ARVIDSJAUR</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8068-2023</t>
        </is>
      </c>
      <c r="B2830" s="1" t="n">
        <v>44974.36233796296</v>
      </c>
      <c r="C2830" s="1" t="n">
        <v>46046</v>
      </c>
      <c r="D2830" t="inlineStr">
        <is>
          <t>NORRBOTTENS LÄN</t>
        </is>
      </c>
      <c r="E2830" t="inlineStr">
        <is>
          <t>LULEÅ</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51277-2024</t>
        </is>
      </c>
      <c r="B2831" s="1" t="n">
        <v>45603.74953703704</v>
      </c>
      <c r="C2831" s="1" t="n">
        <v>46046</v>
      </c>
      <c r="D2831" t="inlineStr">
        <is>
          <t>NORRBOTTENS LÄN</t>
        </is>
      </c>
      <c r="E2831" t="inlineStr">
        <is>
          <t>LULEÅ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60085-2024</t>
        </is>
      </c>
      <c r="B2832" s="1" t="n">
        <v>45639</v>
      </c>
      <c r="C2832" s="1" t="n">
        <v>46046</v>
      </c>
      <c r="D2832" t="inlineStr">
        <is>
          <t>NORRBOTTENS LÄN</t>
        </is>
      </c>
      <c r="E2832" t="inlineStr">
        <is>
          <t>BODEN</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49170-2024</t>
        </is>
      </c>
      <c r="B2833" s="1" t="n">
        <v>45595.305</v>
      </c>
      <c r="C2833" s="1" t="n">
        <v>46046</v>
      </c>
      <c r="D2833" t="inlineStr">
        <is>
          <t>NORRBOTTENS LÄN</t>
        </is>
      </c>
      <c r="E2833" t="inlineStr">
        <is>
          <t>ARVIDSJAUR</t>
        </is>
      </c>
      <c r="F2833" t="inlineStr">
        <is>
          <t>Sveaskog</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53909-2024</t>
        </is>
      </c>
      <c r="B2834" s="1" t="n">
        <v>45615.7202662037</v>
      </c>
      <c r="C2834" s="1" t="n">
        <v>46046</v>
      </c>
      <c r="D2834" t="inlineStr">
        <is>
          <t>NORRBOTTENS LÄN</t>
        </is>
      </c>
      <c r="E2834" t="inlineStr">
        <is>
          <t>GÄLLIVARE</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37993-2024</t>
        </is>
      </c>
      <c r="B2835" s="1" t="n">
        <v>45544.59535879629</v>
      </c>
      <c r="C2835" s="1" t="n">
        <v>46046</v>
      </c>
      <c r="D2835" t="inlineStr">
        <is>
          <t>NORRBOTTENS LÄN</t>
        </is>
      </c>
      <c r="E2835" t="inlineStr">
        <is>
          <t>BODEN</t>
        </is>
      </c>
      <c r="F2835" t="inlineStr">
        <is>
          <t>SCA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32070-2024</t>
        </is>
      </c>
      <c r="B2836" s="1" t="n">
        <v>45510.97233796296</v>
      </c>
      <c r="C2836" s="1" t="n">
        <v>46046</v>
      </c>
      <c r="D2836" t="inlineStr">
        <is>
          <t>NORRBOTTENS LÄN</t>
        </is>
      </c>
      <c r="E2836" t="inlineStr">
        <is>
          <t>KALIX</t>
        </is>
      </c>
      <c r="F2836" t="inlineStr">
        <is>
          <t>SCA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11285-2022</t>
        </is>
      </c>
      <c r="B2837" s="1" t="n">
        <v>44629.92825231481</v>
      </c>
      <c r="C2837" s="1" t="n">
        <v>46046</v>
      </c>
      <c r="D2837" t="inlineStr">
        <is>
          <t>NORRBOTTENS LÄN</t>
        </is>
      </c>
      <c r="E2837" t="inlineStr">
        <is>
          <t>HAPARANDA</t>
        </is>
      </c>
      <c r="G2837" t="n">
        <v>13.3</v>
      </c>
      <c r="H2837" t="n">
        <v>0</v>
      </c>
      <c r="I2837" t="n">
        <v>0</v>
      </c>
      <c r="J2837" t="n">
        <v>0</v>
      </c>
      <c r="K2837" t="n">
        <v>0</v>
      </c>
      <c r="L2837" t="n">
        <v>0</v>
      </c>
      <c r="M2837" t="n">
        <v>0</v>
      </c>
      <c r="N2837" t="n">
        <v>0</v>
      </c>
      <c r="O2837" t="n">
        <v>0</v>
      </c>
      <c r="P2837" t="n">
        <v>0</v>
      </c>
      <c r="Q2837" t="n">
        <v>0</v>
      </c>
      <c r="R2837" s="2" t="inlineStr"/>
    </row>
    <row r="2838" ht="15" customHeight="1">
      <c r="A2838" t="inlineStr">
        <is>
          <t>A 47391-2024</t>
        </is>
      </c>
      <c r="B2838" s="1" t="n">
        <v>45587.47009259259</v>
      </c>
      <c r="C2838" s="1" t="n">
        <v>46046</v>
      </c>
      <c r="D2838" t="inlineStr">
        <is>
          <t>NORRBOTTENS LÄN</t>
        </is>
      </c>
      <c r="E2838" t="inlineStr">
        <is>
          <t>ÄLVSBYN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2917-2022</t>
        </is>
      </c>
      <c r="B2839" s="1" t="n">
        <v>44581</v>
      </c>
      <c r="C2839" s="1" t="n">
        <v>46046</v>
      </c>
      <c r="D2839" t="inlineStr">
        <is>
          <t>NORRBOTTENS LÄN</t>
        </is>
      </c>
      <c r="E2839" t="inlineStr">
        <is>
          <t>KALIX</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16732-2025</t>
        </is>
      </c>
      <c r="B2840" s="1" t="n">
        <v>45754.53125</v>
      </c>
      <c r="C2840" s="1" t="n">
        <v>46046</v>
      </c>
      <c r="D2840" t="inlineStr">
        <is>
          <t>NORRBOTTENS LÄN</t>
        </is>
      </c>
      <c r="E2840" t="inlineStr">
        <is>
          <t>KALIX</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48391-2023</t>
        </is>
      </c>
      <c r="B2841" s="1" t="n">
        <v>45201</v>
      </c>
      <c r="C2841" s="1" t="n">
        <v>46046</v>
      </c>
      <c r="D2841" t="inlineStr">
        <is>
          <t>NORRBOTTENS LÄN</t>
        </is>
      </c>
      <c r="E2841" t="inlineStr">
        <is>
          <t>PAJALA</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12177-2024</t>
        </is>
      </c>
      <c r="B2842" s="1" t="n">
        <v>45377</v>
      </c>
      <c r="C2842" s="1" t="n">
        <v>46046</v>
      </c>
      <c r="D2842" t="inlineStr">
        <is>
          <t>NORRBOTTENS LÄN</t>
        </is>
      </c>
      <c r="E2842" t="inlineStr">
        <is>
          <t>ÖVERKALIX</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60955-2022</t>
        </is>
      </c>
      <c r="B2843" s="1" t="n">
        <v>44907</v>
      </c>
      <c r="C2843" s="1" t="n">
        <v>46046</v>
      </c>
      <c r="D2843" t="inlineStr">
        <is>
          <t>NORRBOTTENS LÄN</t>
        </is>
      </c>
      <c r="E2843" t="inlineStr">
        <is>
          <t>KALIX</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3694-2023</t>
        </is>
      </c>
      <c r="B2844" s="1" t="n">
        <v>44950.94677083333</v>
      </c>
      <c r="C2844" s="1" t="n">
        <v>46046</v>
      </c>
      <c r="D2844" t="inlineStr">
        <is>
          <t>NORRBOTTENS LÄN</t>
        </is>
      </c>
      <c r="E2844" t="inlineStr">
        <is>
          <t>ÖVERKALIX</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21548-2025</t>
        </is>
      </c>
      <c r="B2845" s="1" t="n">
        <v>45782</v>
      </c>
      <c r="C2845" s="1" t="n">
        <v>46046</v>
      </c>
      <c r="D2845" t="inlineStr">
        <is>
          <t>NORRBOTTENS LÄN</t>
        </is>
      </c>
      <c r="E2845" t="inlineStr">
        <is>
          <t>ÄLVSBYN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63475-2023</t>
        </is>
      </c>
      <c r="B2846" s="1" t="n">
        <v>45274</v>
      </c>
      <c r="C2846" s="1" t="n">
        <v>46046</v>
      </c>
      <c r="D2846" t="inlineStr">
        <is>
          <t>NORRBOTTENS LÄN</t>
        </is>
      </c>
      <c r="E2846" t="inlineStr">
        <is>
          <t>ÖVERTORNEÅ</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9623-2022</t>
        </is>
      </c>
      <c r="B2847" s="1" t="n">
        <v>44617</v>
      </c>
      <c r="C2847" s="1" t="n">
        <v>46046</v>
      </c>
      <c r="D2847" t="inlineStr">
        <is>
          <t>NORRBOTTENS LÄN</t>
        </is>
      </c>
      <c r="E2847" t="inlineStr">
        <is>
          <t>ÄLVSBYN</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1017-2025</t>
        </is>
      </c>
      <c r="B2848" s="1" t="n">
        <v>45665</v>
      </c>
      <c r="C2848" s="1" t="n">
        <v>46046</v>
      </c>
      <c r="D2848" t="inlineStr">
        <is>
          <t>NORRBOTTENS LÄN</t>
        </is>
      </c>
      <c r="E2848" t="inlineStr">
        <is>
          <t>LULEÅ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59024-2022</t>
        </is>
      </c>
      <c r="B2849" s="1" t="n">
        <v>44903</v>
      </c>
      <c r="C2849" s="1" t="n">
        <v>46046</v>
      </c>
      <c r="D2849" t="inlineStr">
        <is>
          <t>NORRBOTTENS LÄN</t>
        </is>
      </c>
      <c r="E2849" t="inlineStr">
        <is>
          <t>KALIX</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43819-2023</t>
        </is>
      </c>
      <c r="B2850" s="1" t="n">
        <v>45187</v>
      </c>
      <c r="C2850" s="1" t="n">
        <v>46046</v>
      </c>
      <c r="D2850" t="inlineStr">
        <is>
          <t>NORRBOTTENS LÄN</t>
        </is>
      </c>
      <c r="E2850" t="inlineStr">
        <is>
          <t>PAJALA</t>
        </is>
      </c>
      <c r="G2850" t="n">
        <v>25.8</v>
      </c>
      <c r="H2850" t="n">
        <v>0</v>
      </c>
      <c r="I2850" t="n">
        <v>0</v>
      </c>
      <c r="J2850" t="n">
        <v>0</v>
      </c>
      <c r="K2850" t="n">
        <v>0</v>
      </c>
      <c r="L2850" t="n">
        <v>0</v>
      </c>
      <c r="M2850" t="n">
        <v>0</v>
      </c>
      <c r="N2850" t="n">
        <v>0</v>
      </c>
      <c r="O2850" t="n">
        <v>0</v>
      </c>
      <c r="P2850" t="n">
        <v>0</v>
      </c>
      <c r="Q2850" t="n">
        <v>0</v>
      </c>
      <c r="R2850" s="2" t="inlineStr"/>
    </row>
    <row r="2851" ht="15" customHeight="1">
      <c r="A2851" t="inlineStr">
        <is>
          <t>A 4547-2025</t>
        </is>
      </c>
      <c r="B2851" s="1" t="n">
        <v>45687.40212962963</v>
      </c>
      <c r="C2851" s="1" t="n">
        <v>46046</v>
      </c>
      <c r="D2851" t="inlineStr">
        <is>
          <t>NORRBOTTENS LÄN</t>
        </is>
      </c>
      <c r="E2851" t="inlineStr">
        <is>
          <t>LULEÅ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25445-2025</t>
        </is>
      </c>
      <c r="B2852" s="1" t="n">
        <v>45801</v>
      </c>
      <c r="C2852" s="1" t="n">
        <v>46046</v>
      </c>
      <c r="D2852" t="inlineStr">
        <is>
          <t>NORRBOTTENS LÄN</t>
        </is>
      </c>
      <c r="E2852" t="inlineStr">
        <is>
          <t>PAJALA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59662-2024</t>
        </is>
      </c>
      <c r="B2853" s="1" t="n">
        <v>45639</v>
      </c>
      <c r="C2853" s="1" t="n">
        <v>46046</v>
      </c>
      <c r="D2853" t="inlineStr">
        <is>
          <t>NORRBOTTENS LÄN</t>
        </is>
      </c>
      <c r="E2853" t="inlineStr">
        <is>
          <t>ÖVERTORNEÅ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59675-2024</t>
        </is>
      </c>
      <c r="B2854" s="1" t="n">
        <v>45639</v>
      </c>
      <c r="C2854" s="1" t="n">
        <v>46046</v>
      </c>
      <c r="D2854" t="inlineStr">
        <is>
          <t>NORRBOTTENS LÄN</t>
        </is>
      </c>
      <c r="E2854" t="inlineStr">
        <is>
          <t>GÄLLIVARE</t>
        </is>
      </c>
      <c r="F2854" t="inlineStr">
        <is>
          <t>Sveaskog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59029-2022</t>
        </is>
      </c>
      <c r="B2855" s="1" t="n">
        <v>44903</v>
      </c>
      <c r="C2855" s="1" t="n">
        <v>46046</v>
      </c>
      <c r="D2855" t="inlineStr">
        <is>
          <t>NORRBOTTENS LÄN</t>
        </is>
      </c>
      <c r="E2855" t="inlineStr">
        <is>
          <t>BODEN</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40515-2023</t>
        </is>
      </c>
      <c r="B2856" s="1" t="n">
        <v>45170</v>
      </c>
      <c r="C2856" s="1" t="n">
        <v>46046</v>
      </c>
      <c r="D2856" t="inlineStr">
        <is>
          <t>NORRBOTTENS LÄN</t>
        </is>
      </c>
      <c r="E2856" t="inlineStr">
        <is>
          <t>KALIX</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58999-2023</t>
        </is>
      </c>
      <c r="B2857" s="1" t="n">
        <v>45225</v>
      </c>
      <c r="C2857" s="1" t="n">
        <v>46046</v>
      </c>
      <c r="D2857" t="inlineStr">
        <is>
          <t>NORRBOTTENS LÄN</t>
        </is>
      </c>
      <c r="E2857" t="inlineStr">
        <is>
          <t>KALIX</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17994-2024</t>
        </is>
      </c>
      <c r="B2858" s="1" t="n">
        <v>45419.92640046297</v>
      </c>
      <c r="C2858" s="1" t="n">
        <v>46046</v>
      </c>
      <c r="D2858" t="inlineStr">
        <is>
          <t>NORRBOTTENS LÄN</t>
        </is>
      </c>
      <c r="E2858" t="inlineStr">
        <is>
          <t>PITEÅ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4776-2022</t>
        </is>
      </c>
      <c r="B2859" s="1" t="n">
        <v>44592</v>
      </c>
      <c r="C2859" s="1" t="n">
        <v>46046</v>
      </c>
      <c r="D2859" t="inlineStr">
        <is>
          <t>NORRBOTTENS LÄN</t>
        </is>
      </c>
      <c r="E2859" t="inlineStr">
        <is>
          <t>PITEÅ</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18010-2024</t>
        </is>
      </c>
      <c r="B2860" s="1" t="n">
        <v>45419.949375</v>
      </c>
      <c r="C2860" s="1" t="n">
        <v>46046</v>
      </c>
      <c r="D2860" t="inlineStr">
        <is>
          <t>NORRBOTTENS LÄN</t>
        </is>
      </c>
      <c r="E2860" t="inlineStr">
        <is>
          <t>KALIX</t>
        </is>
      </c>
      <c r="F2860" t="inlineStr">
        <is>
          <t>SCA</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2727-2025</t>
        </is>
      </c>
      <c r="B2861" s="1" t="n">
        <v>45677</v>
      </c>
      <c r="C2861" s="1" t="n">
        <v>46046</v>
      </c>
      <c r="D2861" t="inlineStr">
        <is>
          <t>NORRBOTTENS LÄN</t>
        </is>
      </c>
      <c r="E2861" t="inlineStr">
        <is>
          <t>PITEÅ</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25395-2022</t>
        </is>
      </c>
      <c r="B2862" s="1" t="n">
        <v>44732</v>
      </c>
      <c r="C2862" s="1" t="n">
        <v>46046</v>
      </c>
      <c r="D2862" t="inlineStr">
        <is>
          <t>NORRBOTTENS LÄN</t>
        </is>
      </c>
      <c r="E2862" t="inlineStr">
        <is>
          <t>ARVIDSJAUR</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4405-2023</t>
        </is>
      </c>
      <c r="B2863" s="1" t="n">
        <v>44956.36164351852</v>
      </c>
      <c r="C2863" s="1" t="n">
        <v>46046</v>
      </c>
      <c r="D2863" t="inlineStr">
        <is>
          <t>NORRBOTTENS LÄN</t>
        </is>
      </c>
      <c r="E2863" t="inlineStr">
        <is>
          <t>KALIX</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37828-2024</t>
        </is>
      </c>
      <c r="B2864" s="1" t="n">
        <v>45544</v>
      </c>
      <c r="C2864" s="1" t="n">
        <v>46046</v>
      </c>
      <c r="D2864" t="inlineStr">
        <is>
          <t>NORRBOTTENS LÄN</t>
        </is>
      </c>
      <c r="E2864" t="inlineStr">
        <is>
          <t>JOKKMOKK</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25767-2025</t>
        </is>
      </c>
      <c r="B2865" s="1" t="n">
        <v>45804.34440972222</v>
      </c>
      <c r="C2865" s="1" t="n">
        <v>46046</v>
      </c>
      <c r="D2865" t="inlineStr">
        <is>
          <t>NORRBOTTENS LÄN</t>
        </is>
      </c>
      <c r="E2865" t="inlineStr">
        <is>
          <t>BODEN</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12591-2024</t>
        </is>
      </c>
      <c r="B2866" s="1" t="n">
        <v>45379.93701388889</v>
      </c>
      <c r="C2866" s="1" t="n">
        <v>46046</v>
      </c>
      <c r="D2866" t="inlineStr">
        <is>
          <t>NORRBOTTENS LÄN</t>
        </is>
      </c>
      <c r="E2866" t="inlineStr">
        <is>
          <t>ÖVERKALIX</t>
        </is>
      </c>
      <c r="F2866" t="inlineStr">
        <is>
          <t>SCA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12602-2024</t>
        </is>
      </c>
      <c r="B2867" s="1" t="n">
        <v>45381</v>
      </c>
      <c r="C2867" s="1" t="n">
        <v>46046</v>
      </c>
      <c r="D2867" t="inlineStr">
        <is>
          <t>NORRBOTTENS LÄN</t>
        </is>
      </c>
      <c r="E2867" t="inlineStr">
        <is>
          <t>LULEÅ</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60164-2023</t>
        </is>
      </c>
      <c r="B2868" s="1" t="n">
        <v>45258</v>
      </c>
      <c r="C2868" s="1" t="n">
        <v>46046</v>
      </c>
      <c r="D2868" t="inlineStr">
        <is>
          <t>NORRBOTTENS LÄN</t>
        </is>
      </c>
      <c r="E2868" t="inlineStr">
        <is>
          <t>JOKKMOKK</t>
        </is>
      </c>
      <c r="F2868" t="inlineStr">
        <is>
          <t>Allmännings- och besparingsskogar</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11469-2025</t>
        </is>
      </c>
      <c r="B2869" s="1" t="n">
        <v>45726.66239583334</v>
      </c>
      <c r="C2869" s="1" t="n">
        <v>46046</v>
      </c>
      <c r="D2869" t="inlineStr">
        <is>
          <t>NORRBOTTENS LÄN</t>
        </is>
      </c>
      <c r="E2869" t="inlineStr">
        <is>
          <t>PITEÅ</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34424-2023</t>
        </is>
      </c>
      <c r="B2870" s="1" t="n">
        <v>45139.60627314815</v>
      </c>
      <c r="C2870" s="1" t="n">
        <v>46046</v>
      </c>
      <c r="D2870" t="inlineStr">
        <is>
          <t>NORRBOTTENS LÄN</t>
        </is>
      </c>
      <c r="E2870" t="inlineStr">
        <is>
          <t>PITEÅ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53754-2023</t>
        </is>
      </c>
      <c r="B2871" s="1" t="n">
        <v>45230</v>
      </c>
      <c r="C2871" s="1" t="n">
        <v>46046</v>
      </c>
      <c r="D2871" t="inlineStr">
        <is>
          <t>NORRBOTTENS LÄN</t>
        </is>
      </c>
      <c r="E2871" t="inlineStr">
        <is>
          <t>LULEÅ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60418-2023</t>
        </is>
      </c>
      <c r="B2872" s="1" t="n">
        <v>45259.49666666667</v>
      </c>
      <c r="C2872" s="1" t="n">
        <v>46046</v>
      </c>
      <c r="D2872" t="inlineStr">
        <is>
          <t>NORRBOTTENS LÄN</t>
        </is>
      </c>
      <c r="E2872" t="inlineStr">
        <is>
          <t>JOKKMOKK</t>
        </is>
      </c>
      <c r="F2872" t="inlineStr">
        <is>
          <t>Allmännings- och besparingsskogar</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20030-2025</t>
        </is>
      </c>
      <c r="B2873" s="1" t="n">
        <v>45772.35878472222</v>
      </c>
      <c r="C2873" s="1" t="n">
        <v>46046</v>
      </c>
      <c r="D2873" t="inlineStr">
        <is>
          <t>NORRBOTTENS LÄN</t>
        </is>
      </c>
      <c r="E2873" t="inlineStr">
        <is>
          <t>BODEN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20038-2025</t>
        </is>
      </c>
      <c r="B2874" s="1" t="n">
        <v>45772.3677662037</v>
      </c>
      <c r="C2874" s="1" t="n">
        <v>46046</v>
      </c>
      <c r="D2874" t="inlineStr">
        <is>
          <t>NORRBOTTENS LÄN</t>
        </is>
      </c>
      <c r="E2874" t="inlineStr">
        <is>
          <t>BODEN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19757-2025</t>
        </is>
      </c>
      <c r="B2875" s="1" t="n">
        <v>45770</v>
      </c>
      <c r="C2875" s="1" t="n">
        <v>46046</v>
      </c>
      <c r="D2875" t="inlineStr">
        <is>
          <t>NORRBOTTENS LÄN</t>
        </is>
      </c>
      <c r="E2875" t="inlineStr">
        <is>
          <t>BODEN</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46587-2023</t>
        </is>
      </c>
      <c r="B2876" s="1" t="n">
        <v>45194</v>
      </c>
      <c r="C2876" s="1" t="n">
        <v>46046</v>
      </c>
      <c r="D2876" t="inlineStr">
        <is>
          <t>NORRBOTTENS LÄN</t>
        </is>
      </c>
      <c r="E2876" t="inlineStr">
        <is>
          <t>LULEÅ</t>
        </is>
      </c>
      <c r="G2876" t="n">
        <v>15.3</v>
      </c>
      <c r="H2876" t="n">
        <v>0</v>
      </c>
      <c r="I2876" t="n">
        <v>0</v>
      </c>
      <c r="J2876" t="n">
        <v>0</v>
      </c>
      <c r="K2876" t="n">
        <v>0</v>
      </c>
      <c r="L2876" t="n">
        <v>0</v>
      </c>
      <c r="M2876" t="n">
        <v>0</v>
      </c>
      <c r="N2876" t="n">
        <v>0</v>
      </c>
      <c r="O2876" t="n">
        <v>0</v>
      </c>
      <c r="P2876" t="n">
        <v>0</v>
      </c>
      <c r="Q2876" t="n">
        <v>0</v>
      </c>
      <c r="R2876" s="2" t="inlineStr"/>
    </row>
    <row r="2877" ht="15" customHeight="1">
      <c r="A2877" t="inlineStr">
        <is>
          <t>A 24922-2023</t>
        </is>
      </c>
      <c r="B2877" s="1" t="n">
        <v>45078</v>
      </c>
      <c r="C2877" s="1" t="n">
        <v>46046</v>
      </c>
      <c r="D2877" t="inlineStr">
        <is>
          <t>NORRBOTTENS LÄN</t>
        </is>
      </c>
      <c r="E2877" t="inlineStr">
        <is>
          <t>ÄLVSBYN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44136-2024</t>
        </is>
      </c>
      <c r="B2878" s="1" t="n">
        <v>45572.65831018519</v>
      </c>
      <c r="C2878" s="1" t="n">
        <v>46046</v>
      </c>
      <c r="D2878" t="inlineStr">
        <is>
          <t>NORRBOTTENS LÄN</t>
        </is>
      </c>
      <c r="E2878" t="inlineStr">
        <is>
          <t>PITEÅ</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44145-2024</t>
        </is>
      </c>
      <c r="B2879" s="1" t="n">
        <v>45572.66908564815</v>
      </c>
      <c r="C2879" s="1" t="n">
        <v>46046</v>
      </c>
      <c r="D2879" t="inlineStr">
        <is>
          <t>NORRBOTTENS LÄN</t>
        </is>
      </c>
      <c r="E2879" t="inlineStr">
        <is>
          <t>JOKKMOKK</t>
        </is>
      </c>
      <c r="F2879" t="inlineStr">
        <is>
          <t>Sveaskog</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47475-2023</t>
        </is>
      </c>
      <c r="B2880" s="1" t="n">
        <v>45202</v>
      </c>
      <c r="C2880" s="1" t="n">
        <v>46046</v>
      </c>
      <c r="D2880" t="inlineStr">
        <is>
          <t>NORRBOTTENS LÄN</t>
        </is>
      </c>
      <c r="E2880" t="inlineStr">
        <is>
          <t>ÖVERTORNEÅ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9874-2023</t>
        </is>
      </c>
      <c r="B2881" s="1" t="n">
        <v>44984.94069444444</v>
      </c>
      <c r="C2881" s="1" t="n">
        <v>46046</v>
      </c>
      <c r="D2881" t="inlineStr">
        <is>
          <t>NORRBOTTENS LÄN</t>
        </is>
      </c>
      <c r="E2881" t="inlineStr">
        <is>
          <t>JOKKMOKK</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9875-2023</t>
        </is>
      </c>
      <c r="B2882" s="1" t="n">
        <v>44984.94076388889</v>
      </c>
      <c r="C2882" s="1" t="n">
        <v>46046</v>
      </c>
      <c r="D2882" t="inlineStr">
        <is>
          <t>NORRBOTTENS LÄN</t>
        </is>
      </c>
      <c r="E2882" t="inlineStr">
        <is>
          <t>JOKKMOKK</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34402-2023</t>
        </is>
      </c>
      <c r="B2883" s="1" t="n">
        <v>45139.54393518518</v>
      </c>
      <c r="C2883" s="1" t="n">
        <v>46046</v>
      </c>
      <c r="D2883" t="inlineStr">
        <is>
          <t>NORRBOTTENS LÄN</t>
        </is>
      </c>
      <c r="E2883" t="inlineStr">
        <is>
          <t>ÖVERTORNEÅ</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46181-2021</t>
        </is>
      </c>
      <c r="B2884" s="1" t="n">
        <v>44441</v>
      </c>
      <c r="C2884" s="1" t="n">
        <v>46046</v>
      </c>
      <c r="D2884" t="inlineStr">
        <is>
          <t>NORRBOTTENS LÄN</t>
        </is>
      </c>
      <c r="E2884" t="inlineStr">
        <is>
          <t>ARVIDSJAUR</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26218-2025</t>
        </is>
      </c>
      <c r="B2885" s="1" t="n">
        <v>45805.54811342592</v>
      </c>
      <c r="C2885" s="1" t="n">
        <v>46046</v>
      </c>
      <c r="D2885" t="inlineStr">
        <is>
          <t>NORRBOTTENS LÄN</t>
        </is>
      </c>
      <c r="E2885" t="inlineStr">
        <is>
          <t>ARVIDSJAUR</t>
        </is>
      </c>
      <c r="F2885" t="inlineStr">
        <is>
          <t>Sveaskog</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26284-2025</t>
        </is>
      </c>
      <c r="B2886" s="1" t="n">
        <v>45805</v>
      </c>
      <c r="C2886" s="1" t="n">
        <v>46046</v>
      </c>
      <c r="D2886" t="inlineStr">
        <is>
          <t>NORRBOTTENS LÄN</t>
        </is>
      </c>
      <c r="E2886" t="inlineStr">
        <is>
          <t>GÄLLIVARE</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39604-2024</t>
        </is>
      </c>
      <c r="B2887" s="1" t="n">
        <v>45552.38583333333</v>
      </c>
      <c r="C2887" s="1" t="n">
        <v>46046</v>
      </c>
      <c r="D2887" t="inlineStr">
        <is>
          <t>NORRBOTTENS LÄN</t>
        </is>
      </c>
      <c r="E2887" t="inlineStr">
        <is>
          <t>ÄLVSBYN</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42481-2024</t>
        </is>
      </c>
      <c r="B2888" s="1" t="n">
        <v>45565.49210648148</v>
      </c>
      <c r="C2888" s="1" t="n">
        <v>46046</v>
      </c>
      <c r="D2888" t="inlineStr">
        <is>
          <t>NORRBOTTENS LÄN</t>
        </is>
      </c>
      <c r="E2888" t="inlineStr">
        <is>
          <t>JOKKMOKK</t>
        </is>
      </c>
      <c r="F2888" t="inlineStr">
        <is>
          <t>SCA</t>
        </is>
      </c>
      <c r="G2888" t="n">
        <v>25.2</v>
      </c>
      <c r="H2888" t="n">
        <v>0</v>
      </c>
      <c r="I2888" t="n">
        <v>0</v>
      </c>
      <c r="J2888" t="n">
        <v>0</v>
      </c>
      <c r="K2888" t="n">
        <v>0</v>
      </c>
      <c r="L2888" t="n">
        <v>0</v>
      </c>
      <c r="M2888" t="n">
        <v>0</v>
      </c>
      <c r="N2888" t="n">
        <v>0</v>
      </c>
      <c r="O2888" t="n">
        <v>0</v>
      </c>
      <c r="P2888" t="n">
        <v>0</v>
      </c>
      <c r="Q2888" t="n">
        <v>0</v>
      </c>
      <c r="R2888" s="2" t="inlineStr"/>
    </row>
    <row r="2889" ht="15" customHeight="1">
      <c r="A2889" t="inlineStr">
        <is>
          <t>A 12282-2024</t>
        </is>
      </c>
      <c r="B2889" s="1" t="n">
        <v>45378</v>
      </c>
      <c r="C2889" s="1" t="n">
        <v>46046</v>
      </c>
      <c r="D2889" t="inlineStr">
        <is>
          <t>NORRBOTTENS LÄN</t>
        </is>
      </c>
      <c r="E2889" t="inlineStr">
        <is>
          <t>LULEÅ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7713-2025</t>
        </is>
      </c>
      <c r="B2890" s="1" t="n">
        <v>45706.42768518518</v>
      </c>
      <c r="C2890" s="1" t="n">
        <v>46046</v>
      </c>
      <c r="D2890" t="inlineStr">
        <is>
          <t>NORRBOTTENS LÄN</t>
        </is>
      </c>
      <c r="E2890" t="inlineStr">
        <is>
          <t>KALIX</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26675-2024</t>
        </is>
      </c>
      <c r="B2891" s="1" t="n">
        <v>45470.32200231482</v>
      </c>
      <c r="C2891" s="1" t="n">
        <v>46046</v>
      </c>
      <c r="D2891" t="inlineStr">
        <is>
          <t>NORRBOTTENS LÄN</t>
        </is>
      </c>
      <c r="E2891" t="inlineStr">
        <is>
          <t>KALIX</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26689-2024</t>
        </is>
      </c>
      <c r="B2892" s="1" t="n">
        <v>45470.35973379629</v>
      </c>
      <c r="C2892" s="1" t="n">
        <v>46046</v>
      </c>
      <c r="D2892" t="inlineStr">
        <is>
          <t>NORRBOTTENS LÄN</t>
        </is>
      </c>
      <c r="E2892" t="inlineStr">
        <is>
          <t>ARVIDSJAUR</t>
        </is>
      </c>
      <c r="F2892" t="inlineStr">
        <is>
          <t>Sveaskog</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20403-2022</t>
        </is>
      </c>
      <c r="B2893" s="1" t="n">
        <v>44699</v>
      </c>
      <c r="C2893" s="1" t="n">
        <v>46046</v>
      </c>
      <c r="D2893" t="inlineStr">
        <is>
          <t>NORRBOTTENS LÄN</t>
        </is>
      </c>
      <c r="E2893" t="inlineStr">
        <is>
          <t>ARVIDSJAUR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24785-2024</t>
        </is>
      </c>
      <c r="B2894" s="1" t="n">
        <v>45460.81047453704</v>
      </c>
      <c r="C2894" s="1" t="n">
        <v>46046</v>
      </c>
      <c r="D2894" t="inlineStr">
        <is>
          <t>NORRBOTTENS LÄN</t>
        </is>
      </c>
      <c r="E2894" t="inlineStr">
        <is>
          <t>ÖVERTORNEÅ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55635-2024</t>
        </is>
      </c>
      <c r="B2895" s="1" t="n">
        <v>45622</v>
      </c>
      <c r="C2895" s="1" t="n">
        <v>46046</v>
      </c>
      <c r="D2895" t="inlineStr">
        <is>
          <t>NORRBOTTENS LÄN</t>
        </is>
      </c>
      <c r="E2895" t="inlineStr">
        <is>
          <t>JOKKMOKK</t>
        </is>
      </c>
      <c r="F2895" t="inlineStr">
        <is>
          <t>Allmännings- och besparingsskogar</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36989-2021</t>
        </is>
      </c>
      <c r="B2896" s="1" t="n">
        <v>44393.61309027778</v>
      </c>
      <c r="C2896" s="1" t="n">
        <v>46046</v>
      </c>
      <c r="D2896" t="inlineStr">
        <is>
          <t>NORRBOTTENS LÄN</t>
        </is>
      </c>
      <c r="E2896" t="inlineStr">
        <is>
          <t>PAJALA</t>
        </is>
      </c>
      <c r="F2896" t="inlineStr">
        <is>
          <t>Sveaskog</t>
        </is>
      </c>
      <c r="G2896" t="n">
        <v>36.5</v>
      </c>
      <c r="H2896" t="n">
        <v>0</v>
      </c>
      <c r="I2896" t="n">
        <v>0</v>
      </c>
      <c r="J2896" t="n">
        <v>0</v>
      </c>
      <c r="K2896" t="n">
        <v>0</v>
      </c>
      <c r="L2896" t="n">
        <v>0</v>
      </c>
      <c r="M2896" t="n">
        <v>0</v>
      </c>
      <c r="N2896" t="n">
        <v>0</v>
      </c>
      <c r="O2896" t="n">
        <v>0</v>
      </c>
      <c r="P2896" t="n">
        <v>0</v>
      </c>
      <c r="Q2896" t="n">
        <v>0</v>
      </c>
      <c r="R2896" s="2" t="inlineStr"/>
    </row>
    <row r="2897" ht="15" customHeight="1">
      <c r="A2897" t="inlineStr">
        <is>
          <t>A 26243-2025</t>
        </is>
      </c>
      <c r="B2897" s="1" t="n">
        <v>45805.57359953703</v>
      </c>
      <c r="C2897" s="1" t="n">
        <v>46046</v>
      </c>
      <c r="D2897" t="inlineStr">
        <is>
          <t>NORRBOTTENS LÄN</t>
        </is>
      </c>
      <c r="E2897" t="inlineStr">
        <is>
          <t>GÄLLIVARE</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58447-2023</t>
        </is>
      </c>
      <c r="B2898" s="1" t="n">
        <v>45250</v>
      </c>
      <c r="C2898" s="1" t="n">
        <v>46046</v>
      </c>
      <c r="D2898" t="inlineStr">
        <is>
          <t>NORRBOTTENS LÄN</t>
        </is>
      </c>
      <c r="E2898" t="inlineStr">
        <is>
          <t>ÄLVSBYN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60687-2024</t>
        </is>
      </c>
      <c r="B2899" s="1" t="n">
        <v>45644.47315972222</v>
      </c>
      <c r="C2899" s="1" t="n">
        <v>46046</v>
      </c>
      <c r="D2899" t="inlineStr">
        <is>
          <t>NORRBOTTENS LÄN</t>
        </is>
      </c>
      <c r="E2899" t="inlineStr">
        <is>
          <t>PITEÅ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22977-2022</t>
        </is>
      </c>
      <c r="B2900" s="1" t="n">
        <v>44717</v>
      </c>
      <c r="C2900" s="1" t="n">
        <v>46046</v>
      </c>
      <c r="D2900" t="inlineStr">
        <is>
          <t>NORRBOTTENS LÄN</t>
        </is>
      </c>
      <c r="E2900" t="inlineStr">
        <is>
          <t>ÖVERKALIX</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52130-2024</t>
        </is>
      </c>
      <c r="B2901" s="1" t="n">
        <v>45608</v>
      </c>
      <c r="C2901" s="1" t="n">
        <v>46046</v>
      </c>
      <c r="D2901" t="inlineStr">
        <is>
          <t>NORRBOTTENS LÄN</t>
        </is>
      </c>
      <c r="E2901" t="inlineStr">
        <is>
          <t>JOKKMOKK</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1962-2025</t>
        </is>
      </c>
      <c r="B2902" s="1" t="n">
        <v>45672</v>
      </c>
      <c r="C2902" s="1" t="n">
        <v>46046</v>
      </c>
      <c r="D2902" t="inlineStr">
        <is>
          <t>NORRBOTTENS LÄN</t>
        </is>
      </c>
      <c r="E2902" t="inlineStr">
        <is>
          <t>BODEN</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51578-2023</t>
        </is>
      </c>
      <c r="B2903" s="1" t="n">
        <v>45215</v>
      </c>
      <c r="C2903" s="1" t="n">
        <v>46046</v>
      </c>
      <c r="D2903" t="inlineStr">
        <is>
          <t>NORRBOTTENS LÄN</t>
        </is>
      </c>
      <c r="E2903" t="inlineStr">
        <is>
          <t>PITEÅ</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52246-2024</t>
        </is>
      </c>
      <c r="B2904" s="1" t="n">
        <v>45608</v>
      </c>
      <c r="C2904" s="1" t="n">
        <v>46046</v>
      </c>
      <c r="D2904" t="inlineStr">
        <is>
          <t>NORRBOTTENS LÄN</t>
        </is>
      </c>
      <c r="E2904" t="inlineStr">
        <is>
          <t>BODEN</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52247-2024</t>
        </is>
      </c>
      <c r="B2905" s="1" t="n">
        <v>45608</v>
      </c>
      <c r="C2905" s="1" t="n">
        <v>46046</v>
      </c>
      <c r="D2905" t="inlineStr">
        <is>
          <t>NORRBOTTENS LÄN</t>
        </is>
      </c>
      <c r="E2905" t="inlineStr">
        <is>
          <t>BODEN</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48630-2023</t>
        </is>
      </c>
      <c r="B2906" s="1" t="n">
        <v>45208.57646990741</v>
      </c>
      <c r="C2906" s="1" t="n">
        <v>46046</v>
      </c>
      <c r="D2906" t="inlineStr">
        <is>
          <t>NORRBOTTENS LÄN</t>
        </is>
      </c>
      <c r="E2906" t="inlineStr">
        <is>
          <t>HAPARANDA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29328-2024</t>
        </is>
      </c>
      <c r="B2907" s="1" t="n">
        <v>45483</v>
      </c>
      <c r="C2907" s="1" t="n">
        <v>46046</v>
      </c>
      <c r="D2907" t="inlineStr">
        <is>
          <t>NORRBOTTENS LÄN</t>
        </is>
      </c>
      <c r="E2907" t="inlineStr">
        <is>
          <t>BODEN</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50519-2024</t>
        </is>
      </c>
      <c r="B2908" s="1" t="n">
        <v>45601</v>
      </c>
      <c r="C2908" s="1" t="n">
        <v>46046</v>
      </c>
      <c r="D2908" t="inlineStr">
        <is>
          <t>NORRBOTTENS LÄN</t>
        </is>
      </c>
      <c r="E2908" t="inlineStr">
        <is>
          <t>PAJALA</t>
        </is>
      </c>
      <c r="F2908" t="inlineStr">
        <is>
          <t>Sveaskog</t>
        </is>
      </c>
      <c r="G2908" t="n">
        <v>31.8</v>
      </c>
      <c r="H2908" t="n">
        <v>0</v>
      </c>
      <c r="I2908" t="n">
        <v>0</v>
      </c>
      <c r="J2908" t="n">
        <v>0</v>
      </c>
      <c r="K2908" t="n">
        <v>0</v>
      </c>
      <c r="L2908" t="n">
        <v>0</v>
      </c>
      <c r="M2908" t="n">
        <v>0</v>
      </c>
      <c r="N2908" t="n">
        <v>0</v>
      </c>
      <c r="O2908" t="n">
        <v>0</v>
      </c>
      <c r="P2908" t="n">
        <v>0</v>
      </c>
      <c r="Q2908" t="n">
        <v>0</v>
      </c>
      <c r="R2908" s="2" t="inlineStr"/>
    </row>
    <row r="2909" ht="15" customHeight="1">
      <c r="A2909" t="inlineStr">
        <is>
          <t>A 52248-2024</t>
        </is>
      </c>
      <c r="B2909" s="1" t="n">
        <v>45608</v>
      </c>
      <c r="C2909" s="1" t="n">
        <v>46046</v>
      </c>
      <c r="D2909" t="inlineStr">
        <is>
          <t>NORRBOTTENS LÄN</t>
        </is>
      </c>
      <c r="E2909" t="inlineStr">
        <is>
          <t>BODEN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50527-2024</t>
        </is>
      </c>
      <c r="B2910" s="1" t="n">
        <v>45601.56194444445</v>
      </c>
      <c r="C2910" s="1" t="n">
        <v>46046</v>
      </c>
      <c r="D2910" t="inlineStr">
        <is>
          <t>NORRBOTTENS LÄN</t>
        </is>
      </c>
      <c r="E2910" t="inlineStr">
        <is>
          <t>ARVIDSJAUR</t>
        </is>
      </c>
      <c r="F2910" t="inlineStr">
        <is>
          <t>Sveaskog</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50569-2024</t>
        </is>
      </c>
      <c r="B2911" s="1" t="n">
        <v>45601.60356481482</v>
      </c>
      <c r="C2911" s="1" t="n">
        <v>46046</v>
      </c>
      <c r="D2911" t="inlineStr">
        <is>
          <t>NORRBOTTENS LÄN</t>
        </is>
      </c>
      <c r="E2911" t="inlineStr">
        <is>
          <t>PAJALA</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11901-2025</t>
        </is>
      </c>
      <c r="B2912" s="1" t="n">
        <v>45727</v>
      </c>
      <c r="C2912" s="1" t="n">
        <v>46046</v>
      </c>
      <c r="D2912" t="inlineStr">
        <is>
          <t>NORRBOTTENS LÄN</t>
        </is>
      </c>
      <c r="E2912" t="inlineStr">
        <is>
          <t>LULEÅ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25934-2025</t>
        </is>
      </c>
      <c r="B2913" s="1" t="n">
        <v>45804.59178240741</v>
      </c>
      <c r="C2913" s="1" t="n">
        <v>46046</v>
      </c>
      <c r="D2913" t="inlineStr">
        <is>
          <t>NORRBOTTENS LÄN</t>
        </is>
      </c>
      <c r="E2913" t="inlineStr">
        <is>
          <t>PITEÅ</t>
        </is>
      </c>
      <c r="F2913" t="inlineStr">
        <is>
          <t>Sveaskog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49953-2024</t>
        </is>
      </c>
      <c r="B2914" s="1" t="n">
        <v>45597</v>
      </c>
      <c r="C2914" s="1" t="n">
        <v>46046</v>
      </c>
      <c r="D2914" t="inlineStr">
        <is>
          <t>NORRBOTTENS LÄN</t>
        </is>
      </c>
      <c r="E2914" t="inlineStr">
        <is>
          <t>JOKKMOKK</t>
        </is>
      </c>
      <c r="F2914" t="inlineStr">
        <is>
          <t>Allmännings- och besparingsskogar</t>
        </is>
      </c>
      <c r="G2914" t="n">
        <v>9.4</v>
      </c>
      <c r="H2914" t="n">
        <v>0</v>
      </c>
      <c r="I2914" t="n">
        <v>0</v>
      </c>
      <c r="J2914" t="n">
        <v>0</v>
      </c>
      <c r="K2914" t="n">
        <v>0</v>
      </c>
      <c r="L2914" t="n">
        <v>0</v>
      </c>
      <c r="M2914" t="n">
        <v>0</v>
      </c>
      <c r="N2914" t="n">
        <v>0</v>
      </c>
      <c r="O2914" t="n">
        <v>0</v>
      </c>
      <c r="P2914" t="n">
        <v>0</v>
      </c>
      <c r="Q2914" t="n">
        <v>0</v>
      </c>
      <c r="R2914" s="2" t="inlineStr"/>
    </row>
    <row r="2915" ht="15" customHeight="1">
      <c r="A2915" t="inlineStr">
        <is>
          <t>A 36417-2022</t>
        </is>
      </c>
      <c r="B2915" s="1" t="n">
        <v>44804</v>
      </c>
      <c r="C2915" s="1" t="n">
        <v>46046</v>
      </c>
      <c r="D2915" t="inlineStr">
        <is>
          <t>NORRBOTTENS LÄN</t>
        </is>
      </c>
      <c r="E2915" t="inlineStr">
        <is>
          <t>ARVIDSJAUR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7845-2024</t>
        </is>
      </c>
      <c r="B2916" s="1" t="n">
        <v>45349</v>
      </c>
      <c r="C2916" s="1" t="n">
        <v>46046</v>
      </c>
      <c r="D2916" t="inlineStr">
        <is>
          <t>NORRBOTTENS LÄN</t>
        </is>
      </c>
      <c r="E2916" t="inlineStr">
        <is>
          <t>JOKKMOKK</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5058-2025</t>
        </is>
      </c>
      <c r="B2917" s="1" t="n">
        <v>45691.46903935185</v>
      </c>
      <c r="C2917" s="1" t="n">
        <v>46046</v>
      </c>
      <c r="D2917" t="inlineStr">
        <is>
          <t>NORRBOTTENS LÄN</t>
        </is>
      </c>
      <c r="E2917" t="inlineStr">
        <is>
          <t>LULEÅ</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7504-2024</t>
        </is>
      </c>
      <c r="B2918" s="1" t="n">
        <v>45347</v>
      </c>
      <c r="C2918" s="1" t="n">
        <v>46046</v>
      </c>
      <c r="D2918" t="inlineStr">
        <is>
          <t>NORRBOTTENS LÄN</t>
        </is>
      </c>
      <c r="E2918" t="inlineStr">
        <is>
          <t>PITEÅ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18602-2024</t>
        </is>
      </c>
      <c r="B2919" s="1" t="n">
        <v>45425</v>
      </c>
      <c r="C2919" s="1" t="n">
        <v>46046</v>
      </c>
      <c r="D2919" t="inlineStr">
        <is>
          <t>NORRBOTTENS LÄN</t>
        </is>
      </c>
      <c r="E2919" t="inlineStr">
        <is>
          <t>JOKKMOKK</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25947-2025</t>
        </is>
      </c>
      <c r="B2920" s="1" t="n">
        <v>45804</v>
      </c>
      <c r="C2920" s="1" t="n">
        <v>46046</v>
      </c>
      <c r="D2920" t="inlineStr">
        <is>
          <t>NORRBOTTENS LÄN</t>
        </is>
      </c>
      <c r="E2920" t="inlineStr">
        <is>
          <t>ÄLVSBYN</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48485-2024</t>
        </is>
      </c>
      <c r="B2921" s="1" t="n">
        <v>45592.39511574074</v>
      </c>
      <c r="C2921" s="1" t="n">
        <v>46046</v>
      </c>
      <c r="D2921" t="inlineStr">
        <is>
          <t>NORRBOTTENS LÄN</t>
        </is>
      </c>
      <c r="E2921" t="inlineStr">
        <is>
          <t>PAJALA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16265-2021</t>
        </is>
      </c>
      <c r="B2922" s="1" t="n">
        <v>44292</v>
      </c>
      <c r="C2922" s="1" t="n">
        <v>46046</v>
      </c>
      <c r="D2922" t="inlineStr">
        <is>
          <t>NORRBOTTENS LÄN</t>
        </is>
      </c>
      <c r="E2922" t="inlineStr">
        <is>
          <t>PITEÅ</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26217-2025</t>
        </is>
      </c>
      <c r="B2923" s="1" t="n">
        <v>45805.54646990741</v>
      </c>
      <c r="C2923" s="1" t="n">
        <v>46046</v>
      </c>
      <c r="D2923" t="inlineStr">
        <is>
          <t>NORRBOTTENS LÄN</t>
        </is>
      </c>
      <c r="E2923" t="inlineStr">
        <is>
          <t>ARVIDSJAUR</t>
        </is>
      </c>
      <c r="F2923" t="inlineStr">
        <is>
          <t>Sveaskog</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14975-2025</t>
        </is>
      </c>
      <c r="B2924" s="1" t="n">
        <v>45743</v>
      </c>
      <c r="C2924" s="1" t="n">
        <v>46046</v>
      </c>
      <c r="D2924" t="inlineStr">
        <is>
          <t>NORRBOTTENS LÄN</t>
        </is>
      </c>
      <c r="E2924" t="inlineStr">
        <is>
          <t>GÄLLIVARE</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48363-2024</t>
        </is>
      </c>
      <c r="B2925" s="1" t="n">
        <v>45590.57452546297</v>
      </c>
      <c r="C2925" s="1" t="n">
        <v>46046</v>
      </c>
      <c r="D2925" t="inlineStr">
        <is>
          <t>NORRBOTTENS LÄN</t>
        </is>
      </c>
      <c r="E2925" t="inlineStr">
        <is>
          <t>ARVIDSJAUR</t>
        </is>
      </c>
      <c r="F2925" t="inlineStr">
        <is>
          <t>Sveaskog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48431-2024</t>
        </is>
      </c>
      <c r="B2926" s="1" t="n">
        <v>45590</v>
      </c>
      <c r="C2926" s="1" t="n">
        <v>46046</v>
      </c>
      <c r="D2926" t="inlineStr">
        <is>
          <t>NORRBOTTENS LÄN</t>
        </is>
      </c>
      <c r="E2926" t="inlineStr">
        <is>
          <t>BODEN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49562-2024</t>
        </is>
      </c>
      <c r="B2927" s="1" t="n">
        <v>45596</v>
      </c>
      <c r="C2927" s="1" t="n">
        <v>46046</v>
      </c>
      <c r="D2927" t="inlineStr">
        <is>
          <t>NORRBOTTENS LÄN</t>
        </is>
      </c>
      <c r="E2927" t="inlineStr">
        <is>
          <t>JOKKMOKK</t>
        </is>
      </c>
      <c r="F2927" t="inlineStr">
        <is>
          <t>Allmännings- och besparingsskogar</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23580-2021</t>
        </is>
      </c>
      <c r="B2928" s="1" t="n">
        <v>44334</v>
      </c>
      <c r="C2928" s="1" t="n">
        <v>46046</v>
      </c>
      <c r="D2928" t="inlineStr">
        <is>
          <t>NORRBOTTENS LÄN</t>
        </is>
      </c>
      <c r="E2928" t="inlineStr">
        <is>
          <t>ARVIDSJAUR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50361-2022</t>
        </is>
      </c>
      <c r="B2929" s="1" t="n">
        <v>44860</v>
      </c>
      <c r="C2929" s="1" t="n">
        <v>46046</v>
      </c>
      <c r="D2929" t="inlineStr">
        <is>
          <t>NORRBOTTENS LÄN</t>
        </is>
      </c>
      <c r="E2929" t="inlineStr">
        <is>
          <t>PAJALA</t>
        </is>
      </c>
      <c r="G2929" t="n">
        <v>33.4</v>
      </c>
      <c r="H2929" t="n">
        <v>0</v>
      </c>
      <c r="I2929" t="n">
        <v>0</v>
      </c>
      <c r="J2929" t="n">
        <v>0</v>
      </c>
      <c r="K2929" t="n">
        <v>0</v>
      </c>
      <c r="L2929" t="n">
        <v>0</v>
      </c>
      <c r="M2929" t="n">
        <v>0</v>
      </c>
      <c r="N2929" t="n">
        <v>0</v>
      </c>
      <c r="O2929" t="n">
        <v>0</v>
      </c>
      <c r="P2929" t="n">
        <v>0</v>
      </c>
      <c r="Q2929" t="n">
        <v>0</v>
      </c>
      <c r="R2929" s="2" t="inlineStr"/>
    </row>
    <row r="2930" ht="15" customHeight="1">
      <c r="A2930" t="inlineStr">
        <is>
          <t>A 61241-2023</t>
        </is>
      </c>
      <c r="B2930" s="1" t="n">
        <v>45260</v>
      </c>
      <c r="C2930" s="1" t="n">
        <v>46046</v>
      </c>
      <c r="D2930" t="inlineStr">
        <is>
          <t>NORRBOTTENS LÄN</t>
        </is>
      </c>
      <c r="E2930" t="inlineStr">
        <is>
          <t>BODEN</t>
        </is>
      </c>
      <c r="G2930" t="n">
        <v>33.9</v>
      </c>
      <c r="H2930" t="n">
        <v>0</v>
      </c>
      <c r="I2930" t="n">
        <v>0</v>
      </c>
      <c r="J2930" t="n">
        <v>0</v>
      </c>
      <c r="K2930" t="n">
        <v>0</v>
      </c>
      <c r="L2930" t="n">
        <v>0</v>
      </c>
      <c r="M2930" t="n">
        <v>0</v>
      </c>
      <c r="N2930" t="n">
        <v>0</v>
      </c>
      <c r="O2930" t="n">
        <v>0</v>
      </c>
      <c r="P2930" t="n">
        <v>0</v>
      </c>
      <c r="Q2930" t="n">
        <v>0</v>
      </c>
      <c r="R2930" s="2" t="inlineStr"/>
    </row>
    <row r="2931" ht="15" customHeight="1">
      <c r="A2931" t="inlineStr">
        <is>
          <t>A 19172-2021</t>
        </is>
      </c>
      <c r="B2931" s="1" t="n">
        <v>44308</v>
      </c>
      <c r="C2931" s="1" t="n">
        <v>46046</v>
      </c>
      <c r="D2931" t="inlineStr">
        <is>
          <t>NORRBOTTENS LÄN</t>
        </is>
      </c>
      <c r="E2931" t="inlineStr">
        <is>
          <t>PAJALA</t>
        </is>
      </c>
      <c r="G2931" t="n">
        <v>21.9</v>
      </c>
      <c r="H2931" t="n">
        <v>0</v>
      </c>
      <c r="I2931" t="n">
        <v>0</v>
      </c>
      <c r="J2931" t="n">
        <v>0</v>
      </c>
      <c r="K2931" t="n">
        <v>0</v>
      </c>
      <c r="L2931" t="n">
        <v>0</v>
      </c>
      <c r="M2931" t="n">
        <v>0</v>
      </c>
      <c r="N2931" t="n">
        <v>0</v>
      </c>
      <c r="O2931" t="n">
        <v>0</v>
      </c>
      <c r="P2931" t="n">
        <v>0</v>
      </c>
      <c r="Q2931" t="n">
        <v>0</v>
      </c>
      <c r="R2931" s="2" t="inlineStr"/>
    </row>
    <row r="2932" ht="15" customHeight="1">
      <c r="A2932" t="inlineStr">
        <is>
          <t>A 26291-2025</t>
        </is>
      </c>
      <c r="B2932" s="1" t="n">
        <v>45805</v>
      </c>
      <c r="C2932" s="1" t="n">
        <v>46046</v>
      </c>
      <c r="D2932" t="inlineStr">
        <is>
          <t>NORRBOTTENS LÄN</t>
        </is>
      </c>
      <c r="E2932" t="inlineStr">
        <is>
          <t>GÄLLIVARE</t>
        </is>
      </c>
      <c r="F2932" t="inlineStr">
        <is>
          <t>Sveaskog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25930-2023</t>
        </is>
      </c>
      <c r="B2933" s="1" t="n">
        <v>45090.67743055556</v>
      </c>
      <c r="C2933" s="1" t="n">
        <v>46046</v>
      </c>
      <c r="D2933" t="inlineStr">
        <is>
          <t>NORRBOTTENS LÄN</t>
        </is>
      </c>
      <c r="E2933" t="inlineStr">
        <is>
          <t>PITEÅ</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34969-2024</t>
        </is>
      </c>
      <c r="B2934" s="1" t="n">
        <v>45527.50440972222</v>
      </c>
      <c r="C2934" s="1" t="n">
        <v>46046</v>
      </c>
      <c r="D2934" t="inlineStr">
        <is>
          <t>NORRBOTTENS LÄN</t>
        </is>
      </c>
      <c r="E2934" t="inlineStr">
        <is>
          <t>BODEN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26249-2025</t>
        </is>
      </c>
      <c r="B2935" s="1" t="n">
        <v>45805.57423611111</v>
      </c>
      <c r="C2935" s="1" t="n">
        <v>46046</v>
      </c>
      <c r="D2935" t="inlineStr">
        <is>
          <t>NORRBOTTENS LÄN</t>
        </is>
      </c>
      <c r="E2935" t="inlineStr">
        <is>
          <t>KALIX</t>
        </is>
      </c>
      <c r="F2935" t="inlineStr">
        <is>
          <t>SCA</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62697-2022</t>
        </is>
      </c>
      <c r="B2936" s="1" t="n">
        <v>44917</v>
      </c>
      <c r="C2936" s="1" t="n">
        <v>46046</v>
      </c>
      <c r="D2936" t="inlineStr">
        <is>
          <t>NORRBOTTENS LÄN</t>
        </is>
      </c>
      <c r="E2936" t="inlineStr">
        <is>
          <t>LULEÅ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26211-2025</t>
        </is>
      </c>
      <c r="B2937" s="1" t="n">
        <v>45805.54035879629</v>
      </c>
      <c r="C2937" s="1" t="n">
        <v>46046</v>
      </c>
      <c r="D2937" t="inlineStr">
        <is>
          <t>NORRBOTTENS LÄN</t>
        </is>
      </c>
      <c r="E2937" t="inlineStr">
        <is>
          <t>ARVIDSJAUR</t>
        </is>
      </c>
      <c r="F2937" t="inlineStr">
        <is>
          <t>Sveaskog</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26224-2025</t>
        </is>
      </c>
      <c r="B2938" s="1" t="n">
        <v>45805</v>
      </c>
      <c r="C2938" s="1" t="n">
        <v>46046</v>
      </c>
      <c r="D2938" t="inlineStr">
        <is>
          <t>NORRBOTTENS LÄN</t>
        </is>
      </c>
      <c r="E2938" t="inlineStr">
        <is>
          <t>PAJALA</t>
        </is>
      </c>
      <c r="F2938" t="inlineStr">
        <is>
          <t>Sveaskog</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9502-2025</t>
        </is>
      </c>
      <c r="B2939" s="1" t="n">
        <v>45714</v>
      </c>
      <c r="C2939" s="1" t="n">
        <v>46046</v>
      </c>
      <c r="D2939" t="inlineStr">
        <is>
          <t>NORRBOTTENS LÄN</t>
        </is>
      </c>
      <c r="E2939" t="inlineStr">
        <is>
          <t>LULEÅ</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57873-2021</t>
        </is>
      </c>
      <c r="B2940" s="1" t="n">
        <v>44484</v>
      </c>
      <c r="C2940" s="1" t="n">
        <v>46046</v>
      </c>
      <c r="D2940" t="inlineStr">
        <is>
          <t>NORRBOTTENS LÄN</t>
        </is>
      </c>
      <c r="E2940" t="inlineStr">
        <is>
          <t>BODEN</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56418-2024</t>
        </is>
      </c>
      <c r="B2941" s="1" t="n">
        <v>45625.37511574074</v>
      </c>
      <c r="C2941" s="1" t="n">
        <v>46046</v>
      </c>
      <c r="D2941" t="inlineStr">
        <is>
          <t>NORRBOTTENS LÄN</t>
        </is>
      </c>
      <c r="E2941" t="inlineStr">
        <is>
          <t>PITEÅ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26208-2025</t>
        </is>
      </c>
      <c r="B2942" s="1" t="n">
        <v>45805.53162037037</v>
      </c>
      <c r="C2942" s="1" t="n">
        <v>46046</v>
      </c>
      <c r="D2942" t="inlineStr">
        <is>
          <t>NORRBOTTENS LÄN</t>
        </is>
      </c>
      <c r="E2942" t="inlineStr">
        <is>
          <t>GÄLLIVARE</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26213-2025</t>
        </is>
      </c>
      <c r="B2943" s="1" t="n">
        <v>45805.54270833333</v>
      </c>
      <c r="C2943" s="1" t="n">
        <v>46046</v>
      </c>
      <c r="D2943" t="inlineStr">
        <is>
          <t>NORRBOTTENS LÄN</t>
        </is>
      </c>
      <c r="E2943" t="inlineStr">
        <is>
          <t>ARVIDSJAUR</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26214-2025</t>
        </is>
      </c>
      <c r="B2944" s="1" t="n">
        <v>45805.54394675926</v>
      </c>
      <c r="C2944" s="1" t="n">
        <v>46046</v>
      </c>
      <c r="D2944" t="inlineStr">
        <is>
          <t>NORRBOTTENS LÄN</t>
        </is>
      </c>
      <c r="E2944" t="inlineStr">
        <is>
          <t>ARVIDSJAUR</t>
        </is>
      </c>
      <c r="F2944" t="inlineStr">
        <is>
          <t>Sveaskog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26269-2025</t>
        </is>
      </c>
      <c r="B2945" s="1" t="n">
        <v>45805</v>
      </c>
      <c r="C2945" s="1" t="n">
        <v>46046</v>
      </c>
      <c r="D2945" t="inlineStr">
        <is>
          <t>NORRBOTTENS LÄN</t>
        </is>
      </c>
      <c r="E2945" t="inlineStr">
        <is>
          <t>HAPARANDA</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25981-2025</t>
        </is>
      </c>
      <c r="B2946" s="1" t="n">
        <v>45804</v>
      </c>
      <c r="C2946" s="1" t="n">
        <v>46046</v>
      </c>
      <c r="D2946" t="inlineStr">
        <is>
          <t>NORRBOTTENS LÄN</t>
        </is>
      </c>
      <c r="E2946" t="inlineStr">
        <is>
          <t>GÄLLIVARE</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8509-2024</t>
        </is>
      </c>
      <c r="B2947" s="1" t="n">
        <v>45351</v>
      </c>
      <c r="C2947" s="1" t="n">
        <v>46046</v>
      </c>
      <c r="D2947" t="inlineStr">
        <is>
          <t>NORRBOTTENS LÄN</t>
        </is>
      </c>
      <c r="E2947" t="inlineStr">
        <is>
          <t>ÖVERTORNEÅ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34151-2023</t>
        </is>
      </c>
      <c r="B2948" s="1" t="n">
        <v>45136</v>
      </c>
      <c r="C2948" s="1" t="n">
        <v>46046</v>
      </c>
      <c r="D2948" t="inlineStr">
        <is>
          <t>NORRBOTTENS LÄN</t>
        </is>
      </c>
      <c r="E2948" t="inlineStr">
        <is>
          <t>PAJALA</t>
        </is>
      </c>
      <c r="G2948" t="n">
        <v>21.7</v>
      </c>
      <c r="H2948" t="n">
        <v>0</v>
      </c>
      <c r="I2948" t="n">
        <v>0</v>
      </c>
      <c r="J2948" t="n">
        <v>0</v>
      </c>
      <c r="K2948" t="n">
        <v>0</v>
      </c>
      <c r="L2948" t="n">
        <v>0</v>
      </c>
      <c r="M2948" t="n">
        <v>0</v>
      </c>
      <c r="N2948" t="n">
        <v>0</v>
      </c>
      <c r="O2948" t="n">
        <v>0</v>
      </c>
      <c r="P2948" t="n">
        <v>0</v>
      </c>
      <c r="Q2948" t="n">
        <v>0</v>
      </c>
      <c r="R2948" s="2" t="inlineStr"/>
    </row>
    <row r="2949" ht="15" customHeight="1">
      <c r="A2949" t="inlineStr">
        <is>
          <t>A 11207-2023</t>
        </is>
      </c>
      <c r="B2949" s="1" t="n">
        <v>44988</v>
      </c>
      <c r="C2949" s="1" t="n">
        <v>46046</v>
      </c>
      <c r="D2949" t="inlineStr">
        <is>
          <t>NORRBOTTENS LÄN</t>
        </is>
      </c>
      <c r="E2949" t="inlineStr">
        <is>
          <t>PAJALA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48415-2024</t>
        </is>
      </c>
      <c r="B2950" s="1" t="n">
        <v>45590.64114583333</v>
      </c>
      <c r="C2950" s="1" t="n">
        <v>46046</v>
      </c>
      <c r="D2950" t="inlineStr">
        <is>
          <t>NORRBOTTENS LÄN</t>
        </is>
      </c>
      <c r="E2950" t="inlineStr">
        <is>
          <t>BODEN</t>
        </is>
      </c>
      <c r="F2950" t="inlineStr">
        <is>
          <t>SCA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48464-2024</t>
        </is>
      </c>
      <c r="B2951" s="1" t="n">
        <v>45590</v>
      </c>
      <c r="C2951" s="1" t="n">
        <v>46046</v>
      </c>
      <c r="D2951" t="inlineStr">
        <is>
          <t>NORRBOTTENS LÄN</t>
        </is>
      </c>
      <c r="E2951" t="inlineStr">
        <is>
          <t>ARVIDSJAUR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48471-2024</t>
        </is>
      </c>
      <c r="B2952" s="1" t="n">
        <v>45591</v>
      </c>
      <c r="C2952" s="1" t="n">
        <v>46046</v>
      </c>
      <c r="D2952" t="inlineStr">
        <is>
          <t>NORRBOTTENS LÄN</t>
        </is>
      </c>
      <c r="E2952" t="inlineStr">
        <is>
          <t>BODEN</t>
        </is>
      </c>
      <c r="F2952" t="inlineStr">
        <is>
          <t>SCA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37976-2024</t>
        </is>
      </c>
      <c r="B2953" s="1" t="n">
        <v>45544.57657407408</v>
      </c>
      <c r="C2953" s="1" t="n">
        <v>46046</v>
      </c>
      <c r="D2953" t="inlineStr">
        <is>
          <t>NORRBOTTENS LÄN</t>
        </is>
      </c>
      <c r="E2953" t="inlineStr">
        <is>
          <t>BODEN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48472-2024</t>
        </is>
      </c>
      <c r="B2954" s="1" t="n">
        <v>45591</v>
      </c>
      <c r="C2954" s="1" t="n">
        <v>46046</v>
      </c>
      <c r="D2954" t="inlineStr">
        <is>
          <t>NORRBOTTENS LÄN</t>
        </is>
      </c>
      <c r="E2954" t="inlineStr">
        <is>
          <t>BODEN</t>
        </is>
      </c>
      <c r="F2954" t="inlineStr">
        <is>
          <t>SCA</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48486-2024</t>
        </is>
      </c>
      <c r="B2955" s="1" t="n">
        <v>45592.41905092593</v>
      </c>
      <c r="C2955" s="1" t="n">
        <v>46046</v>
      </c>
      <c r="D2955" t="inlineStr">
        <is>
          <t>NORRBOTTENS LÄN</t>
        </is>
      </c>
      <c r="E2955" t="inlineStr">
        <is>
          <t>PAJALA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38590-2024</t>
        </is>
      </c>
      <c r="B2956" s="1" t="n">
        <v>45546</v>
      </c>
      <c r="C2956" s="1" t="n">
        <v>46046</v>
      </c>
      <c r="D2956" t="inlineStr">
        <is>
          <t>NORRBOTTENS LÄN</t>
        </is>
      </c>
      <c r="E2956" t="inlineStr">
        <is>
          <t>PITEÅ</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48487-2024</t>
        </is>
      </c>
      <c r="B2957" s="1" t="n">
        <v>45592.45144675926</v>
      </c>
      <c r="C2957" s="1" t="n">
        <v>46046</v>
      </c>
      <c r="D2957" t="inlineStr">
        <is>
          <t>NORRBOTTENS LÄN</t>
        </is>
      </c>
      <c r="E2957" t="inlineStr">
        <is>
          <t>PAJALA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25768-2025</t>
        </is>
      </c>
      <c r="B2958" s="1" t="n">
        <v>45804.34453703704</v>
      </c>
      <c r="C2958" s="1" t="n">
        <v>46046</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35687-2023</t>
        </is>
      </c>
      <c r="B2959" s="1" t="n">
        <v>45147</v>
      </c>
      <c r="C2959" s="1" t="n">
        <v>46046</v>
      </c>
      <c r="D2959" t="inlineStr">
        <is>
          <t>NORRBOTTENS LÄN</t>
        </is>
      </c>
      <c r="E2959" t="inlineStr">
        <is>
          <t>PAJALA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33518-2023</t>
        </is>
      </c>
      <c r="B2960" s="1" t="n">
        <v>45118</v>
      </c>
      <c r="C2960" s="1" t="n">
        <v>46046</v>
      </c>
      <c r="D2960" t="inlineStr">
        <is>
          <t>NORRBOTTENS LÄN</t>
        </is>
      </c>
      <c r="E2960" t="inlineStr">
        <is>
          <t>ÖVERTORNEÅ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33637-2023</t>
        </is>
      </c>
      <c r="B2961" s="1" t="n">
        <v>45132.44865740741</v>
      </c>
      <c r="C2961" s="1" t="n">
        <v>46046</v>
      </c>
      <c r="D2961" t="inlineStr">
        <is>
          <t>NORRBOTTENS LÄN</t>
        </is>
      </c>
      <c r="E2961" t="inlineStr">
        <is>
          <t>ÖVERTORNEÅ</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8190-2025</t>
        </is>
      </c>
      <c r="B2962" s="1" t="n">
        <v>45708.40659722222</v>
      </c>
      <c r="C2962" s="1" t="n">
        <v>46046</v>
      </c>
      <c r="D2962" t="inlineStr">
        <is>
          <t>NORRBOTTENS LÄN</t>
        </is>
      </c>
      <c r="E2962" t="inlineStr">
        <is>
          <t>GÄLLIVARE</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32900-2023</t>
        </is>
      </c>
      <c r="B2963" s="1" t="n">
        <v>45124</v>
      </c>
      <c r="C2963" s="1" t="n">
        <v>46046</v>
      </c>
      <c r="D2963" t="inlineStr">
        <is>
          <t>NORRBOTTENS LÄN</t>
        </is>
      </c>
      <c r="E2963" t="inlineStr">
        <is>
          <t>JOKKMOKK</t>
        </is>
      </c>
      <c r="F2963" t="inlineStr">
        <is>
          <t>SCA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59820-2023</t>
        </is>
      </c>
      <c r="B2964" s="1" t="n">
        <v>45257</v>
      </c>
      <c r="C2964" s="1" t="n">
        <v>46046</v>
      </c>
      <c r="D2964" t="inlineStr">
        <is>
          <t>NORRBOTTENS LÄN</t>
        </is>
      </c>
      <c r="E2964" t="inlineStr">
        <is>
          <t>PITEÅ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26083-2025</t>
        </is>
      </c>
      <c r="B2965" s="1" t="n">
        <v>45805.34427083333</v>
      </c>
      <c r="C2965" s="1" t="n">
        <v>46046</v>
      </c>
      <c r="D2965" t="inlineStr">
        <is>
          <t>NORRBOTTENS LÄN</t>
        </is>
      </c>
      <c r="E2965" t="inlineStr">
        <is>
          <t>ÄLVSBYN</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50862-2023</t>
        </is>
      </c>
      <c r="B2966" s="1" t="n">
        <v>45218</v>
      </c>
      <c r="C2966" s="1" t="n">
        <v>46046</v>
      </c>
      <c r="D2966" t="inlineStr">
        <is>
          <t>NORRBOTTENS LÄN</t>
        </is>
      </c>
      <c r="E2966" t="inlineStr">
        <is>
          <t>ÖVERKALIX</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61487-2023</t>
        </is>
      </c>
      <c r="B2967" s="1" t="n">
        <v>45264</v>
      </c>
      <c r="C2967" s="1" t="n">
        <v>46046</v>
      </c>
      <c r="D2967" t="inlineStr">
        <is>
          <t>NORRBOTTENS LÄN</t>
        </is>
      </c>
      <c r="E2967" t="inlineStr">
        <is>
          <t>BODEN</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36791-2024</t>
        </is>
      </c>
      <c r="B2968" s="1" t="n">
        <v>45538</v>
      </c>
      <c r="C2968" s="1" t="n">
        <v>46046</v>
      </c>
      <c r="D2968" t="inlineStr">
        <is>
          <t>NORRBOTTENS LÄN</t>
        </is>
      </c>
      <c r="E2968" t="inlineStr">
        <is>
          <t>ARVIDSJAUR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26242-2025</t>
        </is>
      </c>
      <c r="B2969" s="1" t="n">
        <v>45805</v>
      </c>
      <c r="C2969" s="1" t="n">
        <v>46046</v>
      </c>
      <c r="D2969" t="inlineStr">
        <is>
          <t>NORRBOTTENS LÄN</t>
        </is>
      </c>
      <c r="E2969" t="inlineStr">
        <is>
          <t>GÄLLIVARE</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61488-2023</t>
        </is>
      </c>
      <c r="B2970" s="1" t="n">
        <v>45264</v>
      </c>
      <c r="C2970" s="1" t="n">
        <v>46046</v>
      </c>
      <c r="D2970" t="inlineStr">
        <is>
          <t>NORRBOTTENS LÄN</t>
        </is>
      </c>
      <c r="E2970" t="inlineStr">
        <is>
          <t>BODEN</t>
        </is>
      </c>
      <c r="F2970" t="inlineStr">
        <is>
          <t>SCA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26450-2025</t>
        </is>
      </c>
      <c r="B2971" s="1" t="n">
        <v>45807</v>
      </c>
      <c r="C2971" s="1" t="n">
        <v>46046</v>
      </c>
      <c r="D2971" t="inlineStr">
        <is>
          <t>NORRBOTTENS LÄN</t>
        </is>
      </c>
      <c r="E2971" t="inlineStr">
        <is>
          <t>ÖVERKALIX</t>
        </is>
      </c>
      <c r="F2971" t="inlineStr">
        <is>
          <t>Sveaskog</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62384-2023</t>
        </is>
      </c>
      <c r="B2972" s="1" t="n">
        <v>45266</v>
      </c>
      <c r="C2972" s="1" t="n">
        <v>46046</v>
      </c>
      <c r="D2972" t="inlineStr">
        <is>
          <t>NORRBOTTENS LÄN</t>
        </is>
      </c>
      <c r="E2972" t="inlineStr">
        <is>
          <t>ÖVERKALIX</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61161-2022</t>
        </is>
      </c>
      <c r="B2973" s="1" t="n">
        <v>44908</v>
      </c>
      <c r="C2973" s="1" t="n">
        <v>46046</v>
      </c>
      <c r="D2973" t="inlineStr">
        <is>
          <t>NORRBOTTENS LÄN</t>
        </is>
      </c>
      <c r="E2973" t="inlineStr">
        <is>
          <t>HAPARANDA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47024-2024</t>
        </is>
      </c>
      <c r="B2974" s="1" t="n">
        <v>45586</v>
      </c>
      <c r="C2974" s="1" t="n">
        <v>46046</v>
      </c>
      <c r="D2974" t="inlineStr">
        <is>
          <t>NORRBOTTENS LÄN</t>
        </is>
      </c>
      <c r="E2974" t="inlineStr">
        <is>
          <t>BODEN</t>
        </is>
      </c>
      <c r="F2974" t="inlineStr">
        <is>
          <t>Sveaskog</t>
        </is>
      </c>
      <c r="G2974" t="n">
        <v>12.8</v>
      </c>
      <c r="H2974" t="n">
        <v>0</v>
      </c>
      <c r="I2974" t="n">
        <v>0</v>
      </c>
      <c r="J2974" t="n">
        <v>0</v>
      </c>
      <c r="K2974" t="n">
        <v>0</v>
      </c>
      <c r="L2974" t="n">
        <v>0</v>
      </c>
      <c r="M2974" t="n">
        <v>0</v>
      </c>
      <c r="N2974" t="n">
        <v>0</v>
      </c>
      <c r="O2974" t="n">
        <v>0</v>
      </c>
      <c r="P2974" t="n">
        <v>0</v>
      </c>
      <c r="Q2974" t="n">
        <v>0</v>
      </c>
      <c r="R2974" s="2" t="inlineStr"/>
    </row>
    <row r="2975" ht="15" customHeight="1">
      <c r="A2975" t="inlineStr">
        <is>
          <t>A 1355-2024</t>
        </is>
      </c>
      <c r="B2975" s="1" t="n">
        <v>45303</v>
      </c>
      <c r="C2975" s="1" t="n">
        <v>46046</v>
      </c>
      <c r="D2975" t="inlineStr">
        <is>
          <t>NORRBOTTENS LÄN</t>
        </is>
      </c>
      <c r="E2975" t="inlineStr">
        <is>
          <t>ARVIDSJAUR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27676-2023</t>
        </is>
      </c>
      <c r="B2976" s="1" t="n">
        <v>45097.92392361111</v>
      </c>
      <c r="C2976" s="1" t="n">
        <v>46046</v>
      </c>
      <c r="D2976" t="inlineStr">
        <is>
          <t>NORRBOTTENS LÄN</t>
        </is>
      </c>
      <c r="E2976" t="inlineStr">
        <is>
          <t>PITEÅ</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30292-2023</t>
        </is>
      </c>
      <c r="B2977" s="1" t="n">
        <v>45110</v>
      </c>
      <c r="C2977" s="1" t="n">
        <v>46046</v>
      </c>
      <c r="D2977" t="inlineStr">
        <is>
          <t>NORRBOTTENS LÄN</t>
        </is>
      </c>
      <c r="E2977" t="inlineStr">
        <is>
          <t>JOKKMOKK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9738-2025</t>
        </is>
      </c>
      <c r="B2978" s="1" t="n">
        <v>45716.44008101852</v>
      </c>
      <c r="C2978" s="1" t="n">
        <v>46046</v>
      </c>
      <c r="D2978" t="inlineStr">
        <is>
          <t>NORRBOTTENS LÄN</t>
        </is>
      </c>
      <c r="E2978" t="inlineStr">
        <is>
          <t>HAPARANDA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9739-2025</t>
        </is>
      </c>
      <c r="B2979" s="1" t="n">
        <v>45716.44365740741</v>
      </c>
      <c r="C2979" s="1" t="n">
        <v>46046</v>
      </c>
      <c r="D2979" t="inlineStr">
        <is>
          <t>NORRBOTTENS LÄN</t>
        </is>
      </c>
      <c r="E2979" t="inlineStr">
        <is>
          <t>HAPARANDA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43045-2022</t>
        </is>
      </c>
      <c r="B2980" s="1" t="n">
        <v>44833</v>
      </c>
      <c r="C2980" s="1" t="n">
        <v>46046</v>
      </c>
      <c r="D2980" t="inlineStr">
        <is>
          <t>NORRBOTTENS LÄN</t>
        </is>
      </c>
      <c r="E2980" t="inlineStr">
        <is>
          <t>ARJEPLOG</t>
        </is>
      </c>
      <c r="G2980" t="n">
        <v>24.6</v>
      </c>
      <c r="H2980" t="n">
        <v>0</v>
      </c>
      <c r="I2980" t="n">
        <v>0</v>
      </c>
      <c r="J2980" t="n">
        <v>0</v>
      </c>
      <c r="K2980" t="n">
        <v>0</v>
      </c>
      <c r="L2980" t="n">
        <v>0</v>
      </c>
      <c r="M2980" t="n">
        <v>0</v>
      </c>
      <c r="N2980" t="n">
        <v>0</v>
      </c>
      <c r="O2980" t="n">
        <v>0</v>
      </c>
      <c r="P2980" t="n">
        <v>0</v>
      </c>
      <c r="Q2980" t="n">
        <v>0</v>
      </c>
      <c r="R2980" s="2" t="inlineStr"/>
    </row>
    <row r="2981" ht="15" customHeight="1">
      <c r="A2981" t="inlineStr">
        <is>
          <t>A 30676-2023</t>
        </is>
      </c>
      <c r="B2981" s="1" t="n">
        <v>45112</v>
      </c>
      <c r="C2981" s="1" t="n">
        <v>46046</v>
      </c>
      <c r="D2981" t="inlineStr">
        <is>
          <t>NORRBOTTENS LÄN</t>
        </is>
      </c>
      <c r="E2981" t="inlineStr">
        <is>
          <t>KALIX</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61315-2022</t>
        </is>
      </c>
      <c r="B2982" s="1" t="n">
        <v>44909</v>
      </c>
      <c r="C2982" s="1" t="n">
        <v>46046</v>
      </c>
      <c r="D2982" t="inlineStr">
        <is>
          <t>NORRBOTTENS LÄN</t>
        </is>
      </c>
      <c r="E2982" t="inlineStr">
        <is>
          <t>LULEÅ</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26482-2025</t>
        </is>
      </c>
      <c r="B2983" s="1" t="n">
        <v>45807.4705787037</v>
      </c>
      <c r="C2983" s="1" t="n">
        <v>46046</v>
      </c>
      <c r="D2983" t="inlineStr">
        <is>
          <t>NORRBOTTENS LÄN</t>
        </is>
      </c>
      <c r="E2983" t="inlineStr">
        <is>
          <t>PITEÅ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14591-2024</t>
        </is>
      </c>
      <c r="B2984" s="1" t="n">
        <v>45395.42256944445</v>
      </c>
      <c r="C2984" s="1" t="n">
        <v>46046</v>
      </c>
      <c r="D2984" t="inlineStr">
        <is>
          <t>NORRBOTTENS LÄN</t>
        </is>
      </c>
      <c r="E2984" t="inlineStr">
        <is>
          <t>ÖVERTORNEÅ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26502-2025</t>
        </is>
      </c>
      <c r="B2985" s="1" t="n">
        <v>45807.51821759259</v>
      </c>
      <c r="C2985" s="1" t="n">
        <v>46046</v>
      </c>
      <c r="D2985" t="inlineStr">
        <is>
          <t>NORRBOTTENS LÄN</t>
        </is>
      </c>
      <c r="E2985" t="inlineStr">
        <is>
          <t>ÖVERTORNEÅ</t>
        </is>
      </c>
      <c r="F2985" t="inlineStr">
        <is>
          <t>Sveaskog</t>
        </is>
      </c>
      <c r="G2985" t="n">
        <v>39.8</v>
      </c>
      <c r="H2985" t="n">
        <v>0</v>
      </c>
      <c r="I2985" t="n">
        <v>0</v>
      </c>
      <c r="J2985" t="n">
        <v>0</v>
      </c>
      <c r="K2985" t="n">
        <v>0</v>
      </c>
      <c r="L2985" t="n">
        <v>0</v>
      </c>
      <c r="M2985" t="n">
        <v>0</v>
      </c>
      <c r="N2985" t="n">
        <v>0</v>
      </c>
      <c r="O2985" t="n">
        <v>0</v>
      </c>
      <c r="P2985" t="n">
        <v>0</v>
      </c>
      <c r="Q2985" t="n">
        <v>0</v>
      </c>
      <c r="R2985" s="2" t="inlineStr"/>
    </row>
    <row r="2986" ht="15" customHeight="1">
      <c r="A2986" t="inlineStr">
        <is>
          <t>A 26442-2025</t>
        </is>
      </c>
      <c r="B2986" s="1" t="n">
        <v>45807.41231481481</v>
      </c>
      <c r="C2986" s="1" t="n">
        <v>46046</v>
      </c>
      <c r="D2986" t="inlineStr">
        <is>
          <t>NORRBOTTENS LÄN</t>
        </is>
      </c>
      <c r="E2986" t="inlineStr">
        <is>
          <t>ÖVERKALIX</t>
        </is>
      </c>
      <c r="F2986" t="inlineStr">
        <is>
          <t>Sveaskog</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18569-2024</t>
        </is>
      </c>
      <c r="B2987" s="1" t="n">
        <v>45425</v>
      </c>
      <c r="C2987" s="1" t="n">
        <v>46046</v>
      </c>
      <c r="D2987" t="inlineStr">
        <is>
          <t>NORRBOTTENS LÄN</t>
        </is>
      </c>
      <c r="E2987" t="inlineStr">
        <is>
          <t>BODEN</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61159-2023</t>
        </is>
      </c>
      <c r="B2988" s="1" t="n">
        <v>45262</v>
      </c>
      <c r="C2988" s="1" t="n">
        <v>46046</v>
      </c>
      <c r="D2988" t="inlineStr">
        <is>
          <t>NORRBOTTENS LÄN</t>
        </is>
      </c>
      <c r="E2988" t="inlineStr">
        <is>
          <t>PITEÅ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39782-2024</t>
        </is>
      </c>
      <c r="B2989" s="1" t="n">
        <v>45553</v>
      </c>
      <c r="C2989" s="1" t="n">
        <v>46046</v>
      </c>
      <c r="D2989" t="inlineStr">
        <is>
          <t>NORRBOTTENS LÄN</t>
        </is>
      </c>
      <c r="E2989" t="inlineStr">
        <is>
          <t>PITEÅ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22071-2024</t>
        </is>
      </c>
      <c r="B2990" s="1" t="n">
        <v>45443.63476851852</v>
      </c>
      <c r="C2990" s="1" t="n">
        <v>46046</v>
      </c>
      <c r="D2990" t="inlineStr">
        <is>
          <t>NORRBOTTENS LÄN</t>
        </is>
      </c>
      <c r="E2990" t="inlineStr">
        <is>
          <t>ÖVERKALIX</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7393-2023</t>
        </is>
      </c>
      <c r="B2991" s="1" t="n">
        <v>44966</v>
      </c>
      <c r="C2991" s="1" t="n">
        <v>46046</v>
      </c>
      <c r="D2991" t="inlineStr">
        <is>
          <t>NORRBOTTENS LÄN</t>
        </is>
      </c>
      <c r="E2991" t="inlineStr">
        <is>
          <t>LULEÅ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3663-2025</t>
        </is>
      </c>
      <c r="B2992" s="1" t="n">
        <v>45681.42721064815</v>
      </c>
      <c r="C2992" s="1" t="n">
        <v>46046</v>
      </c>
      <c r="D2992" t="inlineStr">
        <is>
          <t>NORRBOTTENS LÄN</t>
        </is>
      </c>
      <c r="E2992" t="inlineStr">
        <is>
          <t>PITEÅ</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46196-2023</t>
        </is>
      </c>
      <c r="B2993" s="1" t="n">
        <v>45190</v>
      </c>
      <c r="C2993" s="1" t="n">
        <v>46046</v>
      </c>
      <c r="D2993" t="inlineStr">
        <is>
          <t>NORRBOTTENS LÄN</t>
        </is>
      </c>
      <c r="E2993" t="inlineStr">
        <is>
          <t>KALIX</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26441-2025</t>
        </is>
      </c>
      <c r="B2994" s="1" t="n">
        <v>45807.41030092593</v>
      </c>
      <c r="C2994" s="1" t="n">
        <v>46046</v>
      </c>
      <c r="D2994" t="inlineStr">
        <is>
          <t>NORRBOTTENS LÄN</t>
        </is>
      </c>
      <c r="E2994" t="inlineStr">
        <is>
          <t>ÖVERKALIX</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19571-2025</t>
        </is>
      </c>
      <c r="B2995" s="1" t="n">
        <v>45770.54408564815</v>
      </c>
      <c r="C2995" s="1" t="n">
        <v>46046</v>
      </c>
      <c r="D2995" t="inlineStr">
        <is>
          <t>NORRBOTTENS LÄN</t>
        </is>
      </c>
      <c r="E2995" t="inlineStr">
        <is>
          <t>BODEN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43045-2022</t>
        </is>
      </c>
      <c r="B2996" s="1" t="n">
        <v>44833</v>
      </c>
      <c r="C2996" s="1" t="n">
        <v>46046</v>
      </c>
      <c r="D2996" t="inlineStr">
        <is>
          <t>NORRBOTTENS LÄN</t>
        </is>
      </c>
      <c r="E2996" t="inlineStr">
        <is>
          <t>ARJEPLOG</t>
        </is>
      </c>
      <c r="G2996" t="n">
        <v>23.2</v>
      </c>
      <c r="H2996" t="n">
        <v>0</v>
      </c>
      <c r="I2996" t="n">
        <v>0</v>
      </c>
      <c r="J2996" t="n">
        <v>0</v>
      </c>
      <c r="K2996" t="n">
        <v>0</v>
      </c>
      <c r="L2996" t="n">
        <v>0</v>
      </c>
      <c r="M2996" t="n">
        <v>0</v>
      </c>
      <c r="N2996" t="n">
        <v>0</v>
      </c>
      <c r="O2996" t="n">
        <v>0</v>
      </c>
      <c r="P2996" t="n">
        <v>0</v>
      </c>
      <c r="Q2996" t="n">
        <v>0</v>
      </c>
      <c r="R2996" s="2" t="inlineStr"/>
    </row>
    <row r="2997" ht="15" customHeight="1">
      <c r="A2997" t="inlineStr">
        <is>
          <t>A 26444-2025</t>
        </is>
      </c>
      <c r="B2997" s="1" t="n">
        <v>45807.41303240741</v>
      </c>
      <c r="C2997" s="1" t="n">
        <v>46046</v>
      </c>
      <c r="D2997" t="inlineStr">
        <is>
          <t>NORRBOTTENS LÄN</t>
        </is>
      </c>
      <c r="E2997" t="inlineStr">
        <is>
          <t>ÖVERKALIX</t>
        </is>
      </c>
      <c r="F2997" t="inlineStr">
        <is>
          <t>Sveaskog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26445-2025</t>
        </is>
      </c>
      <c r="B2998" s="1" t="n">
        <v>45807.41424768518</v>
      </c>
      <c r="C2998" s="1" t="n">
        <v>46046</v>
      </c>
      <c r="D2998" t="inlineStr">
        <is>
          <t>NORRBOTTENS LÄN</t>
        </is>
      </c>
      <c r="E2998" t="inlineStr">
        <is>
          <t>ÖVERKALIX</t>
        </is>
      </c>
      <c r="F2998" t="inlineStr">
        <is>
          <t>Sveaskog</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26452-2025</t>
        </is>
      </c>
      <c r="B2999" s="1" t="n">
        <v>45807</v>
      </c>
      <c r="C2999" s="1" t="n">
        <v>46046</v>
      </c>
      <c r="D2999" t="inlineStr">
        <is>
          <t>NORRBOTTENS LÄN</t>
        </is>
      </c>
      <c r="E2999" t="inlineStr">
        <is>
          <t>ÖVERKALIX</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26514-2025</t>
        </is>
      </c>
      <c r="B3000" s="1" t="n">
        <v>45807.55243055556</v>
      </c>
      <c r="C3000" s="1" t="n">
        <v>46046</v>
      </c>
      <c r="D3000" t="inlineStr">
        <is>
          <t>NORRBOTTENS LÄN</t>
        </is>
      </c>
      <c r="E3000" t="inlineStr">
        <is>
          <t>PAJALA</t>
        </is>
      </c>
      <c r="F3000" t="inlineStr">
        <is>
          <t>SCA</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44461-2023</t>
        </is>
      </c>
      <c r="B3001" s="1" t="n">
        <v>45183</v>
      </c>
      <c r="C3001" s="1" t="n">
        <v>46046</v>
      </c>
      <c r="D3001" t="inlineStr">
        <is>
          <t>NORRBOTTENS LÄN</t>
        </is>
      </c>
      <c r="E3001" t="inlineStr">
        <is>
          <t>PITEÅ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35675-2024</t>
        </is>
      </c>
      <c r="B3002" s="1" t="n">
        <v>45532</v>
      </c>
      <c r="C3002" s="1" t="n">
        <v>46046</v>
      </c>
      <c r="D3002" t="inlineStr">
        <is>
          <t>NORRBOTTENS LÄN</t>
        </is>
      </c>
      <c r="E3002" t="inlineStr">
        <is>
          <t>JOKKMOKK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8583-2023</t>
        </is>
      </c>
      <c r="B3003" s="1" t="n">
        <v>44977.66061342593</v>
      </c>
      <c r="C3003" s="1" t="n">
        <v>46046</v>
      </c>
      <c r="D3003" t="inlineStr">
        <is>
          <t>NORRBOTTENS LÄN</t>
        </is>
      </c>
      <c r="E3003" t="inlineStr">
        <is>
          <t>PITEÅ</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26944-2025</t>
        </is>
      </c>
      <c r="B3004" s="1" t="n">
        <v>45811.42734953704</v>
      </c>
      <c r="C3004" s="1" t="n">
        <v>46046</v>
      </c>
      <c r="D3004" t="inlineStr">
        <is>
          <t>NORRBOTTENS LÄN</t>
        </is>
      </c>
      <c r="E3004" t="inlineStr">
        <is>
          <t>ÖVERKALIX</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26699-2025</t>
        </is>
      </c>
      <c r="B3005" s="1" t="n">
        <v>45810.44814814815</v>
      </c>
      <c r="C3005" s="1" t="n">
        <v>46046</v>
      </c>
      <c r="D3005" t="inlineStr">
        <is>
          <t>NORRBOTTENS LÄN</t>
        </is>
      </c>
      <c r="E3005" t="inlineStr">
        <is>
          <t>KALIX</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17598-2024</t>
        </is>
      </c>
      <c r="B3006" s="1" t="n">
        <v>45415.9425</v>
      </c>
      <c r="C3006" s="1" t="n">
        <v>46046</v>
      </c>
      <c r="D3006" t="inlineStr">
        <is>
          <t>NORRBOTTENS LÄN</t>
        </is>
      </c>
      <c r="E3006" t="inlineStr">
        <is>
          <t>KALIX</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14666-2025</t>
        </is>
      </c>
      <c r="B3007" s="1" t="n">
        <v>45742</v>
      </c>
      <c r="C3007" s="1" t="n">
        <v>46046</v>
      </c>
      <c r="D3007" t="inlineStr">
        <is>
          <t>NORRBOTTENS LÄN</t>
        </is>
      </c>
      <c r="E3007" t="inlineStr">
        <is>
          <t>GÄLLIVARE</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13068-2024</t>
        </is>
      </c>
      <c r="B3008" s="1" t="n">
        <v>45385</v>
      </c>
      <c r="C3008" s="1" t="n">
        <v>46046</v>
      </c>
      <c r="D3008" t="inlineStr">
        <is>
          <t>NORRBOTTENS LÄN</t>
        </is>
      </c>
      <c r="E3008" t="inlineStr">
        <is>
          <t>LULEÅ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8023-2024</t>
        </is>
      </c>
      <c r="B3009" s="1" t="n">
        <v>45350</v>
      </c>
      <c r="C3009" s="1" t="n">
        <v>46046</v>
      </c>
      <c r="D3009" t="inlineStr">
        <is>
          <t>NORRBOTTENS LÄN</t>
        </is>
      </c>
      <c r="E3009" t="inlineStr">
        <is>
          <t>PITEÅ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42612-2023</t>
        </is>
      </c>
      <c r="B3010" s="1" t="n">
        <v>45176</v>
      </c>
      <c r="C3010" s="1" t="n">
        <v>46046</v>
      </c>
      <c r="D3010" t="inlineStr">
        <is>
          <t>NORRBOTTENS LÄN</t>
        </is>
      </c>
      <c r="E3010" t="inlineStr">
        <is>
          <t>GÄLLIVARE</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17599-2024</t>
        </is>
      </c>
      <c r="B3011" s="1" t="n">
        <v>45415.94267361111</v>
      </c>
      <c r="C3011" s="1" t="n">
        <v>46046</v>
      </c>
      <c r="D3011" t="inlineStr">
        <is>
          <t>NORRBOTTENS LÄN</t>
        </is>
      </c>
      <c r="E3011" t="inlineStr">
        <is>
          <t>KALIX</t>
        </is>
      </c>
      <c r="F3011" t="inlineStr">
        <is>
          <t>SCA</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27103-2025</t>
        </is>
      </c>
      <c r="B3012" s="1" t="n">
        <v>45811.69864583333</v>
      </c>
      <c r="C3012" s="1" t="n">
        <v>46046</v>
      </c>
      <c r="D3012" t="inlineStr">
        <is>
          <t>NORRBOTTENS LÄN</t>
        </is>
      </c>
      <c r="E3012" t="inlineStr">
        <is>
          <t>KALIX</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48007-2024</t>
        </is>
      </c>
      <c r="B3013" s="1" t="n">
        <v>45589</v>
      </c>
      <c r="C3013" s="1" t="n">
        <v>46046</v>
      </c>
      <c r="D3013" t="inlineStr">
        <is>
          <t>NORRBOTTENS LÄN</t>
        </is>
      </c>
      <c r="E3013" t="inlineStr">
        <is>
          <t>GÄLLIVARE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19564-2024</t>
        </is>
      </c>
      <c r="B3014" s="1" t="n">
        <v>45429</v>
      </c>
      <c r="C3014" s="1" t="n">
        <v>46046</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57214-2022</t>
        </is>
      </c>
      <c r="B3015" s="1" t="n">
        <v>44895.65135416666</v>
      </c>
      <c r="C3015" s="1" t="n">
        <v>46046</v>
      </c>
      <c r="D3015" t="inlineStr">
        <is>
          <t>NORRBOTTENS LÄN</t>
        </is>
      </c>
      <c r="E3015" t="inlineStr">
        <is>
          <t>ÄLVSBYN</t>
        </is>
      </c>
      <c r="F3015" t="inlineStr">
        <is>
          <t>Övriga Aktiebolag</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21895-2023</t>
        </is>
      </c>
      <c r="B3016" s="1" t="n">
        <v>45068.51972222222</v>
      </c>
      <c r="C3016" s="1" t="n">
        <v>46046</v>
      </c>
      <c r="D3016" t="inlineStr">
        <is>
          <t>NORRBOTTENS LÄN</t>
        </is>
      </c>
      <c r="E3016" t="inlineStr">
        <is>
          <t>ÄLVSBYN</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51655-2023</t>
        </is>
      </c>
      <c r="B3017" s="1" t="n">
        <v>45215</v>
      </c>
      <c r="C3017" s="1" t="n">
        <v>46046</v>
      </c>
      <c r="D3017" t="inlineStr">
        <is>
          <t>NORRBOTTENS LÄN</t>
        </is>
      </c>
      <c r="E3017" t="inlineStr">
        <is>
          <t>LULEÅ</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36810-2024</t>
        </is>
      </c>
      <c r="B3018" s="1" t="n">
        <v>45538.4730324074</v>
      </c>
      <c r="C3018" s="1" t="n">
        <v>46046</v>
      </c>
      <c r="D3018" t="inlineStr">
        <is>
          <t>NORRBOTTENS LÄN</t>
        </is>
      </c>
      <c r="E3018" t="inlineStr">
        <is>
          <t>PAJALA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38510-2022</t>
        </is>
      </c>
      <c r="B3019" s="1" t="n">
        <v>44813</v>
      </c>
      <c r="C3019" s="1" t="n">
        <v>46046</v>
      </c>
      <c r="D3019" t="inlineStr">
        <is>
          <t>NORRBOTTENS LÄN</t>
        </is>
      </c>
      <c r="E3019" t="inlineStr">
        <is>
          <t>HAPARANDA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25735-2024</t>
        </is>
      </c>
      <c r="B3020" s="1" t="n">
        <v>45464</v>
      </c>
      <c r="C3020" s="1" t="n">
        <v>46046</v>
      </c>
      <c r="D3020" t="inlineStr">
        <is>
          <t>NORRBOTTENS LÄN</t>
        </is>
      </c>
      <c r="E3020" t="inlineStr">
        <is>
          <t>BODEN</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25599-2024</t>
        </is>
      </c>
      <c r="B3021" s="1" t="n">
        <v>45463.62568287037</v>
      </c>
      <c r="C3021" s="1" t="n">
        <v>46046</v>
      </c>
      <c r="D3021" t="inlineStr">
        <is>
          <t>NORRBOTTENS LÄN</t>
        </is>
      </c>
      <c r="E3021" t="inlineStr">
        <is>
          <t>ARVIDSJAUR</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32905-2024</t>
        </is>
      </c>
      <c r="B3022" s="1" t="n">
        <v>45516</v>
      </c>
      <c r="C3022" s="1" t="n">
        <v>46046</v>
      </c>
      <c r="D3022" t="inlineStr">
        <is>
          <t>NORRBOTTENS LÄN</t>
        </is>
      </c>
      <c r="E3022" t="inlineStr">
        <is>
          <t>ÄLVSBYN</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32906-2024</t>
        </is>
      </c>
      <c r="B3023" s="1" t="n">
        <v>45516</v>
      </c>
      <c r="C3023" s="1" t="n">
        <v>46046</v>
      </c>
      <c r="D3023" t="inlineStr">
        <is>
          <t>NORRBOTTENS LÄN</t>
        </is>
      </c>
      <c r="E3023" t="inlineStr">
        <is>
          <t>BODEN</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32913-2024</t>
        </is>
      </c>
      <c r="B3024" s="1" t="n">
        <v>45516.94962962963</v>
      </c>
      <c r="C3024" s="1" t="n">
        <v>46046</v>
      </c>
      <c r="D3024" t="inlineStr">
        <is>
          <t>NORRBOTTENS LÄN</t>
        </is>
      </c>
      <c r="E3024" t="inlineStr">
        <is>
          <t>BODEN</t>
        </is>
      </c>
      <c r="F3024" t="inlineStr">
        <is>
          <t>SCA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24548-2024</t>
        </is>
      </c>
      <c r="B3025" s="1" t="n">
        <v>45460</v>
      </c>
      <c r="C3025" s="1" t="n">
        <v>46046</v>
      </c>
      <c r="D3025" t="inlineStr">
        <is>
          <t>NORRBOTTENS LÄN</t>
        </is>
      </c>
      <c r="E3025" t="inlineStr">
        <is>
          <t>ÖVERKALIX</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24549-2024</t>
        </is>
      </c>
      <c r="B3026" s="1" t="n">
        <v>45460.40491898148</v>
      </c>
      <c r="C3026" s="1" t="n">
        <v>46046</v>
      </c>
      <c r="D3026" t="inlineStr">
        <is>
          <t>NORRBOTTENS LÄN</t>
        </is>
      </c>
      <c r="E3026" t="inlineStr">
        <is>
          <t>ÖVERKALIX</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73880-2021</t>
        </is>
      </c>
      <c r="B3027" s="1" t="n">
        <v>44552</v>
      </c>
      <c r="C3027" s="1" t="n">
        <v>46046</v>
      </c>
      <c r="D3027" t="inlineStr">
        <is>
          <t>NORRBOTTENS LÄN</t>
        </is>
      </c>
      <c r="E3027" t="inlineStr">
        <is>
          <t>ARJEPLOG</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4398-2025</t>
        </is>
      </c>
      <c r="B3028" s="1" t="n">
        <v>45686.42900462963</v>
      </c>
      <c r="C3028" s="1" t="n">
        <v>46046</v>
      </c>
      <c r="D3028" t="inlineStr">
        <is>
          <t>NORRBOTTENS LÄN</t>
        </is>
      </c>
      <c r="E3028" t="inlineStr">
        <is>
          <t>ÖVERTORNEÅ</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36511-2024</t>
        </is>
      </c>
      <c r="B3029" s="1" t="n">
        <v>45537</v>
      </c>
      <c r="C3029" s="1" t="n">
        <v>46046</v>
      </c>
      <c r="D3029" t="inlineStr">
        <is>
          <t>NORRBOTTENS LÄN</t>
        </is>
      </c>
      <c r="E3029" t="inlineStr">
        <is>
          <t>GÄLLIVARE</t>
        </is>
      </c>
      <c r="F3029" t="inlineStr">
        <is>
          <t>Sveaskog</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14680-2021</t>
        </is>
      </c>
      <c r="B3030" s="1" t="n">
        <v>44280.43743055555</v>
      </c>
      <c r="C3030" s="1" t="n">
        <v>46046</v>
      </c>
      <c r="D3030" t="inlineStr">
        <is>
          <t>NORRBOTTENS LÄN</t>
        </is>
      </c>
      <c r="E3030" t="inlineStr">
        <is>
          <t>HAPARANDA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23893-2024</t>
        </is>
      </c>
      <c r="B3031" s="1" t="n">
        <v>45455</v>
      </c>
      <c r="C3031" s="1" t="n">
        <v>46046</v>
      </c>
      <c r="D3031" t="inlineStr">
        <is>
          <t>NORRBOTTENS LÄN</t>
        </is>
      </c>
      <c r="E3031" t="inlineStr">
        <is>
          <t>PAJALA</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40208-2024</t>
        </is>
      </c>
      <c r="B3032" s="1" t="n">
        <v>45554.59304398148</v>
      </c>
      <c r="C3032" s="1" t="n">
        <v>46046</v>
      </c>
      <c r="D3032" t="inlineStr">
        <is>
          <t>NORRBOTTENS LÄN</t>
        </is>
      </c>
      <c r="E3032" t="inlineStr">
        <is>
          <t>PAJALA</t>
        </is>
      </c>
      <c r="F3032" t="inlineStr">
        <is>
          <t>Sveaskog</t>
        </is>
      </c>
      <c r="G3032" t="n">
        <v>27.8</v>
      </c>
      <c r="H3032" t="n">
        <v>0</v>
      </c>
      <c r="I3032" t="n">
        <v>0</v>
      </c>
      <c r="J3032" t="n">
        <v>0</v>
      </c>
      <c r="K3032" t="n">
        <v>0</v>
      </c>
      <c r="L3032" t="n">
        <v>0</v>
      </c>
      <c r="M3032" t="n">
        <v>0</v>
      </c>
      <c r="N3032" t="n">
        <v>0</v>
      </c>
      <c r="O3032" t="n">
        <v>0</v>
      </c>
      <c r="P3032" t="n">
        <v>0</v>
      </c>
      <c r="Q3032" t="n">
        <v>0</v>
      </c>
      <c r="R3032" s="2" t="inlineStr"/>
    </row>
    <row r="3033" ht="15" customHeight="1">
      <c r="A3033" t="inlineStr">
        <is>
          <t>A 3836-2025</t>
        </is>
      </c>
      <c r="B3033" s="1" t="n">
        <v>45682.50773148148</v>
      </c>
      <c r="C3033" s="1" t="n">
        <v>46046</v>
      </c>
      <c r="D3033" t="inlineStr">
        <is>
          <t>NORRBOTTENS LÄN</t>
        </is>
      </c>
      <c r="E3033" t="inlineStr">
        <is>
          <t>PAJALA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50632-2021</t>
        </is>
      </c>
      <c r="B3034" s="1" t="n">
        <v>44459</v>
      </c>
      <c r="C3034" s="1" t="n">
        <v>46046</v>
      </c>
      <c r="D3034" t="inlineStr">
        <is>
          <t>NORRBOTTENS LÄN</t>
        </is>
      </c>
      <c r="E3034" t="inlineStr">
        <is>
          <t>LULEÅ</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10049-2025</t>
        </is>
      </c>
      <c r="B3035" s="1" t="n">
        <v>45719.51630787037</v>
      </c>
      <c r="C3035" s="1" t="n">
        <v>46046</v>
      </c>
      <c r="D3035" t="inlineStr">
        <is>
          <t>NORRBOTTENS LÄN</t>
        </is>
      </c>
      <c r="E3035" t="inlineStr">
        <is>
          <t>KALIX</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10054-2025</t>
        </is>
      </c>
      <c r="B3036" s="1" t="n">
        <v>45719.52578703704</v>
      </c>
      <c r="C3036" s="1" t="n">
        <v>46046</v>
      </c>
      <c r="D3036" t="inlineStr">
        <is>
          <t>NORRBOTTENS LÄN</t>
        </is>
      </c>
      <c r="E3036" t="inlineStr">
        <is>
          <t>KALIX</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61660-2023</t>
        </is>
      </c>
      <c r="B3037" s="1" t="n">
        <v>45265.59436342592</v>
      </c>
      <c r="C3037" s="1" t="n">
        <v>46046</v>
      </c>
      <c r="D3037" t="inlineStr">
        <is>
          <t>NORRBOTTENS LÄN</t>
        </is>
      </c>
      <c r="E3037" t="inlineStr">
        <is>
          <t>PAJALA</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61662-2023</t>
        </is>
      </c>
      <c r="B3038" s="1" t="n">
        <v>45265.59799768519</v>
      </c>
      <c r="C3038" s="1" t="n">
        <v>46046</v>
      </c>
      <c r="D3038" t="inlineStr">
        <is>
          <t>NORRBOTTENS LÄN</t>
        </is>
      </c>
      <c r="E3038" t="inlineStr">
        <is>
          <t>PITEÅ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61031-2024</t>
        </is>
      </c>
      <c r="B3039" s="1" t="n">
        <v>45645.46262731482</v>
      </c>
      <c r="C3039" s="1" t="n">
        <v>46046</v>
      </c>
      <c r="D3039" t="inlineStr">
        <is>
          <t>NORRBOTTENS LÄN</t>
        </is>
      </c>
      <c r="E3039" t="inlineStr">
        <is>
          <t>BODEN</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51745-2024</t>
        </is>
      </c>
      <c r="B3040" s="1" t="n">
        <v>45607.41652777778</v>
      </c>
      <c r="C3040" s="1" t="n">
        <v>46046</v>
      </c>
      <c r="D3040" t="inlineStr">
        <is>
          <t>NORRBOTTENS LÄN</t>
        </is>
      </c>
      <c r="E3040" t="inlineStr">
        <is>
          <t>ÖVERKALIX</t>
        </is>
      </c>
      <c r="G3040" t="n">
        <v>17.5</v>
      </c>
      <c r="H3040" t="n">
        <v>0</v>
      </c>
      <c r="I3040" t="n">
        <v>0</v>
      </c>
      <c r="J3040" t="n">
        <v>0</v>
      </c>
      <c r="K3040" t="n">
        <v>0</v>
      </c>
      <c r="L3040" t="n">
        <v>0</v>
      </c>
      <c r="M3040" t="n">
        <v>0</v>
      </c>
      <c r="N3040" t="n">
        <v>0</v>
      </c>
      <c r="O3040" t="n">
        <v>0</v>
      </c>
      <c r="P3040" t="n">
        <v>0</v>
      </c>
      <c r="Q3040" t="n">
        <v>0</v>
      </c>
      <c r="R3040" s="2" t="inlineStr"/>
    </row>
    <row r="3041" ht="15" customHeight="1">
      <c r="A3041" t="inlineStr">
        <is>
          <t>A 7231-2025</t>
        </is>
      </c>
      <c r="B3041" s="1" t="n">
        <v>45702</v>
      </c>
      <c r="C3041" s="1" t="n">
        <v>46046</v>
      </c>
      <c r="D3041" t="inlineStr">
        <is>
          <t>NORRBOTTENS LÄN</t>
        </is>
      </c>
      <c r="E3041" t="inlineStr">
        <is>
          <t>ÖVERKALIX</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6423-2025</t>
        </is>
      </c>
      <c r="B3042" s="1" t="n">
        <v>45699</v>
      </c>
      <c r="C3042" s="1" t="n">
        <v>46046</v>
      </c>
      <c r="D3042" t="inlineStr">
        <is>
          <t>NORRBOTTENS LÄN</t>
        </is>
      </c>
      <c r="E3042" t="inlineStr">
        <is>
          <t>ÖVERTORNEÅ</t>
        </is>
      </c>
      <c r="G3042" t="n">
        <v>16.5</v>
      </c>
      <c r="H3042" t="n">
        <v>0</v>
      </c>
      <c r="I3042" t="n">
        <v>0</v>
      </c>
      <c r="J3042" t="n">
        <v>0</v>
      </c>
      <c r="K3042" t="n">
        <v>0</v>
      </c>
      <c r="L3042" t="n">
        <v>0</v>
      </c>
      <c r="M3042" t="n">
        <v>0</v>
      </c>
      <c r="N3042" t="n">
        <v>0</v>
      </c>
      <c r="O3042" t="n">
        <v>0</v>
      </c>
      <c r="P3042" t="n">
        <v>0</v>
      </c>
      <c r="Q3042" t="n">
        <v>0</v>
      </c>
      <c r="R3042" s="2" t="inlineStr"/>
    </row>
    <row r="3043" ht="15" customHeight="1">
      <c r="A3043" t="inlineStr">
        <is>
          <t>A 26599-2025</t>
        </is>
      </c>
      <c r="B3043" s="1" t="n">
        <v>45808</v>
      </c>
      <c r="C3043" s="1" t="n">
        <v>46046</v>
      </c>
      <c r="D3043" t="inlineStr">
        <is>
          <t>NORRBOTTENS LÄN</t>
        </is>
      </c>
      <c r="E3043" t="inlineStr">
        <is>
          <t>ÄLVSBYN</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22017-2024</t>
        </is>
      </c>
      <c r="B3044" s="1" t="n">
        <v>45443</v>
      </c>
      <c r="C3044" s="1" t="n">
        <v>46046</v>
      </c>
      <c r="D3044" t="inlineStr">
        <is>
          <t>NORRBOTTENS LÄN</t>
        </is>
      </c>
      <c r="E3044" t="inlineStr">
        <is>
          <t>LULEÅ</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24416-2021</t>
        </is>
      </c>
      <c r="B3045" s="1" t="n">
        <v>44337</v>
      </c>
      <c r="C3045" s="1" t="n">
        <v>46046</v>
      </c>
      <c r="D3045" t="inlineStr">
        <is>
          <t>NORRBOTTENS LÄN</t>
        </is>
      </c>
      <c r="E3045" t="inlineStr">
        <is>
          <t>ÖVERTORNEÅ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57906-2023</t>
        </is>
      </c>
      <c r="B3046" s="1" t="n">
        <v>45247.50337962963</v>
      </c>
      <c r="C3046" s="1" t="n">
        <v>46046</v>
      </c>
      <c r="D3046" t="inlineStr">
        <is>
          <t>NORRBOTTENS LÄN</t>
        </is>
      </c>
      <c r="E3046" t="inlineStr">
        <is>
          <t>PAJALA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57911-2023</t>
        </is>
      </c>
      <c r="B3047" s="1" t="n">
        <v>45247</v>
      </c>
      <c r="C3047" s="1" t="n">
        <v>46046</v>
      </c>
      <c r="D3047" t="inlineStr">
        <is>
          <t>NORRBOTTENS LÄN</t>
        </is>
      </c>
      <c r="E3047" t="inlineStr">
        <is>
          <t>LULEÅ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52192-2023</t>
        </is>
      </c>
      <c r="B3048" s="1" t="n">
        <v>45217</v>
      </c>
      <c r="C3048" s="1" t="n">
        <v>46046</v>
      </c>
      <c r="D3048" t="inlineStr">
        <is>
          <t>NORRBOTTENS LÄN</t>
        </is>
      </c>
      <c r="E3048" t="inlineStr">
        <is>
          <t>HAPARANDA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1017-2023</t>
        </is>
      </c>
      <c r="B3049" s="1" t="n">
        <v>44935</v>
      </c>
      <c r="C3049" s="1" t="n">
        <v>46046</v>
      </c>
      <c r="D3049" t="inlineStr">
        <is>
          <t>NORRBOTTENS LÄN</t>
        </is>
      </c>
      <c r="E3049" t="inlineStr">
        <is>
          <t>BODEN</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34398-2023</t>
        </is>
      </c>
      <c r="B3050" s="1" t="n">
        <v>45139.53371527778</v>
      </c>
      <c r="C3050" s="1" t="n">
        <v>46046</v>
      </c>
      <c r="D3050" t="inlineStr">
        <is>
          <t>NORRBOTTENS LÄN</t>
        </is>
      </c>
      <c r="E3050" t="inlineStr">
        <is>
          <t>ÖVERTORNEÅ</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15017-2022</t>
        </is>
      </c>
      <c r="B3051" s="1" t="n">
        <v>44657</v>
      </c>
      <c r="C3051" s="1" t="n">
        <v>46046</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56199-2021</t>
        </is>
      </c>
      <c r="B3052" s="1" t="n">
        <v>44477</v>
      </c>
      <c r="C3052" s="1" t="n">
        <v>46046</v>
      </c>
      <c r="D3052" t="inlineStr">
        <is>
          <t>NORRBOTTENS LÄN</t>
        </is>
      </c>
      <c r="E3052" t="inlineStr">
        <is>
          <t>JOKKMOKK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11937-2025</t>
        </is>
      </c>
      <c r="B3053" s="1" t="n">
        <v>45728.53216435185</v>
      </c>
      <c r="C3053" s="1" t="n">
        <v>46046</v>
      </c>
      <c r="D3053" t="inlineStr">
        <is>
          <t>NORRBOTTENS LÄN</t>
        </is>
      </c>
      <c r="E3053" t="inlineStr">
        <is>
          <t>PITEÅ</t>
        </is>
      </c>
      <c r="F3053" t="inlineStr">
        <is>
          <t>Kommuner</t>
        </is>
      </c>
      <c r="G3053" t="n">
        <v>8.699999999999999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11998-2025</t>
        </is>
      </c>
      <c r="B3054" s="1" t="n">
        <v>45728</v>
      </c>
      <c r="C3054" s="1" t="n">
        <v>46046</v>
      </c>
      <c r="D3054" t="inlineStr">
        <is>
          <t>NORRBOTTENS LÄN</t>
        </is>
      </c>
      <c r="E3054" t="inlineStr">
        <is>
          <t>ARVIDSJAUR</t>
        </is>
      </c>
      <c r="F3054" t="inlineStr">
        <is>
          <t>Allmännings- och besparingsskogar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58353-2022</t>
        </is>
      </c>
      <c r="B3055" s="1" t="n">
        <v>44901</v>
      </c>
      <c r="C3055" s="1" t="n">
        <v>46046</v>
      </c>
      <c r="D3055" t="inlineStr">
        <is>
          <t>NORRBOTTENS LÄN</t>
        </is>
      </c>
      <c r="E3055" t="inlineStr">
        <is>
          <t>KALIX</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16018-2024</t>
        </is>
      </c>
      <c r="B3056" s="1" t="n">
        <v>45405.67028935185</v>
      </c>
      <c r="C3056" s="1" t="n">
        <v>46046</v>
      </c>
      <c r="D3056" t="inlineStr">
        <is>
          <t>NORRBOTTENS LÄN</t>
        </is>
      </c>
      <c r="E3056" t="inlineStr">
        <is>
          <t>JOKKMOKK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16024-2024</t>
        </is>
      </c>
      <c r="B3057" s="1" t="n">
        <v>45405</v>
      </c>
      <c r="C3057" s="1" t="n">
        <v>46046</v>
      </c>
      <c r="D3057" t="inlineStr">
        <is>
          <t>NORRBOTTENS LÄN</t>
        </is>
      </c>
      <c r="E3057" t="inlineStr">
        <is>
          <t>KIRUNA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60400-2022</t>
        </is>
      </c>
      <c r="B3058" s="1" t="n">
        <v>44910.92200231482</v>
      </c>
      <c r="C3058" s="1" t="n">
        <v>46046</v>
      </c>
      <c r="D3058" t="inlineStr">
        <is>
          <t>NORRBOTTENS LÄN</t>
        </is>
      </c>
      <c r="E3058" t="inlineStr">
        <is>
          <t>ÖVERKALIX</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60403-2022</t>
        </is>
      </c>
      <c r="B3059" s="1" t="n">
        <v>44910.92222222222</v>
      </c>
      <c r="C3059" s="1" t="n">
        <v>46046</v>
      </c>
      <c r="D3059" t="inlineStr">
        <is>
          <t>NORRBOTTENS LÄN</t>
        </is>
      </c>
      <c r="E3059" t="inlineStr">
        <is>
          <t>ÄLVSBYN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27101-2025</t>
        </is>
      </c>
      <c r="B3060" s="1" t="n">
        <v>45811.69857638889</v>
      </c>
      <c r="C3060" s="1" t="n">
        <v>46046</v>
      </c>
      <c r="D3060" t="inlineStr">
        <is>
          <t>NORRBOTTENS LÄN</t>
        </is>
      </c>
      <c r="E3060" t="inlineStr">
        <is>
          <t>KALIX</t>
        </is>
      </c>
      <c r="F3060" t="inlineStr">
        <is>
          <t>SCA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27102-2025</t>
        </is>
      </c>
      <c r="B3061" s="1" t="n">
        <v>45811.69862268519</v>
      </c>
      <c r="C3061" s="1" t="n">
        <v>46046</v>
      </c>
      <c r="D3061" t="inlineStr">
        <is>
          <t>NORRBOTTENS LÄN</t>
        </is>
      </c>
      <c r="E3061" t="inlineStr">
        <is>
          <t>KALIX</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18671-2025</t>
        </is>
      </c>
      <c r="B3062" s="1" t="n">
        <v>45763.5946412037</v>
      </c>
      <c r="C3062" s="1" t="n">
        <v>46046</v>
      </c>
      <c r="D3062" t="inlineStr">
        <is>
          <t>NORRBOTTENS LÄN</t>
        </is>
      </c>
      <c r="E3062" t="inlineStr">
        <is>
          <t>BODEN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26772-2025</t>
        </is>
      </c>
      <c r="B3063" s="1" t="n">
        <v>45810</v>
      </c>
      <c r="C3063" s="1" t="n">
        <v>46046</v>
      </c>
      <c r="D3063" t="inlineStr">
        <is>
          <t>NORRBOTTENS LÄN</t>
        </is>
      </c>
      <c r="E3063" t="inlineStr">
        <is>
          <t>GÄLLIVARE</t>
        </is>
      </c>
      <c r="F3063" t="inlineStr">
        <is>
          <t>SCA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26825-2025</t>
        </is>
      </c>
      <c r="B3064" s="1" t="n">
        <v>45810.64746527778</v>
      </c>
      <c r="C3064" s="1" t="n">
        <v>46046</v>
      </c>
      <c r="D3064" t="inlineStr">
        <is>
          <t>NORRBOTTENS LÄN</t>
        </is>
      </c>
      <c r="E3064" t="inlineStr">
        <is>
          <t>KALIX</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49462-2024</t>
        </is>
      </c>
      <c r="B3065" s="1" t="n">
        <v>45596.31337962963</v>
      </c>
      <c r="C3065" s="1" t="n">
        <v>46046</v>
      </c>
      <c r="D3065" t="inlineStr">
        <is>
          <t>NORRBOTTENS LÄN</t>
        </is>
      </c>
      <c r="E3065" t="inlineStr">
        <is>
          <t>PITEÅ</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35918-2024</t>
        </is>
      </c>
      <c r="B3066" s="1" t="n">
        <v>45533</v>
      </c>
      <c r="C3066" s="1" t="n">
        <v>46046</v>
      </c>
      <c r="D3066" t="inlineStr">
        <is>
          <t>NORRBOTTENS LÄN</t>
        </is>
      </c>
      <c r="E3066" t="inlineStr">
        <is>
          <t>LULEÅ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61761-2024</t>
        </is>
      </c>
      <c r="B3067" s="1" t="n">
        <v>45649</v>
      </c>
      <c r="C3067" s="1" t="n">
        <v>46046</v>
      </c>
      <c r="D3067" t="inlineStr">
        <is>
          <t>NORRBOTTENS LÄN</t>
        </is>
      </c>
      <c r="E3067" t="inlineStr">
        <is>
          <t>JOKKMOKK</t>
        </is>
      </c>
      <c r="F3067" t="inlineStr">
        <is>
          <t>Övriga statliga verk och myndigheter</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51456-2023</t>
        </is>
      </c>
      <c r="B3068" s="1" t="n">
        <v>45220</v>
      </c>
      <c r="C3068" s="1" t="n">
        <v>46046</v>
      </c>
      <c r="D3068" t="inlineStr">
        <is>
          <t>NORRBOTTENS LÄN</t>
        </is>
      </c>
      <c r="E3068" t="inlineStr">
        <is>
          <t>ÄLVSBYN</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5398-2025</t>
        </is>
      </c>
      <c r="B3069" s="1" t="n">
        <v>45692.63893518518</v>
      </c>
      <c r="C3069" s="1" t="n">
        <v>46046</v>
      </c>
      <c r="D3069" t="inlineStr">
        <is>
          <t>NORRBOTTENS LÄN</t>
        </is>
      </c>
      <c r="E3069" t="inlineStr">
        <is>
          <t>KALIX</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26945-2025</t>
        </is>
      </c>
      <c r="B3070" s="1" t="n">
        <v>45811.42734953704</v>
      </c>
      <c r="C3070" s="1" t="n">
        <v>46046</v>
      </c>
      <c r="D3070" t="inlineStr">
        <is>
          <t>NORRBOTTENS LÄN</t>
        </is>
      </c>
      <c r="E3070" t="inlineStr">
        <is>
          <t>ÖVERKALIX</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47918-2024</t>
        </is>
      </c>
      <c r="B3071" s="1" t="n">
        <v>45589.34434027778</v>
      </c>
      <c r="C3071" s="1" t="n">
        <v>46046</v>
      </c>
      <c r="D3071" t="inlineStr">
        <is>
          <t>NORRBOTTENS LÄN</t>
        </is>
      </c>
      <c r="E3071" t="inlineStr">
        <is>
          <t>LULEÅ</t>
        </is>
      </c>
      <c r="F3071" t="inlineStr">
        <is>
          <t>Naturvårdsverket</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62014-2023</t>
        </is>
      </c>
      <c r="B3072" s="1" t="n">
        <v>45266.64538194444</v>
      </c>
      <c r="C3072" s="1" t="n">
        <v>46046</v>
      </c>
      <c r="D3072" t="inlineStr">
        <is>
          <t>NORRBOTTENS LÄN</t>
        </is>
      </c>
      <c r="E3072" t="inlineStr">
        <is>
          <t>PITEÅ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47920-2024</t>
        </is>
      </c>
      <c r="B3073" s="1" t="n">
        <v>45589</v>
      </c>
      <c r="C3073" s="1" t="n">
        <v>46046</v>
      </c>
      <c r="D3073" t="inlineStr">
        <is>
          <t>NORRBOTTENS LÄN</t>
        </is>
      </c>
      <c r="E3073" t="inlineStr">
        <is>
          <t>BODEN</t>
        </is>
      </c>
      <c r="F3073" t="inlineStr">
        <is>
          <t>Naturvårdsverket</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25676-2024</t>
        </is>
      </c>
      <c r="B3074" s="1" t="n">
        <v>45463</v>
      </c>
      <c r="C3074" s="1" t="n">
        <v>46046</v>
      </c>
      <c r="D3074" t="inlineStr">
        <is>
          <t>NORRBOTTENS LÄN</t>
        </is>
      </c>
      <c r="E3074" t="inlineStr">
        <is>
          <t>LULEÅ</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26594-2024</t>
        </is>
      </c>
      <c r="B3075" s="1" t="n">
        <v>45469.68552083334</v>
      </c>
      <c r="C3075" s="1" t="n">
        <v>46046</v>
      </c>
      <c r="D3075" t="inlineStr">
        <is>
          <t>NORRBOTTENS LÄN</t>
        </is>
      </c>
      <c r="E3075" t="inlineStr">
        <is>
          <t>LULEÅ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8152-2025</t>
        </is>
      </c>
      <c r="B3076" s="1" t="n">
        <v>45708</v>
      </c>
      <c r="C3076" s="1" t="n">
        <v>46046</v>
      </c>
      <c r="D3076" t="inlineStr">
        <is>
          <t>NORRBOTTENS LÄN</t>
        </is>
      </c>
      <c r="E3076" t="inlineStr">
        <is>
          <t>GÄLLIVARE</t>
        </is>
      </c>
      <c r="F3076" t="inlineStr">
        <is>
          <t>Sveaskog</t>
        </is>
      </c>
      <c r="G3076" t="n">
        <v>42.1</v>
      </c>
      <c r="H3076" t="n">
        <v>0</v>
      </c>
      <c r="I3076" t="n">
        <v>0</v>
      </c>
      <c r="J3076" t="n">
        <v>0</v>
      </c>
      <c r="K3076" t="n">
        <v>0</v>
      </c>
      <c r="L3076" t="n">
        <v>0</v>
      </c>
      <c r="M3076" t="n">
        <v>0</v>
      </c>
      <c r="N3076" t="n">
        <v>0</v>
      </c>
      <c r="O3076" t="n">
        <v>0</v>
      </c>
      <c r="P3076" t="n">
        <v>0</v>
      </c>
      <c r="Q3076" t="n">
        <v>0</v>
      </c>
      <c r="R3076" s="2" t="inlineStr"/>
    </row>
    <row r="3077" ht="15" customHeight="1">
      <c r="A3077" t="inlineStr">
        <is>
          <t>A 26595-2025</t>
        </is>
      </c>
      <c r="B3077" s="1" t="n">
        <v>45808.42758101852</v>
      </c>
      <c r="C3077" s="1" t="n">
        <v>46046</v>
      </c>
      <c r="D3077" t="inlineStr">
        <is>
          <t>NORRBOTTENS LÄN</t>
        </is>
      </c>
      <c r="E3077" t="inlineStr">
        <is>
          <t>ÄLVSBYN</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10600-2025</t>
        </is>
      </c>
      <c r="B3078" s="1" t="n">
        <v>45721</v>
      </c>
      <c r="C3078" s="1" t="n">
        <v>46046</v>
      </c>
      <c r="D3078" t="inlineStr">
        <is>
          <t>NORRBOTTENS LÄN</t>
        </is>
      </c>
      <c r="E3078" t="inlineStr">
        <is>
          <t>KALIX</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597-2023</t>
        </is>
      </c>
      <c r="B3079" s="1" t="n">
        <v>44930.56168981481</v>
      </c>
      <c r="C3079" s="1" t="n">
        <v>46046</v>
      </c>
      <c r="D3079" t="inlineStr">
        <is>
          <t>NORRBOTTENS LÄN</t>
        </is>
      </c>
      <c r="E3079" t="inlineStr">
        <is>
          <t>ÖVERTORNEÅ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27742-2024</t>
        </is>
      </c>
      <c r="B3080" s="1" t="n">
        <v>45475.46423611111</v>
      </c>
      <c r="C3080" s="1" t="n">
        <v>46046</v>
      </c>
      <c r="D3080" t="inlineStr">
        <is>
          <t>NORRBOTTENS LÄN</t>
        </is>
      </c>
      <c r="E3080" t="inlineStr">
        <is>
          <t>ARVIDSJAUR</t>
        </is>
      </c>
      <c r="G3080" t="n">
        <v>16.8</v>
      </c>
      <c r="H3080" t="n">
        <v>0</v>
      </c>
      <c r="I3080" t="n">
        <v>0</v>
      </c>
      <c r="J3080" t="n">
        <v>0</v>
      </c>
      <c r="K3080" t="n">
        <v>0</v>
      </c>
      <c r="L3080" t="n">
        <v>0</v>
      </c>
      <c r="M3080" t="n">
        <v>0</v>
      </c>
      <c r="N3080" t="n">
        <v>0</v>
      </c>
      <c r="O3080" t="n">
        <v>0</v>
      </c>
      <c r="P3080" t="n">
        <v>0</v>
      </c>
      <c r="Q3080" t="n">
        <v>0</v>
      </c>
      <c r="R3080" s="2" t="inlineStr"/>
    </row>
    <row r="3081" ht="15" customHeight="1">
      <c r="A3081" t="inlineStr">
        <is>
          <t>A 49712-2022</t>
        </is>
      </c>
      <c r="B3081" s="1" t="n">
        <v>44859</v>
      </c>
      <c r="C3081" s="1" t="n">
        <v>46046</v>
      </c>
      <c r="D3081" t="inlineStr">
        <is>
          <t>NORRBOTTENS LÄN</t>
        </is>
      </c>
      <c r="E3081" t="inlineStr">
        <is>
          <t>LULEÅ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8767-2025</t>
        </is>
      </c>
      <c r="B3082" s="1" t="n">
        <v>45712.58931712963</v>
      </c>
      <c r="C3082" s="1" t="n">
        <v>46046</v>
      </c>
      <c r="D3082" t="inlineStr">
        <is>
          <t>NORRBOTTENS LÄN</t>
        </is>
      </c>
      <c r="E3082" t="inlineStr">
        <is>
          <t>LULEÅ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31007-2024</t>
        </is>
      </c>
      <c r="B3083" s="1" t="n">
        <v>45499.63932870371</v>
      </c>
      <c r="C3083" s="1" t="n">
        <v>46046</v>
      </c>
      <c r="D3083" t="inlineStr">
        <is>
          <t>NORRBOTTENS LÄN</t>
        </is>
      </c>
      <c r="E3083" t="inlineStr">
        <is>
          <t>BODEN</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3006-2024</t>
        </is>
      </c>
      <c r="B3084" s="1" t="n">
        <v>45315</v>
      </c>
      <c r="C3084" s="1" t="n">
        <v>46046</v>
      </c>
      <c r="D3084" t="inlineStr">
        <is>
          <t>NORRBOTTENS LÄN</t>
        </is>
      </c>
      <c r="E3084" t="inlineStr">
        <is>
          <t>ARJEPLOG</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16699-2024</t>
        </is>
      </c>
      <c r="B3085" s="1" t="n">
        <v>45408.96730324074</v>
      </c>
      <c r="C3085" s="1" t="n">
        <v>46046</v>
      </c>
      <c r="D3085" t="inlineStr">
        <is>
          <t>NORRBOTTENS LÄN</t>
        </is>
      </c>
      <c r="E3085" t="inlineStr">
        <is>
          <t>BODEN</t>
        </is>
      </c>
      <c r="G3085" t="n">
        <v>14.9</v>
      </c>
      <c r="H3085" t="n">
        <v>0</v>
      </c>
      <c r="I3085" t="n">
        <v>0</v>
      </c>
      <c r="J3085" t="n">
        <v>0</v>
      </c>
      <c r="K3085" t="n">
        <v>0</v>
      </c>
      <c r="L3085" t="n">
        <v>0</v>
      </c>
      <c r="M3085" t="n">
        <v>0</v>
      </c>
      <c r="N3085" t="n">
        <v>0</v>
      </c>
      <c r="O3085" t="n">
        <v>0</v>
      </c>
      <c r="P3085" t="n">
        <v>0</v>
      </c>
      <c r="Q3085" t="n">
        <v>0</v>
      </c>
      <c r="R3085" s="2" t="inlineStr"/>
    </row>
    <row r="3086" ht="15" customHeight="1">
      <c r="A3086" t="inlineStr">
        <is>
          <t>A 29481-2023</t>
        </is>
      </c>
      <c r="B3086" s="1" t="n">
        <v>45106</v>
      </c>
      <c r="C3086" s="1" t="n">
        <v>46046</v>
      </c>
      <c r="D3086" t="inlineStr">
        <is>
          <t>NORRBOTTENS LÄN</t>
        </is>
      </c>
      <c r="E3086" t="inlineStr">
        <is>
          <t>PITEÅ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61303-2023</t>
        </is>
      </c>
      <c r="B3087" s="1" t="n">
        <v>45264.56266203704</v>
      </c>
      <c r="C3087" s="1" t="n">
        <v>46046</v>
      </c>
      <c r="D3087" t="inlineStr">
        <is>
          <t>NORRBOTTENS LÄN</t>
        </is>
      </c>
      <c r="E3087" t="inlineStr">
        <is>
          <t>PITEÅ</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479-2025</t>
        </is>
      </c>
      <c r="B3088" s="1" t="n">
        <v>45664.44930555556</v>
      </c>
      <c r="C3088" s="1" t="n">
        <v>46046</v>
      </c>
      <c r="D3088" t="inlineStr">
        <is>
          <t>NORRBOTTENS LÄN</t>
        </is>
      </c>
      <c r="E3088" t="inlineStr">
        <is>
          <t>PITEÅ</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58547-2024</t>
        </is>
      </c>
      <c r="B3089" s="1" t="n">
        <v>45635.45822916667</v>
      </c>
      <c r="C3089" s="1" t="n">
        <v>46046</v>
      </c>
      <c r="D3089" t="inlineStr">
        <is>
          <t>NORRBOTTENS LÄN</t>
        </is>
      </c>
      <c r="E3089" t="inlineStr">
        <is>
          <t>LULEÅ</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58591-2022</t>
        </is>
      </c>
      <c r="B3090" s="1" t="n">
        <v>44894</v>
      </c>
      <c r="C3090" s="1" t="n">
        <v>46046</v>
      </c>
      <c r="D3090" t="inlineStr">
        <is>
          <t>NORRBOTTENS LÄN</t>
        </is>
      </c>
      <c r="E3090" t="inlineStr">
        <is>
          <t>KALIX</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4100-2024</t>
        </is>
      </c>
      <c r="B3091" s="1" t="n">
        <v>45323</v>
      </c>
      <c r="C3091" s="1" t="n">
        <v>46046</v>
      </c>
      <c r="D3091" t="inlineStr">
        <is>
          <t>NORRBOTTENS LÄN</t>
        </is>
      </c>
      <c r="E3091" t="inlineStr">
        <is>
          <t>PITEÅ</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51526-2024</t>
        </is>
      </c>
      <c r="B3092" s="1" t="n">
        <v>45604</v>
      </c>
      <c r="C3092" s="1" t="n">
        <v>46046</v>
      </c>
      <c r="D3092" t="inlineStr">
        <is>
          <t>NORRBOTTENS LÄN</t>
        </is>
      </c>
      <c r="E3092" t="inlineStr">
        <is>
          <t>ÖVERKALIX</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41464-2023</t>
        </is>
      </c>
      <c r="B3093" s="1" t="n">
        <v>45175.41883101852</v>
      </c>
      <c r="C3093" s="1" t="n">
        <v>46046</v>
      </c>
      <c r="D3093" t="inlineStr">
        <is>
          <t>NORRBOTTENS LÄN</t>
        </is>
      </c>
      <c r="E3093" t="inlineStr">
        <is>
          <t>PITEÅ</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32010-2022</t>
        </is>
      </c>
      <c r="B3094" s="1" t="n">
        <v>44778</v>
      </c>
      <c r="C3094" s="1" t="n">
        <v>46046</v>
      </c>
      <c r="D3094" t="inlineStr">
        <is>
          <t>NORRBOTTENS LÄN</t>
        </is>
      </c>
      <c r="E3094" t="inlineStr">
        <is>
          <t>PAJALA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50807-2023</t>
        </is>
      </c>
      <c r="B3095" s="1" t="n">
        <v>45217</v>
      </c>
      <c r="C3095" s="1" t="n">
        <v>46046</v>
      </c>
      <c r="D3095" t="inlineStr">
        <is>
          <t>NORRBOTTENS LÄN</t>
        </is>
      </c>
      <c r="E3095" t="inlineStr">
        <is>
          <t>ÖVERTORNEÅ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26886-2025</t>
        </is>
      </c>
      <c r="B3096" s="1" t="n">
        <v>45810.94515046296</v>
      </c>
      <c r="C3096" s="1" t="n">
        <v>46046</v>
      </c>
      <c r="D3096" t="inlineStr">
        <is>
          <t>NORRBOTTENS LÄN</t>
        </is>
      </c>
      <c r="E3096" t="inlineStr">
        <is>
          <t>PAJALA</t>
        </is>
      </c>
      <c r="F3096" t="inlineStr">
        <is>
          <t>Sveaskog</t>
        </is>
      </c>
      <c r="G3096" t="n">
        <v>23.7</v>
      </c>
      <c r="H3096" t="n">
        <v>0</v>
      </c>
      <c r="I3096" t="n">
        <v>0</v>
      </c>
      <c r="J3096" t="n">
        <v>0</v>
      </c>
      <c r="K3096" t="n">
        <v>0</v>
      </c>
      <c r="L3096" t="n">
        <v>0</v>
      </c>
      <c r="M3096" t="n">
        <v>0</v>
      </c>
      <c r="N3096" t="n">
        <v>0</v>
      </c>
      <c r="O3096" t="n">
        <v>0</v>
      </c>
      <c r="P3096" t="n">
        <v>0</v>
      </c>
      <c r="Q3096" t="n">
        <v>0</v>
      </c>
      <c r="R3096" s="2" t="inlineStr"/>
    </row>
    <row r="3097" ht="15" customHeight="1">
      <c r="A3097" t="inlineStr">
        <is>
          <t>A 2988-2025</t>
        </is>
      </c>
      <c r="B3097" s="1" t="n">
        <v>45678</v>
      </c>
      <c r="C3097" s="1" t="n">
        <v>46046</v>
      </c>
      <c r="D3097" t="inlineStr">
        <is>
          <t>NORRBOTTENS LÄN</t>
        </is>
      </c>
      <c r="E3097" t="inlineStr">
        <is>
          <t>PAJALA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21270-2021</t>
        </is>
      </c>
      <c r="B3098" s="1" t="n">
        <v>44320</v>
      </c>
      <c r="C3098" s="1" t="n">
        <v>46046</v>
      </c>
      <c r="D3098" t="inlineStr">
        <is>
          <t>NORRBOTTENS LÄN</t>
        </is>
      </c>
      <c r="E3098" t="inlineStr">
        <is>
          <t>ARVIDSJAUR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61911-2024</t>
        </is>
      </c>
      <c r="B3099" s="1" t="n">
        <v>45653.3677662037</v>
      </c>
      <c r="C3099" s="1" t="n">
        <v>46046</v>
      </c>
      <c r="D3099" t="inlineStr">
        <is>
          <t>NORRBOTTENS LÄN</t>
        </is>
      </c>
      <c r="E3099" t="inlineStr">
        <is>
          <t>BODEN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53751-2023</t>
        </is>
      </c>
      <c r="B3100" s="1" t="n">
        <v>45230</v>
      </c>
      <c r="C3100" s="1" t="n">
        <v>46046</v>
      </c>
      <c r="D3100" t="inlineStr">
        <is>
          <t>NORRBOTTENS LÄN</t>
        </is>
      </c>
      <c r="E3100" t="inlineStr">
        <is>
          <t>PITEÅ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32899-2023</t>
        </is>
      </c>
      <c r="B3101" s="1" t="n">
        <v>45124</v>
      </c>
      <c r="C3101" s="1" t="n">
        <v>46046</v>
      </c>
      <c r="D3101" t="inlineStr">
        <is>
          <t>NORRBOTTENS LÄN</t>
        </is>
      </c>
      <c r="E3101" t="inlineStr">
        <is>
          <t>JOKKMOKK</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28715-2024</t>
        </is>
      </c>
      <c r="B3102" s="1" t="n">
        <v>45478.53690972222</v>
      </c>
      <c r="C3102" s="1" t="n">
        <v>46046</v>
      </c>
      <c r="D3102" t="inlineStr">
        <is>
          <t>NORRBOTTENS LÄN</t>
        </is>
      </c>
      <c r="E3102" t="inlineStr">
        <is>
          <t>PITEÅ</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55928-2023</t>
        </is>
      </c>
      <c r="B3103" s="1" t="n">
        <v>45239</v>
      </c>
      <c r="C3103" s="1" t="n">
        <v>46046</v>
      </c>
      <c r="D3103" t="inlineStr">
        <is>
          <t>NORRBOTTENS LÄN</t>
        </is>
      </c>
      <c r="E3103" t="inlineStr">
        <is>
          <t>PITEÅ</t>
        </is>
      </c>
      <c r="F3103" t="inlineStr">
        <is>
          <t>SCA</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12551-2024</t>
        </is>
      </c>
      <c r="B3104" s="1" t="n">
        <v>45379</v>
      </c>
      <c r="C3104" s="1" t="n">
        <v>46046</v>
      </c>
      <c r="D3104" t="inlineStr">
        <is>
          <t>NORRBOTTENS LÄN</t>
        </is>
      </c>
      <c r="E3104" t="inlineStr">
        <is>
          <t>LULEÅ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1262-2025</t>
        </is>
      </c>
      <c r="B3105" s="1" t="n">
        <v>45667</v>
      </c>
      <c r="C3105" s="1" t="n">
        <v>46046</v>
      </c>
      <c r="D3105" t="inlineStr">
        <is>
          <t>NORRBOTTENS LÄN</t>
        </is>
      </c>
      <c r="E3105" t="inlineStr">
        <is>
          <t>KALIX</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33439-2023</t>
        </is>
      </c>
      <c r="B3106" s="1" t="n">
        <v>45129</v>
      </c>
      <c r="C3106" s="1" t="n">
        <v>46046</v>
      </c>
      <c r="D3106" t="inlineStr">
        <is>
          <t>NORRBOTTENS LÄN</t>
        </is>
      </c>
      <c r="E3106" t="inlineStr">
        <is>
          <t>HAPARANDA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38500-2021</t>
        </is>
      </c>
      <c r="B3107" s="1" t="n">
        <v>44406</v>
      </c>
      <c r="C3107" s="1" t="n">
        <v>46046</v>
      </c>
      <c r="D3107" t="inlineStr">
        <is>
          <t>NORRBOTTENS LÄN</t>
        </is>
      </c>
      <c r="E3107" t="inlineStr">
        <is>
          <t>ÖVERTORNEÅ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1290-2025</t>
        </is>
      </c>
      <c r="B3108" s="1" t="n">
        <v>45667</v>
      </c>
      <c r="C3108" s="1" t="n">
        <v>46046</v>
      </c>
      <c r="D3108" t="inlineStr">
        <is>
          <t>NORRBOTTENS LÄN</t>
        </is>
      </c>
      <c r="E3108" t="inlineStr">
        <is>
          <t>PAJALA</t>
        </is>
      </c>
      <c r="G3108" t="n">
        <v>23.4</v>
      </c>
      <c r="H3108" t="n">
        <v>0</v>
      </c>
      <c r="I3108" t="n">
        <v>0</v>
      </c>
      <c r="J3108" t="n">
        <v>0</v>
      </c>
      <c r="K3108" t="n">
        <v>0</v>
      </c>
      <c r="L3108" t="n">
        <v>0</v>
      </c>
      <c r="M3108" t="n">
        <v>0</v>
      </c>
      <c r="N3108" t="n">
        <v>0</v>
      </c>
      <c r="O3108" t="n">
        <v>0</v>
      </c>
      <c r="P3108" t="n">
        <v>0</v>
      </c>
      <c r="Q3108" t="n">
        <v>0</v>
      </c>
      <c r="R3108" s="2" t="inlineStr"/>
    </row>
    <row r="3109" ht="15" customHeight="1">
      <c r="A3109" t="inlineStr">
        <is>
          <t>A 27067-2025</t>
        </is>
      </c>
      <c r="B3109" s="1" t="n">
        <v>45811.63658564815</v>
      </c>
      <c r="C3109" s="1" t="n">
        <v>46046</v>
      </c>
      <c r="D3109" t="inlineStr">
        <is>
          <t>NORRBOTTENS LÄN</t>
        </is>
      </c>
      <c r="E3109" t="inlineStr">
        <is>
          <t>KALIX</t>
        </is>
      </c>
      <c r="F3109" t="inlineStr">
        <is>
          <t>SCA</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26643-2024</t>
        </is>
      </c>
      <c r="B3110" s="1" t="n">
        <v>45469.92849537037</v>
      </c>
      <c r="C3110" s="1" t="n">
        <v>46046</v>
      </c>
      <c r="D3110" t="inlineStr">
        <is>
          <t>NORRBOTTENS LÄN</t>
        </is>
      </c>
      <c r="E3110" t="inlineStr">
        <is>
          <t>PAJALA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26687-2024</t>
        </is>
      </c>
      <c r="B3111" s="1" t="n">
        <v>45470.35686342593</v>
      </c>
      <c r="C3111" s="1" t="n">
        <v>46046</v>
      </c>
      <c r="D3111" t="inlineStr">
        <is>
          <t>NORRBOTTENS LÄN</t>
        </is>
      </c>
      <c r="E3111" t="inlineStr">
        <is>
          <t>ARVIDSJAUR</t>
        </is>
      </c>
      <c r="F3111" t="inlineStr">
        <is>
          <t>Sveaskog</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26666-2025</t>
        </is>
      </c>
      <c r="B3112" s="1" t="n">
        <v>45810</v>
      </c>
      <c r="C3112" s="1" t="n">
        <v>46046</v>
      </c>
      <c r="D3112" t="inlineStr">
        <is>
          <t>NORRBOTTENS LÄN</t>
        </is>
      </c>
      <c r="E3112" t="inlineStr">
        <is>
          <t>ÖVERKALIX</t>
        </is>
      </c>
      <c r="F3112" t="inlineStr">
        <is>
          <t>SCA</t>
        </is>
      </c>
      <c r="G3112" t="n">
        <v>17.5</v>
      </c>
      <c r="H3112" t="n">
        <v>0</v>
      </c>
      <c r="I3112" t="n">
        <v>0</v>
      </c>
      <c r="J3112" t="n">
        <v>0</v>
      </c>
      <c r="K3112" t="n">
        <v>0</v>
      </c>
      <c r="L3112" t="n">
        <v>0</v>
      </c>
      <c r="M3112" t="n">
        <v>0</v>
      </c>
      <c r="N3112" t="n">
        <v>0</v>
      </c>
      <c r="O3112" t="n">
        <v>0</v>
      </c>
      <c r="P3112" t="n">
        <v>0</v>
      </c>
      <c r="Q3112" t="n">
        <v>0</v>
      </c>
      <c r="R3112" s="2" t="inlineStr"/>
    </row>
    <row r="3113" ht="15" customHeight="1">
      <c r="A3113" t="inlineStr">
        <is>
          <t>A 38611-2024</t>
        </is>
      </c>
      <c r="B3113" s="1" t="n">
        <v>45546</v>
      </c>
      <c r="C3113" s="1" t="n">
        <v>46046</v>
      </c>
      <c r="D3113" t="inlineStr">
        <is>
          <t>NORRBOTTENS LÄN</t>
        </is>
      </c>
      <c r="E3113" t="inlineStr">
        <is>
          <t>PITEÅ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47240-2024</t>
        </is>
      </c>
      <c r="B3114" s="1" t="n">
        <v>45586.69385416667</v>
      </c>
      <c r="C3114" s="1" t="n">
        <v>46046</v>
      </c>
      <c r="D3114" t="inlineStr">
        <is>
          <t>NORRBOTTENS LÄN</t>
        </is>
      </c>
      <c r="E3114" t="inlineStr">
        <is>
          <t>HAPARANDA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46944-2024</t>
        </is>
      </c>
      <c r="B3115" s="1" t="n">
        <v>45585.7653587963</v>
      </c>
      <c r="C3115" s="1" t="n">
        <v>46046</v>
      </c>
      <c r="D3115" t="inlineStr">
        <is>
          <t>NORRBOTTENS LÄN</t>
        </is>
      </c>
      <c r="E3115" t="inlineStr">
        <is>
          <t>PITEÅ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47099-2023</t>
        </is>
      </c>
      <c r="B3116" s="1" t="n">
        <v>45201.65041666666</v>
      </c>
      <c r="C3116" s="1" t="n">
        <v>46046</v>
      </c>
      <c r="D3116" t="inlineStr">
        <is>
          <t>NORRBOTTENS LÄN</t>
        </is>
      </c>
      <c r="E3116" t="inlineStr">
        <is>
          <t>KALIX</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17203-2024</t>
        </is>
      </c>
      <c r="B3117" s="1" t="n">
        <v>45413</v>
      </c>
      <c r="C3117" s="1" t="n">
        <v>46046</v>
      </c>
      <c r="D3117" t="inlineStr">
        <is>
          <t>NORRBOTTENS LÄN</t>
        </is>
      </c>
      <c r="E3117" t="inlineStr">
        <is>
          <t>GÄLLIVARE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6958-2025</t>
        </is>
      </c>
      <c r="B3118" s="1" t="n">
        <v>45701.49054398148</v>
      </c>
      <c r="C3118" s="1" t="n">
        <v>46046</v>
      </c>
      <c r="D3118" t="inlineStr">
        <is>
          <t>NORRBOTTENS LÄN</t>
        </is>
      </c>
      <c r="E3118" t="inlineStr">
        <is>
          <t>LULEÅ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3747-2024</t>
        </is>
      </c>
      <c r="B3119" s="1" t="n">
        <v>45321</v>
      </c>
      <c r="C3119" s="1" t="n">
        <v>46046</v>
      </c>
      <c r="D3119" t="inlineStr">
        <is>
          <t>NORRBOTTENS LÄN</t>
        </is>
      </c>
      <c r="E3119" t="inlineStr">
        <is>
          <t>KALIX</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38652-2024</t>
        </is>
      </c>
      <c r="B3120" s="1" t="n">
        <v>45546</v>
      </c>
      <c r="C3120" s="1" t="n">
        <v>46046</v>
      </c>
      <c r="D3120" t="inlineStr">
        <is>
          <t>NORRBOTTENS LÄN</t>
        </is>
      </c>
      <c r="E3120" t="inlineStr">
        <is>
          <t>BODEN</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59886-2024</t>
        </is>
      </c>
      <c r="B3121" s="1" t="n">
        <v>45641.52986111111</v>
      </c>
      <c r="C3121" s="1" t="n">
        <v>46046</v>
      </c>
      <c r="D3121" t="inlineStr">
        <is>
          <t>NORRBOTTENS LÄN</t>
        </is>
      </c>
      <c r="E3121" t="inlineStr">
        <is>
          <t>KALIX</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29881-2022</t>
        </is>
      </c>
      <c r="B3122" s="1" t="n">
        <v>44755</v>
      </c>
      <c r="C3122" s="1" t="n">
        <v>46046</v>
      </c>
      <c r="D3122" t="inlineStr">
        <is>
          <t>NORRBOTTENS LÄN</t>
        </is>
      </c>
      <c r="E3122" t="inlineStr">
        <is>
          <t>PAJALA</t>
        </is>
      </c>
      <c r="G3122" t="n">
        <v>10.1</v>
      </c>
      <c r="H3122" t="n">
        <v>0</v>
      </c>
      <c r="I3122" t="n">
        <v>0</v>
      </c>
      <c r="J3122" t="n">
        <v>0</v>
      </c>
      <c r="K3122" t="n">
        <v>0</v>
      </c>
      <c r="L3122" t="n">
        <v>0</v>
      </c>
      <c r="M3122" t="n">
        <v>0</v>
      </c>
      <c r="N3122" t="n">
        <v>0</v>
      </c>
      <c r="O3122" t="n">
        <v>0</v>
      </c>
      <c r="P3122" t="n">
        <v>0</v>
      </c>
      <c r="Q3122" t="n">
        <v>0</v>
      </c>
      <c r="R3122" s="2" t="inlineStr"/>
    </row>
    <row r="3123" ht="15" customHeight="1">
      <c r="A3123" t="inlineStr">
        <is>
          <t>A 2293-2023</t>
        </is>
      </c>
      <c r="B3123" s="1" t="n">
        <v>44942</v>
      </c>
      <c r="C3123" s="1" t="n">
        <v>46046</v>
      </c>
      <c r="D3123" t="inlineStr">
        <is>
          <t>NORRBOTTENS LÄN</t>
        </is>
      </c>
      <c r="E3123" t="inlineStr">
        <is>
          <t>ÄLVSBYN</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40910-2024</t>
        </is>
      </c>
      <c r="B3124" s="1" t="n">
        <v>45558</v>
      </c>
      <c r="C3124" s="1" t="n">
        <v>46046</v>
      </c>
      <c r="D3124" t="inlineStr">
        <is>
          <t>NORRBOTTENS LÄN</t>
        </is>
      </c>
      <c r="E3124" t="inlineStr">
        <is>
          <t>PAJALA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22726-2021</t>
        </is>
      </c>
      <c r="B3125" s="1" t="n">
        <v>44327</v>
      </c>
      <c r="C3125" s="1" t="n">
        <v>46046</v>
      </c>
      <c r="D3125" t="inlineStr">
        <is>
          <t>NORRBOTTENS LÄN</t>
        </is>
      </c>
      <c r="E3125" t="inlineStr">
        <is>
          <t>ÖVERTORNEÅ</t>
        </is>
      </c>
      <c r="G3125" t="n">
        <v>20.2</v>
      </c>
      <c r="H3125" t="n">
        <v>0</v>
      </c>
      <c r="I3125" t="n">
        <v>0</v>
      </c>
      <c r="J3125" t="n">
        <v>0</v>
      </c>
      <c r="K3125" t="n">
        <v>0</v>
      </c>
      <c r="L3125" t="n">
        <v>0</v>
      </c>
      <c r="M3125" t="n">
        <v>0</v>
      </c>
      <c r="N3125" t="n">
        <v>0</v>
      </c>
      <c r="O3125" t="n">
        <v>0</v>
      </c>
      <c r="P3125" t="n">
        <v>0</v>
      </c>
      <c r="Q3125" t="n">
        <v>0</v>
      </c>
      <c r="R3125" s="2" t="inlineStr"/>
    </row>
    <row r="3126" ht="15" customHeight="1">
      <c r="A3126" t="inlineStr">
        <is>
          <t>A 42024-2024</t>
        </is>
      </c>
      <c r="B3126" s="1" t="n">
        <v>45561.72005787037</v>
      </c>
      <c r="C3126" s="1" t="n">
        <v>46046</v>
      </c>
      <c r="D3126" t="inlineStr">
        <is>
          <t>NORRBOTTENS LÄN</t>
        </is>
      </c>
      <c r="E3126" t="inlineStr">
        <is>
          <t>LULEÅ</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10130-2024</t>
        </is>
      </c>
      <c r="B3127" s="1" t="n">
        <v>45364</v>
      </c>
      <c r="C3127" s="1" t="n">
        <v>46046</v>
      </c>
      <c r="D3127" t="inlineStr">
        <is>
          <t>NORRBOTTENS LÄN</t>
        </is>
      </c>
      <c r="E3127" t="inlineStr">
        <is>
          <t>ARVIDSJAUR</t>
        </is>
      </c>
      <c r="F3127" t="inlineStr">
        <is>
          <t>Sveaskog</t>
        </is>
      </c>
      <c r="G3127" t="n">
        <v>22.5</v>
      </c>
      <c r="H3127" t="n">
        <v>0</v>
      </c>
      <c r="I3127" t="n">
        <v>0</v>
      </c>
      <c r="J3127" t="n">
        <v>0</v>
      </c>
      <c r="K3127" t="n">
        <v>0</v>
      </c>
      <c r="L3127" t="n">
        <v>0</v>
      </c>
      <c r="M3127" t="n">
        <v>0</v>
      </c>
      <c r="N3127" t="n">
        <v>0</v>
      </c>
      <c r="O3127" t="n">
        <v>0</v>
      </c>
      <c r="P3127" t="n">
        <v>0</v>
      </c>
      <c r="Q3127" t="n">
        <v>0</v>
      </c>
      <c r="R3127" s="2" t="inlineStr"/>
    </row>
    <row r="3128" ht="15" customHeight="1">
      <c r="A3128" t="inlineStr">
        <is>
          <t>A 21979-2023</t>
        </is>
      </c>
      <c r="B3128" s="1" t="n">
        <v>45068</v>
      </c>
      <c r="C3128" s="1" t="n">
        <v>46046</v>
      </c>
      <c r="D3128" t="inlineStr">
        <is>
          <t>NORRBOTTENS LÄN</t>
        </is>
      </c>
      <c r="E3128" t="inlineStr">
        <is>
          <t>HAPARANDA</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12950-2021</t>
        </is>
      </c>
      <c r="B3129" s="1" t="n">
        <v>44271</v>
      </c>
      <c r="C3129" s="1" t="n">
        <v>46046</v>
      </c>
      <c r="D3129" t="inlineStr">
        <is>
          <t>NORRBOTTENS LÄN</t>
        </is>
      </c>
      <c r="E3129" t="inlineStr">
        <is>
          <t>ÄLVSBYN</t>
        </is>
      </c>
      <c r="G3129" t="n">
        <v>14.3</v>
      </c>
      <c r="H3129" t="n">
        <v>0</v>
      </c>
      <c r="I3129" t="n">
        <v>0</v>
      </c>
      <c r="J3129" t="n">
        <v>0</v>
      </c>
      <c r="K3129" t="n">
        <v>0</v>
      </c>
      <c r="L3129" t="n">
        <v>0</v>
      </c>
      <c r="M3129" t="n">
        <v>0</v>
      </c>
      <c r="N3129" t="n">
        <v>0</v>
      </c>
      <c r="O3129" t="n">
        <v>0</v>
      </c>
      <c r="P3129" t="n">
        <v>0</v>
      </c>
      <c r="Q3129" t="n">
        <v>0</v>
      </c>
      <c r="R3129" s="2" t="inlineStr"/>
    </row>
    <row r="3130" ht="15" customHeight="1">
      <c r="A3130" t="inlineStr">
        <is>
          <t>A 43396-2022</t>
        </is>
      </c>
      <c r="B3130" s="1" t="n">
        <v>44834.70690972222</v>
      </c>
      <c r="C3130" s="1" t="n">
        <v>46046</v>
      </c>
      <c r="D3130" t="inlineStr">
        <is>
          <t>NORRBOTTENS LÄN</t>
        </is>
      </c>
      <c r="E3130" t="inlineStr">
        <is>
          <t>PAJALA</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27107-2025</t>
        </is>
      </c>
      <c r="B3131" s="1" t="n">
        <v>45811</v>
      </c>
      <c r="C3131" s="1" t="n">
        <v>46046</v>
      </c>
      <c r="D3131" t="inlineStr">
        <is>
          <t>NORRBOTTENS LÄN</t>
        </is>
      </c>
      <c r="E3131" t="inlineStr">
        <is>
          <t>LULEÅ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26472-2024</t>
        </is>
      </c>
      <c r="B3132" s="1" t="n">
        <v>45469</v>
      </c>
      <c r="C3132" s="1" t="n">
        <v>46046</v>
      </c>
      <c r="D3132" t="inlineStr">
        <is>
          <t>NORRBOTTENS LÄN</t>
        </is>
      </c>
      <c r="E3132" t="inlineStr">
        <is>
          <t>ARJEPLOG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26486-2024</t>
        </is>
      </c>
      <c r="B3133" s="1" t="n">
        <v>45469</v>
      </c>
      <c r="C3133" s="1" t="n">
        <v>46046</v>
      </c>
      <c r="D3133" t="inlineStr">
        <is>
          <t>NORRBOTTENS LÄN</t>
        </is>
      </c>
      <c r="E3133" t="inlineStr">
        <is>
          <t>ARJEPLOG</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36403-2023</t>
        </is>
      </c>
      <c r="B3134" s="1" t="n">
        <v>45152</v>
      </c>
      <c r="C3134" s="1" t="n">
        <v>46046</v>
      </c>
      <c r="D3134" t="inlineStr">
        <is>
          <t>NORRBOTTENS LÄN</t>
        </is>
      </c>
      <c r="E3134" t="inlineStr">
        <is>
          <t>ARVIDSJAUR</t>
        </is>
      </c>
      <c r="F3134" t="inlineStr">
        <is>
          <t>Sveaskog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18166-2023</t>
        </is>
      </c>
      <c r="B3135" s="1" t="n">
        <v>45040.94335648148</v>
      </c>
      <c r="C3135" s="1" t="n">
        <v>46046</v>
      </c>
      <c r="D3135" t="inlineStr">
        <is>
          <t>NORRBOTTENS LÄN</t>
        </is>
      </c>
      <c r="E3135" t="inlineStr">
        <is>
          <t>LULEÅ</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53088-2024</t>
        </is>
      </c>
      <c r="B3136" s="1" t="n">
        <v>45611.51275462963</v>
      </c>
      <c r="C3136" s="1" t="n">
        <v>46046</v>
      </c>
      <c r="D3136" t="inlineStr">
        <is>
          <t>NORRBOTTENS LÄN</t>
        </is>
      </c>
      <c r="E3136" t="inlineStr">
        <is>
          <t>PAJALA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36443-2023</t>
        </is>
      </c>
      <c r="B3137" s="1" t="n">
        <v>45152</v>
      </c>
      <c r="C3137" s="1" t="n">
        <v>46046</v>
      </c>
      <c r="D3137" t="inlineStr">
        <is>
          <t>NORRBOTTENS LÄN</t>
        </is>
      </c>
      <c r="E3137" t="inlineStr">
        <is>
          <t>ARVIDSJAUR</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26887-2025</t>
        </is>
      </c>
      <c r="B3138" s="1" t="n">
        <v>45810.94730324074</v>
      </c>
      <c r="C3138" s="1" t="n">
        <v>46046</v>
      </c>
      <c r="D3138" t="inlineStr">
        <is>
          <t>NORRBOTTENS LÄN</t>
        </is>
      </c>
      <c r="E3138" t="inlineStr">
        <is>
          <t>ÖVERTORNEÅ</t>
        </is>
      </c>
      <c r="F3138" t="inlineStr">
        <is>
          <t>Sveaskog</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69537-2021</t>
        </is>
      </c>
      <c r="B3139" s="1" t="n">
        <v>44531.92215277778</v>
      </c>
      <c r="C3139" s="1" t="n">
        <v>46046</v>
      </c>
      <c r="D3139" t="inlineStr">
        <is>
          <t>NORRBOTTENS LÄN</t>
        </is>
      </c>
      <c r="E3139" t="inlineStr">
        <is>
          <t>PITEÅ</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34074-2022</t>
        </is>
      </c>
      <c r="B3140" s="1" t="n">
        <v>44791</v>
      </c>
      <c r="C3140" s="1" t="n">
        <v>46046</v>
      </c>
      <c r="D3140" t="inlineStr">
        <is>
          <t>NORRBOTTENS LÄN</t>
        </is>
      </c>
      <c r="E3140" t="inlineStr">
        <is>
          <t>PAJALA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60121-2024</t>
        </is>
      </c>
      <c r="B3141" s="1" t="n">
        <v>45642.58465277778</v>
      </c>
      <c r="C3141" s="1" t="n">
        <v>46046</v>
      </c>
      <c r="D3141" t="inlineStr">
        <is>
          <t>NORRBOTTENS LÄN</t>
        </is>
      </c>
      <c r="E3141" t="inlineStr">
        <is>
          <t>LULEÅ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37791-2024</t>
        </is>
      </c>
      <c r="B3142" s="1" t="n">
        <v>45543.34873842593</v>
      </c>
      <c r="C3142" s="1" t="n">
        <v>46046</v>
      </c>
      <c r="D3142" t="inlineStr">
        <is>
          <t>NORRBOTTENS LÄN</t>
        </is>
      </c>
      <c r="E3142" t="inlineStr">
        <is>
          <t>BODEN</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49889-2023</t>
        </is>
      </c>
      <c r="B3143" s="1" t="n">
        <v>45213.65107638889</v>
      </c>
      <c r="C3143" s="1" t="n">
        <v>46046</v>
      </c>
      <c r="D3143" t="inlineStr">
        <is>
          <t>NORRBOTTENS LÄN</t>
        </is>
      </c>
      <c r="E3143" t="inlineStr">
        <is>
          <t>KALIX</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37872-2024</t>
        </is>
      </c>
      <c r="B3144" s="1" t="n">
        <v>45544.4128125</v>
      </c>
      <c r="C3144" s="1" t="n">
        <v>46046</v>
      </c>
      <c r="D3144" t="inlineStr">
        <is>
          <t>NORRBOTTENS LÄN</t>
        </is>
      </c>
      <c r="E3144" t="inlineStr">
        <is>
          <t>BODEN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27069-2025</t>
        </is>
      </c>
      <c r="B3145" s="1" t="n">
        <v>45811.63673611111</v>
      </c>
      <c r="C3145" s="1" t="n">
        <v>46046</v>
      </c>
      <c r="D3145" t="inlineStr">
        <is>
          <t>NORRBOTTENS LÄN</t>
        </is>
      </c>
      <c r="E3145" t="inlineStr">
        <is>
          <t>PITEÅ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20173-2025</t>
        </is>
      </c>
      <c r="B3146" s="1" t="n">
        <v>45772</v>
      </c>
      <c r="C3146" s="1" t="n">
        <v>46046</v>
      </c>
      <c r="D3146" t="inlineStr">
        <is>
          <t>NORRBOTTENS LÄN</t>
        </is>
      </c>
      <c r="E3146" t="inlineStr">
        <is>
          <t>ÖVERTORNEÅ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37384-2023</t>
        </is>
      </c>
      <c r="B3147" s="1" t="n">
        <v>45156</v>
      </c>
      <c r="C3147" s="1" t="n">
        <v>46046</v>
      </c>
      <c r="D3147" t="inlineStr">
        <is>
          <t>NORRBOTTENS LÄN</t>
        </is>
      </c>
      <c r="E3147" t="inlineStr">
        <is>
          <t>BODEN</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20402-2024</t>
        </is>
      </c>
      <c r="B3148" s="1" t="n">
        <v>45435</v>
      </c>
      <c r="C3148" s="1" t="n">
        <v>46046</v>
      </c>
      <c r="D3148" t="inlineStr">
        <is>
          <t>NORRBOTTENS LÄN</t>
        </is>
      </c>
      <c r="E3148" t="inlineStr">
        <is>
          <t>PITEÅ</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30364-2024</t>
        </is>
      </c>
      <c r="B3149" s="1" t="n">
        <v>45491</v>
      </c>
      <c r="C3149" s="1" t="n">
        <v>46046</v>
      </c>
      <c r="D3149" t="inlineStr">
        <is>
          <t>NORRBOTTENS LÄN</t>
        </is>
      </c>
      <c r="E3149" t="inlineStr">
        <is>
          <t>GÄLLIVARE</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17897-2025</t>
        </is>
      </c>
      <c r="B3150" s="1" t="n">
        <v>45758.69814814815</v>
      </c>
      <c r="C3150" s="1" t="n">
        <v>46046</v>
      </c>
      <c r="D3150" t="inlineStr">
        <is>
          <t>NORRBOTTENS LÄN</t>
        </is>
      </c>
      <c r="E3150" t="inlineStr">
        <is>
          <t>LULEÅ</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8571-2025</t>
        </is>
      </c>
      <c r="B3151" s="1" t="n">
        <v>45709.64082175926</v>
      </c>
      <c r="C3151" s="1" t="n">
        <v>46046</v>
      </c>
      <c r="D3151" t="inlineStr">
        <is>
          <t>NORRBOTTENS LÄN</t>
        </is>
      </c>
      <c r="E3151" t="inlineStr">
        <is>
          <t>BODEN</t>
        </is>
      </c>
      <c r="F3151" t="inlineStr">
        <is>
          <t>Övriga Aktiebolag</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16557-2023</t>
        </is>
      </c>
      <c r="B3152" s="1" t="n">
        <v>45029.92474537037</v>
      </c>
      <c r="C3152" s="1" t="n">
        <v>46046</v>
      </c>
      <c r="D3152" t="inlineStr">
        <is>
          <t>NORRBOTTENS LÄN</t>
        </is>
      </c>
      <c r="E3152" t="inlineStr">
        <is>
          <t>PITEÅ</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22419-2024</t>
        </is>
      </c>
      <c r="B3153" s="1" t="n">
        <v>45446</v>
      </c>
      <c r="C3153" s="1" t="n">
        <v>46046</v>
      </c>
      <c r="D3153" t="inlineStr">
        <is>
          <t>NORRBOTTENS LÄN</t>
        </is>
      </c>
      <c r="E3153" t="inlineStr">
        <is>
          <t>ÖVERTORNEÅ</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44869-2024</t>
        </is>
      </c>
      <c r="B3154" s="1" t="n">
        <v>45575.33265046297</v>
      </c>
      <c r="C3154" s="1" t="n">
        <v>46046</v>
      </c>
      <c r="D3154" t="inlineStr">
        <is>
          <t>NORRBOTTENS LÄN</t>
        </is>
      </c>
      <c r="E3154" t="inlineStr">
        <is>
          <t>ÖVERTORNEÅ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46564-2022</t>
        </is>
      </c>
      <c r="B3155" s="1" t="n">
        <v>44847</v>
      </c>
      <c r="C3155" s="1" t="n">
        <v>46046</v>
      </c>
      <c r="D3155" t="inlineStr">
        <is>
          <t>NORRBOTTENS LÄN</t>
        </is>
      </c>
      <c r="E3155" t="inlineStr">
        <is>
          <t>BODEN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44897-2024</t>
        </is>
      </c>
      <c r="B3156" s="1" t="n">
        <v>45575.36655092592</v>
      </c>
      <c r="C3156" s="1" t="n">
        <v>46046</v>
      </c>
      <c r="D3156" t="inlineStr">
        <is>
          <t>NORRBOTTENS LÄN</t>
        </is>
      </c>
      <c r="E3156" t="inlineStr">
        <is>
          <t>KALIX</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55644-2023</t>
        </is>
      </c>
      <c r="B3157" s="1" t="n">
        <v>45238</v>
      </c>
      <c r="C3157" s="1" t="n">
        <v>46046</v>
      </c>
      <c r="D3157" t="inlineStr">
        <is>
          <t>NORRBOTTENS LÄN</t>
        </is>
      </c>
      <c r="E3157" t="inlineStr">
        <is>
          <t>GÄLLIVARE</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56474-2023</t>
        </is>
      </c>
      <c r="B3158" s="1" t="n">
        <v>45243.48854166667</v>
      </c>
      <c r="C3158" s="1" t="n">
        <v>46046</v>
      </c>
      <c r="D3158" t="inlineStr">
        <is>
          <t>NORRBOTTENS LÄN</t>
        </is>
      </c>
      <c r="E3158" t="inlineStr">
        <is>
          <t>BODEN</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49162-2023</t>
        </is>
      </c>
      <c r="B3159" s="1" t="n">
        <v>45210.53141203704</v>
      </c>
      <c r="C3159" s="1" t="n">
        <v>46046</v>
      </c>
      <c r="D3159" t="inlineStr">
        <is>
          <t>NORRBOTTENS LÄN</t>
        </is>
      </c>
      <c r="E3159" t="inlineStr">
        <is>
          <t>BODEN</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15529-2025</t>
        </is>
      </c>
      <c r="B3160" s="1" t="n">
        <v>45747.63579861111</v>
      </c>
      <c r="C3160" s="1" t="n">
        <v>46046</v>
      </c>
      <c r="D3160" t="inlineStr">
        <is>
          <t>NORRBOTTENS LÄN</t>
        </is>
      </c>
      <c r="E3160" t="inlineStr">
        <is>
          <t>PITEÅ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8806-2025</t>
        </is>
      </c>
      <c r="B3161" s="1" t="n">
        <v>45712.66653935185</v>
      </c>
      <c r="C3161" s="1" t="n">
        <v>46046</v>
      </c>
      <c r="D3161" t="inlineStr">
        <is>
          <t>NORRBOTTENS LÄN</t>
        </is>
      </c>
      <c r="E3161" t="inlineStr">
        <is>
          <t>PAJALA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27280-2025</t>
        </is>
      </c>
      <c r="B3162" s="1" t="n">
        <v>45812</v>
      </c>
      <c r="C3162" s="1" t="n">
        <v>46046</v>
      </c>
      <c r="D3162" t="inlineStr">
        <is>
          <t>NORRBOTTENS LÄN</t>
        </is>
      </c>
      <c r="E3162" t="inlineStr">
        <is>
          <t>ÄLVSBYN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27593-2025</t>
        </is>
      </c>
      <c r="B3163" s="1" t="n">
        <v>45813</v>
      </c>
      <c r="C3163" s="1" t="n">
        <v>46046</v>
      </c>
      <c r="D3163" t="inlineStr">
        <is>
          <t>NORRBOTTENS LÄN</t>
        </is>
      </c>
      <c r="E3163" t="inlineStr">
        <is>
          <t>HAPARANDA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29490-2023</t>
        </is>
      </c>
      <c r="B3164" s="1" t="n">
        <v>45098</v>
      </c>
      <c r="C3164" s="1" t="n">
        <v>46046</v>
      </c>
      <c r="D3164" t="inlineStr">
        <is>
          <t>NORRBOTTENS LÄN</t>
        </is>
      </c>
      <c r="E3164" t="inlineStr">
        <is>
          <t>LULEÅ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29510-2023</t>
        </is>
      </c>
      <c r="B3165" s="1" t="n">
        <v>45098</v>
      </c>
      <c r="C3165" s="1" t="n">
        <v>46046</v>
      </c>
      <c r="D3165" t="inlineStr">
        <is>
          <t>NORRBOTTENS LÄN</t>
        </is>
      </c>
      <c r="E3165" t="inlineStr">
        <is>
          <t>LULEÅ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27604-2025</t>
        </is>
      </c>
      <c r="B3166" s="1" t="n">
        <v>45813.53178240741</v>
      </c>
      <c r="C3166" s="1" t="n">
        <v>46046</v>
      </c>
      <c r="D3166" t="inlineStr">
        <is>
          <t>NORRBOTTENS LÄN</t>
        </is>
      </c>
      <c r="E3166" t="inlineStr">
        <is>
          <t>BODEN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27461-2025</t>
        </is>
      </c>
      <c r="B3167" s="1" t="n">
        <v>45813</v>
      </c>
      <c r="C3167" s="1" t="n">
        <v>46046</v>
      </c>
      <c r="D3167" t="inlineStr">
        <is>
          <t>NORRBOTTENS LÄN</t>
        </is>
      </c>
      <c r="E3167" t="inlineStr">
        <is>
          <t>ÖVERKALIX</t>
        </is>
      </c>
      <c r="F3167" t="inlineStr">
        <is>
          <t>SCA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27463-2025</t>
        </is>
      </c>
      <c r="B3168" s="1" t="n">
        <v>45813.34618055556</v>
      </c>
      <c r="C3168" s="1" t="n">
        <v>46046</v>
      </c>
      <c r="D3168" t="inlineStr">
        <is>
          <t>NORRBOTTENS LÄN</t>
        </is>
      </c>
      <c r="E3168" t="inlineStr">
        <is>
          <t>LULEÅ</t>
        </is>
      </c>
      <c r="F3168" t="inlineStr">
        <is>
          <t>Naturvårdsverket</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27497-2025</t>
        </is>
      </c>
      <c r="B3169" s="1" t="n">
        <v>45813</v>
      </c>
      <c r="C3169" s="1" t="n">
        <v>46046</v>
      </c>
      <c r="D3169" t="inlineStr">
        <is>
          <t>NORRBOTTENS LÄN</t>
        </is>
      </c>
      <c r="E3169" t="inlineStr">
        <is>
          <t>ÖVERTORNEÅ</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27451-2025</t>
        </is>
      </c>
      <c r="B3170" s="1" t="n">
        <v>45813.34421296296</v>
      </c>
      <c r="C3170" s="1" t="n">
        <v>46046</v>
      </c>
      <c r="D3170" t="inlineStr">
        <is>
          <t>NORRBOTTENS LÄN</t>
        </is>
      </c>
      <c r="E3170" t="inlineStr">
        <is>
          <t>ÖVERKALIX</t>
        </is>
      </c>
      <c r="F3170" t="inlineStr">
        <is>
          <t>SCA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9314-2025</t>
        </is>
      </c>
      <c r="B3171" s="1" t="n">
        <v>45714.69826388889</v>
      </c>
      <c r="C3171" s="1" t="n">
        <v>46046</v>
      </c>
      <c r="D3171" t="inlineStr">
        <is>
          <t>NORRBOTTENS LÄN</t>
        </is>
      </c>
      <c r="E3171" t="inlineStr">
        <is>
          <t>BODEN</t>
        </is>
      </c>
      <c r="F3171" t="inlineStr">
        <is>
          <t>SCA</t>
        </is>
      </c>
      <c r="G3171" t="n">
        <v>30</v>
      </c>
      <c r="H3171" t="n">
        <v>0</v>
      </c>
      <c r="I3171" t="n">
        <v>0</v>
      </c>
      <c r="J3171" t="n">
        <v>0</v>
      </c>
      <c r="K3171" t="n">
        <v>0</v>
      </c>
      <c r="L3171" t="n">
        <v>0</v>
      </c>
      <c r="M3171" t="n">
        <v>0</v>
      </c>
      <c r="N3171" t="n">
        <v>0</v>
      </c>
      <c r="O3171" t="n">
        <v>0</v>
      </c>
      <c r="P3171" t="n">
        <v>0</v>
      </c>
      <c r="Q3171" t="n">
        <v>0</v>
      </c>
      <c r="R3171" s="2" t="inlineStr"/>
    </row>
    <row r="3172" ht="15" customHeight="1">
      <c r="A3172" t="inlineStr">
        <is>
          <t>A 27456-2025</t>
        </is>
      </c>
      <c r="B3172" s="1" t="n">
        <v>45813.3452662037</v>
      </c>
      <c r="C3172" s="1" t="n">
        <v>46046</v>
      </c>
      <c r="D3172" t="inlineStr">
        <is>
          <t>NORRBOTTENS LÄN</t>
        </is>
      </c>
      <c r="E3172" t="inlineStr">
        <is>
          <t>ÖVERKALIX</t>
        </is>
      </c>
      <c r="F3172" t="inlineStr">
        <is>
          <t>SCA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27457-2025</t>
        </is>
      </c>
      <c r="B3173" s="1" t="n">
        <v>45813.34533564815</v>
      </c>
      <c r="C3173" s="1" t="n">
        <v>46046</v>
      </c>
      <c r="D3173" t="inlineStr">
        <is>
          <t>NORRBOTTENS LÄN</t>
        </is>
      </c>
      <c r="E3173" t="inlineStr">
        <is>
          <t>ÖVERKALIX</t>
        </is>
      </c>
      <c r="F3173" t="inlineStr">
        <is>
          <t>SCA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656-2025</t>
        </is>
      </c>
      <c r="B3174" s="1" t="n">
        <v>45661</v>
      </c>
      <c r="C3174" s="1" t="n">
        <v>46046</v>
      </c>
      <c r="D3174" t="inlineStr">
        <is>
          <t>NORRBOTTENS LÄN</t>
        </is>
      </c>
      <c r="E3174" t="inlineStr">
        <is>
          <t>LULEÅ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1058-2025</t>
        </is>
      </c>
      <c r="B3175" s="1" t="n">
        <v>45665</v>
      </c>
      <c r="C3175" s="1" t="n">
        <v>46046</v>
      </c>
      <c r="D3175" t="inlineStr">
        <is>
          <t>NORRBOTTENS LÄN</t>
        </is>
      </c>
      <c r="E3175" t="inlineStr">
        <is>
          <t>LULEÅ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13212-2023</t>
        </is>
      </c>
      <c r="B3176" s="1" t="n">
        <v>45002</v>
      </c>
      <c r="C3176" s="1" t="n">
        <v>46046</v>
      </c>
      <c r="D3176" t="inlineStr">
        <is>
          <t>NORRBOTTENS LÄN</t>
        </is>
      </c>
      <c r="E3176" t="inlineStr">
        <is>
          <t>PAJALA</t>
        </is>
      </c>
      <c r="F3176" t="inlineStr">
        <is>
          <t>Allmännings- och besparingsskogar</t>
        </is>
      </c>
      <c r="G3176" t="n">
        <v>46.9</v>
      </c>
      <c r="H3176" t="n">
        <v>0</v>
      </c>
      <c r="I3176" t="n">
        <v>0</v>
      </c>
      <c r="J3176" t="n">
        <v>0</v>
      </c>
      <c r="K3176" t="n">
        <v>0</v>
      </c>
      <c r="L3176" t="n">
        <v>0</v>
      </c>
      <c r="M3176" t="n">
        <v>0</v>
      </c>
      <c r="N3176" t="n">
        <v>0</v>
      </c>
      <c r="O3176" t="n">
        <v>0</v>
      </c>
      <c r="P3176" t="n">
        <v>0</v>
      </c>
      <c r="Q3176" t="n">
        <v>0</v>
      </c>
      <c r="R3176" s="2" t="inlineStr"/>
    </row>
    <row r="3177" ht="15" customHeight="1">
      <c r="A3177" t="inlineStr">
        <is>
          <t>A 50303-2022</t>
        </is>
      </c>
      <c r="B3177" s="1" t="n">
        <v>44865</v>
      </c>
      <c r="C3177" s="1" t="n">
        <v>46046</v>
      </c>
      <c r="D3177" t="inlineStr">
        <is>
          <t>NORRBOTTENS LÄN</t>
        </is>
      </c>
      <c r="E3177" t="inlineStr">
        <is>
          <t>ARVIDSJAUR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27613-2025</t>
        </is>
      </c>
      <c r="B3178" s="1" t="n">
        <v>45813.54103009259</v>
      </c>
      <c r="C3178" s="1" t="n">
        <v>46046</v>
      </c>
      <c r="D3178" t="inlineStr">
        <is>
          <t>NORRBOTTENS LÄN</t>
        </is>
      </c>
      <c r="E3178" t="inlineStr">
        <is>
          <t>ÖVERKALIX</t>
        </is>
      </c>
      <c r="G3178" t="n">
        <v>11.9</v>
      </c>
      <c r="H3178" t="n">
        <v>0</v>
      </c>
      <c r="I3178" t="n">
        <v>0</v>
      </c>
      <c r="J3178" t="n">
        <v>0</v>
      </c>
      <c r="K3178" t="n">
        <v>0</v>
      </c>
      <c r="L3178" t="n">
        <v>0</v>
      </c>
      <c r="M3178" t="n">
        <v>0</v>
      </c>
      <c r="N3178" t="n">
        <v>0</v>
      </c>
      <c r="O3178" t="n">
        <v>0</v>
      </c>
      <c r="P3178" t="n">
        <v>0</v>
      </c>
      <c r="Q3178" t="n">
        <v>0</v>
      </c>
      <c r="R3178" s="2" t="inlineStr"/>
    </row>
    <row r="3179" ht="15" customHeight="1">
      <c r="A3179" t="inlineStr">
        <is>
          <t>A 7880-2025</t>
        </is>
      </c>
      <c r="B3179" s="1" t="n">
        <v>45706.785</v>
      </c>
      <c r="C3179" s="1" t="n">
        <v>46046</v>
      </c>
      <c r="D3179" t="inlineStr">
        <is>
          <t>NORRBOTTENS LÄN</t>
        </is>
      </c>
      <c r="E3179" t="inlineStr">
        <is>
          <t>LULEÅ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55772-2022</t>
        </is>
      </c>
      <c r="B3180" s="1" t="n">
        <v>44886</v>
      </c>
      <c r="C3180" s="1" t="n">
        <v>46046</v>
      </c>
      <c r="D3180" t="inlineStr">
        <is>
          <t>NORRBOTTENS LÄN</t>
        </is>
      </c>
      <c r="E3180" t="inlineStr">
        <is>
          <t>ÖVERKALIX</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58038-2024</t>
        </is>
      </c>
      <c r="B3181" s="1" t="n">
        <v>45631.71950231482</v>
      </c>
      <c r="C3181" s="1" t="n">
        <v>46046</v>
      </c>
      <c r="D3181" t="inlineStr">
        <is>
          <t>NORRBOTTENS LÄN</t>
        </is>
      </c>
      <c r="E3181" t="inlineStr">
        <is>
          <t>ÖVERKALIX</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25578-2024</t>
        </is>
      </c>
      <c r="B3182" s="1" t="n">
        <v>45463</v>
      </c>
      <c r="C3182" s="1" t="n">
        <v>46046</v>
      </c>
      <c r="D3182" t="inlineStr">
        <is>
          <t>NORRBOTTENS LÄN</t>
        </is>
      </c>
      <c r="E3182" t="inlineStr">
        <is>
          <t>LULEÅ</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27526-2025</t>
        </is>
      </c>
      <c r="B3183" s="1" t="n">
        <v>45813</v>
      </c>
      <c r="C3183" s="1" t="n">
        <v>46046</v>
      </c>
      <c r="D3183" t="inlineStr">
        <is>
          <t>NORRBOTTENS LÄN</t>
        </is>
      </c>
      <c r="E3183" t="inlineStr">
        <is>
          <t>LULEÅ</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659-2024</t>
        </is>
      </c>
      <c r="B3184" s="1" t="n">
        <v>45299.93310185185</v>
      </c>
      <c r="C3184" s="1" t="n">
        <v>46046</v>
      </c>
      <c r="D3184" t="inlineStr">
        <is>
          <t>NORRBOTTENS LÄN</t>
        </is>
      </c>
      <c r="E3184" t="inlineStr">
        <is>
          <t>KALIX</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12462-2025</t>
        </is>
      </c>
      <c r="B3185" s="1" t="n">
        <v>45730.53193287037</v>
      </c>
      <c r="C3185" s="1" t="n">
        <v>46046</v>
      </c>
      <c r="D3185" t="inlineStr">
        <is>
          <t>NORRBOTTENS LÄN</t>
        </is>
      </c>
      <c r="E3185" t="inlineStr">
        <is>
          <t>KALIX</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29797-2022</t>
        </is>
      </c>
      <c r="B3186" s="1" t="n">
        <v>44755</v>
      </c>
      <c r="C3186" s="1" t="n">
        <v>46046</v>
      </c>
      <c r="D3186" t="inlineStr">
        <is>
          <t>NORRBOTTENS LÄN</t>
        </is>
      </c>
      <c r="E3186" t="inlineStr">
        <is>
          <t>BODEN</t>
        </is>
      </c>
      <c r="F3186" t="inlineStr">
        <is>
          <t>Kyrkan</t>
        </is>
      </c>
      <c r="G3186" t="n">
        <v>29.2</v>
      </c>
      <c r="H3186" t="n">
        <v>0</v>
      </c>
      <c r="I3186" t="n">
        <v>0</v>
      </c>
      <c r="J3186" t="n">
        <v>0</v>
      </c>
      <c r="K3186" t="n">
        <v>0</v>
      </c>
      <c r="L3186" t="n">
        <v>0</v>
      </c>
      <c r="M3186" t="n">
        <v>0</v>
      </c>
      <c r="N3186" t="n">
        <v>0</v>
      </c>
      <c r="O3186" t="n">
        <v>0</v>
      </c>
      <c r="P3186" t="n">
        <v>0</v>
      </c>
      <c r="Q3186" t="n">
        <v>0</v>
      </c>
      <c r="R3186" s="2" t="inlineStr"/>
    </row>
    <row r="3187" ht="15" customHeight="1">
      <c r="A3187" t="inlineStr">
        <is>
          <t>A 51350-2024</t>
        </is>
      </c>
      <c r="B3187" s="1" t="n">
        <v>45604.35761574074</v>
      </c>
      <c r="C3187" s="1" t="n">
        <v>46046</v>
      </c>
      <c r="D3187" t="inlineStr">
        <is>
          <t>NORRBOTTENS LÄN</t>
        </is>
      </c>
      <c r="E3187" t="inlineStr">
        <is>
          <t>PITEÅ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17068-2024</t>
        </is>
      </c>
      <c r="B3188" s="1" t="n">
        <v>45412</v>
      </c>
      <c r="C3188" s="1" t="n">
        <v>46046</v>
      </c>
      <c r="D3188" t="inlineStr">
        <is>
          <t>NORRBOTTENS LÄN</t>
        </is>
      </c>
      <c r="E3188" t="inlineStr">
        <is>
          <t>ÖVERTORNEÅ</t>
        </is>
      </c>
      <c r="F3188" t="inlineStr">
        <is>
          <t>Naturvårdsverket</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41487-2024</t>
        </is>
      </c>
      <c r="B3189" s="1" t="n">
        <v>45560.44918981481</v>
      </c>
      <c r="C3189" s="1" t="n">
        <v>46046</v>
      </c>
      <c r="D3189" t="inlineStr">
        <is>
          <t>NORRBOTTENS LÄN</t>
        </is>
      </c>
      <c r="E3189" t="inlineStr">
        <is>
          <t>BODEN</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27602-2025</t>
        </is>
      </c>
      <c r="B3190" s="1" t="n">
        <v>45813</v>
      </c>
      <c r="C3190" s="1" t="n">
        <v>46046</v>
      </c>
      <c r="D3190" t="inlineStr">
        <is>
          <t>NORRBOTTENS LÄN</t>
        </is>
      </c>
      <c r="E3190" t="inlineStr">
        <is>
          <t>BODEN</t>
        </is>
      </c>
      <c r="F3190" t="inlineStr">
        <is>
          <t>SCA</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42133-2021</t>
        </is>
      </c>
      <c r="B3191" s="1" t="n">
        <v>44426</v>
      </c>
      <c r="C3191" s="1" t="n">
        <v>46046</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15124-2024</t>
        </is>
      </c>
      <c r="B3192" s="1" t="n">
        <v>45399.75060185185</v>
      </c>
      <c r="C3192" s="1" t="n">
        <v>46046</v>
      </c>
      <c r="D3192" t="inlineStr">
        <is>
          <t>NORRBOTTENS LÄN</t>
        </is>
      </c>
      <c r="E3192" t="inlineStr">
        <is>
          <t>PAJALA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1497-2022</t>
        </is>
      </c>
      <c r="B3193" s="1" t="n">
        <v>44573</v>
      </c>
      <c r="C3193" s="1" t="n">
        <v>46046</v>
      </c>
      <c r="D3193" t="inlineStr">
        <is>
          <t>NORRBOTTENS LÄN</t>
        </is>
      </c>
      <c r="E3193" t="inlineStr">
        <is>
          <t>BODEN</t>
        </is>
      </c>
      <c r="F3193" t="inlineStr">
        <is>
          <t>Övriga statliga verk och myndigheter</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47194-2024</t>
        </is>
      </c>
      <c r="B3194" s="1" t="n">
        <v>45586.63030092593</v>
      </c>
      <c r="C3194" s="1" t="n">
        <v>46046</v>
      </c>
      <c r="D3194" t="inlineStr">
        <is>
          <t>NORRBOTTENS LÄN</t>
        </is>
      </c>
      <c r="E3194" t="inlineStr">
        <is>
          <t>PITEÅ</t>
        </is>
      </c>
      <c r="F3194" t="inlineStr">
        <is>
          <t>Sveaskog</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54284-2021</t>
        </is>
      </c>
      <c r="B3195" s="1" t="n">
        <v>44471</v>
      </c>
      <c r="C3195" s="1" t="n">
        <v>46046</v>
      </c>
      <c r="D3195" t="inlineStr">
        <is>
          <t>NORRBOTTENS LÄN</t>
        </is>
      </c>
      <c r="E3195" t="inlineStr">
        <is>
          <t>PAJALA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23968-2021</t>
        </is>
      </c>
      <c r="B3196" s="1" t="n">
        <v>44335</v>
      </c>
      <c r="C3196" s="1" t="n">
        <v>46046</v>
      </c>
      <c r="D3196" t="inlineStr">
        <is>
          <t>NORRBOTTENS LÄN</t>
        </is>
      </c>
      <c r="E3196" t="inlineStr">
        <is>
          <t>KALIX</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57563-2023</t>
        </is>
      </c>
      <c r="B3197" s="1" t="n">
        <v>45246</v>
      </c>
      <c r="C3197" s="1" t="n">
        <v>46046</v>
      </c>
      <c r="D3197" t="inlineStr">
        <is>
          <t>NORRBOTTENS LÄN</t>
        </is>
      </c>
      <c r="E3197" t="inlineStr">
        <is>
          <t>BODEN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39775-2023</t>
        </is>
      </c>
      <c r="B3198" s="1" t="n">
        <v>45167</v>
      </c>
      <c r="C3198" s="1" t="n">
        <v>46046</v>
      </c>
      <c r="D3198" t="inlineStr">
        <is>
          <t>NORRBOTTENS LÄN</t>
        </is>
      </c>
      <c r="E3198" t="inlineStr">
        <is>
          <t>ÖVERTORNEÅ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1944-2022</t>
        </is>
      </c>
      <c r="B3199" s="1" t="n">
        <v>44575</v>
      </c>
      <c r="C3199" s="1" t="n">
        <v>46046</v>
      </c>
      <c r="D3199" t="inlineStr">
        <is>
          <t>NORRBOTTENS LÄN</t>
        </is>
      </c>
      <c r="E3199" t="inlineStr">
        <is>
          <t>ÖVERKALIX</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27452-2025</t>
        </is>
      </c>
      <c r="B3200" s="1" t="n">
        <v>45813.34443287037</v>
      </c>
      <c r="C3200" s="1" t="n">
        <v>46046</v>
      </c>
      <c r="D3200" t="inlineStr">
        <is>
          <t>NORRBOTTENS LÄN</t>
        </is>
      </c>
      <c r="E3200" t="inlineStr">
        <is>
          <t>ÖVERKALIX</t>
        </is>
      </c>
      <c r="F3200" t="inlineStr">
        <is>
          <t>SCA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60888-2021</t>
        </is>
      </c>
      <c r="B3201" s="1" t="n">
        <v>44497</v>
      </c>
      <c r="C3201" s="1" t="n">
        <v>46046</v>
      </c>
      <c r="D3201" t="inlineStr">
        <is>
          <t>NORRBOTTENS LÄN</t>
        </is>
      </c>
      <c r="E3201" t="inlineStr">
        <is>
          <t>ARVIDSJAUR</t>
        </is>
      </c>
      <c r="F3201" t="inlineStr">
        <is>
          <t>Sveaskog</t>
        </is>
      </c>
      <c r="G3201" t="n">
        <v>12.1</v>
      </c>
      <c r="H3201" t="n">
        <v>0</v>
      </c>
      <c r="I3201" t="n">
        <v>0</v>
      </c>
      <c r="J3201" t="n">
        <v>0</v>
      </c>
      <c r="K3201" t="n">
        <v>0</v>
      </c>
      <c r="L3201" t="n">
        <v>0</v>
      </c>
      <c r="M3201" t="n">
        <v>0</v>
      </c>
      <c r="N3201" t="n">
        <v>0</v>
      </c>
      <c r="O3201" t="n">
        <v>0</v>
      </c>
      <c r="P3201" t="n">
        <v>0</v>
      </c>
      <c r="Q3201" t="n">
        <v>0</v>
      </c>
      <c r="R3201" s="2" t="inlineStr"/>
    </row>
    <row r="3202" ht="15" customHeight="1">
      <c r="A3202" t="inlineStr">
        <is>
          <t>A 58500-2024</t>
        </is>
      </c>
      <c r="B3202" s="1" t="n">
        <v>45635.41246527778</v>
      </c>
      <c r="C3202" s="1" t="n">
        <v>46046</v>
      </c>
      <c r="D3202" t="inlineStr">
        <is>
          <t>NORRBOTTENS LÄN</t>
        </is>
      </c>
      <c r="E3202" t="inlineStr">
        <is>
          <t>BODEN</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27605-2025</t>
        </is>
      </c>
      <c r="B3203" s="1" t="n">
        <v>45813</v>
      </c>
      <c r="C3203" s="1" t="n">
        <v>46046</v>
      </c>
      <c r="D3203" t="inlineStr">
        <is>
          <t>NORRBOTTENS LÄN</t>
        </is>
      </c>
      <c r="E3203" t="inlineStr">
        <is>
          <t>BODEN</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52397-2023</t>
        </is>
      </c>
      <c r="B3204" s="1" t="n">
        <v>45224</v>
      </c>
      <c r="C3204" s="1" t="n">
        <v>46046</v>
      </c>
      <c r="D3204" t="inlineStr">
        <is>
          <t>NORRBOTTENS LÄN</t>
        </is>
      </c>
      <c r="E3204" t="inlineStr">
        <is>
          <t>ÄLVSBYN</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44121-2023</t>
        </is>
      </c>
      <c r="B3205" s="1" t="n">
        <v>45188.45032407407</v>
      </c>
      <c r="C3205" s="1" t="n">
        <v>46046</v>
      </c>
      <c r="D3205" t="inlineStr">
        <is>
          <t>NORRBOTTENS LÄN</t>
        </is>
      </c>
      <c r="E3205" t="inlineStr">
        <is>
          <t>PITEÅ</t>
        </is>
      </c>
      <c r="F3205" t="inlineStr">
        <is>
          <t>Sveaskog</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48760-2023</t>
        </is>
      </c>
      <c r="B3206" s="1" t="n">
        <v>45208.92326388889</v>
      </c>
      <c r="C3206" s="1" t="n">
        <v>46046</v>
      </c>
      <c r="D3206" t="inlineStr">
        <is>
          <t>NORRBOTTENS LÄN</t>
        </is>
      </c>
      <c r="E3206" t="inlineStr">
        <is>
          <t>GÄLLIVARE</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48950-2022</t>
        </is>
      </c>
      <c r="B3207" s="1" t="n">
        <v>44859.95792824074</v>
      </c>
      <c r="C3207" s="1" t="n">
        <v>46046</v>
      </c>
      <c r="D3207" t="inlineStr">
        <is>
          <t>NORRBOTTENS LÄN</t>
        </is>
      </c>
      <c r="E3207" t="inlineStr">
        <is>
          <t>BODEN</t>
        </is>
      </c>
      <c r="F3207" t="inlineStr">
        <is>
          <t>SCA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27458-2025</t>
        </is>
      </c>
      <c r="B3208" s="1" t="n">
        <v>45813.34540509259</v>
      </c>
      <c r="C3208" s="1" t="n">
        <v>46046</v>
      </c>
      <c r="D3208" t="inlineStr">
        <is>
          <t>NORRBOTTENS LÄN</t>
        </is>
      </c>
      <c r="E3208" t="inlineStr">
        <is>
          <t>ÖVERKALIX</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27462-2025</t>
        </is>
      </c>
      <c r="B3209" s="1" t="n">
        <v>45813.34603009259</v>
      </c>
      <c r="C3209" s="1" t="n">
        <v>46046</v>
      </c>
      <c r="D3209" t="inlineStr">
        <is>
          <t>NORRBOTTENS LÄN</t>
        </is>
      </c>
      <c r="E3209" t="inlineStr">
        <is>
          <t>KALIX</t>
        </is>
      </c>
      <c r="F3209" t="inlineStr">
        <is>
          <t>SCA</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42148-2024</t>
        </is>
      </c>
      <c r="B3210" s="1" t="n">
        <v>45562</v>
      </c>
      <c r="C3210" s="1" t="n">
        <v>46046</v>
      </c>
      <c r="D3210" t="inlineStr">
        <is>
          <t>NORRBOTTENS LÄN</t>
        </is>
      </c>
      <c r="E3210" t="inlineStr">
        <is>
          <t>PAJALA</t>
        </is>
      </c>
      <c r="F3210" t="inlineStr">
        <is>
          <t>Sveaskog</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9854-2023</t>
        </is>
      </c>
      <c r="B3211" s="1" t="n">
        <v>44984</v>
      </c>
      <c r="C3211" s="1" t="n">
        <v>46046</v>
      </c>
      <c r="D3211" t="inlineStr">
        <is>
          <t>NORRBOTTENS LÄN</t>
        </is>
      </c>
      <c r="E3211" t="inlineStr">
        <is>
          <t>JOKKMOKK</t>
        </is>
      </c>
      <c r="F3211" t="inlineStr">
        <is>
          <t>SCA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9859-2023</t>
        </is>
      </c>
      <c r="B3212" s="1" t="n">
        <v>44984.93940972222</v>
      </c>
      <c r="C3212" s="1" t="n">
        <v>46046</v>
      </c>
      <c r="D3212" t="inlineStr">
        <is>
          <t>NORRBOTTENS LÄN</t>
        </is>
      </c>
      <c r="E3212" t="inlineStr">
        <is>
          <t>JOKKMOKK</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9864-2023</t>
        </is>
      </c>
      <c r="B3213" s="1" t="n">
        <v>44984</v>
      </c>
      <c r="C3213" s="1" t="n">
        <v>46046</v>
      </c>
      <c r="D3213" t="inlineStr">
        <is>
          <t>NORRBOTTENS LÄN</t>
        </is>
      </c>
      <c r="E3213" t="inlineStr">
        <is>
          <t>JOKKMOKK</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17175-2024</t>
        </is>
      </c>
      <c r="B3214" s="1" t="n">
        <v>45412</v>
      </c>
      <c r="C3214" s="1" t="n">
        <v>46046</v>
      </c>
      <c r="D3214" t="inlineStr">
        <is>
          <t>NORRBOTTENS LÄN</t>
        </is>
      </c>
      <c r="E3214" t="inlineStr">
        <is>
          <t>LULEÅ</t>
        </is>
      </c>
      <c r="F3214" t="inlineStr">
        <is>
          <t>SCA</t>
        </is>
      </c>
      <c r="G3214" t="n">
        <v>18.5</v>
      </c>
      <c r="H3214" t="n">
        <v>0</v>
      </c>
      <c r="I3214" t="n">
        <v>0</v>
      </c>
      <c r="J3214" t="n">
        <v>0</v>
      </c>
      <c r="K3214" t="n">
        <v>0</v>
      </c>
      <c r="L3214" t="n">
        <v>0</v>
      </c>
      <c r="M3214" t="n">
        <v>0</v>
      </c>
      <c r="N3214" t="n">
        <v>0</v>
      </c>
      <c r="O3214" t="n">
        <v>0</v>
      </c>
      <c r="P3214" t="n">
        <v>0</v>
      </c>
      <c r="Q3214" t="n">
        <v>0</v>
      </c>
      <c r="R3214" s="2" t="inlineStr"/>
    </row>
    <row r="3215" ht="15" customHeight="1">
      <c r="A3215" t="inlineStr">
        <is>
          <t>A 526-2025</t>
        </is>
      </c>
      <c r="B3215" s="1" t="n">
        <v>45664</v>
      </c>
      <c r="C3215" s="1" t="n">
        <v>46046</v>
      </c>
      <c r="D3215" t="inlineStr">
        <is>
          <t>NORRBOTTENS LÄN</t>
        </is>
      </c>
      <c r="E3215" t="inlineStr">
        <is>
          <t>ARJEPLOG</t>
        </is>
      </c>
      <c r="F3215" t="inlineStr">
        <is>
          <t>Övriga statliga verk och myndigheter</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73774-2021</t>
        </is>
      </c>
      <c r="B3216" s="1" t="n">
        <v>44552</v>
      </c>
      <c r="C3216" s="1" t="n">
        <v>46046</v>
      </c>
      <c r="D3216" t="inlineStr">
        <is>
          <t>NORRBOTTENS LÄN</t>
        </is>
      </c>
      <c r="E3216" t="inlineStr">
        <is>
          <t>ÄLVSBYN</t>
        </is>
      </c>
      <c r="F3216" t="inlineStr">
        <is>
          <t>Sveaskog</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46406-2023</t>
        </is>
      </c>
      <c r="B3217" s="1" t="n">
        <v>45194</v>
      </c>
      <c r="C3217" s="1" t="n">
        <v>46046</v>
      </c>
      <c r="D3217" t="inlineStr">
        <is>
          <t>NORRBOTTENS LÄN</t>
        </is>
      </c>
      <c r="E3217" t="inlineStr">
        <is>
          <t>ÄLVSBYN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40974-2023</t>
        </is>
      </c>
      <c r="B3218" s="1" t="n">
        <v>45173</v>
      </c>
      <c r="C3218" s="1" t="n">
        <v>46046</v>
      </c>
      <c r="D3218" t="inlineStr">
        <is>
          <t>NORRBOTTENS LÄN</t>
        </is>
      </c>
      <c r="E3218" t="inlineStr">
        <is>
          <t>GÄLLIVARE</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34210-2021</t>
        </is>
      </c>
      <c r="B3219" s="1" t="n">
        <v>44379</v>
      </c>
      <c r="C3219" s="1" t="n">
        <v>46046</v>
      </c>
      <c r="D3219" t="inlineStr">
        <is>
          <t>NORRBOTTENS LÄN</t>
        </is>
      </c>
      <c r="E3219" t="inlineStr">
        <is>
          <t>KALIX</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44710-2024</t>
        </is>
      </c>
      <c r="B3220" s="1" t="n">
        <v>45574.57387731481</v>
      </c>
      <c r="C3220" s="1" t="n">
        <v>46046</v>
      </c>
      <c r="D3220" t="inlineStr">
        <is>
          <t>NORRBOTTENS LÄN</t>
        </is>
      </c>
      <c r="E3220" t="inlineStr">
        <is>
          <t>PITEÅ</t>
        </is>
      </c>
      <c r="F3220" t="inlineStr">
        <is>
          <t>SCA</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8869-2024</t>
        </is>
      </c>
      <c r="B3221" s="1" t="n">
        <v>45356.96387731482</v>
      </c>
      <c r="C3221" s="1" t="n">
        <v>46046</v>
      </c>
      <c r="D3221" t="inlineStr">
        <is>
          <t>NORRBOTTENS LÄN</t>
        </is>
      </c>
      <c r="E3221" t="inlineStr">
        <is>
          <t>BODEN</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27576-2025</t>
        </is>
      </c>
      <c r="B3222" s="1" t="n">
        <v>45813.49092592593</v>
      </c>
      <c r="C3222" s="1" t="n">
        <v>46046</v>
      </c>
      <c r="D3222" t="inlineStr">
        <is>
          <t>NORRBOTTENS LÄN</t>
        </is>
      </c>
      <c r="E3222" t="inlineStr">
        <is>
          <t>BODEN</t>
        </is>
      </c>
      <c r="F3222" t="inlineStr">
        <is>
          <t>SCA</t>
        </is>
      </c>
      <c r="G3222" t="n">
        <v>17.7</v>
      </c>
      <c r="H3222" t="n">
        <v>0</v>
      </c>
      <c r="I3222" t="n">
        <v>0</v>
      </c>
      <c r="J3222" t="n">
        <v>0</v>
      </c>
      <c r="K3222" t="n">
        <v>0</v>
      </c>
      <c r="L3222" t="n">
        <v>0</v>
      </c>
      <c r="M3222" t="n">
        <v>0</v>
      </c>
      <c r="N3222" t="n">
        <v>0</v>
      </c>
      <c r="O3222" t="n">
        <v>0</v>
      </c>
      <c r="P3222" t="n">
        <v>0</v>
      </c>
      <c r="Q3222" t="n">
        <v>0</v>
      </c>
      <c r="R3222" s="2" t="inlineStr"/>
    </row>
    <row r="3223" ht="15" customHeight="1">
      <c r="A3223" t="inlineStr">
        <is>
          <t>A 23019-2023</t>
        </is>
      </c>
      <c r="B3223" s="1" t="n">
        <v>45073</v>
      </c>
      <c r="C3223" s="1" t="n">
        <v>46046</v>
      </c>
      <c r="D3223" t="inlineStr">
        <is>
          <t>NORRBOTTENS LÄN</t>
        </is>
      </c>
      <c r="E3223" t="inlineStr">
        <is>
          <t>JOKKMOKK</t>
        </is>
      </c>
      <c r="F3223" t="inlineStr">
        <is>
          <t>SCA</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665-2023</t>
        </is>
      </c>
      <c r="B3224" s="1" t="n">
        <v>44925</v>
      </c>
      <c r="C3224" s="1" t="n">
        <v>46046</v>
      </c>
      <c r="D3224" t="inlineStr">
        <is>
          <t>NORRBOTTENS LÄN</t>
        </is>
      </c>
      <c r="E3224" t="inlineStr">
        <is>
          <t>BODEN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9585-2024</t>
        </is>
      </c>
      <c r="B3225" s="1" t="n">
        <v>45360.62126157407</v>
      </c>
      <c r="C3225" s="1" t="n">
        <v>46046</v>
      </c>
      <c r="D3225" t="inlineStr">
        <is>
          <t>NORRBOTTENS LÄN</t>
        </is>
      </c>
      <c r="E3225" t="inlineStr">
        <is>
          <t>PAJALA</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22996-2024</t>
        </is>
      </c>
      <c r="B3226" s="1" t="n">
        <v>45450</v>
      </c>
      <c r="C3226" s="1" t="n">
        <v>46046</v>
      </c>
      <c r="D3226" t="inlineStr">
        <is>
          <t>NORRBOTTENS LÄN</t>
        </is>
      </c>
      <c r="E3226" t="inlineStr">
        <is>
          <t>ARVIDSJAUR</t>
        </is>
      </c>
      <c r="F3226" t="inlineStr">
        <is>
          <t>Sveaskog</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33014-2023</t>
        </is>
      </c>
      <c r="B3227" s="1" t="n">
        <v>45113</v>
      </c>
      <c r="C3227" s="1" t="n">
        <v>46046</v>
      </c>
      <c r="D3227" t="inlineStr">
        <is>
          <t>NORRBOTTENS LÄN</t>
        </is>
      </c>
      <c r="E3227" t="inlineStr">
        <is>
          <t>JOKKMOKK</t>
        </is>
      </c>
      <c r="F3227" t="inlineStr">
        <is>
          <t>Övriga statliga verk och myndigheter</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23736-2024</t>
        </is>
      </c>
      <c r="B3228" s="1" t="n">
        <v>45454</v>
      </c>
      <c r="C3228" s="1" t="n">
        <v>46046</v>
      </c>
      <c r="D3228" t="inlineStr">
        <is>
          <t>NORRBOTTENS LÄN</t>
        </is>
      </c>
      <c r="E3228" t="inlineStr">
        <is>
          <t>ARVIDSJAUR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27685-2025</t>
        </is>
      </c>
      <c r="B3229" s="1" t="n">
        <v>45813.65023148148</v>
      </c>
      <c r="C3229" s="1" t="n">
        <v>46046</v>
      </c>
      <c r="D3229" t="inlineStr">
        <is>
          <t>NORRBOTTENS LÄN</t>
        </is>
      </c>
      <c r="E3229" t="inlineStr">
        <is>
          <t>JOKKMOKK</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16189-2025</t>
        </is>
      </c>
      <c r="B3230" s="1" t="n">
        <v>45749</v>
      </c>
      <c r="C3230" s="1" t="n">
        <v>46046</v>
      </c>
      <c r="D3230" t="inlineStr">
        <is>
          <t>NORRBOTTENS LÄN</t>
        </is>
      </c>
      <c r="E3230" t="inlineStr">
        <is>
          <t>BODEN</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27778-2023</t>
        </is>
      </c>
      <c r="B3231" s="1" t="n">
        <v>45098</v>
      </c>
      <c r="C3231" s="1" t="n">
        <v>46046</v>
      </c>
      <c r="D3231" t="inlineStr">
        <is>
          <t>NORRBOTTENS LÄN</t>
        </is>
      </c>
      <c r="E3231" t="inlineStr">
        <is>
          <t>ARVIDSJAUR</t>
        </is>
      </c>
      <c r="F3231" t="inlineStr">
        <is>
          <t>Sveaskog</t>
        </is>
      </c>
      <c r="G3231" t="n">
        <v>15.2</v>
      </c>
      <c r="H3231" t="n">
        <v>0</v>
      </c>
      <c r="I3231" t="n">
        <v>0</v>
      </c>
      <c r="J3231" t="n">
        <v>0</v>
      </c>
      <c r="K3231" t="n">
        <v>0</v>
      </c>
      <c r="L3231" t="n">
        <v>0</v>
      </c>
      <c r="M3231" t="n">
        <v>0</v>
      </c>
      <c r="N3231" t="n">
        <v>0</v>
      </c>
      <c r="O3231" t="n">
        <v>0</v>
      </c>
      <c r="P3231" t="n">
        <v>0</v>
      </c>
      <c r="Q3231" t="n">
        <v>0</v>
      </c>
      <c r="R3231" s="2" t="inlineStr"/>
    </row>
    <row r="3232" ht="15" customHeight="1">
      <c r="A3232" t="inlineStr">
        <is>
          <t>A 59920-2024</t>
        </is>
      </c>
      <c r="B3232" s="1" t="n">
        <v>45641.89890046296</v>
      </c>
      <c r="C3232" s="1" t="n">
        <v>46046</v>
      </c>
      <c r="D3232" t="inlineStr">
        <is>
          <t>NORRBOTTENS LÄN</t>
        </is>
      </c>
      <c r="E3232" t="inlineStr">
        <is>
          <t>PITEÅ</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52901-2023</t>
        </is>
      </c>
      <c r="B3233" s="1" t="n">
        <v>45222</v>
      </c>
      <c r="C3233" s="1" t="n">
        <v>46046</v>
      </c>
      <c r="D3233" t="inlineStr">
        <is>
          <t>NORRBOTTENS LÄN</t>
        </is>
      </c>
      <c r="E3233" t="inlineStr">
        <is>
          <t>JOKKMOKK</t>
        </is>
      </c>
      <c r="G3233" t="n">
        <v>16.6</v>
      </c>
      <c r="H3233" t="n">
        <v>0</v>
      </c>
      <c r="I3233" t="n">
        <v>0</v>
      </c>
      <c r="J3233" t="n">
        <v>0</v>
      </c>
      <c r="K3233" t="n">
        <v>0</v>
      </c>
      <c r="L3233" t="n">
        <v>0</v>
      </c>
      <c r="M3233" t="n">
        <v>0</v>
      </c>
      <c r="N3233" t="n">
        <v>0</v>
      </c>
      <c r="O3233" t="n">
        <v>0</v>
      </c>
      <c r="P3233" t="n">
        <v>0</v>
      </c>
      <c r="Q3233" t="n">
        <v>0</v>
      </c>
      <c r="R3233" s="2" t="inlineStr"/>
    </row>
    <row r="3234" ht="15" customHeight="1">
      <c r="A3234" t="inlineStr">
        <is>
          <t>A 53094-2023</t>
        </is>
      </c>
      <c r="B3234" s="1" t="n">
        <v>45227.72846064815</v>
      </c>
      <c r="C3234" s="1" t="n">
        <v>46046</v>
      </c>
      <c r="D3234" t="inlineStr">
        <is>
          <t>NORRBOTTENS LÄN</t>
        </is>
      </c>
      <c r="E3234" t="inlineStr">
        <is>
          <t>PAJALA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8651-2025</t>
        </is>
      </c>
      <c r="B3235" s="1" t="n">
        <v>45712.37207175926</v>
      </c>
      <c r="C3235" s="1" t="n">
        <v>46046</v>
      </c>
      <c r="D3235" t="inlineStr">
        <is>
          <t>NORRBOTTENS LÄN</t>
        </is>
      </c>
      <c r="E3235" t="inlineStr">
        <is>
          <t>HAPARANDA</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27454-2025</t>
        </is>
      </c>
      <c r="B3236" s="1" t="n">
        <v>45813.34469907408</v>
      </c>
      <c r="C3236" s="1" t="n">
        <v>46046</v>
      </c>
      <c r="D3236" t="inlineStr">
        <is>
          <t>NORRBOTTENS LÄN</t>
        </is>
      </c>
      <c r="E3236" t="inlineStr">
        <is>
          <t>ÖVERKALIX</t>
        </is>
      </c>
      <c r="F3236" t="inlineStr">
        <is>
          <t>SCA</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27455-2025</t>
        </is>
      </c>
      <c r="B3237" s="1" t="n">
        <v>45813.34486111111</v>
      </c>
      <c r="C3237" s="1" t="n">
        <v>46046</v>
      </c>
      <c r="D3237" t="inlineStr">
        <is>
          <t>NORRBOTTENS LÄN</t>
        </is>
      </c>
      <c r="E3237" t="inlineStr">
        <is>
          <t>ÖVERKALIX</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28658-2022</t>
        </is>
      </c>
      <c r="B3238" s="1" t="n">
        <v>44748</v>
      </c>
      <c r="C3238" s="1" t="n">
        <v>46046</v>
      </c>
      <c r="D3238" t="inlineStr">
        <is>
          <t>NORRBOTTENS LÄN</t>
        </is>
      </c>
      <c r="E3238" t="inlineStr">
        <is>
          <t>ÖVERTORNEÅ</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22892-2024</t>
        </is>
      </c>
      <c r="B3239" s="1" t="n">
        <v>45448</v>
      </c>
      <c r="C3239" s="1" t="n">
        <v>46046</v>
      </c>
      <c r="D3239" t="inlineStr">
        <is>
          <t>NORRBOTTENS LÄN</t>
        </is>
      </c>
      <c r="E3239" t="inlineStr">
        <is>
          <t>BODEN</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26366-2024</t>
        </is>
      </c>
      <c r="B3240" s="1" t="n">
        <v>45469.38991898148</v>
      </c>
      <c r="C3240" s="1" t="n">
        <v>46046</v>
      </c>
      <c r="D3240" t="inlineStr">
        <is>
          <t>NORRBOTTENS LÄN</t>
        </is>
      </c>
      <c r="E3240" t="inlineStr">
        <is>
          <t>ÖVERKALIX</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37984-2024</t>
        </is>
      </c>
      <c r="B3241" s="1" t="n">
        <v>45544.58453703704</v>
      </c>
      <c r="C3241" s="1" t="n">
        <v>46046</v>
      </c>
      <c r="D3241" t="inlineStr">
        <is>
          <t>NORRBOTTENS LÄN</t>
        </is>
      </c>
      <c r="E3241" t="inlineStr">
        <is>
          <t>BODEN</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27543-2025</t>
        </is>
      </c>
      <c r="B3242" s="1" t="n">
        <v>45813.46928240741</v>
      </c>
      <c r="C3242" s="1" t="n">
        <v>46046</v>
      </c>
      <c r="D3242" t="inlineStr">
        <is>
          <t>NORRBOTTENS LÄN</t>
        </is>
      </c>
      <c r="E3242" t="inlineStr">
        <is>
          <t>BODEN</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42753-2022</t>
        </is>
      </c>
      <c r="B3243" s="1" t="n">
        <v>44832</v>
      </c>
      <c r="C3243" s="1" t="n">
        <v>46046</v>
      </c>
      <c r="D3243" t="inlineStr">
        <is>
          <t>NORRBOTTENS LÄN</t>
        </is>
      </c>
      <c r="E3243" t="inlineStr">
        <is>
          <t>LULEÅ</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9634-2022</t>
        </is>
      </c>
      <c r="B3244" s="1" t="n">
        <v>44617</v>
      </c>
      <c r="C3244" s="1" t="n">
        <v>46046</v>
      </c>
      <c r="D3244" t="inlineStr">
        <is>
          <t>NORRBOTTENS LÄN</t>
        </is>
      </c>
      <c r="E3244" t="inlineStr">
        <is>
          <t>ÄLVSBYN</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27567-2025</t>
        </is>
      </c>
      <c r="B3245" s="1" t="n">
        <v>45813.48991898148</v>
      </c>
      <c r="C3245" s="1" t="n">
        <v>46046</v>
      </c>
      <c r="D3245" t="inlineStr">
        <is>
          <t>NORRBOTTENS LÄN</t>
        </is>
      </c>
      <c r="E3245" t="inlineStr">
        <is>
          <t>GÄLLIVARE</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43383-2024</t>
        </is>
      </c>
      <c r="B3246" s="1" t="n">
        <v>45568.59442129629</v>
      </c>
      <c r="C3246" s="1" t="n">
        <v>46046</v>
      </c>
      <c r="D3246" t="inlineStr">
        <is>
          <t>NORRBOTTENS LÄN</t>
        </is>
      </c>
      <c r="E3246" t="inlineStr">
        <is>
          <t>PITEÅ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51794-2023</t>
        </is>
      </c>
      <c r="B3247" s="1" t="n">
        <v>45222.92427083333</v>
      </c>
      <c r="C3247" s="1" t="n">
        <v>46046</v>
      </c>
      <c r="D3247" t="inlineStr">
        <is>
          <t>NORRBOTTENS LÄN</t>
        </is>
      </c>
      <c r="E3247" t="inlineStr">
        <is>
          <t>ÄLVSBYN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27686-2025</t>
        </is>
      </c>
      <c r="B3248" s="1" t="n">
        <v>45813.65408564815</v>
      </c>
      <c r="C3248" s="1" t="n">
        <v>46046</v>
      </c>
      <c r="D3248" t="inlineStr">
        <is>
          <t>NORRBOTTENS LÄN</t>
        </is>
      </c>
      <c r="E3248" t="inlineStr">
        <is>
          <t>PITEÅ</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17896-2023</t>
        </is>
      </c>
      <c r="B3249" s="1" t="n">
        <v>45039.64319444444</v>
      </c>
      <c r="C3249" s="1" t="n">
        <v>46046</v>
      </c>
      <c r="D3249" t="inlineStr">
        <is>
          <t>NORRBOTTENS LÄN</t>
        </is>
      </c>
      <c r="E3249" t="inlineStr">
        <is>
          <t>ÖVERTORNEÅ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26362-2021</t>
        </is>
      </c>
      <c r="B3250" s="1" t="n">
        <v>44347</v>
      </c>
      <c r="C3250" s="1" t="n">
        <v>46046</v>
      </c>
      <c r="D3250" t="inlineStr">
        <is>
          <t>NORRBOTTENS LÄN</t>
        </is>
      </c>
      <c r="E3250" t="inlineStr">
        <is>
          <t>ÖVERKALIX</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57691-2024</t>
        </is>
      </c>
      <c r="B3251" s="1" t="n">
        <v>45630.65877314815</v>
      </c>
      <c r="C3251" s="1" t="n">
        <v>46046</v>
      </c>
      <c r="D3251" t="inlineStr">
        <is>
          <t>NORRBOTTENS LÄN</t>
        </is>
      </c>
      <c r="E3251" t="inlineStr">
        <is>
          <t>BODEN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57694-2024</t>
        </is>
      </c>
      <c r="B3252" s="1" t="n">
        <v>45630.66138888889</v>
      </c>
      <c r="C3252" s="1" t="n">
        <v>46046</v>
      </c>
      <c r="D3252" t="inlineStr">
        <is>
          <t>NORRBOTTENS LÄN</t>
        </is>
      </c>
      <c r="E3252" t="inlineStr">
        <is>
          <t>PITEÅ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457-2025</t>
        </is>
      </c>
      <c r="B3253" s="1" t="n">
        <v>45664</v>
      </c>
      <c r="C3253" s="1" t="n">
        <v>46046</v>
      </c>
      <c r="D3253" t="inlineStr">
        <is>
          <t>NORRBOTTENS LÄN</t>
        </is>
      </c>
      <c r="E3253" t="inlineStr">
        <is>
          <t>JOKKMOKK</t>
        </is>
      </c>
      <c r="F3253" t="inlineStr">
        <is>
          <t>Övriga statliga verk och myndigheter</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458-2025</t>
        </is>
      </c>
      <c r="B3254" s="1" t="n">
        <v>45664</v>
      </c>
      <c r="C3254" s="1" t="n">
        <v>46046</v>
      </c>
      <c r="D3254" t="inlineStr">
        <is>
          <t>NORRBOTTENS LÄN</t>
        </is>
      </c>
      <c r="E3254" t="inlineStr">
        <is>
          <t>JOKKMOKK</t>
        </is>
      </c>
      <c r="F3254" t="inlineStr">
        <is>
          <t>Övriga statliga verk och myndigheter</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2682-2024</t>
        </is>
      </c>
      <c r="B3255" s="1" t="n">
        <v>45314</v>
      </c>
      <c r="C3255" s="1" t="n">
        <v>46046</v>
      </c>
      <c r="D3255" t="inlineStr">
        <is>
          <t>NORRBOTTENS LÄN</t>
        </is>
      </c>
      <c r="E3255" t="inlineStr">
        <is>
          <t>BODEN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56166-2021</t>
        </is>
      </c>
      <c r="B3256" s="1" t="n">
        <v>44477.66917824074</v>
      </c>
      <c r="C3256" s="1" t="n">
        <v>46046</v>
      </c>
      <c r="D3256" t="inlineStr">
        <is>
          <t>NORRBOTTENS LÄN</t>
        </is>
      </c>
      <c r="E3256" t="inlineStr">
        <is>
          <t>PAJALA</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2705-2024</t>
        </is>
      </c>
      <c r="B3257" s="1" t="n">
        <v>45314</v>
      </c>
      <c r="C3257" s="1" t="n">
        <v>46046</v>
      </c>
      <c r="D3257" t="inlineStr">
        <is>
          <t>NORRBOTTENS LÄN</t>
        </is>
      </c>
      <c r="E3257" t="inlineStr">
        <is>
          <t>KALIX</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4695-2025</t>
        </is>
      </c>
      <c r="B3258" s="1" t="n">
        <v>45688.35956018518</v>
      </c>
      <c r="C3258" s="1" t="n">
        <v>46046</v>
      </c>
      <c r="D3258" t="inlineStr">
        <is>
          <t>NORRBOTTENS LÄN</t>
        </is>
      </c>
      <c r="E3258" t="inlineStr">
        <is>
          <t>PITEÅ</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51108-2024</t>
        </is>
      </c>
      <c r="B3259" s="1" t="n">
        <v>45603.49142361111</v>
      </c>
      <c r="C3259" s="1" t="n">
        <v>46046</v>
      </c>
      <c r="D3259" t="inlineStr">
        <is>
          <t>NORRBOTTENS LÄN</t>
        </is>
      </c>
      <c r="E3259" t="inlineStr">
        <is>
          <t>LULEÅ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54311-2023</t>
        </is>
      </c>
      <c r="B3260" s="1" t="n">
        <v>45225</v>
      </c>
      <c r="C3260" s="1" t="n">
        <v>46046</v>
      </c>
      <c r="D3260" t="inlineStr">
        <is>
          <t>NORRBOTTENS LÄN</t>
        </is>
      </c>
      <c r="E3260" t="inlineStr">
        <is>
          <t>ARVIDSJAUR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57208-2021</t>
        </is>
      </c>
      <c r="B3261" s="1" t="n">
        <v>44482.94003472223</v>
      </c>
      <c r="C3261" s="1" t="n">
        <v>46046</v>
      </c>
      <c r="D3261" t="inlineStr">
        <is>
          <t>NORRBOTTENS LÄN</t>
        </is>
      </c>
      <c r="E3261" t="inlineStr">
        <is>
          <t>GÄLLIVARE</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27198-2025</t>
        </is>
      </c>
      <c r="B3262" s="1" t="n">
        <v>45812.38606481482</v>
      </c>
      <c r="C3262" s="1" t="n">
        <v>46046</v>
      </c>
      <c r="D3262" t="inlineStr">
        <is>
          <t>NORRBOTTENS LÄN</t>
        </is>
      </c>
      <c r="E3262" t="inlineStr">
        <is>
          <t>KALIX</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19563-2024</t>
        </is>
      </c>
      <c r="B3263" s="1" t="n">
        <v>45429.92297453704</v>
      </c>
      <c r="C3263" s="1" t="n">
        <v>46046</v>
      </c>
      <c r="D3263" t="inlineStr">
        <is>
          <t>NORRBOTTENS LÄN</t>
        </is>
      </c>
      <c r="E3263" t="inlineStr">
        <is>
          <t>BODEN</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27508-2025</t>
        </is>
      </c>
      <c r="B3264" s="1" t="n">
        <v>45813.42777777778</v>
      </c>
      <c r="C3264" s="1" t="n">
        <v>46046</v>
      </c>
      <c r="D3264" t="inlineStr">
        <is>
          <t>NORRBOTTENS LÄN</t>
        </is>
      </c>
      <c r="E3264" t="inlineStr">
        <is>
          <t>BODEN</t>
        </is>
      </c>
      <c r="F3264" t="inlineStr">
        <is>
          <t>SCA</t>
        </is>
      </c>
      <c r="G3264" t="n">
        <v>13.9</v>
      </c>
      <c r="H3264" t="n">
        <v>0</v>
      </c>
      <c r="I3264" t="n">
        <v>0</v>
      </c>
      <c r="J3264" t="n">
        <v>0</v>
      </c>
      <c r="K3264" t="n">
        <v>0</v>
      </c>
      <c r="L3264" t="n">
        <v>0</v>
      </c>
      <c r="M3264" t="n">
        <v>0</v>
      </c>
      <c r="N3264" t="n">
        <v>0</v>
      </c>
      <c r="O3264" t="n">
        <v>0</v>
      </c>
      <c r="P3264" t="n">
        <v>0</v>
      </c>
      <c r="Q3264" t="n">
        <v>0</v>
      </c>
      <c r="R3264" s="2" t="inlineStr"/>
    </row>
    <row r="3265" ht="15" customHeight="1">
      <c r="A3265" t="inlineStr">
        <is>
          <t>A 4135-2022</t>
        </is>
      </c>
      <c r="B3265" s="1" t="n">
        <v>44588</v>
      </c>
      <c r="C3265" s="1" t="n">
        <v>46046</v>
      </c>
      <c r="D3265" t="inlineStr">
        <is>
          <t>NORRBOTTENS LÄN</t>
        </is>
      </c>
      <c r="E3265" t="inlineStr">
        <is>
          <t>GÄLLIVARE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44218-2023</t>
        </is>
      </c>
      <c r="B3266" s="1" t="n">
        <v>45183</v>
      </c>
      <c r="C3266" s="1" t="n">
        <v>46046</v>
      </c>
      <c r="D3266" t="inlineStr">
        <is>
          <t>NORRBOTTENS LÄN</t>
        </is>
      </c>
      <c r="E3266" t="inlineStr">
        <is>
          <t>ARJEPLOG</t>
        </is>
      </c>
      <c r="F3266" t="inlineStr">
        <is>
          <t>Allmännings- och besparingsskogar</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28344-2025</t>
        </is>
      </c>
      <c r="B3267" s="1" t="n">
        <v>45817</v>
      </c>
      <c r="C3267" s="1" t="n">
        <v>46046</v>
      </c>
      <c r="D3267" t="inlineStr">
        <is>
          <t>NORRBOTTENS LÄN</t>
        </is>
      </c>
      <c r="E3267" t="inlineStr">
        <is>
          <t>LULEÅ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21556-2023</t>
        </is>
      </c>
      <c r="B3268" s="1" t="n">
        <v>45063</v>
      </c>
      <c r="C3268" s="1" t="n">
        <v>46046</v>
      </c>
      <c r="D3268" t="inlineStr">
        <is>
          <t>NORRBOTTENS LÄN</t>
        </is>
      </c>
      <c r="E3268" t="inlineStr">
        <is>
          <t>GÄLLIVARE</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27761-2025</t>
        </is>
      </c>
      <c r="B3269" s="1" t="n">
        <v>45816.57137731482</v>
      </c>
      <c r="C3269" s="1" t="n">
        <v>46046</v>
      </c>
      <c r="D3269" t="inlineStr">
        <is>
          <t>NORRBOTTENS LÄN</t>
        </is>
      </c>
      <c r="E3269" t="inlineStr">
        <is>
          <t>KALIX</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27764-2025</t>
        </is>
      </c>
      <c r="B3270" s="1" t="n">
        <v>45816.58204861111</v>
      </c>
      <c r="C3270" s="1" t="n">
        <v>46046</v>
      </c>
      <c r="D3270" t="inlineStr">
        <is>
          <t>NORRBOTTENS LÄN</t>
        </is>
      </c>
      <c r="E3270" t="inlineStr">
        <is>
          <t>KALIX</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27771-2025</t>
        </is>
      </c>
      <c r="B3271" s="1" t="n">
        <v>45816.63277777778</v>
      </c>
      <c r="C3271" s="1" t="n">
        <v>46046</v>
      </c>
      <c r="D3271" t="inlineStr">
        <is>
          <t>NORRBOTTENS LÄN</t>
        </is>
      </c>
      <c r="E3271" t="inlineStr">
        <is>
          <t>KALIX</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45446-2023</t>
        </is>
      </c>
      <c r="B3272" s="1" t="n">
        <v>45194.40387731481</v>
      </c>
      <c r="C3272" s="1" t="n">
        <v>46046</v>
      </c>
      <c r="D3272" t="inlineStr">
        <is>
          <t>NORRBOTTENS LÄN</t>
        </is>
      </c>
      <c r="E3272" t="inlineStr">
        <is>
          <t>BODEN</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27786-2025</t>
        </is>
      </c>
      <c r="B3273" s="1" t="n">
        <v>45816.69568287037</v>
      </c>
      <c r="C3273" s="1" t="n">
        <v>46046</v>
      </c>
      <c r="D3273" t="inlineStr">
        <is>
          <t>NORRBOTTENS LÄN</t>
        </is>
      </c>
      <c r="E3273" t="inlineStr">
        <is>
          <t>KALIX</t>
        </is>
      </c>
      <c r="G3273" t="n">
        <v>18.4</v>
      </c>
      <c r="H3273" t="n">
        <v>0</v>
      </c>
      <c r="I3273" t="n">
        <v>0</v>
      </c>
      <c r="J3273" t="n">
        <v>0</v>
      </c>
      <c r="K3273" t="n">
        <v>0</v>
      </c>
      <c r="L3273" t="n">
        <v>0</v>
      </c>
      <c r="M3273" t="n">
        <v>0</v>
      </c>
      <c r="N3273" t="n">
        <v>0</v>
      </c>
      <c r="O3273" t="n">
        <v>0</v>
      </c>
      <c r="P3273" t="n">
        <v>0</v>
      </c>
      <c r="Q3273" t="n">
        <v>0</v>
      </c>
      <c r="R3273" s="2" t="inlineStr"/>
    </row>
    <row r="3274" ht="15" customHeight="1">
      <c r="A3274" t="inlineStr">
        <is>
          <t>A 31008-2021</t>
        </is>
      </c>
      <c r="B3274" s="1" t="n">
        <v>44366</v>
      </c>
      <c r="C3274" s="1" t="n">
        <v>46046</v>
      </c>
      <c r="D3274" t="inlineStr">
        <is>
          <t>NORRBOTTENS LÄN</t>
        </is>
      </c>
      <c r="E3274" t="inlineStr">
        <is>
          <t>ÖVERTORNEÅ</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13063-2024</t>
        </is>
      </c>
      <c r="B3275" s="1" t="n">
        <v>45385</v>
      </c>
      <c r="C3275" s="1" t="n">
        <v>46046</v>
      </c>
      <c r="D3275" t="inlineStr">
        <is>
          <t>NORRBOTTENS LÄN</t>
        </is>
      </c>
      <c r="E3275" t="inlineStr">
        <is>
          <t>LULEÅ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13065-2024</t>
        </is>
      </c>
      <c r="B3276" s="1" t="n">
        <v>45385</v>
      </c>
      <c r="C3276" s="1" t="n">
        <v>46046</v>
      </c>
      <c r="D3276" t="inlineStr">
        <is>
          <t>NORRBOTTENS LÄN</t>
        </is>
      </c>
      <c r="E3276" t="inlineStr">
        <is>
          <t>LULEÅ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19531-2024</t>
        </is>
      </c>
      <c r="B3277" s="1" t="n">
        <v>45429.64373842593</v>
      </c>
      <c r="C3277" s="1" t="n">
        <v>46046</v>
      </c>
      <c r="D3277" t="inlineStr">
        <is>
          <t>NORRBOTTENS LÄN</t>
        </is>
      </c>
      <c r="E3277" t="inlineStr">
        <is>
          <t>ÖVERKALIX</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3090-2024</t>
        </is>
      </c>
      <c r="B3278" s="1" t="n">
        <v>45316.44841435185</v>
      </c>
      <c r="C3278" s="1" t="n">
        <v>46046</v>
      </c>
      <c r="D3278" t="inlineStr">
        <is>
          <t>NORRBOTTENS LÄN</t>
        </is>
      </c>
      <c r="E3278" t="inlineStr">
        <is>
          <t>BODEN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4934-2024</t>
        </is>
      </c>
      <c r="B3279" s="1" t="n">
        <v>45329</v>
      </c>
      <c r="C3279" s="1" t="n">
        <v>46046</v>
      </c>
      <c r="D3279" t="inlineStr">
        <is>
          <t>NORRBOTTENS LÄN</t>
        </is>
      </c>
      <c r="E3279" t="inlineStr">
        <is>
          <t>ARVIDSJAUR</t>
        </is>
      </c>
      <c r="F3279" t="inlineStr">
        <is>
          <t>Sveaskog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27904-2025</t>
        </is>
      </c>
      <c r="B3280" s="1" t="n">
        <v>45817.46805555555</v>
      </c>
      <c r="C3280" s="1" t="n">
        <v>46046</v>
      </c>
      <c r="D3280" t="inlineStr">
        <is>
          <t>NORRBOTTENS LÄN</t>
        </is>
      </c>
      <c r="E3280" t="inlineStr">
        <is>
          <t>KALIX</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27949-2025</t>
        </is>
      </c>
      <c r="B3281" s="1" t="n">
        <v>45817.52672453703</v>
      </c>
      <c r="C3281" s="1" t="n">
        <v>46046</v>
      </c>
      <c r="D3281" t="inlineStr">
        <is>
          <t>NORRBOTTENS LÄN</t>
        </is>
      </c>
      <c r="E3281" t="inlineStr">
        <is>
          <t>ÖVERKALIX</t>
        </is>
      </c>
      <c r="F3281" t="inlineStr">
        <is>
          <t>Sveaskog</t>
        </is>
      </c>
      <c r="G3281" t="n">
        <v>51.1</v>
      </c>
      <c r="H3281" t="n">
        <v>0</v>
      </c>
      <c r="I3281" t="n">
        <v>0</v>
      </c>
      <c r="J3281" t="n">
        <v>0</v>
      </c>
      <c r="K3281" t="n">
        <v>0</v>
      </c>
      <c r="L3281" t="n">
        <v>0</v>
      </c>
      <c r="M3281" t="n">
        <v>0</v>
      </c>
      <c r="N3281" t="n">
        <v>0</v>
      </c>
      <c r="O3281" t="n">
        <v>0</v>
      </c>
      <c r="P3281" t="n">
        <v>0</v>
      </c>
      <c r="Q3281" t="n">
        <v>0</v>
      </c>
      <c r="R3281" s="2" t="inlineStr"/>
    </row>
    <row r="3282" ht="15" customHeight="1">
      <c r="A3282" t="inlineStr">
        <is>
          <t>A 27745-2025</t>
        </is>
      </c>
      <c r="B3282" s="1" t="n">
        <v>45815.63855324074</v>
      </c>
      <c r="C3282" s="1" t="n">
        <v>46046</v>
      </c>
      <c r="D3282" t="inlineStr">
        <is>
          <t>NORRBOTTENS LÄN</t>
        </is>
      </c>
      <c r="E3282" t="inlineStr">
        <is>
          <t>KALIX</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27751-2025</t>
        </is>
      </c>
      <c r="B3283" s="1" t="n">
        <v>45815.68703703704</v>
      </c>
      <c r="C3283" s="1" t="n">
        <v>46046</v>
      </c>
      <c r="D3283" t="inlineStr">
        <is>
          <t>NORRBOTTENS LÄN</t>
        </is>
      </c>
      <c r="E3283" t="inlineStr">
        <is>
          <t>KALIX</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27765-2025</t>
        </is>
      </c>
      <c r="B3284" s="1" t="n">
        <v>45816.58614583333</v>
      </c>
      <c r="C3284" s="1" t="n">
        <v>46046</v>
      </c>
      <c r="D3284" t="inlineStr">
        <is>
          <t>NORRBOTTENS LÄN</t>
        </is>
      </c>
      <c r="E3284" t="inlineStr">
        <is>
          <t>KALIX</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27770-2025</t>
        </is>
      </c>
      <c r="B3285" s="1" t="n">
        <v>45816.62489583333</v>
      </c>
      <c r="C3285" s="1" t="n">
        <v>46046</v>
      </c>
      <c r="D3285" t="inlineStr">
        <is>
          <t>NORRBOTTENS LÄN</t>
        </is>
      </c>
      <c r="E3285" t="inlineStr">
        <is>
          <t>KALIX</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27773-2025</t>
        </is>
      </c>
      <c r="B3286" s="1" t="n">
        <v>45816.63829861111</v>
      </c>
      <c r="C3286" s="1" t="n">
        <v>46046</v>
      </c>
      <c r="D3286" t="inlineStr">
        <is>
          <t>NORRBOTTENS LÄN</t>
        </is>
      </c>
      <c r="E3286" t="inlineStr">
        <is>
          <t>KALIX</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27782-2025</t>
        </is>
      </c>
      <c r="B3287" s="1" t="n">
        <v>45816.68195601852</v>
      </c>
      <c r="C3287" s="1" t="n">
        <v>46046</v>
      </c>
      <c r="D3287" t="inlineStr">
        <is>
          <t>NORRBOTTENS LÄN</t>
        </is>
      </c>
      <c r="E3287" t="inlineStr">
        <is>
          <t>KALIX</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27787-2025</t>
        </is>
      </c>
      <c r="B3288" s="1" t="n">
        <v>45816.69780092593</v>
      </c>
      <c r="C3288" s="1" t="n">
        <v>46046</v>
      </c>
      <c r="D3288" t="inlineStr">
        <is>
          <t>NORRBOTTENS LÄN</t>
        </is>
      </c>
      <c r="E3288" t="inlineStr">
        <is>
          <t>KALIX</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52564-2024</t>
        </is>
      </c>
      <c r="B3289" s="1" t="n">
        <v>45609</v>
      </c>
      <c r="C3289" s="1" t="n">
        <v>46046</v>
      </c>
      <c r="D3289" t="inlineStr">
        <is>
          <t>NORRBOTTENS LÄN</t>
        </is>
      </c>
      <c r="E3289" t="inlineStr">
        <is>
          <t>JOKKMOKK</t>
        </is>
      </c>
      <c r="F3289" t="inlineStr">
        <is>
          <t>Allmännings- och besparingsskogar</t>
        </is>
      </c>
      <c r="G3289" t="n">
        <v>16.5</v>
      </c>
      <c r="H3289" t="n">
        <v>0</v>
      </c>
      <c r="I3289" t="n">
        <v>0</v>
      </c>
      <c r="J3289" t="n">
        <v>0</v>
      </c>
      <c r="K3289" t="n">
        <v>0</v>
      </c>
      <c r="L3289" t="n">
        <v>0</v>
      </c>
      <c r="M3289" t="n">
        <v>0</v>
      </c>
      <c r="N3289" t="n">
        <v>0</v>
      </c>
      <c r="O3289" t="n">
        <v>0</v>
      </c>
      <c r="P3289" t="n">
        <v>0</v>
      </c>
      <c r="Q3289" t="n">
        <v>0</v>
      </c>
      <c r="R3289" s="2" t="inlineStr"/>
    </row>
    <row r="3290" ht="15" customHeight="1">
      <c r="A3290" t="inlineStr">
        <is>
          <t>A 14871-2022</t>
        </is>
      </c>
      <c r="B3290" s="1" t="n">
        <v>44656</v>
      </c>
      <c r="C3290" s="1" t="n">
        <v>46046</v>
      </c>
      <c r="D3290" t="inlineStr">
        <is>
          <t>NORRBOTTENS LÄN</t>
        </is>
      </c>
      <c r="E3290" t="inlineStr">
        <is>
          <t>PITEÅ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27762-2025</t>
        </is>
      </c>
      <c r="B3291" s="1" t="n">
        <v>45816.57533564815</v>
      </c>
      <c r="C3291" s="1" t="n">
        <v>46046</v>
      </c>
      <c r="D3291" t="inlineStr">
        <is>
          <t>NORRBOTTENS LÄN</t>
        </is>
      </c>
      <c r="E3291" t="inlineStr">
        <is>
          <t>KALIX</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27772-2025</t>
        </is>
      </c>
      <c r="B3292" s="1" t="n">
        <v>45816.63599537037</v>
      </c>
      <c r="C3292" s="1" t="n">
        <v>46046</v>
      </c>
      <c r="D3292" t="inlineStr">
        <is>
          <t>NORRBOTTENS LÄN</t>
        </is>
      </c>
      <c r="E3292" t="inlineStr">
        <is>
          <t>KALIX</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27774-2025</t>
        </is>
      </c>
      <c r="B3293" s="1" t="n">
        <v>45816.64159722222</v>
      </c>
      <c r="C3293" s="1" t="n">
        <v>46046</v>
      </c>
      <c r="D3293" t="inlineStr">
        <is>
          <t>NORRBOTTENS LÄN</t>
        </is>
      </c>
      <c r="E3293" t="inlineStr">
        <is>
          <t>KALIX</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27778-2025</t>
        </is>
      </c>
      <c r="B3294" s="1" t="n">
        <v>45816.65658564815</v>
      </c>
      <c r="C3294" s="1" t="n">
        <v>46046</v>
      </c>
      <c r="D3294" t="inlineStr">
        <is>
          <t>NORRBOTTENS LÄN</t>
        </is>
      </c>
      <c r="E3294" t="inlineStr">
        <is>
          <t>KALIX</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27780-2025</t>
        </is>
      </c>
      <c r="B3295" s="1" t="n">
        <v>45816.66149305556</v>
      </c>
      <c r="C3295" s="1" t="n">
        <v>46046</v>
      </c>
      <c r="D3295" t="inlineStr">
        <is>
          <t>NORRBOTTENS LÄN</t>
        </is>
      </c>
      <c r="E3295" t="inlineStr">
        <is>
          <t>KALIX</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27781-2025</t>
        </is>
      </c>
      <c r="B3296" s="1" t="n">
        <v>45816.66796296297</v>
      </c>
      <c r="C3296" s="1" t="n">
        <v>46046</v>
      </c>
      <c r="D3296" t="inlineStr">
        <is>
          <t>NORRBOTTENS LÄN</t>
        </is>
      </c>
      <c r="E3296" t="inlineStr">
        <is>
          <t>KALIX</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27783-2025</t>
        </is>
      </c>
      <c r="B3297" s="1" t="n">
        <v>45816.68586805555</v>
      </c>
      <c r="C3297" s="1" t="n">
        <v>46046</v>
      </c>
      <c r="D3297" t="inlineStr">
        <is>
          <t>NORRBOTTENS LÄN</t>
        </is>
      </c>
      <c r="E3297" t="inlineStr">
        <is>
          <t>KALIX</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27784-2025</t>
        </is>
      </c>
      <c r="B3298" s="1" t="n">
        <v>45816.69010416666</v>
      </c>
      <c r="C3298" s="1" t="n">
        <v>46046</v>
      </c>
      <c r="D3298" t="inlineStr">
        <is>
          <t>NORRBOTTENS LÄN</t>
        </is>
      </c>
      <c r="E3298" t="inlineStr">
        <is>
          <t>KALIX</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5157-2023</t>
        </is>
      </c>
      <c r="B3299" s="1" t="n">
        <v>44958.94056712963</v>
      </c>
      <c r="C3299" s="1" t="n">
        <v>46046</v>
      </c>
      <c r="D3299" t="inlineStr">
        <is>
          <t>NORRBOTTENS LÄN</t>
        </is>
      </c>
      <c r="E3299" t="inlineStr">
        <is>
          <t>ÖVERKALIX</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46296-2024</t>
        </is>
      </c>
      <c r="B3300" s="1" t="n">
        <v>45581</v>
      </c>
      <c r="C3300" s="1" t="n">
        <v>46046</v>
      </c>
      <c r="D3300" t="inlineStr">
        <is>
          <t>NORRBOTTENS LÄN</t>
        </is>
      </c>
      <c r="E3300" t="inlineStr">
        <is>
          <t>HAPARANDA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73026-2021</t>
        </is>
      </c>
      <c r="B3301" s="1" t="n">
        <v>44550</v>
      </c>
      <c r="C3301" s="1" t="n">
        <v>46046</v>
      </c>
      <c r="D3301" t="inlineStr">
        <is>
          <t>NORRBOTTENS LÄN</t>
        </is>
      </c>
      <c r="E3301" t="inlineStr">
        <is>
          <t>PITEÅ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29550-2024</t>
        </is>
      </c>
      <c r="B3302" s="1" t="n">
        <v>45484</v>
      </c>
      <c r="C3302" s="1" t="n">
        <v>46046</v>
      </c>
      <c r="D3302" t="inlineStr">
        <is>
          <t>NORRBOTTENS LÄN</t>
        </is>
      </c>
      <c r="E3302" t="inlineStr">
        <is>
          <t>LULEÅ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29552-2024</t>
        </is>
      </c>
      <c r="B3303" s="1" t="n">
        <v>45484</v>
      </c>
      <c r="C3303" s="1" t="n">
        <v>46046</v>
      </c>
      <c r="D3303" t="inlineStr">
        <is>
          <t>NORRBOTTENS LÄN</t>
        </is>
      </c>
      <c r="E3303" t="inlineStr">
        <is>
          <t>PITEÅ</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29109-2024</t>
        </is>
      </c>
      <c r="B3304" s="1" t="n">
        <v>45481.95275462963</v>
      </c>
      <c r="C3304" s="1" t="n">
        <v>46046</v>
      </c>
      <c r="D3304" t="inlineStr">
        <is>
          <t>NORRBOTTENS LÄN</t>
        </is>
      </c>
      <c r="E3304" t="inlineStr">
        <is>
          <t>BODEN</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2000-2024</t>
        </is>
      </c>
      <c r="B3305" s="1" t="n">
        <v>45308</v>
      </c>
      <c r="C3305" s="1" t="n">
        <v>46046</v>
      </c>
      <c r="D3305" t="inlineStr">
        <is>
          <t>NORRBOTTENS LÄN</t>
        </is>
      </c>
      <c r="E3305" t="inlineStr">
        <is>
          <t>KALIX</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48383-2024</t>
        </is>
      </c>
      <c r="B3306" s="1" t="n">
        <v>45590</v>
      </c>
      <c r="C3306" s="1" t="n">
        <v>46046</v>
      </c>
      <c r="D3306" t="inlineStr">
        <is>
          <t>NORRBOTTENS LÄN</t>
        </is>
      </c>
      <c r="E3306" t="inlineStr">
        <is>
          <t>HAPARANDA</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56837-2023</t>
        </is>
      </c>
      <c r="B3307" s="1" t="n">
        <v>45244</v>
      </c>
      <c r="C3307" s="1" t="n">
        <v>46046</v>
      </c>
      <c r="D3307" t="inlineStr">
        <is>
          <t>NORRBOTTENS LÄN</t>
        </is>
      </c>
      <c r="E3307" t="inlineStr">
        <is>
          <t>BODEN</t>
        </is>
      </c>
      <c r="F3307" t="inlineStr">
        <is>
          <t>Övriga statliga verk och myndigheter</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62732-2021</t>
        </is>
      </c>
      <c r="B3308" s="1" t="n">
        <v>44503</v>
      </c>
      <c r="C3308" s="1" t="n">
        <v>46046</v>
      </c>
      <c r="D3308" t="inlineStr">
        <is>
          <t>NORRBOTTENS LÄN</t>
        </is>
      </c>
      <c r="E3308" t="inlineStr">
        <is>
          <t>LULEÅ</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1908-2024</t>
        </is>
      </c>
      <c r="B3309" s="1" t="n">
        <v>45308</v>
      </c>
      <c r="C3309" s="1" t="n">
        <v>46046</v>
      </c>
      <c r="D3309" t="inlineStr">
        <is>
          <t>NORRBOTTENS LÄN</t>
        </is>
      </c>
      <c r="E3309" t="inlineStr">
        <is>
          <t>PITEÅ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17898-2025</t>
        </is>
      </c>
      <c r="B3310" s="1" t="n">
        <v>45758</v>
      </c>
      <c r="C3310" s="1" t="n">
        <v>46046</v>
      </c>
      <c r="D3310" t="inlineStr">
        <is>
          <t>NORRBOTTENS LÄN</t>
        </is>
      </c>
      <c r="E3310" t="inlineStr">
        <is>
          <t>LULEÅ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17900-2025</t>
        </is>
      </c>
      <c r="B3311" s="1" t="n">
        <v>45758.69837962963</v>
      </c>
      <c r="C3311" s="1" t="n">
        <v>46046</v>
      </c>
      <c r="D3311" t="inlineStr">
        <is>
          <t>NORRBOTTENS LÄN</t>
        </is>
      </c>
      <c r="E3311" t="inlineStr">
        <is>
          <t>LULEÅ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27747-2025</t>
        </is>
      </c>
      <c r="B3312" s="1" t="n">
        <v>45815.67590277778</v>
      </c>
      <c r="C3312" s="1" t="n">
        <v>46046</v>
      </c>
      <c r="D3312" t="inlineStr">
        <is>
          <t>NORRBOTTENS LÄN</t>
        </is>
      </c>
      <c r="E3312" t="inlineStr">
        <is>
          <t>KALIX</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28721-2024</t>
        </is>
      </c>
      <c r="B3313" s="1" t="n">
        <v>45478.54922453704</v>
      </c>
      <c r="C3313" s="1" t="n">
        <v>46046</v>
      </c>
      <c r="D3313" t="inlineStr">
        <is>
          <t>NORRBOTTENS LÄN</t>
        </is>
      </c>
      <c r="E3313" t="inlineStr">
        <is>
          <t>PITEÅ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28727-2024</t>
        </is>
      </c>
      <c r="B3314" s="1" t="n">
        <v>45478.55758101852</v>
      </c>
      <c r="C3314" s="1" t="n">
        <v>46046</v>
      </c>
      <c r="D3314" t="inlineStr">
        <is>
          <t>NORRBOTTENS LÄN</t>
        </is>
      </c>
      <c r="E3314" t="inlineStr">
        <is>
          <t>PITEÅ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27767-2025</t>
        </is>
      </c>
      <c r="B3315" s="1" t="n">
        <v>45816.58965277778</v>
      </c>
      <c r="C3315" s="1" t="n">
        <v>46046</v>
      </c>
      <c r="D3315" t="inlineStr">
        <is>
          <t>NORRBOTTENS LÄN</t>
        </is>
      </c>
      <c r="E3315" t="inlineStr">
        <is>
          <t>KALIX</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27768-2025</t>
        </is>
      </c>
      <c r="B3316" s="1" t="n">
        <v>45816.59293981481</v>
      </c>
      <c r="C3316" s="1" t="n">
        <v>46046</v>
      </c>
      <c r="D3316" t="inlineStr">
        <is>
          <t>NORRBOTTENS LÄN</t>
        </is>
      </c>
      <c r="E3316" t="inlineStr">
        <is>
          <t>KALIX</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41845-2024</t>
        </is>
      </c>
      <c r="B3317" s="1" t="n">
        <v>45561</v>
      </c>
      <c r="C3317" s="1" t="n">
        <v>46046</v>
      </c>
      <c r="D3317" t="inlineStr">
        <is>
          <t>NORRBOTTENS LÄN</t>
        </is>
      </c>
      <c r="E3317" t="inlineStr">
        <is>
          <t>ÄLVSBYN</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27779-2025</t>
        </is>
      </c>
      <c r="B3318" s="1" t="n">
        <v>45816.65878472223</v>
      </c>
      <c r="C3318" s="1" t="n">
        <v>46046</v>
      </c>
      <c r="D3318" t="inlineStr">
        <is>
          <t>NORRBOTTENS LÄN</t>
        </is>
      </c>
      <c r="E3318" t="inlineStr">
        <is>
          <t>KALIX</t>
        </is>
      </c>
      <c r="G3318" t="n">
        <v>9.699999999999999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30567-2024</t>
        </is>
      </c>
      <c r="B3319" s="1" t="n">
        <v>45492</v>
      </c>
      <c r="C3319" s="1" t="n">
        <v>46046</v>
      </c>
      <c r="D3319" t="inlineStr">
        <is>
          <t>NORRBOTTENS LÄN</t>
        </is>
      </c>
      <c r="E3319" t="inlineStr">
        <is>
          <t>KALIX</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31209-2023</t>
        </is>
      </c>
      <c r="B3320" s="1" t="n">
        <v>45113.95096064815</v>
      </c>
      <c r="C3320" s="1" t="n">
        <v>46046</v>
      </c>
      <c r="D3320" t="inlineStr">
        <is>
          <t>NORRBOTTENS LÄN</t>
        </is>
      </c>
      <c r="E3320" t="inlineStr">
        <is>
          <t>JOKKMOKK</t>
        </is>
      </c>
      <c r="F3320" t="inlineStr">
        <is>
          <t>SCA</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55466-2023</t>
        </is>
      </c>
      <c r="B3321" s="1" t="n">
        <v>45238</v>
      </c>
      <c r="C3321" s="1" t="n">
        <v>46046</v>
      </c>
      <c r="D3321" t="inlineStr">
        <is>
          <t>NORRBOTTENS LÄN</t>
        </is>
      </c>
      <c r="E3321" t="inlineStr">
        <is>
          <t>GÄLLIVARE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15373-2024</t>
        </is>
      </c>
      <c r="B3322" s="1" t="n">
        <v>45400</v>
      </c>
      <c r="C3322" s="1" t="n">
        <v>46046</v>
      </c>
      <c r="D3322" t="inlineStr">
        <is>
          <t>NORRBOTTENS LÄN</t>
        </is>
      </c>
      <c r="E3322" t="inlineStr">
        <is>
          <t>GÄLLIVARE</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58448-2023</t>
        </is>
      </c>
      <c r="B3323" s="1" t="n">
        <v>45250</v>
      </c>
      <c r="C3323" s="1" t="n">
        <v>46046</v>
      </c>
      <c r="D3323" t="inlineStr">
        <is>
          <t>NORRBOTTENS LÄN</t>
        </is>
      </c>
      <c r="E3323" t="inlineStr">
        <is>
          <t>ÄLVSBYN</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58450-2023</t>
        </is>
      </c>
      <c r="B3324" s="1" t="n">
        <v>45250</v>
      </c>
      <c r="C3324" s="1" t="n">
        <v>46046</v>
      </c>
      <c r="D3324" t="inlineStr">
        <is>
          <t>NORRBOTTENS LÄN</t>
        </is>
      </c>
      <c r="E3324" t="inlineStr">
        <is>
          <t>ÄLVSBYN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20547-2025</t>
        </is>
      </c>
      <c r="B3325" s="1" t="n">
        <v>45770</v>
      </c>
      <c r="C3325" s="1" t="n">
        <v>46046</v>
      </c>
      <c r="D3325" t="inlineStr">
        <is>
          <t>NORRBOTTENS LÄN</t>
        </is>
      </c>
      <c r="E3325" t="inlineStr">
        <is>
          <t>ÖVERTORNEÅ</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13466-2025</t>
        </is>
      </c>
      <c r="B3326" s="1" t="n">
        <v>45736</v>
      </c>
      <c r="C3326" s="1" t="n">
        <v>46046</v>
      </c>
      <c r="D3326" t="inlineStr">
        <is>
          <t>NORRBOTTENS LÄN</t>
        </is>
      </c>
      <c r="E3326" t="inlineStr">
        <is>
          <t>PAJALA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58759-2023</t>
        </is>
      </c>
      <c r="B3327" s="1" t="n">
        <v>45251</v>
      </c>
      <c r="C3327" s="1" t="n">
        <v>46046</v>
      </c>
      <c r="D3327" t="inlineStr">
        <is>
          <t>NORRBOTTENS LÄN</t>
        </is>
      </c>
      <c r="E3327" t="inlineStr">
        <is>
          <t>LULEÅ</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41577-2024</t>
        </is>
      </c>
      <c r="B3328" s="1" t="n">
        <v>45560.55266203704</v>
      </c>
      <c r="C3328" s="1" t="n">
        <v>46046</v>
      </c>
      <c r="D3328" t="inlineStr">
        <is>
          <t>NORRBOTTENS LÄN</t>
        </is>
      </c>
      <c r="E3328" t="inlineStr">
        <is>
          <t>KALIX</t>
        </is>
      </c>
      <c r="F3328" t="inlineStr">
        <is>
          <t>SCA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28001-2025</t>
        </is>
      </c>
      <c r="B3329" s="1" t="n">
        <v>45817.59512731482</v>
      </c>
      <c r="C3329" s="1" t="n">
        <v>46046</v>
      </c>
      <c r="D3329" t="inlineStr">
        <is>
          <t>NORRBOTTENS LÄN</t>
        </is>
      </c>
      <c r="E3329" t="inlineStr">
        <is>
          <t>KALIX</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60214-2024</t>
        </is>
      </c>
      <c r="B3330" s="1" t="n">
        <v>45642.68184027778</v>
      </c>
      <c r="C3330" s="1" t="n">
        <v>46046</v>
      </c>
      <c r="D3330" t="inlineStr">
        <is>
          <t>NORRBOTTENS LÄN</t>
        </is>
      </c>
      <c r="E3330" t="inlineStr">
        <is>
          <t>HAPARANDA</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60219-2024</t>
        </is>
      </c>
      <c r="B3331" s="1" t="n">
        <v>45642.6925</v>
      </c>
      <c r="C3331" s="1" t="n">
        <v>46046</v>
      </c>
      <c r="D3331" t="inlineStr">
        <is>
          <t>NORRBOTTENS LÄN</t>
        </is>
      </c>
      <c r="E3331" t="inlineStr">
        <is>
          <t>HAPARANDA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30582-2023</t>
        </is>
      </c>
      <c r="B3332" s="1" t="n">
        <v>45112.32819444445</v>
      </c>
      <c r="C3332" s="1" t="n">
        <v>46046</v>
      </c>
      <c r="D3332" t="inlineStr">
        <is>
          <t>NORRBOTTENS LÄN</t>
        </is>
      </c>
      <c r="E3332" t="inlineStr">
        <is>
          <t>KALIX</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30300-2023</t>
        </is>
      </c>
      <c r="B3333" s="1" t="n">
        <v>45110</v>
      </c>
      <c r="C3333" s="1" t="n">
        <v>46046</v>
      </c>
      <c r="D3333" t="inlineStr">
        <is>
          <t>NORRBOTTENS LÄN</t>
        </is>
      </c>
      <c r="E3333" t="inlineStr">
        <is>
          <t>BODEN</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56319-2022</t>
        </is>
      </c>
      <c r="B3334" s="1" t="n">
        <v>44890</v>
      </c>
      <c r="C3334" s="1" t="n">
        <v>46046</v>
      </c>
      <c r="D3334" t="inlineStr">
        <is>
          <t>NORRBOTTENS LÄN</t>
        </is>
      </c>
      <c r="E3334" t="inlineStr">
        <is>
          <t>PITEÅ</t>
        </is>
      </c>
      <c r="F3334" t="inlineStr">
        <is>
          <t>Övriga Aktiebolag</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32268-2023</t>
        </is>
      </c>
      <c r="B3335" s="1" t="n">
        <v>45120</v>
      </c>
      <c r="C3335" s="1" t="n">
        <v>46046</v>
      </c>
      <c r="D3335" t="inlineStr">
        <is>
          <t>NORRBOTTENS LÄN</t>
        </is>
      </c>
      <c r="E3335" t="inlineStr">
        <is>
          <t>ARVIDSJAUR</t>
        </is>
      </c>
      <c r="F3335" t="inlineStr">
        <is>
          <t>Sveaskog</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19080-2025</t>
        </is>
      </c>
      <c r="B3336" s="1" t="n">
        <v>45766.71910879629</v>
      </c>
      <c r="C3336" s="1" t="n">
        <v>46046</v>
      </c>
      <c r="D3336" t="inlineStr">
        <is>
          <t>NORRBOTTENS LÄN</t>
        </is>
      </c>
      <c r="E3336" t="inlineStr">
        <is>
          <t>BODEN</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6026-2025</t>
        </is>
      </c>
      <c r="B3337" s="1" t="n">
        <v>45695.62141203704</v>
      </c>
      <c r="C3337" s="1" t="n">
        <v>46046</v>
      </c>
      <c r="D3337" t="inlineStr">
        <is>
          <t>NORRBOTTENS LÄN</t>
        </is>
      </c>
      <c r="E3337" t="inlineStr">
        <is>
          <t>PITEÅ</t>
        </is>
      </c>
      <c r="F3337" t="inlineStr">
        <is>
          <t>Övriga Aktiebolag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52837-2024</t>
        </is>
      </c>
      <c r="B3338" s="1" t="n">
        <v>45610</v>
      </c>
      <c r="C3338" s="1" t="n">
        <v>46046</v>
      </c>
      <c r="D3338" t="inlineStr">
        <is>
          <t>NORRBOTTENS LÄN</t>
        </is>
      </c>
      <c r="E3338" t="inlineStr">
        <is>
          <t>ARVIDSJAUR</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5739-2024</t>
        </is>
      </c>
      <c r="B3339" s="1" t="n">
        <v>45334.95219907408</v>
      </c>
      <c r="C3339" s="1" t="n">
        <v>46046</v>
      </c>
      <c r="D3339" t="inlineStr">
        <is>
          <t>NORRBOTTENS LÄN</t>
        </is>
      </c>
      <c r="E3339" t="inlineStr">
        <is>
          <t>PAJALA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19142-2023</t>
        </is>
      </c>
      <c r="B3340" s="1" t="n">
        <v>45044</v>
      </c>
      <c r="C3340" s="1" t="n">
        <v>46046</v>
      </c>
      <c r="D3340" t="inlineStr">
        <is>
          <t>NORRBOTTENS LÄN</t>
        </is>
      </c>
      <c r="E3340" t="inlineStr">
        <is>
          <t>ÄLVSBYN</t>
        </is>
      </c>
      <c r="G3340" t="n">
        <v>11.4</v>
      </c>
      <c r="H3340" t="n">
        <v>0</v>
      </c>
      <c r="I3340" t="n">
        <v>0</v>
      </c>
      <c r="J3340" t="n">
        <v>0</v>
      </c>
      <c r="K3340" t="n">
        <v>0</v>
      </c>
      <c r="L3340" t="n">
        <v>0</v>
      </c>
      <c r="M3340" t="n">
        <v>0</v>
      </c>
      <c r="N3340" t="n">
        <v>0</v>
      </c>
      <c r="O3340" t="n">
        <v>0</v>
      </c>
      <c r="P3340" t="n">
        <v>0</v>
      </c>
      <c r="Q3340" t="n">
        <v>0</v>
      </c>
      <c r="R3340" s="2" t="inlineStr"/>
    </row>
    <row r="3341" ht="15" customHeight="1">
      <c r="A3341" t="inlineStr">
        <is>
          <t>A 6169-2025</t>
        </is>
      </c>
      <c r="B3341" s="1" t="n">
        <v>45698</v>
      </c>
      <c r="C3341" s="1" t="n">
        <v>46046</v>
      </c>
      <c r="D3341" t="inlineStr">
        <is>
          <t>NORRBOTTENS LÄN</t>
        </is>
      </c>
      <c r="E3341" t="inlineStr">
        <is>
          <t>KALIX</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44983-2023</t>
        </is>
      </c>
      <c r="B3342" s="1" t="n">
        <v>45190</v>
      </c>
      <c r="C3342" s="1" t="n">
        <v>46046</v>
      </c>
      <c r="D3342" t="inlineStr">
        <is>
          <t>NORRBOTTENS LÄN</t>
        </is>
      </c>
      <c r="E3342" t="inlineStr">
        <is>
          <t>GÄLLIVARE</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27901-2025</t>
        </is>
      </c>
      <c r="B3343" s="1" t="n">
        <v>45817.46548611111</v>
      </c>
      <c r="C3343" s="1" t="n">
        <v>46046</v>
      </c>
      <c r="D3343" t="inlineStr">
        <is>
          <t>NORRBOTTENS LÄN</t>
        </is>
      </c>
      <c r="E3343" t="inlineStr">
        <is>
          <t>KALIX</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27752-2025</t>
        </is>
      </c>
      <c r="B3344" s="1" t="n">
        <v>45815.69028935185</v>
      </c>
      <c r="C3344" s="1" t="n">
        <v>46046</v>
      </c>
      <c r="D3344" t="inlineStr">
        <is>
          <t>NORRBOTTENS LÄN</t>
        </is>
      </c>
      <c r="E3344" t="inlineStr">
        <is>
          <t>KALIX</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27763-2025</t>
        </is>
      </c>
      <c r="B3345" s="1" t="n">
        <v>45816.57856481482</v>
      </c>
      <c r="C3345" s="1" t="n">
        <v>46046</v>
      </c>
      <c r="D3345" t="inlineStr">
        <is>
          <t>NORRBOTTENS LÄN</t>
        </is>
      </c>
      <c r="E3345" t="inlineStr">
        <is>
          <t>KALIX</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16560-2023</t>
        </is>
      </c>
      <c r="B3346" s="1" t="n">
        <v>45029</v>
      </c>
      <c r="C3346" s="1" t="n">
        <v>46046</v>
      </c>
      <c r="D3346" t="inlineStr">
        <is>
          <t>NORRBOTTENS LÄN</t>
        </is>
      </c>
      <c r="E3346" t="inlineStr">
        <is>
          <t>PITEÅ</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22039-2024</t>
        </is>
      </c>
      <c r="B3347" s="1" t="n">
        <v>45443</v>
      </c>
      <c r="C3347" s="1" t="n">
        <v>46046</v>
      </c>
      <c r="D3347" t="inlineStr">
        <is>
          <t>NORRBOTTENS LÄN</t>
        </is>
      </c>
      <c r="E3347" t="inlineStr">
        <is>
          <t>PAJALA</t>
        </is>
      </c>
      <c r="F3347" t="inlineStr">
        <is>
          <t>Sveaskog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4086-2024</t>
        </is>
      </c>
      <c r="B3348" s="1" t="n">
        <v>45323</v>
      </c>
      <c r="C3348" s="1" t="n">
        <v>46046</v>
      </c>
      <c r="D3348" t="inlineStr">
        <is>
          <t>NORRBOTTENS LÄN</t>
        </is>
      </c>
      <c r="E3348" t="inlineStr">
        <is>
          <t>PITEÅ</t>
        </is>
      </c>
      <c r="G3348" t="n">
        <v>11.3</v>
      </c>
      <c r="H3348" t="n">
        <v>0</v>
      </c>
      <c r="I3348" t="n">
        <v>0</v>
      </c>
      <c r="J3348" t="n">
        <v>0</v>
      </c>
      <c r="K3348" t="n">
        <v>0</v>
      </c>
      <c r="L3348" t="n">
        <v>0</v>
      </c>
      <c r="M3348" t="n">
        <v>0</v>
      </c>
      <c r="N3348" t="n">
        <v>0</v>
      </c>
      <c r="O3348" t="n">
        <v>0</v>
      </c>
      <c r="P3348" t="n">
        <v>0</v>
      </c>
      <c r="Q3348" t="n">
        <v>0</v>
      </c>
      <c r="R3348" s="2" t="inlineStr"/>
    </row>
    <row r="3349" ht="15" customHeight="1">
      <c r="A3349" t="inlineStr">
        <is>
          <t>A 16020-2025</t>
        </is>
      </c>
      <c r="B3349" s="1" t="n">
        <v>45748</v>
      </c>
      <c r="C3349" s="1" t="n">
        <v>46046</v>
      </c>
      <c r="D3349" t="inlineStr">
        <is>
          <t>NORRBOTTENS LÄN</t>
        </is>
      </c>
      <c r="E3349" t="inlineStr">
        <is>
          <t>BODEN</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29140-2022</t>
        </is>
      </c>
      <c r="B3350" s="1" t="n">
        <v>44750</v>
      </c>
      <c r="C3350" s="1" t="n">
        <v>46046</v>
      </c>
      <c r="D3350" t="inlineStr">
        <is>
          <t>NORRBOTTENS LÄN</t>
        </is>
      </c>
      <c r="E3350" t="inlineStr">
        <is>
          <t>GÄLLIVARE</t>
        </is>
      </c>
      <c r="G3350" t="n">
        <v>13.6</v>
      </c>
      <c r="H3350" t="n">
        <v>0</v>
      </c>
      <c r="I3350" t="n">
        <v>0</v>
      </c>
      <c r="J3350" t="n">
        <v>0</v>
      </c>
      <c r="K3350" t="n">
        <v>0</v>
      </c>
      <c r="L3350" t="n">
        <v>0</v>
      </c>
      <c r="M3350" t="n">
        <v>0</v>
      </c>
      <c r="N3350" t="n">
        <v>0</v>
      </c>
      <c r="O3350" t="n">
        <v>0</v>
      </c>
      <c r="P3350" t="n">
        <v>0</v>
      </c>
      <c r="Q3350" t="n">
        <v>0</v>
      </c>
      <c r="R3350" s="2" t="inlineStr"/>
    </row>
    <row r="3351" ht="15" customHeight="1">
      <c r="A3351" t="inlineStr">
        <is>
          <t>A 29159-2022</t>
        </is>
      </c>
      <c r="B3351" s="1" t="n">
        <v>44750</v>
      </c>
      <c r="C3351" s="1" t="n">
        <v>46046</v>
      </c>
      <c r="D3351" t="inlineStr">
        <is>
          <t>NORRBOTTENS LÄN</t>
        </is>
      </c>
      <c r="E3351" t="inlineStr">
        <is>
          <t>HAPARANDA</t>
        </is>
      </c>
      <c r="F3351" t="inlineStr">
        <is>
          <t>Kommuner</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27749-2025</t>
        </is>
      </c>
      <c r="B3352" s="1" t="n">
        <v>45815.68055555555</v>
      </c>
      <c r="C3352" s="1" t="n">
        <v>46046</v>
      </c>
      <c r="D3352" t="inlineStr">
        <is>
          <t>NORRBOTTENS LÄN</t>
        </is>
      </c>
      <c r="E3352" t="inlineStr">
        <is>
          <t>KALIX</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31827-2024</t>
        </is>
      </c>
      <c r="B3353" s="1" t="n">
        <v>45509.61607638889</v>
      </c>
      <c r="C3353" s="1" t="n">
        <v>46046</v>
      </c>
      <c r="D3353" t="inlineStr">
        <is>
          <t>NORRBOTTENS LÄN</t>
        </is>
      </c>
      <c r="E3353" t="inlineStr">
        <is>
          <t>ÖVERTORNEÅ</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44997-2024</t>
        </is>
      </c>
      <c r="B3354" s="1" t="n">
        <v>45575</v>
      </c>
      <c r="C3354" s="1" t="n">
        <v>46046</v>
      </c>
      <c r="D3354" t="inlineStr">
        <is>
          <t>NORRBOTTENS LÄN</t>
        </is>
      </c>
      <c r="E3354" t="inlineStr">
        <is>
          <t>PAJALA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35169-2022</t>
        </is>
      </c>
      <c r="B3355" s="1" t="n">
        <v>44797.6012962963</v>
      </c>
      <c r="C3355" s="1" t="n">
        <v>46046</v>
      </c>
      <c r="D3355" t="inlineStr">
        <is>
          <t>NORRBOTTENS LÄN</t>
        </is>
      </c>
      <c r="E3355" t="inlineStr">
        <is>
          <t>ÖVERKALIX</t>
        </is>
      </c>
      <c r="F3355" t="inlineStr">
        <is>
          <t>Sveaskog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49902-2024</t>
        </is>
      </c>
      <c r="B3356" s="1" t="n">
        <v>45597.54476851852</v>
      </c>
      <c r="C3356" s="1" t="n">
        <v>46046</v>
      </c>
      <c r="D3356" t="inlineStr">
        <is>
          <t>NORRBOTTENS LÄN</t>
        </is>
      </c>
      <c r="E3356" t="inlineStr">
        <is>
          <t>HAPARANDA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26035-2023</t>
        </is>
      </c>
      <c r="B3357" s="1" t="n">
        <v>45091</v>
      </c>
      <c r="C3357" s="1" t="n">
        <v>46046</v>
      </c>
      <c r="D3357" t="inlineStr">
        <is>
          <t>NORRBOTTENS LÄN</t>
        </is>
      </c>
      <c r="E3357" t="inlineStr">
        <is>
          <t>BODEN</t>
        </is>
      </c>
      <c r="G3357" t="n">
        <v>14.1</v>
      </c>
      <c r="H3357" t="n">
        <v>0</v>
      </c>
      <c r="I3357" t="n">
        <v>0</v>
      </c>
      <c r="J3357" t="n">
        <v>0</v>
      </c>
      <c r="K3357" t="n">
        <v>0</v>
      </c>
      <c r="L3357" t="n">
        <v>0</v>
      </c>
      <c r="M3357" t="n">
        <v>0</v>
      </c>
      <c r="N3357" t="n">
        <v>0</v>
      </c>
      <c r="O3357" t="n">
        <v>0</v>
      </c>
      <c r="P3357" t="n">
        <v>0</v>
      </c>
      <c r="Q3357" t="n">
        <v>0</v>
      </c>
      <c r="R3357" s="2" t="inlineStr"/>
    </row>
    <row r="3358" ht="15" customHeight="1">
      <c r="A3358" t="inlineStr">
        <is>
          <t>A 47735-2024</t>
        </is>
      </c>
      <c r="B3358" s="1" t="n">
        <v>45588.51137731481</v>
      </c>
      <c r="C3358" s="1" t="n">
        <v>46046</v>
      </c>
      <c r="D3358" t="inlineStr">
        <is>
          <t>NORRBOTTENS LÄN</t>
        </is>
      </c>
      <c r="E3358" t="inlineStr">
        <is>
          <t>ÖVERKALIX</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49208-2024</t>
        </is>
      </c>
      <c r="B3359" s="1" t="n">
        <v>45595.37256944444</v>
      </c>
      <c r="C3359" s="1" t="n">
        <v>46046</v>
      </c>
      <c r="D3359" t="inlineStr">
        <is>
          <t>NORRBOTTENS LÄN</t>
        </is>
      </c>
      <c r="E3359" t="inlineStr">
        <is>
          <t>LULEÅ</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28946-2022</t>
        </is>
      </c>
      <c r="B3360" s="1" t="n">
        <v>44749.6044675926</v>
      </c>
      <c r="C3360" s="1" t="n">
        <v>46046</v>
      </c>
      <c r="D3360" t="inlineStr">
        <is>
          <t>NORRBOTTENS LÄN</t>
        </is>
      </c>
      <c r="E3360" t="inlineStr">
        <is>
          <t>KALIX</t>
        </is>
      </c>
      <c r="F3360" t="inlineStr">
        <is>
          <t>Sveaskog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43911-2023</t>
        </is>
      </c>
      <c r="B3361" s="1" t="n">
        <v>45187.69538194445</v>
      </c>
      <c r="C3361" s="1" t="n">
        <v>46046</v>
      </c>
      <c r="D3361" t="inlineStr">
        <is>
          <t>NORRBOTTENS LÄN</t>
        </is>
      </c>
      <c r="E3361" t="inlineStr">
        <is>
          <t>PITEÅ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28297-2025</t>
        </is>
      </c>
      <c r="B3362" s="1" t="n">
        <v>45818.60010416667</v>
      </c>
      <c r="C3362" s="1" t="n">
        <v>46046</v>
      </c>
      <c r="D3362" t="inlineStr">
        <is>
          <t>NORRBOTTENS LÄN</t>
        </is>
      </c>
      <c r="E3362" t="inlineStr">
        <is>
          <t>BODEN</t>
        </is>
      </c>
      <c r="F3362" t="inlineStr">
        <is>
          <t>Sveaskog</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14337-2024</t>
        </is>
      </c>
      <c r="B3363" s="1" t="n">
        <v>45393</v>
      </c>
      <c r="C3363" s="1" t="n">
        <v>46046</v>
      </c>
      <c r="D3363" t="inlineStr">
        <is>
          <t>NORRBOTTENS LÄN</t>
        </is>
      </c>
      <c r="E3363" t="inlineStr">
        <is>
          <t>LULEÅ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14392-2024</t>
        </is>
      </c>
      <c r="B3364" s="1" t="n">
        <v>45394</v>
      </c>
      <c r="C3364" s="1" t="n">
        <v>46046</v>
      </c>
      <c r="D3364" t="inlineStr">
        <is>
          <t>NORRBOTTENS LÄN</t>
        </is>
      </c>
      <c r="E3364" t="inlineStr">
        <is>
          <t>ÖVERTORNEÅ</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12116-2025</t>
        </is>
      </c>
      <c r="B3365" s="1" t="n">
        <v>45729.36509259259</v>
      </c>
      <c r="C3365" s="1" t="n">
        <v>46046</v>
      </c>
      <c r="D3365" t="inlineStr">
        <is>
          <t>NORRBOTTENS LÄN</t>
        </is>
      </c>
      <c r="E3365" t="inlineStr">
        <is>
          <t>LULEÅ</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17125-2024</t>
        </is>
      </c>
      <c r="B3366" s="1" t="n">
        <v>45412</v>
      </c>
      <c r="C3366" s="1" t="n">
        <v>46046</v>
      </c>
      <c r="D3366" t="inlineStr">
        <is>
          <t>NORRBOTTENS LÄN</t>
        </is>
      </c>
      <c r="E3366" t="inlineStr">
        <is>
          <t>LULEÅ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28343-2025</t>
        </is>
      </c>
      <c r="B3367" s="1" t="n">
        <v>45818</v>
      </c>
      <c r="C3367" s="1" t="n">
        <v>46046</v>
      </c>
      <c r="D3367" t="inlineStr">
        <is>
          <t>NORRBOTTENS LÄN</t>
        </is>
      </c>
      <c r="E3367" t="inlineStr">
        <is>
          <t>ÖVERKALIX</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28357-2025</t>
        </is>
      </c>
      <c r="B3368" s="1" t="n">
        <v>45818</v>
      </c>
      <c r="C3368" s="1" t="n">
        <v>46046</v>
      </c>
      <c r="D3368" t="inlineStr">
        <is>
          <t>NORRBOTTENS LÄN</t>
        </is>
      </c>
      <c r="E3368" t="inlineStr">
        <is>
          <t>ARVIDSJAUR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49848-2024</t>
        </is>
      </c>
      <c r="B3369" s="1" t="n">
        <v>45597.46230324074</v>
      </c>
      <c r="C3369" s="1" t="n">
        <v>46046</v>
      </c>
      <c r="D3369" t="inlineStr">
        <is>
          <t>NORRBOTTENS LÄN</t>
        </is>
      </c>
      <c r="E3369" t="inlineStr">
        <is>
          <t>HAPARANDA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28124-2025</t>
        </is>
      </c>
      <c r="B3370" s="1" t="n">
        <v>45818.31184027778</v>
      </c>
      <c r="C3370" s="1" t="n">
        <v>46046</v>
      </c>
      <c r="D3370" t="inlineStr">
        <is>
          <t>NORRBOTTENS LÄN</t>
        </is>
      </c>
      <c r="E3370" t="inlineStr">
        <is>
          <t>GÄLLIVARE</t>
        </is>
      </c>
      <c r="F3370" t="inlineStr">
        <is>
          <t>Sveaskog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28125-2025</t>
        </is>
      </c>
      <c r="B3371" s="1" t="n">
        <v>45818.31322916667</v>
      </c>
      <c r="C3371" s="1" t="n">
        <v>46046</v>
      </c>
      <c r="D3371" t="inlineStr">
        <is>
          <t>NORRBOTTENS LÄN</t>
        </is>
      </c>
      <c r="E3371" t="inlineStr">
        <is>
          <t>GÄLLIVARE</t>
        </is>
      </c>
      <c r="F3371" t="inlineStr">
        <is>
          <t>Sveaskog</t>
        </is>
      </c>
      <c r="G3371" t="n">
        <v>11.3</v>
      </c>
      <c r="H3371" t="n">
        <v>0</v>
      </c>
      <c r="I3371" t="n">
        <v>0</v>
      </c>
      <c r="J3371" t="n">
        <v>0</v>
      </c>
      <c r="K3371" t="n">
        <v>0</v>
      </c>
      <c r="L3371" t="n">
        <v>0</v>
      </c>
      <c r="M3371" t="n">
        <v>0</v>
      </c>
      <c r="N3371" t="n">
        <v>0</v>
      </c>
      <c r="O3371" t="n">
        <v>0</v>
      </c>
      <c r="P3371" t="n">
        <v>0</v>
      </c>
      <c r="Q3371" t="n">
        <v>0</v>
      </c>
      <c r="R3371" s="2" t="inlineStr"/>
    </row>
    <row r="3372" ht="15" customHeight="1">
      <c r="A3372" t="inlineStr">
        <is>
          <t>A 28202-2025</t>
        </is>
      </c>
      <c r="B3372" s="1" t="n">
        <v>45818.44586805555</v>
      </c>
      <c r="C3372" s="1" t="n">
        <v>46046</v>
      </c>
      <c r="D3372" t="inlineStr">
        <is>
          <t>NORRBOTTENS LÄN</t>
        </is>
      </c>
      <c r="E3372" t="inlineStr">
        <is>
          <t>ÖVERKALIX</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28208-2025</t>
        </is>
      </c>
      <c r="B3373" s="1" t="n">
        <v>45818.4499074074</v>
      </c>
      <c r="C3373" s="1" t="n">
        <v>46046</v>
      </c>
      <c r="D3373" t="inlineStr">
        <is>
          <t>NORRBOTTENS LÄN</t>
        </is>
      </c>
      <c r="E3373" t="inlineStr">
        <is>
          <t>ÖVERKALIX</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28353-2025</t>
        </is>
      </c>
      <c r="B3374" s="1" t="n">
        <v>45818</v>
      </c>
      <c r="C3374" s="1" t="n">
        <v>46046</v>
      </c>
      <c r="D3374" t="inlineStr">
        <is>
          <t>NORRBOTTENS LÄN</t>
        </is>
      </c>
      <c r="E3374" t="inlineStr">
        <is>
          <t>ARVIDSJAUR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28356-2025</t>
        </is>
      </c>
      <c r="B3375" s="1" t="n">
        <v>45818</v>
      </c>
      <c r="C3375" s="1" t="n">
        <v>46046</v>
      </c>
      <c r="D3375" t="inlineStr">
        <is>
          <t>NORRBOTTENS LÄN</t>
        </is>
      </c>
      <c r="E3375" t="inlineStr">
        <is>
          <t>ARVIDSJAUR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2244-2023</t>
        </is>
      </c>
      <c r="B3376" s="1" t="n">
        <v>44942</v>
      </c>
      <c r="C3376" s="1" t="n">
        <v>46046</v>
      </c>
      <c r="D3376" t="inlineStr">
        <is>
          <t>NORRBOTTENS LÄN</t>
        </is>
      </c>
      <c r="E3376" t="inlineStr">
        <is>
          <t>GÄLLIVARE</t>
        </is>
      </c>
      <c r="G3376" t="n">
        <v>21.1</v>
      </c>
      <c r="H3376" t="n">
        <v>0</v>
      </c>
      <c r="I3376" t="n">
        <v>0</v>
      </c>
      <c r="J3376" t="n">
        <v>0</v>
      </c>
      <c r="K3376" t="n">
        <v>0</v>
      </c>
      <c r="L3376" t="n">
        <v>0</v>
      </c>
      <c r="M3376" t="n">
        <v>0</v>
      </c>
      <c r="N3376" t="n">
        <v>0</v>
      </c>
      <c r="O3376" t="n">
        <v>0</v>
      </c>
      <c r="P3376" t="n">
        <v>0</v>
      </c>
      <c r="Q3376" t="n">
        <v>0</v>
      </c>
      <c r="R3376" s="2" t="inlineStr"/>
    </row>
    <row r="3377" ht="15" customHeight="1">
      <c r="A3377" t="inlineStr">
        <is>
          <t>A 1312-2024</t>
        </is>
      </c>
      <c r="B3377" s="1" t="n">
        <v>45303</v>
      </c>
      <c r="C3377" s="1" t="n">
        <v>46046</v>
      </c>
      <c r="D3377" t="inlineStr">
        <is>
          <t>NORRBOTTENS LÄN</t>
        </is>
      </c>
      <c r="E3377" t="inlineStr">
        <is>
          <t>LULEÅ</t>
        </is>
      </c>
      <c r="F3377" t="inlineStr">
        <is>
          <t>Kyrkan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404-2023</t>
        </is>
      </c>
      <c r="B3378" s="1" t="n">
        <v>44923</v>
      </c>
      <c r="C3378" s="1" t="n">
        <v>46046</v>
      </c>
      <c r="D3378" t="inlineStr">
        <is>
          <t>NORRBOTTENS LÄN</t>
        </is>
      </c>
      <c r="E3378" t="inlineStr">
        <is>
          <t>GÄLLIVARE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19060-2024</t>
        </is>
      </c>
      <c r="B3379" s="1" t="n">
        <v>45427.93494212963</v>
      </c>
      <c r="C3379" s="1" t="n">
        <v>46046</v>
      </c>
      <c r="D3379" t="inlineStr">
        <is>
          <t>NORRBOTTENS LÄN</t>
        </is>
      </c>
      <c r="E3379" t="inlineStr">
        <is>
          <t>BODEN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40804-2024</t>
        </is>
      </c>
      <c r="B3380" s="1" t="n">
        <v>45558.53196759259</v>
      </c>
      <c r="C3380" s="1" t="n">
        <v>46046</v>
      </c>
      <c r="D3380" t="inlineStr">
        <is>
          <t>NORRBOTTENS LÄN</t>
        </is>
      </c>
      <c r="E3380" t="inlineStr">
        <is>
          <t>PAJALA</t>
        </is>
      </c>
      <c r="G3380" t="n">
        <v>93</v>
      </c>
      <c r="H3380" t="n">
        <v>0</v>
      </c>
      <c r="I3380" t="n">
        <v>0</v>
      </c>
      <c r="J3380" t="n">
        <v>0</v>
      </c>
      <c r="K3380" t="n">
        <v>0</v>
      </c>
      <c r="L3380" t="n">
        <v>0</v>
      </c>
      <c r="M3380" t="n">
        <v>0</v>
      </c>
      <c r="N3380" t="n">
        <v>0</v>
      </c>
      <c r="O3380" t="n">
        <v>0</v>
      </c>
      <c r="P3380" t="n">
        <v>0</v>
      </c>
      <c r="Q3380" t="n">
        <v>0</v>
      </c>
      <c r="R3380" s="2" t="inlineStr"/>
    </row>
    <row r="3381" ht="15" customHeight="1">
      <c r="A3381" t="inlineStr">
        <is>
          <t>A 4232-2024</t>
        </is>
      </c>
      <c r="B3381" s="1" t="n">
        <v>45324.43004629629</v>
      </c>
      <c r="C3381" s="1" t="n">
        <v>46046</v>
      </c>
      <c r="D3381" t="inlineStr">
        <is>
          <t>NORRBOTTENS LÄN</t>
        </is>
      </c>
      <c r="E3381" t="inlineStr">
        <is>
          <t>PITEÅ</t>
        </is>
      </c>
      <c r="F3381" t="inlineStr">
        <is>
          <t>Sveaskog</t>
        </is>
      </c>
      <c r="G3381" t="n">
        <v>11.1</v>
      </c>
      <c r="H3381" t="n">
        <v>0</v>
      </c>
      <c r="I3381" t="n">
        <v>0</v>
      </c>
      <c r="J3381" t="n">
        <v>0</v>
      </c>
      <c r="K3381" t="n">
        <v>0</v>
      </c>
      <c r="L3381" t="n">
        <v>0</v>
      </c>
      <c r="M3381" t="n">
        <v>0</v>
      </c>
      <c r="N3381" t="n">
        <v>0</v>
      </c>
      <c r="O3381" t="n">
        <v>0</v>
      </c>
      <c r="P3381" t="n">
        <v>0</v>
      </c>
      <c r="Q3381" t="n">
        <v>0</v>
      </c>
      <c r="R3381" s="2" t="inlineStr"/>
    </row>
    <row r="3382" ht="15" customHeight="1">
      <c r="A3382" t="inlineStr">
        <is>
          <t>A 6693-2023</t>
        </is>
      </c>
      <c r="B3382" s="1" t="n">
        <v>44963</v>
      </c>
      <c r="C3382" s="1" t="n">
        <v>46046</v>
      </c>
      <c r="D3382" t="inlineStr">
        <is>
          <t>NORRBOTTENS LÄN</t>
        </is>
      </c>
      <c r="E3382" t="inlineStr">
        <is>
          <t>BODEN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17423-2023</t>
        </is>
      </c>
      <c r="B3383" s="1" t="n">
        <v>45035.92623842593</v>
      </c>
      <c r="C3383" s="1" t="n">
        <v>46046</v>
      </c>
      <c r="D3383" t="inlineStr">
        <is>
          <t>NORRBOTTENS LÄN</t>
        </is>
      </c>
      <c r="E3383" t="inlineStr">
        <is>
          <t>PITEÅ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17447-2023</t>
        </is>
      </c>
      <c r="B3384" s="1" t="n">
        <v>45035</v>
      </c>
      <c r="C3384" s="1" t="n">
        <v>46046</v>
      </c>
      <c r="D3384" t="inlineStr">
        <is>
          <t>NORRBOTTENS LÄN</t>
        </is>
      </c>
      <c r="E3384" t="inlineStr">
        <is>
          <t>PITEÅ</t>
        </is>
      </c>
      <c r="F3384" t="inlineStr">
        <is>
          <t>SCA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28352-2025</t>
        </is>
      </c>
      <c r="B3385" s="1" t="n">
        <v>45818</v>
      </c>
      <c r="C3385" s="1" t="n">
        <v>46046</v>
      </c>
      <c r="D3385" t="inlineStr">
        <is>
          <t>NORRBOTTENS LÄN</t>
        </is>
      </c>
      <c r="E3385" t="inlineStr">
        <is>
          <t>ARVIDSJAUR</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19526-2025</t>
        </is>
      </c>
      <c r="B3386" s="1" t="n">
        <v>45770.46388888889</v>
      </c>
      <c r="C3386" s="1" t="n">
        <v>46046</v>
      </c>
      <c r="D3386" t="inlineStr">
        <is>
          <t>NORRBOTTENS LÄN</t>
        </is>
      </c>
      <c r="E3386" t="inlineStr">
        <is>
          <t>LULEÅ</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10959-2025</t>
        </is>
      </c>
      <c r="B3387" s="1" t="n">
        <v>45723.36494212963</v>
      </c>
      <c r="C3387" s="1" t="n">
        <v>46046</v>
      </c>
      <c r="D3387" t="inlineStr">
        <is>
          <t>NORRBOTTENS LÄN</t>
        </is>
      </c>
      <c r="E3387" t="inlineStr">
        <is>
          <t>KALIX</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64237-2023</t>
        </is>
      </c>
      <c r="B3388" s="1" t="n">
        <v>45279.92658564815</v>
      </c>
      <c r="C3388" s="1" t="n">
        <v>46046</v>
      </c>
      <c r="D3388" t="inlineStr">
        <is>
          <t>NORRBOTTENS LÄN</t>
        </is>
      </c>
      <c r="E3388" t="inlineStr">
        <is>
          <t>GÄLLIVARE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28591-2025</t>
        </is>
      </c>
      <c r="B3389" s="1" t="n">
        <v>45819.59027777778</v>
      </c>
      <c r="C3389" s="1" t="n">
        <v>46046</v>
      </c>
      <c r="D3389" t="inlineStr">
        <is>
          <t>NORRBOTTENS LÄN</t>
        </is>
      </c>
      <c r="E3389" t="inlineStr">
        <is>
          <t>JOKKMOKK</t>
        </is>
      </c>
      <c r="F3389" t="inlineStr">
        <is>
          <t>Sveaskog</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70336-2021</t>
        </is>
      </c>
      <c r="B3390" s="1" t="n">
        <v>44536</v>
      </c>
      <c r="C3390" s="1" t="n">
        <v>46046</v>
      </c>
      <c r="D3390" t="inlineStr">
        <is>
          <t>NORRBOTTENS LÄN</t>
        </is>
      </c>
      <c r="E3390" t="inlineStr">
        <is>
          <t>HAPARANDA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28617-2025</t>
        </is>
      </c>
      <c r="B3391" s="1" t="n">
        <v>45819.60979166667</v>
      </c>
      <c r="C3391" s="1" t="n">
        <v>46046</v>
      </c>
      <c r="D3391" t="inlineStr">
        <is>
          <t>NORRBOTTENS LÄN</t>
        </is>
      </c>
      <c r="E3391" t="inlineStr">
        <is>
          <t>KALIX</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6574-2025</t>
        </is>
      </c>
      <c r="B3392" s="1" t="n">
        <v>45699.85717592593</v>
      </c>
      <c r="C3392" s="1" t="n">
        <v>46046</v>
      </c>
      <c r="D3392" t="inlineStr">
        <is>
          <t>NORRBOTTENS LÄN</t>
        </is>
      </c>
      <c r="E3392" t="inlineStr">
        <is>
          <t>PITEÅ</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48339-2024</t>
        </is>
      </c>
      <c r="B3393" s="1" t="n">
        <v>45590</v>
      </c>
      <c r="C3393" s="1" t="n">
        <v>46046</v>
      </c>
      <c r="D3393" t="inlineStr">
        <is>
          <t>NORRBOTTENS LÄN</t>
        </is>
      </c>
      <c r="E3393" t="inlineStr">
        <is>
          <t>JOKKMOKK</t>
        </is>
      </c>
      <c r="F3393" t="inlineStr">
        <is>
          <t>Allmännings- och besparingsskogar</t>
        </is>
      </c>
      <c r="G3393" t="n">
        <v>24.9</v>
      </c>
      <c r="H3393" t="n">
        <v>0</v>
      </c>
      <c r="I3393" t="n">
        <v>0</v>
      </c>
      <c r="J3393" t="n">
        <v>0</v>
      </c>
      <c r="K3393" t="n">
        <v>0</v>
      </c>
      <c r="L3393" t="n">
        <v>0</v>
      </c>
      <c r="M3393" t="n">
        <v>0</v>
      </c>
      <c r="N3393" t="n">
        <v>0</v>
      </c>
      <c r="O3393" t="n">
        <v>0</v>
      </c>
      <c r="P3393" t="n">
        <v>0</v>
      </c>
      <c r="Q3393" t="n">
        <v>0</v>
      </c>
      <c r="R3393" s="2" t="inlineStr"/>
    </row>
    <row r="3394" ht="15" customHeight="1">
      <c r="A3394" t="inlineStr">
        <is>
          <t>A 10921-2024</t>
        </is>
      </c>
      <c r="B3394" s="1" t="n">
        <v>45370</v>
      </c>
      <c r="C3394" s="1" t="n">
        <v>46046</v>
      </c>
      <c r="D3394" t="inlineStr">
        <is>
          <t>NORRBOTTENS LÄN</t>
        </is>
      </c>
      <c r="E3394" t="inlineStr">
        <is>
          <t>BODEN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32477-2024</t>
        </is>
      </c>
      <c r="B3395" s="1" t="n">
        <v>45513</v>
      </c>
      <c r="C3395" s="1" t="n">
        <v>46046</v>
      </c>
      <c r="D3395" t="inlineStr">
        <is>
          <t>NORRBOTTENS LÄN</t>
        </is>
      </c>
      <c r="E3395" t="inlineStr">
        <is>
          <t>ÖVERKALIX</t>
        </is>
      </c>
      <c r="F3395" t="inlineStr">
        <is>
          <t>Sveaskog</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10060-2025</t>
        </is>
      </c>
      <c r="B3396" s="1" t="n">
        <v>45719.53412037037</v>
      </c>
      <c r="C3396" s="1" t="n">
        <v>46046</v>
      </c>
      <c r="D3396" t="inlineStr">
        <is>
          <t>NORRBOTTENS LÄN</t>
        </is>
      </c>
      <c r="E3396" t="inlineStr">
        <is>
          <t>KALIX</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28400-2025</t>
        </is>
      </c>
      <c r="B3397" s="1" t="n">
        <v>45819.34449074074</v>
      </c>
      <c r="C3397" s="1" t="n">
        <v>46046</v>
      </c>
      <c r="D3397" t="inlineStr">
        <is>
          <t>NORRBOTTENS LÄN</t>
        </is>
      </c>
      <c r="E3397" t="inlineStr">
        <is>
          <t>ÖVERKALIX</t>
        </is>
      </c>
      <c r="F3397" t="inlineStr">
        <is>
          <t>SCA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10065-2025</t>
        </is>
      </c>
      <c r="B3398" s="1" t="n">
        <v>45719.54244212963</v>
      </c>
      <c r="C3398" s="1" t="n">
        <v>46046</v>
      </c>
      <c r="D3398" t="inlineStr">
        <is>
          <t>NORRBOTTENS LÄN</t>
        </is>
      </c>
      <c r="E3398" t="inlineStr">
        <is>
          <t>KALIX</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20126-2023</t>
        </is>
      </c>
      <c r="B3399" s="1" t="n">
        <v>45051</v>
      </c>
      <c r="C3399" s="1" t="n">
        <v>46046</v>
      </c>
      <c r="D3399" t="inlineStr">
        <is>
          <t>NORRBOTTENS LÄN</t>
        </is>
      </c>
      <c r="E3399" t="inlineStr">
        <is>
          <t>GÄLLIVARE</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30784-2024</t>
        </is>
      </c>
      <c r="B3400" s="1" t="n">
        <v>45496</v>
      </c>
      <c r="C3400" s="1" t="n">
        <v>46046</v>
      </c>
      <c r="D3400" t="inlineStr">
        <is>
          <t>NORRBOTTENS LÄN</t>
        </is>
      </c>
      <c r="E3400" t="inlineStr">
        <is>
          <t>LULEÅ</t>
        </is>
      </c>
      <c r="F3400" t="inlineStr">
        <is>
          <t>Naturvårdsverket</t>
        </is>
      </c>
      <c r="G3400" t="n">
        <v>13.2</v>
      </c>
      <c r="H3400" t="n">
        <v>0</v>
      </c>
      <c r="I3400" t="n">
        <v>0</v>
      </c>
      <c r="J3400" t="n">
        <v>0</v>
      </c>
      <c r="K3400" t="n">
        <v>0</v>
      </c>
      <c r="L3400" t="n">
        <v>0</v>
      </c>
      <c r="M3400" t="n">
        <v>0</v>
      </c>
      <c r="N3400" t="n">
        <v>0</v>
      </c>
      <c r="O3400" t="n">
        <v>0</v>
      </c>
      <c r="P3400" t="n">
        <v>0</v>
      </c>
      <c r="Q3400" t="n">
        <v>0</v>
      </c>
      <c r="R3400" s="2" t="inlineStr"/>
    </row>
    <row r="3401" ht="15" customHeight="1">
      <c r="A3401" t="inlineStr">
        <is>
          <t>A 30788-2024</t>
        </is>
      </c>
      <c r="B3401" s="1" t="n">
        <v>45496</v>
      </c>
      <c r="C3401" s="1" t="n">
        <v>46046</v>
      </c>
      <c r="D3401" t="inlineStr">
        <is>
          <t>NORRBOTTENS LÄN</t>
        </is>
      </c>
      <c r="E3401" t="inlineStr">
        <is>
          <t>LULEÅ</t>
        </is>
      </c>
      <c r="F3401" t="inlineStr">
        <is>
          <t>Naturvårdsverket</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28126-2025</t>
        </is>
      </c>
      <c r="B3402" s="1" t="n">
        <v>45818.31854166667</v>
      </c>
      <c r="C3402" s="1" t="n">
        <v>46046</v>
      </c>
      <c r="D3402" t="inlineStr">
        <is>
          <t>NORRBOTTENS LÄN</t>
        </is>
      </c>
      <c r="E3402" t="inlineStr">
        <is>
          <t>GÄLLIVARE</t>
        </is>
      </c>
      <c r="F3402" t="inlineStr">
        <is>
          <t>Sveaskog</t>
        </is>
      </c>
      <c r="G3402" t="n">
        <v>29.9</v>
      </c>
      <c r="H3402" t="n">
        <v>0</v>
      </c>
      <c r="I3402" t="n">
        <v>0</v>
      </c>
      <c r="J3402" t="n">
        <v>0</v>
      </c>
      <c r="K3402" t="n">
        <v>0</v>
      </c>
      <c r="L3402" t="n">
        <v>0</v>
      </c>
      <c r="M3402" t="n">
        <v>0</v>
      </c>
      <c r="N3402" t="n">
        <v>0</v>
      </c>
      <c r="O3402" t="n">
        <v>0</v>
      </c>
      <c r="P3402" t="n">
        <v>0</v>
      </c>
      <c r="Q3402" t="n">
        <v>0</v>
      </c>
      <c r="R3402" s="2" t="inlineStr"/>
    </row>
    <row r="3403" ht="15" customHeight="1">
      <c r="A3403" t="inlineStr">
        <is>
          <t>A 44527-2024</t>
        </is>
      </c>
      <c r="B3403" s="1" t="n">
        <v>45574.44518518518</v>
      </c>
      <c r="C3403" s="1" t="n">
        <v>46046</v>
      </c>
      <c r="D3403" t="inlineStr">
        <is>
          <t>NORRBOTTENS LÄN</t>
        </is>
      </c>
      <c r="E3403" t="inlineStr">
        <is>
          <t>PITEÅ</t>
        </is>
      </c>
      <c r="F3403" t="inlineStr">
        <is>
          <t>Sveaskog</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28262-2025</t>
        </is>
      </c>
      <c r="B3404" s="1" t="n">
        <v>45818</v>
      </c>
      <c r="C3404" s="1" t="n">
        <v>46046</v>
      </c>
      <c r="D3404" t="inlineStr">
        <is>
          <t>NORRBOTTENS LÄN</t>
        </is>
      </c>
      <c r="E3404" t="inlineStr">
        <is>
          <t>PITEÅ</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28580-2025</t>
        </is>
      </c>
      <c r="B3405" s="1" t="n">
        <v>45819.57340277778</v>
      </c>
      <c r="C3405" s="1" t="n">
        <v>46046</v>
      </c>
      <c r="D3405" t="inlineStr">
        <is>
          <t>NORRBOTTENS LÄN</t>
        </is>
      </c>
      <c r="E3405" t="inlineStr">
        <is>
          <t>GÄLLIVARE</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3206-2025</t>
        </is>
      </c>
      <c r="B3406" s="1" t="n">
        <v>45679</v>
      </c>
      <c r="C3406" s="1" t="n">
        <v>46046</v>
      </c>
      <c r="D3406" t="inlineStr">
        <is>
          <t>NORRBOTTENS LÄN</t>
        </is>
      </c>
      <c r="E3406" t="inlineStr">
        <is>
          <t>JOKKMOKK</t>
        </is>
      </c>
      <c r="F3406" t="inlineStr">
        <is>
          <t>SCA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28134-2025</t>
        </is>
      </c>
      <c r="B3407" s="1" t="n">
        <v>45818.34452546296</v>
      </c>
      <c r="C3407" s="1" t="n">
        <v>46046</v>
      </c>
      <c r="D3407" t="inlineStr">
        <is>
          <t>NORRBOTTENS LÄN</t>
        </is>
      </c>
      <c r="E3407" t="inlineStr">
        <is>
          <t>BODEN</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28661-2025</t>
        </is>
      </c>
      <c r="B3408" s="1" t="n">
        <v>45819.65800925926</v>
      </c>
      <c r="C3408" s="1" t="n">
        <v>46046</v>
      </c>
      <c r="D3408" t="inlineStr">
        <is>
          <t>NORRBOTTENS LÄN</t>
        </is>
      </c>
      <c r="E3408" t="inlineStr">
        <is>
          <t>PITEÅ</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17418-2024</t>
        </is>
      </c>
      <c r="B3409" s="1" t="n">
        <v>45414</v>
      </c>
      <c r="C3409" s="1" t="n">
        <v>46046</v>
      </c>
      <c r="D3409" t="inlineStr">
        <is>
          <t>NORRBOTTENS LÄN</t>
        </is>
      </c>
      <c r="E3409" t="inlineStr">
        <is>
          <t>GÄLLIVARE</t>
        </is>
      </c>
      <c r="F3409" t="inlineStr">
        <is>
          <t>SCA</t>
        </is>
      </c>
      <c r="G3409" t="n">
        <v>48.6</v>
      </c>
      <c r="H3409" t="n">
        <v>0</v>
      </c>
      <c r="I3409" t="n">
        <v>0</v>
      </c>
      <c r="J3409" t="n">
        <v>0</v>
      </c>
      <c r="K3409" t="n">
        <v>0</v>
      </c>
      <c r="L3409" t="n">
        <v>0</v>
      </c>
      <c r="M3409" t="n">
        <v>0</v>
      </c>
      <c r="N3409" t="n">
        <v>0</v>
      </c>
      <c r="O3409" t="n">
        <v>0</v>
      </c>
      <c r="P3409" t="n">
        <v>0</v>
      </c>
      <c r="Q3409" t="n">
        <v>0</v>
      </c>
      <c r="R3409" s="2" t="inlineStr"/>
    </row>
    <row r="3410" ht="15" customHeight="1">
      <c r="A3410" t="inlineStr">
        <is>
          <t>A 46158-2021</t>
        </is>
      </c>
      <c r="B3410" s="1" t="n">
        <v>44442.43422453704</v>
      </c>
      <c r="C3410" s="1" t="n">
        <v>46046</v>
      </c>
      <c r="D3410" t="inlineStr">
        <is>
          <t>NORRBOTTENS LÄN</t>
        </is>
      </c>
      <c r="E3410" t="inlineStr">
        <is>
          <t>LULEÅ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46183-2021</t>
        </is>
      </c>
      <c r="B3411" s="1" t="n">
        <v>44441</v>
      </c>
      <c r="C3411" s="1" t="n">
        <v>46046</v>
      </c>
      <c r="D3411" t="inlineStr">
        <is>
          <t>NORRBOTTENS LÄN</t>
        </is>
      </c>
      <c r="E3411" t="inlineStr">
        <is>
          <t>BODEN</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28677-2025</t>
        </is>
      </c>
      <c r="B3412" s="1" t="n">
        <v>45819.67777777778</v>
      </c>
      <c r="C3412" s="1" t="n">
        <v>46046</v>
      </c>
      <c r="D3412" t="inlineStr">
        <is>
          <t>NORRBOTTENS LÄN</t>
        </is>
      </c>
      <c r="E3412" t="inlineStr">
        <is>
          <t>PITEÅ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57327-2024</t>
        </is>
      </c>
      <c r="B3413" s="1" t="n">
        <v>45629.62572916667</v>
      </c>
      <c r="C3413" s="1" t="n">
        <v>46046</v>
      </c>
      <c r="D3413" t="inlineStr">
        <is>
          <t>NORRBOTTENS LÄN</t>
        </is>
      </c>
      <c r="E3413" t="inlineStr">
        <is>
          <t>LULEÅ</t>
        </is>
      </c>
      <c r="F3413" t="inlineStr">
        <is>
          <t>Övriga Aktiebolag</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43173-2023</t>
        </is>
      </c>
      <c r="B3414" s="1" t="n">
        <v>45180</v>
      </c>
      <c r="C3414" s="1" t="n">
        <v>46046</v>
      </c>
      <c r="D3414" t="inlineStr">
        <is>
          <t>NORRBOTTENS LÄN</t>
        </is>
      </c>
      <c r="E3414" t="inlineStr">
        <is>
          <t>ÖVERKALIX</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57338-2024</t>
        </is>
      </c>
      <c r="B3415" s="1" t="n">
        <v>45629</v>
      </c>
      <c r="C3415" s="1" t="n">
        <v>46046</v>
      </c>
      <c r="D3415" t="inlineStr">
        <is>
          <t>NORRBOTTENS LÄN</t>
        </is>
      </c>
      <c r="E3415" t="inlineStr">
        <is>
          <t>KALIX</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28639-2025</t>
        </is>
      </c>
      <c r="B3416" s="1" t="n">
        <v>45819.63649305556</v>
      </c>
      <c r="C3416" s="1" t="n">
        <v>46046</v>
      </c>
      <c r="D3416" t="inlineStr">
        <is>
          <t>NORRBOTTENS LÄN</t>
        </is>
      </c>
      <c r="E3416" t="inlineStr">
        <is>
          <t>JOKKMOKK</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17583-2024</t>
        </is>
      </c>
      <c r="B3417" s="1" t="n">
        <v>45415.9237037037</v>
      </c>
      <c r="C3417" s="1" t="n">
        <v>46046</v>
      </c>
      <c r="D3417" t="inlineStr">
        <is>
          <t>NORRBOTTENS LÄN</t>
        </is>
      </c>
      <c r="E3417" t="inlineStr">
        <is>
          <t>KALIX</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31450-2024</t>
        </is>
      </c>
      <c r="B3418" s="1" t="n">
        <v>45505</v>
      </c>
      <c r="C3418" s="1" t="n">
        <v>46046</v>
      </c>
      <c r="D3418" t="inlineStr">
        <is>
          <t>NORRBOTTENS LÄN</t>
        </is>
      </c>
      <c r="E3418" t="inlineStr">
        <is>
          <t>GÄLLIVARE</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31456-2024</t>
        </is>
      </c>
      <c r="B3419" s="1" t="n">
        <v>45505</v>
      </c>
      <c r="C3419" s="1" t="n">
        <v>46046</v>
      </c>
      <c r="D3419" t="inlineStr">
        <is>
          <t>NORRBOTTENS LÄN</t>
        </is>
      </c>
      <c r="E3419" t="inlineStr">
        <is>
          <t>BODEN</t>
        </is>
      </c>
      <c r="F3419" t="inlineStr">
        <is>
          <t>SCA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39894-2021</t>
        </is>
      </c>
      <c r="B3420" s="1" t="n">
        <v>44417</v>
      </c>
      <c r="C3420" s="1" t="n">
        <v>46046</v>
      </c>
      <c r="D3420" t="inlineStr">
        <is>
          <t>NORRBOTTENS LÄN</t>
        </is>
      </c>
      <c r="E3420" t="inlineStr">
        <is>
          <t>PAJALA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39899-2021</t>
        </is>
      </c>
      <c r="B3421" s="1" t="n">
        <v>44417</v>
      </c>
      <c r="C3421" s="1" t="n">
        <v>46046</v>
      </c>
      <c r="D3421" t="inlineStr">
        <is>
          <t>NORRBOTTENS LÄN</t>
        </is>
      </c>
      <c r="E3421" t="inlineStr">
        <is>
          <t>PAJALA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39905-2021</t>
        </is>
      </c>
      <c r="B3422" s="1" t="n">
        <v>44417</v>
      </c>
      <c r="C3422" s="1" t="n">
        <v>46046</v>
      </c>
      <c r="D3422" t="inlineStr">
        <is>
          <t>NORRBOTTENS LÄN</t>
        </is>
      </c>
      <c r="E3422" t="inlineStr">
        <is>
          <t>PAJALA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39907-2021</t>
        </is>
      </c>
      <c r="B3423" s="1" t="n">
        <v>44417</v>
      </c>
      <c r="C3423" s="1" t="n">
        <v>46046</v>
      </c>
      <c r="D3423" t="inlineStr">
        <is>
          <t>NORRBOTTENS LÄN</t>
        </is>
      </c>
      <c r="E3423" t="inlineStr">
        <is>
          <t>PAJALA</t>
        </is>
      </c>
      <c r="G3423" t="n">
        <v>20.5</v>
      </c>
      <c r="H3423" t="n">
        <v>0</v>
      </c>
      <c r="I3423" t="n">
        <v>0</v>
      </c>
      <c r="J3423" t="n">
        <v>0</v>
      </c>
      <c r="K3423" t="n">
        <v>0</v>
      </c>
      <c r="L3423" t="n">
        <v>0</v>
      </c>
      <c r="M3423" t="n">
        <v>0</v>
      </c>
      <c r="N3423" t="n">
        <v>0</v>
      </c>
      <c r="O3423" t="n">
        <v>0</v>
      </c>
      <c r="P3423" t="n">
        <v>0</v>
      </c>
      <c r="Q3423" t="n">
        <v>0</v>
      </c>
      <c r="R3423" s="2" t="inlineStr"/>
    </row>
    <row r="3424" ht="15" customHeight="1">
      <c r="A3424" t="inlineStr">
        <is>
          <t>A 28402-2025</t>
        </is>
      </c>
      <c r="B3424" s="1" t="n">
        <v>45819.34493055556</v>
      </c>
      <c r="C3424" s="1" t="n">
        <v>46046</v>
      </c>
      <c r="D3424" t="inlineStr">
        <is>
          <t>NORRBOTTENS LÄN</t>
        </is>
      </c>
      <c r="E3424" t="inlineStr">
        <is>
          <t>ÖVERKALIX</t>
        </is>
      </c>
      <c r="F3424" t="inlineStr">
        <is>
          <t>SCA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28248-2025</t>
        </is>
      </c>
      <c r="B3425" s="1" t="n">
        <v>45818.52607638889</v>
      </c>
      <c r="C3425" s="1" t="n">
        <v>46046</v>
      </c>
      <c r="D3425" t="inlineStr">
        <is>
          <t>NORRBOTTENS LÄN</t>
        </is>
      </c>
      <c r="E3425" t="inlineStr">
        <is>
          <t>BODEN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28678-2025</t>
        </is>
      </c>
      <c r="B3426" s="1" t="n">
        <v>45819.67783564814</v>
      </c>
      <c r="C3426" s="1" t="n">
        <v>46046</v>
      </c>
      <c r="D3426" t="inlineStr">
        <is>
          <t>NORRBOTTENS LÄN</t>
        </is>
      </c>
      <c r="E3426" t="inlineStr">
        <is>
          <t>PITEÅ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57860-2022</t>
        </is>
      </c>
      <c r="B3427" s="1" t="n">
        <v>44898.98259259259</v>
      </c>
      <c r="C3427" s="1" t="n">
        <v>46046</v>
      </c>
      <c r="D3427" t="inlineStr">
        <is>
          <t>NORRBOTTENS LÄN</t>
        </is>
      </c>
      <c r="E3427" t="inlineStr">
        <is>
          <t>KALIX</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54970-2024</t>
        </is>
      </c>
      <c r="B3428" s="1" t="n">
        <v>45620</v>
      </c>
      <c r="C3428" s="1" t="n">
        <v>46046</v>
      </c>
      <c r="D3428" t="inlineStr">
        <is>
          <t>NORRBOTTENS LÄN</t>
        </is>
      </c>
      <c r="E3428" t="inlineStr">
        <is>
          <t>PITEÅ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2700-2025</t>
        </is>
      </c>
      <c r="B3429" s="1" t="n">
        <v>45677.40685185185</v>
      </c>
      <c r="C3429" s="1" t="n">
        <v>46046</v>
      </c>
      <c r="D3429" t="inlineStr">
        <is>
          <t>NORRBOTTENS LÄN</t>
        </is>
      </c>
      <c r="E3429" t="inlineStr">
        <is>
          <t>LULEÅ</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9838-2024</t>
        </is>
      </c>
      <c r="B3430" s="1" t="n">
        <v>45362</v>
      </c>
      <c r="C3430" s="1" t="n">
        <v>46046</v>
      </c>
      <c r="D3430" t="inlineStr">
        <is>
          <t>NORRBOTTENS LÄN</t>
        </is>
      </c>
      <c r="E3430" t="inlineStr">
        <is>
          <t>PAJALA</t>
        </is>
      </c>
      <c r="F3430" t="inlineStr">
        <is>
          <t>Allmännings- och besparingsskogar</t>
        </is>
      </c>
      <c r="G3430" t="n">
        <v>22.5</v>
      </c>
      <c r="H3430" t="n">
        <v>0</v>
      </c>
      <c r="I3430" t="n">
        <v>0</v>
      </c>
      <c r="J3430" t="n">
        <v>0</v>
      </c>
      <c r="K3430" t="n">
        <v>0</v>
      </c>
      <c r="L3430" t="n">
        <v>0</v>
      </c>
      <c r="M3430" t="n">
        <v>0</v>
      </c>
      <c r="N3430" t="n">
        <v>0</v>
      </c>
      <c r="O3430" t="n">
        <v>0</v>
      </c>
      <c r="P3430" t="n">
        <v>0</v>
      </c>
      <c r="Q3430" t="n">
        <v>0</v>
      </c>
      <c r="R3430" s="2" t="inlineStr"/>
    </row>
    <row r="3431" ht="15" customHeight="1">
      <c r="A3431" t="inlineStr">
        <is>
          <t>A 9849-2024</t>
        </is>
      </c>
      <c r="B3431" s="1" t="n">
        <v>45363</v>
      </c>
      <c r="C3431" s="1" t="n">
        <v>46046</v>
      </c>
      <c r="D3431" t="inlineStr">
        <is>
          <t>NORRBOTTENS LÄN</t>
        </is>
      </c>
      <c r="E3431" t="inlineStr">
        <is>
          <t>ÖVERKALIX</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28601-2025</t>
        </is>
      </c>
      <c r="B3432" s="1" t="n">
        <v>45819.59802083333</v>
      </c>
      <c r="C3432" s="1" t="n">
        <v>46046</v>
      </c>
      <c r="D3432" t="inlineStr">
        <is>
          <t>NORRBOTTENS LÄN</t>
        </is>
      </c>
      <c r="E3432" t="inlineStr">
        <is>
          <t>JOKKMOKK</t>
        </is>
      </c>
      <c r="F3432" t="inlineStr">
        <is>
          <t>Sveaskog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11623-2025</t>
        </is>
      </c>
      <c r="B3433" s="1" t="n">
        <v>45726</v>
      </c>
      <c r="C3433" s="1" t="n">
        <v>46046</v>
      </c>
      <c r="D3433" t="inlineStr">
        <is>
          <t>NORRBOTTENS LÄN</t>
        </is>
      </c>
      <c r="E3433" t="inlineStr">
        <is>
          <t>ARVIDSJAUR</t>
        </is>
      </c>
      <c r="F3433" t="inlineStr">
        <is>
          <t>Allmännings- och besparingsskogar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11626-2025</t>
        </is>
      </c>
      <c r="B3434" s="1" t="n">
        <v>45726</v>
      </c>
      <c r="C3434" s="1" t="n">
        <v>46046</v>
      </c>
      <c r="D3434" t="inlineStr">
        <is>
          <t>NORRBOTTENS LÄN</t>
        </is>
      </c>
      <c r="E3434" t="inlineStr">
        <is>
          <t>ARVIDSJAUR</t>
        </is>
      </c>
      <c r="F3434" t="inlineStr">
        <is>
          <t>Allmännings- och besparingsskogar</t>
        </is>
      </c>
      <c r="G3434" t="n">
        <v>11.3</v>
      </c>
      <c r="H3434" t="n">
        <v>0</v>
      </c>
      <c r="I3434" t="n">
        <v>0</v>
      </c>
      <c r="J3434" t="n">
        <v>0</v>
      </c>
      <c r="K3434" t="n">
        <v>0</v>
      </c>
      <c r="L3434" t="n">
        <v>0</v>
      </c>
      <c r="M3434" t="n">
        <v>0</v>
      </c>
      <c r="N3434" t="n">
        <v>0</v>
      </c>
      <c r="O3434" t="n">
        <v>0</v>
      </c>
      <c r="P3434" t="n">
        <v>0</v>
      </c>
      <c r="Q3434" t="n">
        <v>0</v>
      </c>
      <c r="R3434" s="2" t="inlineStr"/>
    </row>
    <row r="3435" ht="15" customHeight="1">
      <c r="A3435" t="inlineStr">
        <is>
          <t>A 8407-2025</t>
        </is>
      </c>
      <c r="B3435" s="1" t="n">
        <v>45709.3868287037</v>
      </c>
      <c r="C3435" s="1" t="n">
        <v>46046</v>
      </c>
      <c r="D3435" t="inlineStr">
        <is>
          <t>NORRBOTTENS LÄN</t>
        </is>
      </c>
      <c r="E3435" t="inlineStr">
        <is>
          <t>ÖVERKALIX</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115-2025</t>
        </is>
      </c>
      <c r="B3436" s="1" t="n">
        <v>45659.51613425926</v>
      </c>
      <c r="C3436" s="1" t="n">
        <v>46046</v>
      </c>
      <c r="D3436" t="inlineStr">
        <is>
          <t>NORRBOTTENS LÄN</t>
        </is>
      </c>
      <c r="E3436" t="inlineStr">
        <is>
          <t>LULEÅ</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41030-2024</t>
        </is>
      </c>
      <c r="B3437" s="1" t="n">
        <v>45559</v>
      </c>
      <c r="C3437" s="1" t="n">
        <v>46046</v>
      </c>
      <c r="D3437" t="inlineStr">
        <is>
          <t>NORRBOTTENS LÄN</t>
        </is>
      </c>
      <c r="E3437" t="inlineStr">
        <is>
          <t>ÖVERTORNEÅ</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12893-2022</t>
        </is>
      </c>
      <c r="B3438" s="1" t="n">
        <v>44642</v>
      </c>
      <c r="C3438" s="1" t="n">
        <v>46046</v>
      </c>
      <c r="D3438" t="inlineStr">
        <is>
          <t>NORRBOTTENS LÄN</t>
        </is>
      </c>
      <c r="E3438" t="inlineStr">
        <is>
          <t>BODEN</t>
        </is>
      </c>
      <c r="F3438" t="inlineStr">
        <is>
          <t>Övriga statliga verk och myndigheter</t>
        </is>
      </c>
      <c r="G3438" t="n">
        <v>15.8</v>
      </c>
      <c r="H3438" t="n">
        <v>0</v>
      </c>
      <c r="I3438" t="n">
        <v>0</v>
      </c>
      <c r="J3438" t="n">
        <v>0</v>
      </c>
      <c r="K3438" t="n">
        <v>0</v>
      </c>
      <c r="L3438" t="n">
        <v>0</v>
      </c>
      <c r="M3438" t="n">
        <v>0</v>
      </c>
      <c r="N3438" t="n">
        <v>0</v>
      </c>
      <c r="O3438" t="n">
        <v>0</v>
      </c>
      <c r="P3438" t="n">
        <v>0</v>
      </c>
      <c r="Q3438" t="n">
        <v>0</v>
      </c>
      <c r="R3438" s="2" t="inlineStr"/>
    </row>
    <row r="3439" ht="15" customHeight="1">
      <c r="A3439" t="inlineStr">
        <is>
          <t>A 1078-2025</t>
        </is>
      </c>
      <c r="B3439" s="1" t="n">
        <v>45665</v>
      </c>
      <c r="C3439" s="1" t="n">
        <v>46046</v>
      </c>
      <c r="D3439" t="inlineStr">
        <is>
          <t>NORRBOTTENS LÄN</t>
        </is>
      </c>
      <c r="E3439" t="inlineStr">
        <is>
          <t>PAJALA</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28139-2025</t>
        </is>
      </c>
      <c r="B3440" s="1" t="n">
        <v>45818</v>
      </c>
      <c r="C3440" s="1" t="n">
        <v>46046</v>
      </c>
      <c r="D3440" t="inlineStr">
        <is>
          <t>NORRBOTTENS LÄN</t>
        </is>
      </c>
      <c r="E3440" t="inlineStr">
        <is>
          <t>BODEN</t>
        </is>
      </c>
      <c r="F3440" t="inlineStr">
        <is>
          <t>SCA</t>
        </is>
      </c>
      <c r="G3440" t="n">
        <v>11.3</v>
      </c>
      <c r="H3440" t="n">
        <v>0</v>
      </c>
      <c r="I3440" t="n">
        <v>0</v>
      </c>
      <c r="J3440" t="n">
        <v>0</v>
      </c>
      <c r="K3440" t="n">
        <v>0</v>
      </c>
      <c r="L3440" t="n">
        <v>0</v>
      </c>
      <c r="M3440" t="n">
        <v>0</v>
      </c>
      <c r="N3440" t="n">
        <v>0</v>
      </c>
      <c r="O3440" t="n">
        <v>0</v>
      </c>
      <c r="P3440" t="n">
        <v>0</v>
      </c>
      <c r="Q3440" t="n">
        <v>0</v>
      </c>
      <c r="R3440" s="2" t="inlineStr"/>
    </row>
    <row r="3441" ht="15" customHeight="1">
      <c r="A3441" t="inlineStr">
        <is>
          <t>A 35234-2021</t>
        </is>
      </c>
      <c r="B3441" s="1" t="n">
        <v>44384</v>
      </c>
      <c r="C3441" s="1" t="n">
        <v>46046</v>
      </c>
      <c r="D3441" t="inlineStr">
        <is>
          <t>NORRBOTTENS LÄN</t>
        </is>
      </c>
      <c r="E3441" t="inlineStr">
        <is>
          <t>LULEÅ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48940-2023</t>
        </is>
      </c>
      <c r="B3442" s="1" t="n">
        <v>45205</v>
      </c>
      <c r="C3442" s="1" t="n">
        <v>46046</v>
      </c>
      <c r="D3442" t="inlineStr">
        <is>
          <t>NORRBOTTENS LÄN</t>
        </is>
      </c>
      <c r="E3442" t="inlineStr">
        <is>
          <t>ARJEPLOG</t>
        </is>
      </c>
      <c r="G3442" t="n">
        <v>13.5</v>
      </c>
      <c r="H3442" t="n">
        <v>0</v>
      </c>
      <c r="I3442" t="n">
        <v>0</v>
      </c>
      <c r="J3442" t="n">
        <v>0</v>
      </c>
      <c r="K3442" t="n">
        <v>0</v>
      </c>
      <c r="L3442" t="n">
        <v>0</v>
      </c>
      <c r="M3442" t="n">
        <v>0</v>
      </c>
      <c r="N3442" t="n">
        <v>0</v>
      </c>
      <c r="O3442" t="n">
        <v>0</v>
      </c>
      <c r="P3442" t="n">
        <v>0</v>
      </c>
      <c r="Q3442" t="n">
        <v>0</v>
      </c>
      <c r="R3442" s="2" t="inlineStr"/>
    </row>
    <row r="3443" ht="15" customHeight="1">
      <c r="A3443" t="inlineStr">
        <is>
          <t>A 44625-2024</t>
        </is>
      </c>
      <c r="B3443" s="1" t="n">
        <v>45574.51377314814</v>
      </c>
      <c r="C3443" s="1" t="n">
        <v>46046</v>
      </c>
      <c r="D3443" t="inlineStr">
        <is>
          <t>NORRBOTTENS LÄN</t>
        </is>
      </c>
      <c r="E3443" t="inlineStr">
        <is>
          <t>BODEN</t>
        </is>
      </c>
      <c r="F3443" t="inlineStr">
        <is>
          <t>Sveaskog</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52887-2023</t>
        </is>
      </c>
      <c r="B3444" s="1" t="n">
        <v>45219</v>
      </c>
      <c r="C3444" s="1" t="n">
        <v>46046</v>
      </c>
      <c r="D3444" t="inlineStr">
        <is>
          <t>NORRBOTTENS LÄN</t>
        </is>
      </c>
      <c r="E3444" t="inlineStr">
        <is>
          <t>GÄLLIVARE</t>
        </is>
      </c>
      <c r="F3444" t="inlineStr">
        <is>
          <t>Övriga statliga verk och myndigheter</t>
        </is>
      </c>
      <c r="G3444" t="n">
        <v>23.1</v>
      </c>
      <c r="H3444" t="n">
        <v>0</v>
      </c>
      <c r="I3444" t="n">
        <v>0</v>
      </c>
      <c r="J3444" t="n">
        <v>0</v>
      </c>
      <c r="K3444" t="n">
        <v>0</v>
      </c>
      <c r="L3444" t="n">
        <v>0</v>
      </c>
      <c r="M3444" t="n">
        <v>0</v>
      </c>
      <c r="N3444" t="n">
        <v>0</v>
      </c>
      <c r="O3444" t="n">
        <v>0</v>
      </c>
      <c r="P3444" t="n">
        <v>0</v>
      </c>
      <c r="Q3444" t="n">
        <v>0</v>
      </c>
      <c r="R3444" s="2" t="inlineStr"/>
    </row>
    <row r="3445" ht="15" customHeight="1">
      <c r="A3445" t="inlineStr">
        <is>
          <t>A 28270-2025</t>
        </is>
      </c>
      <c r="B3445" s="1" t="n">
        <v>45818.56925925926</v>
      </c>
      <c r="C3445" s="1" t="n">
        <v>46046</v>
      </c>
      <c r="D3445" t="inlineStr">
        <is>
          <t>NORRBOTTENS LÄN</t>
        </is>
      </c>
      <c r="E3445" t="inlineStr">
        <is>
          <t>BODEN</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34150-2023</t>
        </is>
      </c>
      <c r="B3446" s="1" t="n">
        <v>45136.85806712963</v>
      </c>
      <c r="C3446" s="1" t="n">
        <v>46046</v>
      </c>
      <c r="D3446" t="inlineStr">
        <is>
          <t>NORRBOTTENS LÄN</t>
        </is>
      </c>
      <c r="E3446" t="inlineStr">
        <is>
          <t>PAJALA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29638-2023</t>
        </is>
      </c>
      <c r="B3447" s="1" t="n">
        <v>45098</v>
      </c>
      <c r="C3447" s="1" t="n">
        <v>46046</v>
      </c>
      <c r="D3447" t="inlineStr">
        <is>
          <t>NORRBOTTENS LÄN</t>
        </is>
      </c>
      <c r="E3447" t="inlineStr">
        <is>
          <t>ÄLVSBYN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48780-2021</t>
        </is>
      </c>
      <c r="B3448" s="1" t="n">
        <v>44452</v>
      </c>
      <c r="C3448" s="1" t="n">
        <v>46046</v>
      </c>
      <c r="D3448" t="inlineStr">
        <is>
          <t>NORRBOTTENS LÄN</t>
        </is>
      </c>
      <c r="E3448" t="inlineStr">
        <is>
          <t>ÖVERTORNEÅ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28372-2025</t>
        </is>
      </c>
      <c r="B3449" s="1" t="n">
        <v>45818</v>
      </c>
      <c r="C3449" s="1" t="n">
        <v>46046</v>
      </c>
      <c r="D3449" t="inlineStr">
        <is>
          <t>NORRBOTTENS LÄN</t>
        </is>
      </c>
      <c r="E3449" t="inlineStr">
        <is>
          <t>ÖVERKALIX</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31465-2024</t>
        </is>
      </c>
      <c r="B3450" s="1" t="n">
        <v>45505</v>
      </c>
      <c r="C3450" s="1" t="n">
        <v>46046</v>
      </c>
      <c r="D3450" t="inlineStr">
        <is>
          <t>NORRBOTTENS LÄN</t>
        </is>
      </c>
      <c r="E3450" t="inlineStr">
        <is>
          <t>LULEÅ</t>
        </is>
      </c>
      <c r="F3450" t="inlineStr">
        <is>
          <t>Naturvårdsverket</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28141-2025</t>
        </is>
      </c>
      <c r="B3451" s="1" t="n">
        <v>45818</v>
      </c>
      <c r="C3451" s="1" t="n">
        <v>46046</v>
      </c>
      <c r="D3451" t="inlineStr">
        <is>
          <t>NORRBOTTENS LÄN</t>
        </is>
      </c>
      <c r="E3451" t="inlineStr">
        <is>
          <t>BODEN</t>
        </is>
      </c>
      <c r="F3451" t="inlineStr">
        <is>
          <t>SCA</t>
        </is>
      </c>
      <c r="G3451" t="n">
        <v>19.1</v>
      </c>
      <c r="H3451" t="n">
        <v>0</v>
      </c>
      <c r="I3451" t="n">
        <v>0</v>
      </c>
      <c r="J3451" t="n">
        <v>0</v>
      </c>
      <c r="K3451" t="n">
        <v>0</v>
      </c>
      <c r="L3451" t="n">
        <v>0</v>
      </c>
      <c r="M3451" t="n">
        <v>0</v>
      </c>
      <c r="N3451" t="n">
        <v>0</v>
      </c>
      <c r="O3451" t="n">
        <v>0</v>
      </c>
      <c r="P3451" t="n">
        <v>0</v>
      </c>
      <c r="Q3451" t="n">
        <v>0</v>
      </c>
      <c r="R3451" s="2" t="inlineStr"/>
    </row>
    <row r="3452" ht="15" customHeight="1">
      <c r="A3452" t="inlineStr">
        <is>
          <t>A 28197-2025</t>
        </is>
      </c>
      <c r="B3452" s="1" t="n">
        <v>45818.43130787037</v>
      </c>
      <c r="C3452" s="1" t="n">
        <v>46046</v>
      </c>
      <c r="D3452" t="inlineStr">
        <is>
          <t>NORRBOTTENS LÄN</t>
        </is>
      </c>
      <c r="E3452" t="inlineStr">
        <is>
          <t>BODEN</t>
        </is>
      </c>
      <c r="F3452" t="inlineStr">
        <is>
          <t>Sveaskog</t>
        </is>
      </c>
      <c r="G3452" t="n">
        <v>7.2</v>
      </c>
      <c r="H3452" t="n">
        <v>0</v>
      </c>
      <c r="I3452" t="n">
        <v>0</v>
      </c>
      <c r="J3452" t="n">
        <v>0</v>
      </c>
      <c r="K3452" t="n">
        <v>0</v>
      </c>
      <c r="L3452" t="n">
        <v>0</v>
      </c>
      <c r="M3452" t="n">
        <v>0</v>
      </c>
      <c r="N3452" t="n">
        <v>0</v>
      </c>
      <c r="O3452" t="n">
        <v>0</v>
      </c>
      <c r="P3452" t="n">
        <v>0</v>
      </c>
      <c r="Q3452" t="n">
        <v>0</v>
      </c>
      <c r="R3452" s="2" t="inlineStr"/>
      <c r="U3452">
        <f>HYPERLINK("https://klasma.github.io/Logging_2582/knärot/A 28197-2025 karta knärot.png", "A 28197-2025")</f>
        <v/>
      </c>
      <c r="V3452">
        <f>HYPERLINK("https://klasma.github.io/Logging_2582/klagomål/A 28197-2025 FSC-klagomål.docx", "A 28197-2025")</f>
        <v/>
      </c>
      <c r="W3452">
        <f>HYPERLINK("https://klasma.github.io/Logging_2582/klagomålsmail/A 28197-2025 FSC-klagomål mail.docx", "A 28197-2025")</f>
        <v/>
      </c>
      <c r="X3452">
        <f>HYPERLINK("https://klasma.github.io/Logging_2582/tillsyn/A 28197-2025 tillsynsbegäran.docx", "A 28197-2025")</f>
        <v/>
      </c>
      <c r="Y3452">
        <f>HYPERLINK("https://klasma.github.io/Logging_2582/tillsynsmail/A 28197-2025 tillsynsbegäran mail.docx", "A 28197-2025")</f>
        <v/>
      </c>
    </row>
    <row r="3453" ht="15" customHeight="1">
      <c r="A3453" t="inlineStr">
        <is>
          <t>A 44082-2023</t>
        </is>
      </c>
      <c r="B3453" s="1" t="n">
        <v>45188</v>
      </c>
      <c r="C3453" s="1" t="n">
        <v>46046</v>
      </c>
      <c r="D3453" t="inlineStr">
        <is>
          <t>NORRBOTTENS LÄN</t>
        </is>
      </c>
      <c r="E3453" t="inlineStr">
        <is>
          <t>PITEÅ</t>
        </is>
      </c>
      <c r="F3453" t="inlineStr">
        <is>
          <t>Sveaskog</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42249-2023</t>
        </is>
      </c>
      <c r="B3454" s="1" t="n">
        <v>45180.36606481481</v>
      </c>
      <c r="C3454" s="1" t="n">
        <v>46046</v>
      </c>
      <c r="D3454" t="inlineStr">
        <is>
          <t>NORRBOTTENS LÄN</t>
        </is>
      </c>
      <c r="E3454" t="inlineStr">
        <is>
          <t>PAJALA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58992-2024</t>
        </is>
      </c>
      <c r="B3455" s="1" t="n">
        <v>45636</v>
      </c>
      <c r="C3455" s="1" t="n">
        <v>46046</v>
      </c>
      <c r="D3455" t="inlineStr">
        <is>
          <t>NORRBOTTENS LÄN</t>
        </is>
      </c>
      <c r="E3455" t="inlineStr">
        <is>
          <t>ÖVERTORNEÅ</t>
        </is>
      </c>
      <c r="G3455" t="n">
        <v>44.5</v>
      </c>
      <c r="H3455" t="n">
        <v>0</v>
      </c>
      <c r="I3455" t="n">
        <v>0</v>
      </c>
      <c r="J3455" t="n">
        <v>0</v>
      </c>
      <c r="K3455" t="n">
        <v>0</v>
      </c>
      <c r="L3455" t="n">
        <v>0</v>
      </c>
      <c r="M3455" t="n">
        <v>0</v>
      </c>
      <c r="N3455" t="n">
        <v>0</v>
      </c>
      <c r="O3455" t="n">
        <v>0</v>
      </c>
      <c r="P3455" t="n">
        <v>0</v>
      </c>
      <c r="Q3455" t="n">
        <v>0</v>
      </c>
      <c r="R3455" s="2" t="inlineStr"/>
    </row>
    <row r="3456" ht="15" customHeight="1">
      <c r="A3456" t="inlineStr">
        <is>
          <t>A 50628-2024</t>
        </is>
      </c>
      <c r="B3456" s="1" t="n">
        <v>45601.66423611111</v>
      </c>
      <c r="C3456" s="1" t="n">
        <v>46046</v>
      </c>
      <c r="D3456" t="inlineStr">
        <is>
          <t>NORRBOTTENS LÄN</t>
        </is>
      </c>
      <c r="E3456" t="inlineStr">
        <is>
          <t>JOKKMOKK</t>
        </is>
      </c>
      <c r="F3456" t="inlineStr">
        <is>
          <t>Allmännings- och besparingsskogar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23014-2024</t>
        </is>
      </c>
      <c r="B3457" s="1" t="n">
        <v>45449</v>
      </c>
      <c r="C3457" s="1" t="n">
        <v>46046</v>
      </c>
      <c r="D3457" t="inlineStr">
        <is>
          <t>NORRBOTTENS LÄN</t>
        </is>
      </c>
      <c r="E3457" t="inlineStr">
        <is>
          <t>ÖVERTORNEÅ</t>
        </is>
      </c>
      <c r="G3457" t="n">
        <v>13.8</v>
      </c>
      <c r="H3457" t="n">
        <v>0</v>
      </c>
      <c r="I3457" t="n">
        <v>0</v>
      </c>
      <c r="J3457" t="n">
        <v>0</v>
      </c>
      <c r="K3457" t="n">
        <v>0</v>
      </c>
      <c r="L3457" t="n">
        <v>0</v>
      </c>
      <c r="M3457" t="n">
        <v>0</v>
      </c>
      <c r="N3457" t="n">
        <v>0</v>
      </c>
      <c r="O3457" t="n">
        <v>0</v>
      </c>
      <c r="P3457" t="n">
        <v>0</v>
      </c>
      <c r="Q3457" t="n">
        <v>0</v>
      </c>
      <c r="R3457" s="2" t="inlineStr"/>
    </row>
    <row r="3458" ht="15" customHeight="1">
      <c r="A3458" t="inlineStr">
        <is>
          <t>A 23039-2024</t>
        </is>
      </c>
      <c r="B3458" s="1" t="n">
        <v>45449</v>
      </c>
      <c r="C3458" s="1" t="n">
        <v>46046</v>
      </c>
      <c r="D3458" t="inlineStr">
        <is>
          <t>NORRBOTTENS LÄN</t>
        </is>
      </c>
      <c r="E3458" t="inlineStr">
        <is>
          <t>ÖVERTORNEÅ</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9349-2023</t>
        </is>
      </c>
      <c r="B3459" s="1" t="n">
        <v>44980</v>
      </c>
      <c r="C3459" s="1" t="n">
        <v>46046</v>
      </c>
      <c r="D3459" t="inlineStr">
        <is>
          <t>NORRBOTTENS LÄN</t>
        </is>
      </c>
      <c r="E3459" t="inlineStr">
        <is>
          <t>JOKKMOKK</t>
        </is>
      </c>
      <c r="F3459" t="inlineStr">
        <is>
          <t>SCA</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9351-2023</t>
        </is>
      </c>
      <c r="B3460" s="1" t="n">
        <v>44980</v>
      </c>
      <c r="C3460" s="1" t="n">
        <v>46046</v>
      </c>
      <c r="D3460" t="inlineStr">
        <is>
          <t>NORRBOTTENS LÄN</t>
        </is>
      </c>
      <c r="E3460" t="inlineStr">
        <is>
          <t>JOKKMOKK</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16952-2023</t>
        </is>
      </c>
      <c r="B3461" s="1" t="n">
        <v>45033</v>
      </c>
      <c r="C3461" s="1" t="n">
        <v>46046</v>
      </c>
      <c r="D3461" t="inlineStr">
        <is>
          <t>NORRBOTTENS LÄN</t>
        </is>
      </c>
      <c r="E3461" t="inlineStr">
        <is>
          <t>GÄLLIVARE</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2823-2024</t>
        </is>
      </c>
      <c r="B3462" s="1" t="n">
        <v>45314</v>
      </c>
      <c r="C3462" s="1" t="n">
        <v>46046</v>
      </c>
      <c r="D3462" t="inlineStr">
        <is>
          <t>NORRBOTTENS LÄN</t>
        </is>
      </c>
      <c r="E3462" t="inlineStr">
        <is>
          <t>PAJALA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28718-2024</t>
        </is>
      </c>
      <c r="B3463" s="1" t="n">
        <v>45478.54375</v>
      </c>
      <c r="C3463" s="1" t="n">
        <v>46046</v>
      </c>
      <c r="D3463" t="inlineStr">
        <is>
          <t>NORRBOTTENS LÄN</t>
        </is>
      </c>
      <c r="E3463" t="inlineStr">
        <is>
          <t>PITEÅ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30299-2023</t>
        </is>
      </c>
      <c r="B3464" s="1" t="n">
        <v>45110</v>
      </c>
      <c r="C3464" s="1" t="n">
        <v>46046</v>
      </c>
      <c r="D3464" t="inlineStr">
        <is>
          <t>NORRBOTTENS LÄN</t>
        </is>
      </c>
      <c r="E3464" t="inlineStr">
        <is>
          <t>BODEN</t>
        </is>
      </c>
      <c r="F3464" t="inlineStr">
        <is>
          <t>SCA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30881-2024</t>
        </is>
      </c>
      <c r="B3465" s="1" t="n">
        <v>45498</v>
      </c>
      <c r="C3465" s="1" t="n">
        <v>46046</v>
      </c>
      <c r="D3465" t="inlineStr">
        <is>
          <t>NORRBOTTENS LÄN</t>
        </is>
      </c>
      <c r="E3465" t="inlineStr">
        <is>
          <t>ÖVERKALIX</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9969-2023</t>
        </is>
      </c>
      <c r="B3466" s="1" t="n">
        <v>44979</v>
      </c>
      <c r="C3466" s="1" t="n">
        <v>46046</v>
      </c>
      <c r="D3466" t="inlineStr">
        <is>
          <t>NORRBOTTENS LÄN</t>
        </is>
      </c>
      <c r="E3466" t="inlineStr">
        <is>
          <t>BODEN</t>
        </is>
      </c>
      <c r="F3466" t="inlineStr">
        <is>
          <t>Övriga statliga verk och myndigheter</t>
        </is>
      </c>
      <c r="G3466" t="n">
        <v>18.8</v>
      </c>
      <c r="H3466" t="n">
        <v>0</v>
      </c>
      <c r="I3466" t="n">
        <v>0</v>
      </c>
      <c r="J3466" t="n">
        <v>0</v>
      </c>
      <c r="K3466" t="n">
        <v>0</v>
      </c>
      <c r="L3466" t="n">
        <v>0</v>
      </c>
      <c r="M3466" t="n">
        <v>0</v>
      </c>
      <c r="N3466" t="n">
        <v>0</v>
      </c>
      <c r="O3466" t="n">
        <v>0</v>
      </c>
      <c r="P3466" t="n">
        <v>0</v>
      </c>
      <c r="Q3466" t="n">
        <v>0</v>
      </c>
      <c r="R3466" s="2" t="inlineStr"/>
    </row>
    <row r="3467" ht="15" customHeight="1">
      <c r="A3467" t="inlineStr">
        <is>
          <t>A 42886-2022</t>
        </is>
      </c>
      <c r="B3467" s="1" t="n">
        <v>44832.953125</v>
      </c>
      <c r="C3467" s="1" t="n">
        <v>46046</v>
      </c>
      <c r="D3467" t="inlineStr">
        <is>
          <t>NORRBOTTENS LÄN</t>
        </is>
      </c>
      <c r="E3467" t="inlineStr">
        <is>
          <t>GÄLLIVARE</t>
        </is>
      </c>
      <c r="F3467" t="inlineStr">
        <is>
          <t>SCA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29147-2025</t>
        </is>
      </c>
      <c r="B3468" s="1" t="n">
        <v>45821.62474537037</v>
      </c>
      <c r="C3468" s="1" t="n">
        <v>46046</v>
      </c>
      <c r="D3468" t="inlineStr">
        <is>
          <t>NORRBOTTENS LÄN</t>
        </is>
      </c>
      <c r="E3468" t="inlineStr">
        <is>
          <t>ÖVERKALIX</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28954-2025</t>
        </is>
      </c>
      <c r="B3469" s="1" t="n">
        <v>45821.28777777778</v>
      </c>
      <c r="C3469" s="1" t="n">
        <v>46046</v>
      </c>
      <c r="D3469" t="inlineStr">
        <is>
          <t>NORRBOTTENS LÄN</t>
        </is>
      </c>
      <c r="E3469" t="inlineStr">
        <is>
          <t>ARVIDSJAUR</t>
        </is>
      </c>
      <c r="F3469" t="inlineStr">
        <is>
          <t>Sveaskog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29150-2025</t>
        </is>
      </c>
      <c r="B3470" s="1" t="n">
        <v>45821</v>
      </c>
      <c r="C3470" s="1" t="n">
        <v>46046</v>
      </c>
      <c r="D3470" t="inlineStr">
        <is>
          <t>NORRBOTTENS LÄN</t>
        </is>
      </c>
      <c r="E3470" t="inlineStr">
        <is>
          <t>ÖVERKALIX</t>
        </is>
      </c>
      <c r="F3470" t="inlineStr">
        <is>
          <t>Sveaskog</t>
        </is>
      </c>
      <c r="G3470" t="n">
        <v>17.2</v>
      </c>
      <c r="H3470" t="n">
        <v>0</v>
      </c>
      <c r="I3470" t="n">
        <v>0</v>
      </c>
      <c r="J3470" t="n">
        <v>0</v>
      </c>
      <c r="K3470" t="n">
        <v>0</v>
      </c>
      <c r="L3470" t="n">
        <v>0</v>
      </c>
      <c r="M3470" t="n">
        <v>0</v>
      </c>
      <c r="N3470" t="n">
        <v>0</v>
      </c>
      <c r="O3470" t="n">
        <v>0</v>
      </c>
      <c r="P3470" t="n">
        <v>0</v>
      </c>
      <c r="Q3470" t="n">
        <v>0</v>
      </c>
      <c r="R3470" s="2" t="inlineStr"/>
    </row>
    <row r="3471" ht="15" customHeight="1">
      <c r="A3471" t="inlineStr">
        <is>
          <t>A 29173-2025</t>
        </is>
      </c>
      <c r="B3471" s="1" t="n">
        <v>45821.70905092593</v>
      </c>
      <c r="C3471" s="1" t="n">
        <v>46046</v>
      </c>
      <c r="D3471" t="inlineStr">
        <is>
          <t>NORRBOTTENS LÄN</t>
        </is>
      </c>
      <c r="E3471" t="inlineStr">
        <is>
          <t>PAJALA</t>
        </is>
      </c>
      <c r="F3471" t="inlineStr">
        <is>
          <t>Sveaskog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28912-2025</t>
        </is>
      </c>
      <c r="B3472" s="1" t="n">
        <v>45820.65793981482</v>
      </c>
      <c r="C3472" s="1" t="n">
        <v>46046</v>
      </c>
      <c r="D3472" t="inlineStr">
        <is>
          <t>NORRBOTTENS LÄN</t>
        </is>
      </c>
      <c r="E3472" t="inlineStr">
        <is>
          <t>ÖVERKALIX</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28892-2025</t>
        </is>
      </c>
      <c r="B3473" s="1" t="n">
        <v>45820.63246527778</v>
      </c>
      <c r="C3473" s="1" t="n">
        <v>46046</v>
      </c>
      <c r="D3473" t="inlineStr">
        <is>
          <t>NORRBOTTENS LÄN</t>
        </is>
      </c>
      <c r="E3473" t="inlineStr">
        <is>
          <t>ARVIDSJAUR</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28894-2025</t>
        </is>
      </c>
      <c r="B3474" s="1" t="n">
        <v>45820.63534722223</v>
      </c>
      <c r="C3474" s="1" t="n">
        <v>46046</v>
      </c>
      <c r="D3474" t="inlineStr">
        <is>
          <t>NORRBOTTENS LÄN</t>
        </is>
      </c>
      <c r="E3474" t="inlineStr">
        <is>
          <t>ARVIDSJAUR</t>
        </is>
      </c>
      <c r="F3474" t="inlineStr">
        <is>
          <t>Sveaskog</t>
        </is>
      </c>
      <c r="G3474" t="n">
        <v>14.2</v>
      </c>
      <c r="H3474" t="n">
        <v>0</v>
      </c>
      <c r="I3474" t="n">
        <v>0</v>
      </c>
      <c r="J3474" t="n">
        <v>0</v>
      </c>
      <c r="K3474" t="n">
        <v>0</v>
      </c>
      <c r="L3474" t="n">
        <v>0</v>
      </c>
      <c r="M3474" t="n">
        <v>0</v>
      </c>
      <c r="N3474" t="n">
        <v>0</v>
      </c>
      <c r="O3474" t="n">
        <v>0</v>
      </c>
      <c r="P3474" t="n">
        <v>0</v>
      </c>
      <c r="Q3474" t="n">
        <v>0</v>
      </c>
      <c r="R3474" s="2" t="inlineStr"/>
    </row>
    <row r="3475" ht="15" customHeight="1">
      <c r="A3475" t="inlineStr">
        <is>
          <t>A 51336-2024</t>
        </is>
      </c>
      <c r="B3475" s="1" t="n">
        <v>45604.34443287037</v>
      </c>
      <c r="C3475" s="1" t="n">
        <v>46046</v>
      </c>
      <c r="D3475" t="inlineStr">
        <is>
          <t>NORRBOTTENS LÄN</t>
        </is>
      </c>
      <c r="E3475" t="inlineStr">
        <is>
          <t>JOKKMOKK</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51376-2024</t>
        </is>
      </c>
      <c r="B3476" s="1" t="n">
        <v>45603</v>
      </c>
      <c r="C3476" s="1" t="n">
        <v>46046</v>
      </c>
      <c r="D3476" t="inlineStr">
        <is>
          <t>NORRBOTTENS LÄN</t>
        </is>
      </c>
      <c r="E3476" t="inlineStr">
        <is>
          <t>HAPARANDA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28917-2025</t>
        </is>
      </c>
      <c r="B3477" s="1" t="n">
        <v>45820.66358796296</v>
      </c>
      <c r="C3477" s="1" t="n">
        <v>46046</v>
      </c>
      <c r="D3477" t="inlineStr">
        <is>
          <t>NORRBOTTENS LÄN</t>
        </is>
      </c>
      <c r="E3477" t="inlineStr">
        <is>
          <t>ÖVERKALIX</t>
        </is>
      </c>
      <c r="F3477" t="inlineStr">
        <is>
          <t>Sveaskog</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40432-2024</t>
        </is>
      </c>
      <c r="B3478" s="1" t="n">
        <v>45555.47401620371</v>
      </c>
      <c r="C3478" s="1" t="n">
        <v>46046</v>
      </c>
      <c r="D3478" t="inlineStr">
        <is>
          <t>NORRBOTTENS LÄN</t>
        </is>
      </c>
      <c r="E3478" t="inlineStr">
        <is>
          <t>JOKKMOKK</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50889-2024</t>
        </is>
      </c>
      <c r="B3479" s="1" t="n">
        <v>45602.6681712963</v>
      </c>
      <c r="C3479" s="1" t="n">
        <v>46046</v>
      </c>
      <c r="D3479" t="inlineStr">
        <is>
          <t>NORRBOTTENS LÄN</t>
        </is>
      </c>
      <c r="E3479" t="inlineStr">
        <is>
          <t>ARVIDSJAUR</t>
        </is>
      </c>
      <c r="F3479" t="inlineStr">
        <is>
          <t>Sveaskog</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53100-2022</t>
        </is>
      </c>
      <c r="B3480" s="1" t="n">
        <v>44873</v>
      </c>
      <c r="C3480" s="1" t="n">
        <v>46046</v>
      </c>
      <c r="D3480" t="inlineStr">
        <is>
          <t>NORRBOTTENS LÄN</t>
        </is>
      </c>
      <c r="E3480" t="inlineStr">
        <is>
          <t>JOKKMOKK</t>
        </is>
      </c>
      <c r="F3480" t="inlineStr">
        <is>
          <t>Övriga statliga verk och myndigheter</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52385-2024</t>
        </is>
      </c>
      <c r="B3481" s="1" t="n">
        <v>45609</v>
      </c>
      <c r="C3481" s="1" t="n">
        <v>46046</v>
      </c>
      <c r="D3481" t="inlineStr">
        <is>
          <t>NORRBOTTENS LÄN</t>
        </is>
      </c>
      <c r="E3481" t="inlineStr">
        <is>
          <t>PITEÅ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28846-2025</t>
        </is>
      </c>
      <c r="B3482" s="1" t="n">
        <v>45820.57342592593</v>
      </c>
      <c r="C3482" s="1" t="n">
        <v>46046</v>
      </c>
      <c r="D3482" t="inlineStr">
        <is>
          <t>NORRBOTTENS LÄN</t>
        </is>
      </c>
      <c r="E3482" t="inlineStr">
        <is>
          <t>KALIX</t>
        </is>
      </c>
      <c r="F3482" t="inlineStr">
        <is>
          <t>SCA</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28847-2025</t>
        </is>
      </c>
      <c r="B3483" s="1" t="n">
        <v>45820.57344907407</v>
      </c>
      <c r="C3483" s="1" t="n">
        <v>46046</v>
      </c>
      <c r="D3483" t="inlineStr">
        <is>
          <t>NORRBOTTENS LÄN</t>
        </is>
      </c>
      <c r="E3483" t="inlineStr">
        <is>
          <t>KALIX</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54745-2023</t>
        </is>
      </c>
      <c r="B3484" s="1" t="n">
        <v>45236</v>
      </c>
      <c r="C3484" s="1" t="n">
        <v>46046</v>
      </c>
      <c r="D3484" t="inlineStr">
        <is>
          <t>NORRBOTTENS LÄN</t>
        </is>
      </c>
      <c r="E3484" t="inlineStr">
        <is>
          <t>PITEÅ</t>
        </is>
      </c>
      <c r="F3484" t="inlineStr">
        <is>
          <t>Sveaskog</t>
        </is>
      </c>
      <c r="G3484" t="n">
        <v>25.5</v>
      </c>
      <c r="H3484" t="n">
        <v>0</v>
      </c>
      <c r="I3484" t="n">
        <v>0</v>
      </c>
      <c r="J3484" t="n">
        <v>0</v>
      </c>
      <c r="K3484" t="n">
        <v>0</v>
      </c>
      <c r="L3484" t="n">
        <v>0</v>
      </c>
      <c r="M3484" t="n">
        <v>0</v>
      </c>
      <c r="N3484" t="n">
        <v>0</v>
      </c>
      <c r="O3484" t="n">
        <v>0</v>
      </c>
      <c r="P3484" t="n">
        <v>0</v>
      </c>
      <c r="Q3484" t="n">
        <v>0</v>
      </c>
      <c r="R3484" s="2" t="inlineStr"/>
    </row>
    <row r="3485" ht="15" customHeight="1">
      <c r="A3485" t="inlineStr">
        <is>
          <t>A 30289-2023</t>
        </is>
      </c>
      <c r="B3485" s="1" t="n">
        <v>45110</v>
      </c>
      <c r="C3485" s="1" t="n">
        <v>46046</v>
      </c>
      <c r="D3485" t="inlineStr">
        <is>
          <t>NORRBOTTENS LÄN</t>
        </is>
      </c>
      <c r="E3485" t="inlineStr">
        <is>
          <t>LULEÅ</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29155-2025</t>
        </is>
      </c>
      <c r="B3486" s="1" t="n">
        <v>45821.65634259259</v>
      </c>
      <c r="C3486" s="1" t="n">
        <v>46046</v>
      </c>
      <c r="D3486" t="inlineStr">
        <is>
          <t>NORRBOTTENS LÄN</t>
        </is>
      </c>
      <c r="E3486" t="inlineStr">
        <is>
          <t>PAJALA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58776-2022</t>
        </is>
      </c>
      <c r="B3487" s="1" t="n">
        <v>44895</v>
      </c>
      <c r="C3487" s="1" t="n">
        <v>46046</v>
      </c>
      <c r="D3487" t="inlineStr">
        <is>
          <t>NORRBOTTENS LÄN</t>
        </is>
      </c>
      <c r="E3487" t="inlineStr">
        <is>
          <t>GÄLLIVARE</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28796-2025</t>
        </is>
      </c>
      <c r="B3488" s="1" t="n">
        <v>45820.47928240741</v>
      </c>
      <c r="C3488" s="1" t="n">
        <v>46046</v>
      </c>
      <c r="D3488" t="inlineStr">
        <is>
          <t>NORRBOTTENS LÄN</t>
        </is>
      </c>
      <c r="E3488" t="inlineStr">
        <is>
          <t>PAJALA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41313-2021</t>
        </is>
      </c>
      <c r="B3489" s="1" t="n">
        <v>44424</v>
      </c>
      <c r="C3489" s="1" t="n">
        <v>46046</v>
      </c>
      <c r="D3489" t="inlineStr">
        <is>
          <t>NORRBOTTENS LÄN</t>
        </is>
      </c>
      <c r="E3489" t="inlineStr">
        <is>
          <t>ARVIDSJAUR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28861-2025</t>
        </is>
      </c>
      <c r="B3490" s="1" t="n">
        <v>45820.59181712963</v>
      </c>
      <c r="C3490" s="1" t="n">
        <v>46046</v>
      </c>
      <c r="D3490" t="inlineStr">
        <is>
          <t>NORRBOTTENS LÄN</t>
        </is>
      </c>
      <c r="E3490" t="inlineStr">
        <is>
          <t>PAJALA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7523-2025</t>
        </is>
      </c>
      <c r="B3491" s="1" t="n">
        <v>45705</v>
      </c>
      <c r="C3491" s="1" t="n">
        <v>46046</v>
      </c>
      <c r="D3491" t="inlineStr">
        <is>
          <t>NORRBOTTENS LÄN</t>
        </is>
      </c>
      <c r="E3491" t="inlineStr">
        <is>
          <t>PITEÅ</t>
        </is>
      </c>
      <c r="G3491" t="n">
        <v>12.8</v>
      </c>
      <c r="H3491" t="n">
        <v>0</v>
      </c>
      <c r="I3491" t="n">
        <v>0</v>
      </c>
      <c r="J3491" t="n">
        <v>0</v>
      </c>
      <c r="K3491" t="n">
        <v>0</v>
      </c>
      <c r="L3491" t="n">
        <v>0</v>
      </c>
      <c r="M3491" t="n">
        <v>0</v>
      </c>
      <c r="N3491" t="n">
        <v>0</v>
      </c>
      <c r="O3491" t="n">
        <v>0</v>
      </c>
      <c r="P3491" t="n">
        <v>0</v>
      </c>
      <c r="Q3491" t="n">
        <v>0</v>
      </c>
      <c r="R3491" s="2" t="inlineStr"/>
    </row>
    <row r="3492" ht="15" customHeight="1">
      <c r="A3492" t="inlineStr">
        <is>
          <t>A 11540-2025</t>
        </is>
      </c>
      <c r="B3492" s="1" t="n">
        <v>45726</v>
      </c>
      <c r="C3492" s="1" t="n">
        <v>46046</v>
      </c>
      <c r="D3492" t="inlineStr">
        <is>
          <t>NORRBOTTENS LÄN</t>
        </is>
      </c>
      <c r="E3492" t="inlineStr">
        <is>
          <t>ARVIDSJAUR</t>
        </is>
      </c>
      <c r="F3492" t="inlineStr">
        <is>
          <t>Allmännings- och besparingsskogar</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28935-2025</t>
        </is>
      </c>
      <c r="B3493" s="1" t="n">
        <v>45820.69231481481</v>
      </c>
      <c r="C3493" s="1" t="n">
        <v>46046</v>
      </c>
      <c r="D3493" t="inlineStr">
        <is>
          <t>NORRBOTTENS LÄN</t>
        </is>
      </c>
      <c r="E3493" t="inlineStr">
        <is>
          <t>ÖVERKALIX</t>
        </is>
      </c>
      <c r="F3493" t="inlineStr">
        <is>
          <t>Sveaskog</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56754-2024</t>
        </is>
      </c>
      <c r="B3494" s="1" t="n">
        <v>45625</v>
      </c>
      <c r="C3494" s="1" t="n">
        <v>46046</v>
      </c>
      <c r="D3494" t="inlineStr">
        <is>
          <t>NORRBOTTENS LÄN</t>
        </is>
      </c>
      <c r="E3494" t="inlineStr">
        <is>
          <t>ARJEPLOG</t>
        </is>
      </c>
      <c r="G3494" t="n">
        <v>11.5</v>
      </c>
      <c r="H3494" t="n">
        <v>0</v>
      </c>
      <c r="I3494" t="n">
        <v>0</v>
      </c>
      <c r="J3494" t="n">
        <v>0</v>
      </c>
      <c r="K3494" t="n">
        <v>0</v>
      </c>
      <c r="L3494" t="n">
        <v>0</v>
      </c>
      <c r="M3494" t="n">
        <v>0</v>
      </c>
      <c r="N3494" t="n">
        <v>0</v>
      </c>
      <c r="O3494" t="n">
        <v>0</v>
      </c>
      <c r="P3494" t="n">
        <v>0</v>
      </c>
      <c r="Q3494" t="n">
        <v>0</v>
      </c>
      <c r="R3494" s="2" t="inlineStr"/>
    </row>
    <row r="3495" ht="15" customHeight="1">
      <c r="A3495" t="inlineStr">
        <is>
          <t>A 5670-2025</t>
        </is>
      </c>
      <c r="B3495" s="1" t="n">
        <v>45693</v>
      </c>
      <c r="C3495" s="1" t="n">
        <v>46046</v>
      </c>
      <c r="D3495" t="inlineStr">
        <is>
          <t>NORRBOTTENS LÄN</t>
        </is>
      </c>
      <c r="E3495" t="inlineStr">
        <is>
          <t>JOKKMOKK</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22458-2023</t>
        </is>
      </c>
      <c r="B3496" s="1" t="n">
        <v>45070</v>
      </c>
      <c r="C3496" s="1" t="n">
        <v>46046</v>
      </c>
      <c r="D3496" t="inlineStr">
        <is>
          <t>NORRBOTTENS LÄN</t>
        </is>
      </c>
      <c r="E3496" t="inlineStr">
        <is>
          <t>BODEN</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28916-2025</t>
        </is>
      </c>
      <c r="B3497" s="1" t="n">
        <v>45820.663125</v>
      </c>
      <c r="C3497" s="1" t="n">
        <v>46046</v>
      </c>
      <c r="D3497" t="inlineStr">
        <is>
          <t>NORRBOTTENS LÄN</t>
        </is>
      </c>
      <c r="E3497" t="inlineStr">
        <is>
          <t>PAJALA</t>
        </is>
      </c>
      <c r="F3497" t="inlineStr">
        <is>
          <t>Sveaskog</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28926-2025</t>
        </is>
      </c>
      <c r="B3498" s="1" t="n">
        <v>45820.67159722222</v>
      </c>
      <c r="C3498" s="1" t="n">
        <v>46046</v>
      </c>
      <c r="D3498" t="inlineStr">
        <is>
          <t>NORRBOTTENS LÄN</t>
        </is>
      </c>
      <c r="E3498" t="inlineStr">
        <is>
          <t>ÖVERKALIX</t>
        </is>
      </c>
      <c r="F3498" t="inlineStr">
        <is>
          <t>Sveaskog</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25928-2024</t>
        </is>
      </c>
      <c r="B3499" s="1" t="n">
        <v>45467</v>
      </c>
      <c r="C3499" s="1" t="n">
        <v>46046</v>
      </c>
      <c r="D3499" t="inlineStr">
        <is>
          <t>NORRBOTTENS LÄN</t>
        </is>
      </c>
      <c r="E3499" t="inlineStr">
        <is>
          <t>ARJEPLOG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29172-2025</t>
        </is>
      </c>
      <c r="B3500" s="1" t="n">
        <v>45821.70695601852</v>
      </c>
      <c r="C3500" s="1" t="n">
        <v>46046</v>
      </c>
      <c r="D3500" t="inlineStr">
        <is>
          <t>NORRBOTTENS LÄN</t>
        </is>
      </c>
      <c r="E3500" t="inlineStr">
        <is>
          <t>PAJALA</t>
        </is>
      </c>
      <c r="F3500" t="inlineStr">
        <is>
          <t>Sveaskog</t>
        </is>
      </c>
      <c r="G3500" t="n">
        <v>40.3</v>
      </c>
      <c r="H3500" t="n">
        <v>0</v>
      </c>
      <c r="I3500" t="n">
        <v>0</v>
      </c>
      <c r="J3500" t="n">
        <v>0</v>
      </c>
      <c r="K3500" t="n">
        <v>0</v>
      </c>
      <c r="L3500" t="n">
        <v>0</v>
      </c>
      <c r="M3500" t="n">
        <v>0</v>
      </c>
      <c r="N3500" t="n">
        <v>0</v>
      </c>
      <c r="O3500" t="n">
        <v>0</v>
      </c>
      <c r="P3500" t="n">
        <v>0</v>
      </c>
      <c r="Q3500" t="n">
        <v>0</v>
      </c>
      <c r="R3500" s="2" t="inlineStr"/>
    </row>
    <row r="3501" ht="15" customHeight="1">
      <c r="A3501" t="inlineStr">
        <is>
          <t>A 3521-2023</t>
        </is>
      </c>
      <c r="B3501" s="1" t="n">
        <v>44950.35271990741</v>
      </c>
      <c r="C3501" s="1" t="n">
        <v>46046</v>
      </c>
      <c r="D3501" t="inlineStr">
        <is>
          <t>NORRBOTTENS LÄN</t>
        </is>
      </c>
      <c r="E3501" t="inlineStr">
        <is>
          <t>PITEÅ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57207-2023</t>
        </is>
      </c>
      <c r="B3502" s="1" t="n">
        <v>45245</v>
      </c>
      <c r="C3502" s="1" t="n">
        <v>46046</v>
      </c>
      <c r="D3502" t="inlineStr">
        <is>
          <t>NORRBOTTENS LÄN</t>
        </is>
      </c>
      <c r="E3502" t="inlineStr">
        <is>
          <t>PITEÅ</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60868-2023</t>
        </is>
      </c>
      <c r="B3503" s="1" t="n">
        <v>45260</v>
      </c>
      <c r="C3503" s="1" t="n">
        <v>46046</v>
      </c>
      <c r="D3503" t="inlineStr">
        <is>
          <t>NORRBOTTENS LÄN</t>
        </is>
      </c>
      <c r="E3503" t="inlineStr">
        <is>
          <t>GÄLLIVARE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20405-2024</t>
        </is>
      </c>
      <c r="B3504" s="1" t="n">
        <v>45435.56417824074</v>
      </c>
      <c r="C3504" s="1" t="n">
        <v>46046</v>
      </c>
      <c r="D3504" t="inlineStr">
        <is>
          <t>NORRBOTTENS LÄN</t>
        </is>
      </c>
      <c r="E3504" t="inlineStr">
        <is>
          <t>ÖVERTORNEÅ</t>
        </is>
      </c>
      <c r="F3504" t="inlineStr">
        <is>
          <t>Sveaskog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27325-2024</t>
        </is>
      </c>
      <c r="B3505" s="1" t="n">
        <v>45472.38306712963</v>
      </c>
      <c r="C3505" s="1" t="n">
        <v>46046</v>
      </c>
      <c r="D3505" t="inlineStr">
        <is>
          <t>NORRBOTTENS LÄN</t>
        </is>
      </c>
      <c r="E3505" t="inlineStr">
        <is>
          <t>PAJALA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29022-2025</t>
        </is>
      </c>
      <c r="B3506" s="1" t="n">
        <v>45821.4296412037</v>
      </c>
      <c r="C3506" s="1" t="n">
        <v>46046</v>
      </c>
      <c r="D3506" t="inlineStr">
        <is>
          <t>NORRBOTTENS LÄN</t>
        </is>
      </c>
      <c r="E3506" t="inlineStr">
        <is>
          <t>ÄLVSBYN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20698-2022</t>
        </is>
      </c>
      <c r="B3507" s="1" t="n">
        <v>44700</v>
      </c>
      <c r="C3507" s="1" t="n">
        <v>46046</v>
      </c>
      <c r="D3507" t="inlineStr">
        <is>
          <t>NORRBOTTENS LÄN</t>
        </is>
      </c>
      <c r="E3507" t="inlineStr">
        <is>
          <t>ARVIDSJAUR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58373-2022</t>
        </is>
      </c>
      <c r="B3508" s="1" t="n">
        <v>44901</v>
      </c>
      <c r="C3508" s="1" t="n">
        <v>46046</v>
      </c>
      <c r="D3508" t="inlineStr">
        <is>
          <t>NORRBOTTENS LÄN</t>
        </is>
      </c>
      <c r="E3508" t="inlineStr">
        <is>
          <t>BODEN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20811-2024</t>
        </is>
      </c>
      <c r="B3509" s="1" t="n">
        <v>45439</v>
      </c>
      <c r="C3509" s="1" t="n">
        <v>46046</v>
      </c>
      <c r="D3509" t="inlineStr">
        <is>
          <t>NORRBOTTENS LÄN</t>
        </is>
      </c>
      <c r="E3509" t="inlineStr">
        <is>
          <t>ARVIDSJAUR</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4840-2025</t>
        </is>
      </c>
      <c r="B3510" s="1" t="n">
        <v>45688</v>
      </c>
      <c r="C3510" s="1" t="n">
        <v>46046</v>
      </c>
      <c r="D3510" t="inlineStr">
        <is>
          <t>NORRBOTTENS LÄN</t>
        </is>
      </c>
      <c r="E3510" t="inlineStr">
        <is>
          <t>ÖVERKALIX</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54738-2024</t>
        </is>
      </c>
      <c r="B3511" s="1" t="n">
        <v>45618.44334490741</v>
      </c>
      <c r="C3511" s="1" t="n">
        <v>46046</v>
      </c>
      <c r="D3511" t="inlineStr">
        <is>
          <t>NORRBOTTENS LÄN</t>
        </is>
      </c>
      <c r="E3511" t="inlineStr">
        <is>
          <t>LULEÅ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33315-2024</t>
        </is>
      </c>
      <c r="B3512" s="1" t="n">
        <v>45518.97159722223</v>
      </c>
      <c r="C3512" s="1" t="n">
        <v>46046</v>
      </c>
      <c r="D3512" t="inlineStr">
        <is>
          <t>NORRBOTTENS LÄN</t>
        </is>
      </c>
      <c r="E3512" t="inlineStr">
        <is>
          <t>ÖVERKALIX</t>
        </is>
      </c>
      <c r="F3512" t="inlineStr">
        <is>
          <t>SCA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28742-2025</t>
        </is>
      </c>
      <c r="B3513" s="1" t="n">
        <v>45820.38512731482</v>
      </c>
      <c r="C3513" s="1" t="n">
        <v>46046</v>
      </c>
      <c r="D3513" t="inlineStr">
        <is>
          <t>NORRBOTTENS LÄN</t>
        </is>
      </c>
      <c r="E3513" t="inlineStr">
        <is>
          <t>PITEÅ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16973-2023</t>
        </is>
      </c>
      <c r="B3514" s="1" t="n">
        <v>45033</v>
      </c>
      <c r="C3514" s="1" t="n">
        <v>46046</v>
      </c>
      <c r="D3514" t="inlineStr">
        <is>
          <t>NORRBOTTENS LÄN</t>
        </is>
      </c>
      <c r="E3514" t="inlineStr">
        <is>
          <t>GÄLLIVARE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1730-2024</t>
        </is>
      </c>
      <c r="B3515" s="1" t="n">
        <v>45307.43209490741</v>
      </c>
      <c r="C3515" s="1" t="n">
        <v>46046</v>
      </c>
      <c r="D3515" t="inlineStr">
        <is>
          <t>NORRBOTTENS LÄN</t>
        </is>
      </c>
      <c r="E3515" t="inlineStr">
        <is>
          <t>PAJALA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28800-2025</t>
        </is>
      </c>
      <c r="B3516" s="1" t="n">
        <v>45820.48586805556</v>
      </c>
      <c r="C3516" s="1" t="n">
        <v>46046</v>
      </c>
      <c r="D3516" t="inlineStr">
        <is>
          <t>NORRBOTTENS LÄN</t>
        </is>
      </c>
      <c r="E3516" t="inlineStr">
        <is>
          <t>PAJALA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14849-2021</t>
        </is>
      </c>
      <c r="B3517" s="1" t="n">
        <v>44280.9359375</v>
      </c>
      <c r="C3517" s="1" t="n">
        <v>46046</v>
      </c>
      <c r="D3517" t="inlineStr">
        <is>
          <t>NORRBOTTENS LÄN</t>
        </is>
      </c>
      <c r="E3517" t="inlineStr">
        <is>
          <t>PITEÅ</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2629-2022</t>
        </is>
      </c>
      <c r="B3518" s="1" t="n">
        <v>44580</v>
      </c>
      <c r="C3518" s="1" t="n">
        <v>46046</v>
      </c>
      <c r="D3518" t="inlineStr">
        <is>
          <t>NORRBOTTENS LÄN</t>
        </is>
      </c>
      <c r="E3518" t="inlineStr">
        <is>
          <t>KALIX</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28840-2025</t>
        </is>
      </c>
      <c r="B3519" s="1" t="n">
        <v>45820.56695601852</v>
      </c>
      <c r="C3519" s="1" t="n">
        <v>46046</v>
      </c>
      <c r="D3519" t="inlineStr">
        <is>
          <t>NORRBOTTENS LÄN</t>
        </is>
      </c>
      <c r="E3519" t="inlineStr">
        <is>
          <t>PITEÅ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29332-2025</t>
        </is>
      </c>
      <c r="B3520" s="1" t="n">
        <v>45824</v>
      </c>
      <c r="C3520" s="1" t="n">
        <v>46046</v>
      </c>
      <c r="D3520" t="inlineStr">
        <is>
          <t>NORRBOTTENS LÄN</t>
        </is>
      </c>
      <c r="E3520" t="inlineStr">
        <is>
          <t>LULEÅ</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29333-2025</t>
        </is>
      </c>
      <c r="B3521" s="1" t="n">
        <v>45824</v>
      </c>
      <c r="C3521" s="1" t="n">
        <v>46046</v>
      </c>
      <c r="D3521" t="inlineStr">
        <is>
          <t>NORRBOTTENS LÄN</t>
        </is>
      </c>
      <c r="E3521" t="inlineStr">
        <is>
          <t>JOKKMOKK</t>
        </is>
      </c>
      <c r="G3521" t="n">
        <v>17.3</v>
      </c>
      <c r="H3521" t="n">
        <v>0</v>
      </c>
      <c r="I3521" t="n">
        <v>0</v>
      </c>
      <c r="J3521" t="n">
        <v>0</v>
      </c>
      <c r="K3521" t="n">
        <v>0</v>
      </c>
      <c r="L3521" t="n">
        <v>0</v>
      </c>
      <c r="M3521" t="n">
        <v>0</v>
      </c>
      <c r="N3521" t="n">
        <v>0</v>
      </c>
      <c r="O3521" t="n">
        <v>0</v>
      </c>
      <c r="P3521" t="n">
        <v>0</v>
      </c>
      <c r="Q3521" t="n">
        <v>0</v>
      </c>
      <c r="R3521" s="2" t="inlineStr"/>
    </row>
    <row r="3522" ht="15" customHeight="1">
      <c r="A3522" t="inlineStr">
        <is>
          <t>A 27326-2024</t>
        </is>
      </c>
      <c r="B3522" s="1" t="n">
        <v>45472.38951388889</v>
      </c>
      <c r="C3522" s="1" t="n">
        <v>46046</v>
      </c>
      <c r="D3522" t="inlineStr">
        <is>
          <t>NORRBOTTENS LÄN</t>
        </is>
      </c>
      <c r="E3522" t="inlineStr">
        <is>
          <t>PAJALA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19845-2021</t>
        </is>
      </c>
      <c r="B3523" s="1" t="n">
        <v>44312</v>
      </c>
      <c r="C3523" s="1" t="n">
        <v>46046</v>
      </c>
      <c r="D3523" t="inlineStr">
        <is>
          <t>NORRBOTTENS LÄN</t>
        </is>
      </c>
      <c r="E3523" t="inlineStr">
        <is>
          <t>ÖVERTORNEÅ</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29518-2025</t>
        </is>
      </c>
      <c r="B3524" s="1" t="n">
        <v>45825.32150462963</v>
      </c>
      <c r="C3524" s="1" t="n">
        <v>46046</v>
      </c>
      <c r="D3524" t="inlineStr">
        <is>
          <t>NORRBOTTENS LÄN</t>
        </is>
      </c>
      <c r="E3524" t="inlineStr">
        <is>
          <t>ARVIDSJAUR</t>
        </is>
      </c>
      <c r="F3524" t="inlineStr">
        <is>
          <t>Sveaskog</t>
        </is>
      </c>
      <c r="G3524" t="n">
        <v>13.3</v>
      </c>
      <c r="H3524" t="n">
        <v>0</v>
      </c>
      <c r="I3524" t="n">
        <v>0</v>
      </c>
      <c r="J3524" t="n">
        <v>0</v>
      </c>
      <c r="K3524" t="n">
        <v>0</v>
      </c>
      <c r="L3524" t="n">
        <v>0</v>
      </c>
      <c r="M3524" t="n">
        <v>0</v>
      </c>
      <c r="N3524" t="n">
        <v>0</v>
      </c>
      <c r="O3524" t="n">
        <v>0</v>
      </c>
      <c r="P3524" t="n">
        <v>0</v>
      </c>
      <c r="Q3524" t="n">
        <v>0</v>
      </c>
      <c r="R3524" s="2" t="inlineStr"/>
    </row>
    <row r="3525" ht="15" customHeight="1">
      <c r="A3525" t="inlineStr">
        <is>
          <t>A 29532-2025</t>
        </is>
      </c>
      <c r="B3525" s="1" t="n">
        <v>45825.34456018519</v>
      </c>
      <c r="C3525" s="1" t="n">
        <v>46046</v>
      </c>
      <c r="D3525" t="inlineStr">
        <is>
          <t>NORRBOTTENS LÄN</t>
        </is>
      </c>
      <c r="E3525" t="inlineStr">
        <is>
          <t>ÖVERKALIX</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51451-2023</t>
        </is>
      </c>
      <c r="B3526" s="1" t="n">
        <v>45215</v>
      </c>
      <c r="C3526" s="1" t="n">
        <v>46046</v>
      </c>
      <c r="D3526" t="inlineStr">
        <is>
          <t>NORRBOTTENS LÄN</t>
        </is>
      </c>
      <c r="E3526" t="inlineStr">
        <is>
          <t>GÄLLIVARE</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29421-2025</t>
        </is>
      </c>
      <c r="B3527" s="1" t="n">
        <v>45824</v>
      </c>
      <c r="C3527" s="1" t="n">
        <v>46046</v>
      </c>
      <c r="D3527" t="inlineStr">
        <is>
          <t>NORRBOTTENS LÄN</t>
        </is>
      </c>
      <c r="E3527" t="inlineStr">
        <is>
          <t>PAJALA</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29516-2025</t>
        </is>
      </c>
      <c r="B3528" s="1" t="n">
        <v>45825.31756944444</v>
      </c>
      <c r="C3528" s="1" t="n">
        <v>46046</v>
      </c>
      <c r="D3528" t="inlineStr">
        <is>
          <t>NORRBOTTENS LÄN</t>
        </is>
      </c>
      <c r="E3528" t="inlineStr">
        <is>
          <t>ARVIDSJAUR</t>
        </is>
      </c>
      <c r="F3528" t="inlineStr">
        <is>
          <t>Sveaskog</t>
        </is>
      </c>
      <c r="G3528" t="n">
        <v>17.1</v>
      </c>
      <c r="H3528" t="n">
        <v>0</v>
      </c>
      <c r="I3528" t="n">
        <v>0</v>
      </c>
      <c r="J3528" t="n">
        <v>0</v>
      </c>
      <c r="K3528" t="n">
        <v>0</v>
      </c>
      <c r="L3528" t="n">
        <v>0</v>
      </c>
      <c r="M3528" t="n">
        <v>0</v>
      </c>
      <c r="N3528" t="n">
        <v>0</v>
      </c>
      <c r="O3528" t="n">
        <v>0</v>
      </c>
      <c r="P3528" t="n">
        <v>0</v>
      </c>
      <c r="Q3528" t="n">
        <v>0</v>
      </c>
      <c r="R3528" s="2" t="inlineStr"/>
    </row>
    <row r="3529" ht="15" customHeight="1">
      <c r="A3529" t="inlineStr">
        <is>
          <t>A 38885-2023</t>
        </is>
      </c>
      <c r="B3529" s="1" t="n">
        <v>45161</v>
      </c>
      <c r="C3529" s="1" t="n">
        <v>46046</v>
      </c>
      <c r="D3529" t="inlineStr">
        <is>
          <t>NORRBOTTENS LÄN</t>
        </is>
      </c>
      <c r="E3529" t="inlineStr">
        <is>
          <t>LULEÅ</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2009-2024</t>
        </is>
      </c>
      <c r="B3530" s="1" t="n">
        <v>45308.66241898148</v>
      </c>
      <c r="C3530" s="1" t="n">
        <v>46046</v>
      </c>
      <c r="D3530" t="inlineStr">
        <is>
          <t>NORRBOTTENS LÄN</t>
        </is>
      </c>
      <c r="E3530" t="inlineStr">
        <is>
          <t>ÖVERKALIX</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29481-2025</t>
        </is>
      </c>
      <c r="B3531" s="1" t="n">
        <v>45824</v>
      </c>
      <c r="C3531" s="1" t="n">
        <v>46046</v>
      </c>
      <c r="D3531" t="inlineStr">
        <is>
          <t>NORRBOTTENS LÄN</t>
        </is>
      </c>
      <c r="E3531" t="inlineStr">
        <is>
          <t>GÄLLIVARE</t>
        </is>
      </c>
      <c r="F3531" t="inlineStr">
        <is>
          <t>Allmännings- och besparingsskogar</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72364-2021</t>
        </is>
      </c>
      <c r="B3532" s="1" t="n">
        <v>44543</v>
      </c>
      <c r="C3532" s="1" t="n">
        <v>46046</v>
      </c>
      <c r="D3532" t="inlineStr">
        <is>
          <t>NORRBOTTENS LÄN</t>
        </is>
      </c>
      <c r="E3532" t="inlineStr">
        <is>
          <t>ÖVERKALIX</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32511-2021</t>
        </is>
      </c>
      <c r="B3533" s="1" t="n">
        <v>44374</v>
      </c>
      <c r="C3533" s="1" t="n">
        <v>46046</v>
      </c>
      <c r="D3533" t="inlineStr">
        <is>
          <t>NORRBOTTENS LÄN</t>
        </is>
      </c>
      <c r="E3533" t="inlineStr">
        <is>
          <t>BODEN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15530-2025</t>
        </is>
      </c>
      <c r="B3534" s="1" t="n">
        <v>45747.63582175926</v>
      </c>
      <c r="C3534" s="1" t="n">
        <v>46046</v>
      </c>
      <c r="D3534" t="inlineStr">
        <is>
          <t>NORRBOTTENS LÄN</t>
        </is>
      </c>
      <c r="E3534" t="inlineStr">
        <is>
          <t>PITEÅ</t>
        </is>
      </c>
      <c r="G3534" t="n">
        <v>5.5</v>
      </c>
      <c r="H3534" t="n">
        <v>0</v>
      </c>
      <c r="I3534" t="n">
        <v>0</v>
      </c>
      <c r="J3534" t="n">
        <v>0</v>
      </c>
      <c r="K3534" t="n">
        <v>0</v>
      </c>
      <c r="L3534" t="n">
        <v>0</v>
      </c>
      <c r="M3534" t="n">
        <v>0</v>
      </c>
      <c r="N3534" t="n">
        <v>0</v>
      </c>
      <c r="O3534" t="n">
        <v>0</v>
      </c>
      <c r="P3534" t="n">
        <v>0</v>
      </c>
      <c r="Q3534" t="n">
        <v>0</v>
      </c>
      <c r="R3534" s="2" t="inlineStr"/>
      <c r="U3534">
        <f>HYPERLINK("https://klasma.github.io/Logging_2581/knärot/A 15530-2025 karta knärot.png", "A 15530-2025")</f>
        <v/>
      </c>
      <c r="V3534">
        <f>HYPERLINK("https://klasma.github.io/Logging_2581/klagomål/A 15530-2025 FSC-klagomål.docx", "A 15530-2025")</f>
        <v/>
      </c>
      <c r="W3534">
        <f>HYPERLINK("https://klasma.github.io/Logging_2581/klagomålsmail/A 15530-2025 FSC-klagomål mail.docx", "A 15530-2025")</f>
        <v/>
      </c>
      <c r="X3534">
        <f>HYPERLINK("https://klasma.github.io/Logging_2581/tillsyn/A 15530-2025 tillsynsbegäran.docx", "A 15530-2025")</f>
        <v/>
      </c>
      <c r="Y3534">
        <f>HYPERLINK("https://klasma.github.io/Logging_2581/tillsynsmail/A 15530-2025 tillsynsbegäran mail.docx", "A 15530-2025")</f>
        <v/>
      </c>
    </row>
    <row r="3535" ht="15" customHeight="1">
      <c r="A3535" t="inlineStr">
        <is>
          <t>A 29464-2025</t>
        </is>
      </c>
      <c r="B3535" s="1" t="n">
        <v>45824.69837962963</v>
      </c>
      <c r="C3535" s="1" t="n">
        <v>46046</v>
      </c>
      <c r="D3535" t="inlineStr">
        <is>
          <t>NORRBOTTENS LÄN</t>
        </is>
      </c>
      <c r="E3535" t="inlineStr">
        <is>
          <t>ÖVERKALIX</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30440-2022</t>
        </is>
      </c>
      <c r="B3536" s="1" t="n">
        <v>44761</v>
      </c>
      <c r="C3536" s="1" t="n">
        <v>46046</v>
      </c>
      <c r="D3536" t="inlineStr">
        <is>
          <t>NORRBOTTENS LÄN</t>
        </is>
      </c>
      <c r="E3536" t="inlineStr">
        <is>
          <t>PITEÅ</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29383-2025</t>
        </is>
      </c>
      <c r="B3537" s="1" t="n">
        <v>45824</v>
      </c>
      <c r="C3537" s="1" t="n">
        <v>46046</v>
      </c>
      <c r="D3537" t="inlineStr">
        <is>
          <t>NORRBOTTENS LÄN</t>
        </is>
      </c>
      <c r="E3537" t="inlineStr">
        <is>
          <t>GÄLLIVARE</t>
        </is>
      </c>
      <c r="F3537" t="inlineStr">
        <is>
          <t>Allmännings- och besparingsskogar</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58296-2022</t>
        </is>
      </c>
      <c r="B3538" s="1" t="n">
        <v>44901</v>
      </c>
      <c r="C3538" s="1" t="n">
        <v>46046</v>
      </c>
      <c r="D3538" t="inlineStr">
        <is>
          <t>NORRBOTTENS LÄN</t>
        </is>
      </c>
      <c r="E3538" t="inlineStr">
        <is>
          <t>KALIX</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29452-2025</t>
        </is>
      </c>
      <c r="B3539" s="1" t="n">
        <v>45824.6791087963</v>
      </c>
      <c r="C3539" s="1" t="n">
        <v>46046</v>
      </c>
      <c r="D3539" t="inlineStr">
        <is>
          <t>NORRBOTTENS LÄN</t>
        </is>
      </c>
      <c r="E3539" t="inlineStr">
        <is>
          <t>PITEÅ</t>
        </is>
      </c>
      <c r="F3539" t="inlineStr">
        <is>
          <t>Övriga Aktiebolag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30870-2023</t>
        </is>
      </c>
      <c r="B3540" s="1" t="n">
        <v>45113</v>
      </c>
      <c r="C3540" s="1" t="n">
        <v>46046</v>
      </c>
      <c r="D3540" t="inlineStr">
        <is>
          <t>NORRBOTTENS LÄN</t>
        </is>
      </c>
      <c r="E3540" t="inlineStr">
        <is>
          <t>ARJEPLOG</t>
        </is>
      </c>
      <c r="F3540" t="inlineStr">
        <is>
          <t>Allmännings- och besparingsskogar</t>
        </is>
      </c>
      <c r="G3540" t="n">
        <v>25.5</v>
      </c>
      <c r="H3540" t="n">
        <v>0</v>
      </c>
      <c r="I3540" t="n">
        <v>0</v>
      </c>
      <c r="J3540" t="n">
        <v>0</v>
      </c>
      <c r="K3540" t="n">
        <v>0</v>
      </c>
      <c r="L3540" t="n">
        <v>0</v>
      </c>
      <c r="M3540" t="n">
        <v>0</v>
      </c>
      <c r="N3540" t="n">
        <v>0</v>
      </c>
      <c r="O3540" t="n">
        <v>0</v>
      </c>
      <c r="P3540" t="n">
        <v>0</v>
      </c>
      <c r="Q3540" t="n">
        <v>0</v>
      </c>
      <c r="R3540" s="2" t="inlineStr"/>
    </row>
    <row r="3541" ht="15" customHeight="1">
      <c r="A3541" t="inlineStr">
        <is>
          <t>A 58609-2022</t>
        </is>
      </c>
      <c r="B3541" s="1" t="n">
        <v>44895</v>
      </c>
      <c r="C3541" s="1" t="n">
        <v>46046</v>
      </c>
      <c r="D3541" t="inlineStr">
        <is>
          <t>NORRBOTTENS LÄN</t>
        </is>
      </c>
      <c r="E3541" t="inlineStr">
        <is>
          <t>PAJALA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28745-2023</t>
        </is>
      </c>
      <c r="B3542" s="1" t="n">
        <v>45103.92518518519</v>
      </c>
      <c r="C3542" s="1" t="n">
        <v>46046</v>
      </c>
      <c r="D3542" t="inlineStr">
        <is>
          <t>NORRBOTTENS LÄN</t>
        </is>
      </c>
      <c r="E3542" t="inlineStr">
        <is>
          <t>BODEN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26673-2023</t>
        </is>
      </c>
      <c r="B3543" s="1" t="n">
        <v>45093</v>
      </c>
      <c r="C3543" s="1" t="n">
        <v>46046</v>
      </c>
      <c r="D3543" t="inlineStr">
        <is>
          <t>NORRBOTTENS LÄN</t>
        </is>
      </c>
      <c r="E3543" t="inlineStr">
        <is>
          <t>ARVIDSJAUR</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36249-2023</t>
        </is>
      </c>
      <c r="B3544" s="1" t="n">
        <v>45150.9416087963</v>
      </c>
      <c r="C3544" s="1" t="n">
        <v>46046</v>
      </c>
      <c r="D3544" t="inlineStr">
        <is>
          <t>NORRBOTTENS LÄN</t>
        </is>
      </c>
      <c r="E3544" t="inlineStr">
        <is>
          <t>GÄLLIVARE</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36250-2023</t>
        </is>
      </c>
      <c r="B3545" s="1" t="n">
        <v>45150.94170138889</v>
      </c>
      <c r="C3545" s="1" t="n">
        <v>46046</v>
      </c>
      <c r="D3545" t="inlineStr">
        <is>
          <t>NORRBOTTENS LÄN</t>
        </is>
      </c>
      <c r="E3545" t="inlineStr">
        <is>
          <t>GÄLLIVARE</t>
        </is>
      </c>
      <c r="F3545" t="inlineStr">
        <is>
          <t>SCA</t>
        </is>
      </c>
      <c r="G3545" t="n">
        <v>14.6</v>
      </c>
      <c r="H3545" t="n">
        <v>0</v>
      </c>
      <c r="I3545" t="n">
        <v>0</v>
      </c>
      <c r="J3545" t="n">
        <v>0</v>
      </c>
      <c r="K3545" t="n">
        <v>0</v>
      </c>
      <c r="L3545" t="n">
        <v>0</v>
      </c>
      <c r="M3545" t="n">
        <v>0</v>
      </c>
      <c r="N3545" t="n">
        <v>0</v>
      </c>
      <c r="O3545" t="n">
        <v>0</v>
      </c>
      <c r="P3545" t="n">
        <v>0</v>
      </c>
      <c r="Q3545" t="n">
        <v>0</v>
      </c>
      <c r="R3545" s="2" t="inlineStr"/>
    </row>
    <row r="3546" ht="15" customHeight="1">
      <c r="A3546" t="inlineStr">
        <is>
          <t>A 26806-2024</t>
        </is>
      </c>
      <c r="B3546" s="1" t="n">
        <v>45470</v>
      </c>
      <c r="C3546" s="1" t="n">
        <v>46046</v>
      </c>
      <c r="D3546" t="inlineStr">
        <is>
          <t>NORRBOTTENS LÄN</t>
        </is>
      </c>
      <c r="E3546" t="inlineStr">
        <is>
          <t>BODEN</t>
        </is>
      </c>
      <c r="F3546" t="inlineStr">
        <is>
          <t>Övriga Aktiebolag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11511-2025</t>
        </is>
      </c>
      <c r="B3547" s="1" t="n">
        <v>45726.83957175926</v>
      </c>
      <c r="C3547" s="1" t="n">
        <v>46046</v>
      </c>
      <c r="D3547" t="inlineStr">
        <is>
          <t>NORRBOTTENS LÄN</t>
        </is>
      </c>
      <c r="E3547" t="inlineStr">
        <is>
          <t>PITEÅ</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11542-2025</t>
        </is>
      </c>
      <c r="B3548" s="1" t="n">
        <v>45726</v>
      </c>
      <c r="C3548" s="1" t="n">
        <v>46046</v>
      </c>
      <c r="D3548" t="inlineStr">
        <is>
          <t>NORRBOTTENS LÄN</t>
        </is>
      </c>
      <c r="E3548" t="inlineStr">
        <is>
          <t>ARVIDSJAUR</t>
        </is>
      </c>
      <c r="F3548" t="inlineStr">
        <is>
          <t>Allmännings- och besparingsskogar</t>
        </is>
      </c>
      <c r="G3548" t="n">
        <v>14.2</v>
      </c>
      <c r="H3548" t="n">
        <v>0</v>
      </c>
      <c r="I3548" t="n">
        <v>0</v>
      </c>
      <c r="J3548" t="n">
        <v>0</v>
      </c>
      <c r="K3548" t="n">
        <v>0</v>
      </c>
      <c r="L3548" t="n">
        <v>0</v>
      </c>
      <c r="M3548" t="n">
        <v>0</v>
      </c>
      <c r="N3548" t="n">
        <v>0</v>
      </c>
      <c r="O3548" t="n">
        <v>0</v>
      </c>
      <c r="P3548" t="n">
        <v>0</v>
      </c>
      <c r="Q3548" t="n">
        <v>0</v>
      </c>
      <c r="R3548" s="2" t="inlineStr"/>
    </row>
    <row r="3549" ht="15" customHeight="1">
      <c r="A3549" t="inlineStr">
        <is>
          <t>A 29446-2025</t>
        </is>
      </c>
      <c r="B3549" s="1" t="n">
        <v>45824</v>
      </c>
      <c r="C3549" s="1" t="n">
        <v>46046</v>
      </c>
      <c r="D3549" t="inlineStr">
        <is>
          <t>NORRBOTTENS LÄN</t>
        </is>
      </c>
      <c r="E3549" t="inlineStr">
        <is>
          <t>JOKKMOKK</t>
        </is>
      </c>
      <c r="G3549" t="n">
        <v>68.5</v>
      </c>
      <c r="H3549" t="n">
        <v>0</v>
      </c>
      <c r="I3549" t="n">
        <v>0</v>
      </c>
      <c r="J3549" t="n">
        <v>0</v>
      </c>
      <c r="K3549" t="n">
        <v>0</v>
      </c>
      <c r="L3549" t="n">
        <v>0</v>
      </c>
      <c r="M3549" t="n">
        <v>0</v>
      </c>
      <c r="N3549" t="n">
        <v>0</v>
      </c>
      <c r="O3549" t="n">
        <v>0</v>
      </c>
      <c r="P3549" t="n">
        <v>0</v>
      </c>
      <c r="Q3549" t="n">
        <v>0</v>
      </c>
      <c r="R3549" s="2" t="inlineStr"/>
    </row>
    <row r="3550" ht="15" customHeight="1">
      <c r="A3550" t="inlineStr">
        <is>
          <t>A 29451-2025</t>
        </is>
      </c>
      <c r="B3550" s="1" t="n">
        <v>45824</v>
      </c>
      <c r="C3550" s="1" t="n">
        <v>46046</v>
      </c>
      <c r="D3550" t="inlineStr">
        <is>
          <t>NORRBOTTENS LÄN</t>
        </is>
      </c>
      <c r="E3550" t="inlineStr">
        <is>
          <t>BODEN</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29463-2025</t>
        </is>
      </c>
      <c r="B3551" s="1" t="n">
        <v>45824.69834490741</v>
      </c>
      <c r="C3551" s="1" t="n">
        <v>46046</v>
      </c>
      <c r="D3551" t="inlineStr">
        <is>
          <t>NORRBOTTENS LÄN</t>
        </is>
      </c>
      <c r="E3551" t="inlineStr">
        <is>
          <t>ÖVERKALIX</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29478-2025</t>
        </is>
      </c>
      <c r="B3552" s="1" t="n">
        <v>45824</v>
      </c>
      <c r="C3552" s="1" t="n">
        <v>46046</v>
      </c>
      <c r="D3552" t="inlineStr">
        <is>
          <t>NORRBOTTENS LÄN</t>
        </is>
      </c>
      <c r="E3552" t="inlineStr">
        <is>
          <t>GÄLLIVARE</t>
        </is>
      </c>
      <c r="F3552" t="inlineStr">
        <is>
          <t>Allmännings- och besparingsskogar</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11574-2025</t>
        </is>
      </c>
      <c r="B3553" s="1" t="n">
        <v>45726</v>
      </c>
      <c r="C3553" s="1" t="n">
        <v>46046</v>
      </c>
      <c r="D3553" t="inlineStr">
        <is>
          <t>NORRBOTTENS LÄN</t>
        </is>
      </c>
      <c r="E3553" t="inlineStr">
        <is>
          <t>ARVIDSJAUR</t>
        </is>
      </c>
      <c r="F3553" t="inlineStr">
        <is>
          <t>Allmännings- och besparingsskogar</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11591-2025</t>
        </is>
      </c>
      <c r="B3554" s="1" t="n">
        <v>45726</v>
      </c>
      <c r="C3554" s="1" t="n">
        <v>46046</v>
      </c>
      <c r="D3554" t="inlineStr">
        <is>
          <t>NORRBOTTENS LÄN</t>
        </is>
      </c>
      <c r="E3554" t="inlineStr">
        <is>
          <t>ARVIDSJAUR</t>
        </is>
      </c>
      <c r="F3554" t="inlineStr">
        <is>
          <t>Allmännings- och besparingsskogar</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8875-2024</t>
        </is>
      </c>
      <c r="B3555" s="1" t="n">
        <v>45356.9645949074</v>
      </c>
      <c r="C3555" s="1" t="n">
        <v>46046</v>
      </c>
      <c r="D3555" t="inlineStr">
        <is>
          <t>NORRBOTTENS LÄN</t>
        </is>
      </c>
      <c r="E3555" t="inlineStr">
        <is>
          <t>PITEÅ</t>
        </is>
      </c>
      <c r="G3555" t="n">
        <v>11.3</v>
      </c>
      <c r="H3555" t="n">
        <v>0</v>
      </c>
      <c r="I3555" t="n">
        <v>0</v>
      </c>
      <c r="J3555" t="n">
        <v>0</v>
      </c>
      <c r="K3555" t="n">
        <v>0</v>
      </c>
      <c r="L3555" t="n">
        <v>0</v>
      </c>
      <c r="M3555" t="n">
        <v>0</v>
      </c>
      <c r="N3555" t="n">
        <v>0</v>
      </c>
      <c r="O3555" t="n">
        <v>0</v>
      </c>
      <c r="P3555" t="n">
        <v>0</v>
      </c>
      <c r="Q3555" t="n">
        <v>0</v>
      </c>
      <c r="R3555" s="2" t="inlineStr"/>
    </row>
    <row r="3556" ht="15" customHeight="1">
      <c r="A3556" t="inlineStr">
        <is>
          <t>A 29743-2025</t>
        </is>
      </c>
      <c r="B3556" s="1" t="n">
        <v>45825</v>
      </c>
      <c r="C3556" s="1" t="n">
        <v>46046</v>
      </c>
      <c r="D3556" t="inlineStr">
        <is>
          <t>NORRBOTTENS LÄN</t>
        </is>
      </c>
      <c r="E3556" t="inlineStr">
        <is>
          <t>ÄLVSBYN</t>
        </is>
      </c>
      <c r="F3556" t="inlineStr">
        <is>
          <t>Sveaskog</t>
        </is>
      </c>
      <c r="G3556" t="n">
        <v>34.6</v>
      </c>
      <c r="H3556" t="n">
        <v>0</v>
      </c>
      <c r="I3556" t="n">
        <v>0</v>
      </c>
      <c r="J3556" t="n">
        <v>0</v>
      </c>
      <c r="K3556" t="n">
        <v>0</v>
      </c>
      <c r="L3556" t="n">
        <v>0</v>
      </c>
      <c r="M3556" t="n">
        <v>0</v>
      </c>
      <c r="N3556" t="n">
        <v>0</v>
      </c>
      <c r="O3556" t="n">
        <v>0</v>
      </c>
      <c r="P3556" t="n">
        <v>0</v>
      </c>
      <c r="Q3556" t="n">
        <v>0</v>
      </c>
      <c r="R3556" s="2" t="inlineStr"/>
    </row>
    <row r="3557" ht="15" customHeight="1">
      <c r="A3557" t="inlineStr">
        <is>
          <t>A 62137-2024</t>
        </is>
      </c>
      <c r="B3557" s="1" t="n">
        <v>45646</v>
      </c>
      <c r="C3557" s="1" t="n">
        <v>46046</v>
      </c>
      <c r="D3557" t="inlineStr">
        <is>
          <t>NORRBOTTENS LÄN</t>
        </is>
      </c>
      <c r="E3557" t="inlineStr">
        <is>
          <t>BODEN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47121-2022</t>
        </is>
      </c>
      <c r="B3558" s="1" t="n">
        <v>44851</v>
      </c>
      <c r="C3558" s="1" t="n">
        <v>46046</v>
      </c>
      <c r="D3558" t="inlineStr">
        <is>
          <t>NORRBOTTENS LÄN</t>
        </is>
      </c>
      <c r="E3558" t="inlineStr">
        <is>
          <t>ÄLVSBYN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28387-2024</t>
        </is>
      </c>
      <c r="B3559" s="1" t="n">
        <v>45477.59898148148</v>
      </c>
      <c r="C3559" s="1" t="n">
        <v>46046</v>
      </c>
      <c r="D3559" t="inlineStr">
        <is>
          <t>NORRBOTTENS LÄN</t>
        </is>
      </c>
      <c r="E3559" t="inlineStr">
        <is>
          <t>PAJALA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29768-2025</t>
        </is>
      </c>
      <c r="B3560" s="1" t="n">
        <v>45825.6278587963</v>
      </c>
      <c r="C3560" s="1" t="n">
        <v>46046</v>
      </c>
      <c r="D3560" t="inlineStr">
        <is>
          <t>NORRBOTTENS LÄN</t>
        </is>
      </c>
      <c r="E3560" t="inlineStr">
        <is>
          <t>PITEÅ</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19533-2025</t>
        </is>
      </c>
      <c r="B3561" s="1" t="n">
        <v>45770.47331018518</v>
      </c>
      <c r="C3561" s="1" t="n">
        <v>46046</v>
      </c>
      <c r="D3561" t="inlineStr">
        <is>
          <t>NORRBOTTENS LÄN</t>
        </is>
      </c>
      <c r="E3561" t="inlineStr">
        <is>
          <t>LULEÅ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46056-2023</t>
        </is>
      </c>
      <c r="B3562" s="1" t="n">
        <v>45196</v>
      </c>
      <c r="C3562" s="1" t="n">
        <v>46046</v>
      </c>
      <c r="D3562" t="inlineStr">
        <is>
          <t>NORRBOTTENS LÄN</t>
        </is>
      </c>
      <c r="E3562" t="inlineStr">
        <is>
          <t>GÄLLIVARE</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8334-2025</t>
        </is>
      </c>
      <c r="B3563" s="1" t="n">
        <v>45708</v>
      </c>
      <c r="C3563" s="1" t="n">
        <v>46046</v>
      </c>
      <c r="D3563" t="inlineStr">
        <is>
          <t>NORRBOTTENS LÄN</t>
        </is>
      </c>
      <c r="E3563" t="inlineStr">
        <is>
          <t>ÄLVSBYN</t>
        </is>
      </c>
      <c r="F3563" t="inlineStr">
        <is>
          <t>SCA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50716-2022</t>
        </is>
      </c>
      <c r="B3564" s="1" t="n">
        <v>44862</v>
      </c>
      <c r="C3564" s="1" t="n">
        <v>46046</v>
      </c>
      <c r="D3564" t="inlineStr">
        <is>
          <t>NORRBOTTENS LÄN</t>
        </is>
      </c>
      <c r="E3564" t="inlineStr">
        <is>
          <t>JOKKMOKK</t>
        </is>
      </c>
      <c r="G3564" t="n">
        <v>30.2</v>
      </c>
      <c r="H3564" t="n">
        <v>0</v>
      </c>
      <c r="I3564" t="n">
        <v>0</v>
      </c>
      <c r="J3564" t="n">
        <v>0</v>
      </c>
      <c r="K3564" t="n">
        <v>0</v>
      </c>
      <c r="L3564" t="n">
        <v>0</v>
      </c>
      <c r="M3564" t="n">
        <v>0</v>
      </c>
      <c r="N3564" t="n">
        <v>0</v>
      </c>
      <c r="O3564" t="n">
        <v>0</v>
      </c>
      <c r="P3564" t="n">
        <v>0</v>
      </c>
      <c r="Q3564" t="n">
        <v>0</v>
      </c>
      <c r="R3564" s="2" t="inlineStr"/>
    </row>
    <row r="3565" ht="15" customHeight="1">
      <c r="A3565" t="inlineStr">
        <is>
          <t>A 23949-2024</t>
        </is>
      </c>
      <c r="B3565" s="1" t="n">
        <v>45455</v>
      </c>
      <c r="C3565" s="1" t="n">
        <v>46046</v>
      </c>
      <c r="D3565" t="inlineStr">
        <is>
          <t>NORRBOTTENS LÄN</t>
        </is>
      </c>
      <c r="E3565" t="inlineStr">
        <is>
          <t>ARJEPLOG</t>
        </is>
      </c>
      <c r="F3565" t="inlineStr">
        <is>
          <t>SCA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145-2025</t>
        </is>
      </c>
      <c r="B3566" s="1" t="n">
        <v>45659.59091435185</v>
      </c>
      <c r="C3566" s="1" t="n">
        <v>46046</v>
      </c>
      <c r="D3566" t="inlineStr">
        <is>
          <t>NORRBOTTENS LÄN</t>
        </is>
      </c>
      <c r="E3566" t="inlineStr">
        <is>
          <t>LULEÅ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17290-2025</t>
        </is>
      </c>
      <c r="B3567" s="1" t="n">
        <v>45756.58515046296</v>
      </c>
      <c r="C3567" s="1" t="n">
        <v>46046</v>
      </c>
      <c r="D3567" t="inlineStr">
        <is>
          <t>NORRBOTTENS LÄN</t>
        </is>
      </c>
      <c r="E3567" t="inlineStr">
        <is>
          <t>LULEÅ</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29751-2021</t>
        </is>
      </c>
      <c r="B3568" s="1" t="n">
        <v>44362.48555555556</v>
      </c>
      <c r="C3568" s="1" t="n">
        <v>46046</v>
      </c>
      <c r="D3568" t="inlineStr">
        <is>
          <t>NORRBOTTENS LÄN</t>
        </is>
      </c>
      <c r="E3568" t="inlineStr">
        <is>
          <t>BODEN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52006-2022</t>
        </is>
      </c>
      <c r="B3569" s="1" t="n">
        <v>44872.92953703704</v>
      </c>
      <c r="C3569" s="1" t="n">
        <v>46046</v>
      </c>
      <c r="D3569" t="inlineStr">
        <is>
          <t>NORRBOTTENS LÄN</t>
        </is>
      </c>
      <c r="E3569" t="inlineStr">
        <is>
          <t>HAPARANDA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29418-2025</t>
        </is>
      </c>
      <c r="B3570" s="1" t="n">
        <v>45824.63607638889</v>
      </c>
      <c r="C3570" s="1" t="n">
        <v>46046</v>
      </c>
      <c r="D3570" t="inlineStr">
        <is>
          <t>NORRBOTTENS LÄN</t>
        </is>
      </c>
      <c r="E3570" t="inlineStr">
        <is>
          <t>JOKKMOKK</t>
        </is>
      </c>
      <c r="G3570" t="n">
        <v>17.8</v>
      </c>
      <c r="H3570" t="n">
        <v>0</v>
      </c>
      <c r="I3570" t="n">
        <v>0</v>
      </c>
      <c r="J3570" t="n">
        <v>0</v>
      </c>
      <c r="K3570" t="n">
        <v>0</v>
      </c>
      <c r="L3570" t="n">
        <v>0</v>
      </c>
      <c r="M3570" t="n">
        <v>0</v>
      </c>
      <c r="N3570" t="n">
        <v>0</v>
      </c>
      <c r="O3570" t="n">
        <v>0</v>
      </c>
      <c r="P3570" t="n">
        <v>0</v>
      </c>
      <c r="Q3570" t="n">
        <v>0</v>
      </c>
      <c r="R3570" s="2" t="inlineStr"/>
    </row>
    <row r="3571" ht="15" customHeight="1">
      <c r="A3571" t="inlineStr">
        <is>
          <t>A 29450-2025</t>
        </is>
      </c>
      <c r="B3571" s="1" t="n">
        <v>45824</v>
      </c>
      <c r="C3571" s="1" t="n">
        <v>46046</v>
      </c>
      <c r="D3571" t="inlineStr">
        <is>
          <t>NORRBOTTENS LÄN</t>
        </is>
      </c>
      <c r="E3571" t="inlineStr">
        <is>
          <t>BODEN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3631-2022</t>
        </is>
      </c>
      <c r="B3572" s="1" t="n">
        <v>44586</v>
      </c>
      <c r="C3572" s="1" t="n">
        <v>46046</v>
      </c>
      <c r="D3572" t="inlineStr">
        <is>
          <t>NORRBOTTENS LÄN</t>
        </is>
      </c>
      <c r="E3572" t="inlineStr">
        <is>
          <t>HAPARANDA</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28927-2024</t>
        </is>
      </c>
      <c r="B3573" s="1" t="n">
        <v>45481.31606481481</v>
      </c>
      <c r="C3573" s="1" t="n">
        <v>46046</v>
      </c>
      <c r="D3573" t="inlineStr">
        <is>
          <t>NORRBOTTENS LÄN</t>
        </is>
      </c>
      <c r="E3573" t="inlineStr">
        <is>
          <t>ÖVERTORNEÅ</t>
        </is>
      </c>
      <c r="F3573" t="inlineStr">
        <is>
          <t>Sveaskog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29625-2025</t>
        </is>
      </c>
      <c r="B3574" s="1" t="n">
        <v>45825.44418981481</v>
      </c>
      <c r="C3574" s="1" t="n">
        <v>46046</v>
      </c>
      <c r="D3574" t="inlineStr">
        <is>
          <t>NORRBOTTENS LÄN</t>
        </is>
      </c>
      <c r="E3574" t="inlineStr">
        <is>
          <t>KALIX</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29504-2025</t>
        </is>
      </c>
      <c r="B3575" s="1" t="n">
        <v>45825</v>
      </c>
      <c r="C3575" s="1" t="n">
        <v>46046</v>
      </c>
      <c r="D3575" t="inlineStr">
        <is>
          <t>NORRBOTTENS LÄN</t>
        </is>
      </c>
      <c r="E3575" t="inlineStr">
        <is>
          <t>ARVIDSJAUR</t>
        </is>
      </c>
      <c r="F3575" t="inlineStr">
        <is>
          <t>Sveaskog</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29530-2025</t>
        </is>
      </c>
      <c r="B3576" s="1" t="n">
        <v>45825.3443287037</v>
      </c>
      <c r="C3576" s="1" t="n">
        <v>46046</v>
      </c>
      <c r="D3576" t="inlineStr">
        <is>
          <t>NORRBOTTENS LÄN</t>
        </is>
      </c>
      <c r="E3576" t="inlineStr">
        <is>
          <t>LULEÅ</t>
        </is>
      </c>
      <c r="F3576" t="inlineStr">
        <is>
          <t>SCA</t>
        </is>
      </c>
      <c r="G3576" t="n">
        <v>17.5</v>
      </c>
      <c r="H3576" t="n">
        <v>0</v>
      </c>
      <c r="I3576" t="n">
        <v>0</v>
      </c>
      <c r="J3576" t="n">
        <v>0</v>
      </c>
      <c r="K3576" t="n">
        <v>0</v>
      </c>
      <c r="L3576" t="n">
        <v>0</v>
      </c>
      <c r="M3576" t="n">
        <v>0</v>
      </c>
      <c r="N3576" t="n">
        <v>0</v>
      </c>
      <c r="O3576" t="n">
        <v>0</v>
      </c>
      <c r="P3576" t="n">
        <v>0</v>
      </c>
      <c r="Q3576" t="n">
        <v>0</v>
      </c>
      <c r="R3576" s="2" t="inlineStr"/>
    </row>
    <row r="3577" ht="15" customHeight="1">
      <c r="A3577" t="inlineStr">
        <is>
          <t>A 29212-2025</t>
        </is>
      </c>
      <c r="B3577" s="1" t="n">
        <v>45824.28274305556</v>
      </c>
      <c r="C3577" s="1" t="n">
        <v>46046</v>
      </c>
      <c r="D3577" t="inlineStr">
        <is>
          <t>NORRBOTTENS LÄN</t>
        </is>
      </c>
      <c r="E3577" t="inlineStr">
        <is>
          <t>ÖVERKALIX</t>
        </is>
      </c>
      <c r="F3577" t="inlineStr">
        <is>
          <t>Sveaskog</t>
        </is>
      </c>
      <c r="G3577" t="n">
        <v>24.4</v>
      </c>
      <c r="H3577" t="n">
        <v>0</v>
      </c>
      <c r="I3577" t="n">
        <v>0</v>
      </c>
      <c r="J3577" t="n">
        <v>0</v>
      </c>
      <c r="K3577" t="n">
        <v>0</v>
      </c>
      <c r="L3577" t="n">
        <v>0</v>
      </c>
      <c r="M3577" t="n">
        <v>0</v>
      </c>
      <c r="N3577" t="n">
        <v>0</v>
      </c>
      <c r="O3577" t="n">
        <v>0</v>
      </c>
      <c r="P3577" t="n">
        <v>0</v>
      </c>
      <c r="Q3577" t="n">
        <v>0</v>
      </c>
      <c r="R3577" s="2" t="inlineStr"/>
    </row>
    <row r="3578" ht="15" customHeight="1">
      <c r="A3578" t="inlineStr">
        <is>
          <t>A 43673-2024</t>
        </is>
      </c>
      <c r="B3578" s="1" t="n">
        <v>45569</v>
      </c>
      <c r="C3578" s="1" t="n">
        <v>46046</v>
      </c>
      <c r="D3578" t="inlineStr">
        <is>
          <t>NORRBOTTENS LÄN</t>
        </is>
      </c>
      <c r="E3578" t="inlineStr">
        <is>
          <t>KALIX</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61941-2024</t>
        </is>
      </c>
      <c r="B3579" s="1" t="n">
        <v>45653</v>
      </c>
      <c r="C3579" s="1" t="n">
        <v>46046</v>
      </c>
      <c r="D3579" t="inlineStr">
        <is>
          <t>NORRBOTTENS LÄN</t>
        </is>
      </c>
      <c r="E3579" t="inlineStr">
        <is>
          <t>BODEN</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60418-2024</t>
        </is>
      </c>
      <c r="B3580" s="1" t="n">
        <v>45643</v>
      </c>
      <c r="C3580" s="1" t="n">
        <v>46046</v>
      </c>
      <c r="D3580" t="inlineStr">
        <is>
          <t>NORRBOTTENS LÄN</t>
        </is>
      </c>
      <c r="E3580" t="inlineStr">
        <is>
          <t>ÖVERKALIX</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15151-2025</t>
        </is>
      </c>
      <c r="B3581" s="1" t="n">
        <v>45744</v>
      </c>
      <c r="C3581" s="1" t="n">
        <v>46046</v>
      </c>
      <c r="D3581" t="inlineStr">
        <is>
          <t>NORRBOTTENS LÄN</t>
        </is>
      </c>
      <c r="E3581" t="inlineStr">
        <is>
          <t>GÄLLIVARE</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15157-2025</t>
        </is>
      </c>
      <c r="B3582" s="1" t="n">
        <v>45744.46895833333</v>
      </c>
      <c r="C3582" s="1" t="n">
        <v>46046</v>
      </c>
      <c r="D3582" t="inlineStr">
        <is>
          <t>NORRBOTTENS LÄN</t>
        </is>
      </c>
      <c r="E3582" t="inlineStr">
        <is>
          <t>BODEN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50553-2024</t>
        </is>
      </c>
      <c r="B3583" s="1" t="n">
        <v>45601.59490740741</v>
      </c>
      <c r="C3583" s="1" t="n">
        <v>46046</v>
      </c>
      <c r="D3583" t="inlineStr">
        <is>
          <t>NORRBOTTENS LÄN</t>
        </is>
      </c>
      <c r="E3583" t="inlineStr">
        <is>
          <t>GÄLLIVARE</t>
        </is>
      </c>
      <c r="F3583" t="inlineStr">
        <is>
          <t>SCA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29213-2025</t>
        </is>
      </c>
      <c r="B3584" s="1" t="n">
        <v>45824.28693287037</v>
      </c>
      <c r="C3584" s="1" t="n">
        <v>46046</v>
      </c>
      <c r="D3584" t="inlineStr">
        <is>
          <t>NORRBOTTENS LÄN</t>
        </is>
      </c>
      <c r="E3584" t="inlineStr">
        <is>
          <t>ÖVERKALIX</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29241-2025</t>
        </is>
      </c>
      <c r="B3585" s="1" t="n">
        <v>45824</v>
      </c>
      <c r="C3585" s="1" t="n">
        <v>46046</v>
      </c>
      <c r="D3585" t="inlineStr">
        <is>
          <t>NORRBOTTENS LÄN</t>
        </is>
      </c>
      <c r="E3585" t="inlineStr">
        <is>
          <t>ARVIDSJAUR</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58578-2023</t>
        </is>
      </c>
      <c r="B3586" s="1" t="n">
        <v>45246</v>
      </c>
      <c r="C3586" s="1" t="n">
        <v>46046</v>
      </c>
      <c r="D3586" t="inlineStr">
        <is>
          <t>NORRBOTTENS LÄN</t>
        </is>
      </c>
      <c r="E3586" t="inlineStr">
        <is>
          <t>KALIX</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50640-2024</t>
        </is>
      </c>
      <c r="B3587" s="1" t="n">
        <v>45601.67827546296</v>
      </c>
      <c r="C3587" s="1" t="n">
        <v>46046</v>
      </c>
      <c r="D3587" t="inlineStr">
        <is>
          <t>NORRBOTTENS LÄN</t>
        </is>
      </c>
      <c r="E3587" t="inlineStr">
        <is>
          <t>LULEÅ</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29319-2025</t>
        </is>
      </c>
      <c r="B3588" s="1" t="n">
        <v>45824.47469907408</v>
      </c>
      <c r="C3588" s="1" t="n">
        <v>46046</v>
      </c>
      <c r="D3588" t="inlineStr">
        <is>
          <t>NORRBOTTENS LÄN</t>
        </is>
      </c>
      <c r="E3588" t="inlineStr">
        <is>
          <t>HAPARANDA</t>
        </is>
      </c>
      <c r="G3588" t="n">
        <v>17.8</v>
      </c>
      <c r="H3588" t="n">
        <v>0</v>
      </c>
      <c r="I3588" t="n">
        <v>0</v>
      </c>
      <c r="J3588" t="n">
        <v>0</v>
      </c>
      <c r="K3588" t="n">
        <v>0</v>
      </c>
      <c r="L3588" t="n">
        <v>0</v>
      </c>
      <c r="M3588" t="n">
        <v>0</v>
      </c>
      <c r="N3588" t="n">
        <v>0</v>
      </c>
      <c r="O3588" t="n">
        <v>0</v>
      </c>
      <c r="P3588" t="n">
        <v>0</v>
      </c>
      <c r="Q3588" t="n">
        <v>0</v>
      </c>
      <c r="R3588" s="2" t="inlineStr"/>
    </row>
    <row r="3589" ht="15" customHeight="1">
      <c r="A3589" t="inlineStr">
        <is>
          <t>A 29476-2025</t>
        </is>
      </c>
      <c r="B3589" s="1" t="n">
        <v>45824</v>
      </c>
      <c r="C3589" s="1" t="n">
        <v>46046</v>
      </c>
      <c r="D3589" t="inlineStr">
        <is>
          <t>NORRBOTTENS LÄN</t>
        </is>
      </c>
      <c r="E3589" t="inlineStr">
        <is>
          <t>GÄLLIVARE</t>
        </is>
      </c>
      <c r="F3589" t="inlineStr">
        <is>
          <t>Allmännings- och besparingsskogar</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48179-2024</t>
        </is>
      </c>
      <c r="B3590" s="1" t="n">
        <v>45589.88046296296</v>
      </c>
      <c r="C3590" s="1" t="n">
        <v>46046</v>
      </c>
      <c r="D3590" t="inlineStr">
        <is>
          <t>NORRBOTTENS LÄN</t>
        </is>
      </c>
      <c r="E3590" t="inlineStr">
        <is>
          <t>PAJALA</t>
        </is>
      </c>
      <c r="G3590" t="n">
        <v>11.7</v>
      </c>
      <c r="H3590" t="n">
        <v>0</v>
      </c>
      <c r="I3590" t="n">
        <v>0</v>
      </c>
      <c r="J3590" t="n">
        <v>0</v>
      </c>
      <c r="K3590" t="n">
        <v>0</v>
      </c>
      <c r="L3590" t="n">
        <v>0</v>
      </c>
      <c r="M3590" t="n">
        <v>0</v>
      </c>
      <c r="N3590" t="n">
        <v>0</v>
      </c>
      <c r="O3590" t="n">
        <v>0</v>
      </c>
      <c r="P3590" t="n">
        <v>0</v>
      </c>
      <c r="Q3590" t="n">
        <v>0</v>
      </c>
      <c r="R3590" s="2" t="inlineStr"/>
    </row>
    <row r="3591" ht="15" customHeight="1">
      <c r="A3591" t="inlineStr">
        <is>
          <t>A 59849-2023</t>
        </is>
      </c>
      <c r="B3591" s="1" t="n">
        <v>45257</v>
      </c>
      <c r="C3591" s="1" t="n">
        <v>46046</v>
      </c>
      <c r="D3591" t="inlineStr">
        <is>
          <t>NORRBOTTENS LÄN</t>
        </is>
      </c>
      <c r="E3591" t="inlineStr">
        <is>
          <t>JOKKMOKK</t>
        </is>
      </c>
      <c r="F3591" t="inlineStr">
        <is>
          <t>Allmännings- och besparingsskogar</t>
        </is>
      </c>
      <c r="G3591" t="n">
        <v>12.7</v>
      </c>
      <c r="H3591" t="n">
        <v>0</v>
      </c>
      <c r="I3591" t="n">
        <v>0</v>
      </c>
      <c r="J3591" t="n">
        <v>0</v>
      </c>
      <c r="K3591" t="n">
        <v>0</v>
      </c>
      <c r="L3591" t="n">
        <v>0</v>
      </c>
      <c r="M3591" t="n">
        <v>0</v>
      </c>
      <c r="N3591" t="n">
        <v>0</v>
      </c>
      <c r="O3591" t="n">
        <v>0</v>
      </c>
      <c r="P3591" t="n">
        <v>0</v>
      </c>
      <c r="Q3591" t="n">
        <v>0</v>
      </c>
      <c r="R3591" s="2" t="inlineStr"/>
    </row>
    <row r="3592" ht="15" customHeight="1">
      <c r="A3592" t="inlineStr">
        <is>
          <t>A 31452-2024</t>
        </is>
      </c>
      <c r="B3592" s="1" t="n">
        <v>45505</v>
      </c>
      <c r="C3592" s="1" t="n">
        <v>46046</v>
      </c>
      <c r="D3592" t="inlineStr">
        <is>
          <t>NORRBOTTENS LÄN</t>
        </is>
      </c>
      <c r="E3592" t="inlineStr">
        <is>
          <t>ÄLVSBYN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41698-2024</t>
        </is>
      </c>
      <c r="B3593" s="1" t="n">
        <v>45560.68814814815</v>
      </c>
      <c r="C3593" s="1" t="n">
        <v>46046</v>
      </c>
      <c r="D3593" t="inlineStr">
        <is>
          <t>NORRBOTTENS LÄN</t>
        </is>
      </c>
      <c r="E3593" t="inlineStr">
        <is>
          <t>ÖVERTORNEÅ</t>
        </is>
      </c>
      <c r="F3593" t="inlineStr">
        <is>
          <t>Sveaskog</t>
        </is>
      </c>
      <c r="G3593" t="n">
        <v>16.4</v>
      </c>
      <c r="H3593" t="n">
        <v>0</v>
      </c>
      <c r="I3593" t="n">
        <v>0</v>
      </c>
      <c r="J3593" t="n">
        <v>0</v>
      </c>
      <c r="K3593" t="n">
        <v>0</v>
      </c>
      <c r="L3593" t="n">
        <v>0</v>
      </c>
      <c r="M3593" t="n">
        <v>0</v>
      </c>
      <c r="N3593" t="n">
        <v>0</v>
      </c>
      <c r="O3593" t="n">
        <v>0</v>
      </c>
      <c r="P3593" t="n">
        <v>0</v>
      </c>
      <c r="Q3593" t="n">
        <v>0</v>
      </c>
      <c r="R3593" s="2" t="inlineStr"/>
    </row>
    <row r="3594" ht="15" customHeight="1">
      <c r="A3594" t="inlineStr">
        <is>
          <t>A 30041-2024</t>
        </is>
      </c>
      <c r="B3594" s="1" t="n">
        <v>45488</v>
      </c>
      <c r="C3594" s="1" t="n">
        <v>46046</v>
      </c>
      <c r="D3594" t="inlineStr">
        <is>
          <t>NORRBOTTENS LÄN</t>
        </is>
      </c>
      <c r="E3594" t="inlineStr">
        <is>
          <t>JOKKMOKK</t>
        </is>
      </c>
      <c r="G3594" t="n">
        <v>19.9</v>
      </c>
      <c r="H3594" t="n">
        <v>0</v>
      </c>
      <c r="I3594" t="n">
        <v>0</v>
      </c>
      <c r="J3594" t="n">
        <v>0</v>
      </c>
      <c r="K3594" t="n">
        <v>0</v>
      </c>
      <c r="L3594" t="n">
        <v>0</v>
      </c>
      <c r="M3594" t="n">
        <v>0</v>
      </c>
      <c r="N3594" t="n">
        <v>0</v>
      </c>
      <c r="O3594" t="n">
        <v>0</v>
      </c>
      <c r="P3594" t="n">
        <v>0</v>
      </c>
      <c r="Q3594" t="n">
        <v>0</v>
      </c>
      <c r="R3594" s="2" t="inlineStr"/>
    </row>
    <row r="3595" ht="15" customHeight="1">
      <c r="A3595" t="inlineStr">
        <is>
          <t>A 22460-2023</t>
        </is>
      </c>
      <c r="B3595" s="1" t="n">
        <v>45070.92538194444</v>
      </c>
      <c r="C3595" s="1" t="n">
        <v>46046</v>
      </c>
      <c r="D3595" t="inlineStr">
        <is>
          <t>NORRBOTTENS LÄN</t>
        </is>
      </c>
      <c r="E3595" t="inlineStr">
        <is>
          <t>BODEN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29667-2025</t>
        </is>
      </c>
      <c r="B3596" s="1" t="n">
        <v>45825</v>
      </c>
      <c r="C3596" s="1" t="n">
        <v>46046</v>
      </c>
      <c r="D3596" t="inlineStr">
        <is>
          <t>NORRBOTTENS LÄN</t>
        </is>
      </c>
      <c r="E3596" t="inlineStr">
        <is>
          <t>ARJEPLOG</t>
        </is>
      </c>
      <c r="F3596" t="inlineStr">
        <is>
          <t>Allmännings- och besparingsskogar</t>
        </is>
      </c>
      <c r="G3596" t="n">
        <v>20.1</v>
      </c>
      <c r="H3596" t="n">
        <v>0</v>
      </c>
      <c r="I3596" t="n">
        <v>0</v>
      </c>
      <c r="J3596" t="n">
        <v>0</v>
      </c>
      <c r="K3596" t="n">
        <v>0</v>
      </c>
      <c r="L3596" t="n">
        <v>0</v>
      </c>
      <c r="M3596" t="n">
        <v>0</v>
      </c>
      <c r="N3596" t="n">
        <v>0</v>
      </c>
      <c r="O3596" t="n">
        <v>0</v>
      </c>
      <c r="P3596" t="n">
        <v>0</v>
      </c>
      <c r="Q3596" t="n">
        <v>0</v>
      </c>
      <c r="R3596" s="2" t="inlineStr"/>
    </row>
    <row r="3597" ht="15" customHeight="1">
      <c r="A3597" t="inlineStr">
        <is>
          <t>A 16068-2023</t>
        </is>
      </c>
      <c r="B3597" s="1" t="n">
        <v>45027</v>
      </c>
      <c r="C3597" s="1" t="n">
        <v>46046</v>
      </c>
      <c r="D3597" t="inlineStr">
        <is>
          <t>NORRBOTTENS LÄN</t>
        </is>
      </c>
      <c r="E3597" t="inlineStr">
        <is>
          <t>GÄLLIVARE</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54213-2023</t>
        </is>
      </c>
      <c r="B3598" s="1" t="n">
        <v>45232</v>
      </c>
      <c r="C3598" s="1" t="n">
        <v>46046</v>
      </c>
      <c r="D3598" t="inlineStr">
        <is>
          <t>NORRBOTTENS LÄN</t>
        </is>
      </c>
      <c r="E3598" t="inlineStr">
        <is>
          <t>LULEÅ</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29376-2025</t>
        </is>
      </c>
      <c r="B3599" s="1" t="n">
        <v>45824</v>
      </c>
      <c r="C3599" s="1" t="n">
        <v>46046</v>
      </c>
      <c r="D3599" t="inlineStr">
        <is>
          <t>NORRBOTTENS LÄN</t>
        </is>
      </c>
      <c r="E3599" t="inlineStr">
        <is>
          <t>BODEN</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21544-2024</t>
        </is>
      </c>
      <c r="B3600" s="1" t="n">
        <v>45441</v>
      </c>
      <c r="C3600" s="1" t="n">
        <v>46046</v>
      </c>
      <c r="D3600" t="inlineStr">
        <is>
          <t>NORRBOTTENS LÄN</t>
        </is>
      </c>
      <c r="E3600" t="inlineStr">
        <is>
          <t>ÖVERTORNEÅ</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8283-2025</t>
        </is>
      </c>
      <c r="B3601" s="1" t="n">
        <v>45708.56344907408</v>
      </c>
      <c r="C3601" s="1" t="n">
        <v>46046</v>
      </c>
      <c r="D3601" t="inlineStr">
        <is>
          <t>NORRBOTTENS LÄN</t>
        </is>
      </c>
      <c r="E3601" t="inlineStr">
        <is>
          <t>KALIX</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8292-2025</t>
        </is>
      </c>
      <c r="B3602" s="1" t="n">
        <v>45708.57732638889</v>
      </c>
      <c r="C3602" s="1" t="n">
        <v>46046</v>
      </c>
      <c r="D3602" t="inlineStr">
        <is>
          <t>NORRBOTTENS LÄN</t>
        </is>
      </c>
      <c r="E3602" t="inlineStr">
        <is>
          <t>KALIX</t>
        </is>
      </c>
      <c r="G3602" t="n">
        <v>11.9</v>
      </c>
      <c r="H3602" t="n">
        <v>0</v>
      </c>
      <c r="I3602" t="n">
        <v>0</v>
      </c>
      <c r="J3602" t="n">
        <v>0</v>
      </c>
      <c r="K3602" t="n">
        <v>0</v>
      </c>
      <c r="L3602" t="n">
        <v>0</v>
      </c>
      <c r="M3602" t="n">
        <v>0</v>
      </c>
      <c r="N3602" t="n">
        <v>0</v>
      </c>
      <c r="O3602" t="n">
        <v>0</v>
      </c>
      <c r="P3602" t="n">
        <v>0</v>
      </c>
      <c r="Q3602" t="n">
        <v>0</v>
      </c>
      <c r="R3602" s="2" t="inlineStr"/>
    </row>
    <row r="3603" ht="15" customHeight="1">
      <c r="A3603" t="inlineStr">
        <is>
          <t>A 50080-2024</t>
        </is>
      </c>
      <c r="B3603" s="1" t="n">
        <v>45600</v>
      </c>
      <c r="C3603" s="1" t="n">
        <v>46046</v>
      </c>
      <c r="D3603" t="inlineStr">
        <is>
          <t>NORRBOTTENS LÄN</t>
        </is>
      </c>
      <c r="E3603" t="inlineStr">
        <is>
          <t>PITEÅ</t>
        </is>
      </c>
      <c r="F3603" t="inlineStr">
        <is>
          <t>Sveaskog</t>
        </is>
      </c>
      <c r="G3603" t="n">
        <v>8.800000000000001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50095-2024</t>
        </is>
      </c>
      <c r="B3604" s="1" t="n">
        <v>45600</v>
      </c>
      <c r="C3604" s="1" t="n">
        <v>46046</v>
      </c>
      <c r="D3604" t="inlineStr">
        <is>
          <t>NORRBOTTENS LÄN</t>
        </is>
      </c>
      <c r="E3604" t="inlineStr">
        <is>
          <t>GÄLLIVARE</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29375-2025</t>
        </is>
      </c>
      <c r="B3605" s="1" t="n">
        <v>45824.58546296296</v>
      </c>
      <c r="C3605" s="1" t="n">
        <v>46046</v>
      </c>
      <c r="D3605" t="inlineStr">
        <is>
          <t>NORRBOTTENS LÄN</t>
        </is>
      </c>
      <c r="E3605" t="inlineStr">
        <is>
          <t>LULEÅ</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49904-2024</t>
        </is>
      </c>
      <c r="B3606" s="1" t="n">
        <v>45597.54983796296</v>
      </c>
      <c r="C3606" s="1" t="n">
        <v>46046</v>
      </c>
      <c r="D3606" t="inlineStr">
        <is>
          <t>NORRBOTTENS LÄN</t>
        </is>
      </c>
      <c r="E3606" t="inlineStr">
        <is>
          <t>HAPARANDA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20114-2025</t>
        </is>
      </c>
      <c r="B3607" s="1" t="n">
        <v>45772.48039351852</v>
      </c>
      <c r="C3607" s="1" t="n">
        <v>46046</v>
      </c>
      <c r="D3607" t="inlineStr">
        <is>
          <t>NORRBOTTENS LÄN</t>
        </is>
      </c>
      <c r="E3607" t="inlineStr">
        <is>
          <t>KALIX</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5776-2025</t>
        </is>
      </c>
      <c r="B3608" s="1" t="n">
        <v>45694</v>
      </c>
      <c r="C3608" s="1" t="n">
        <v>46046</v>
      </c>
      <c r="D3608" t="inlineStr">
        <is>
          <t>NORRBOTTENS LÄN</t>
        </is>
      </c>
      <c r="E3608" t="inlineStr">
        <is>
          <t>GÄLLIVARE</t>
        </is>
      </c>
      <c r="F3608" t="inlineStr">
        <is>
          <t>SCA</t>
        </is>
      </c>
      <c r="G3608" t="n">
        <v>14.5</v>
      </c>
      <c r="H3608" t="n">
        <v>0</v>
      </c>
      <c r="I3608" t="n">
        <v>0</v>
      </c>
      <c r="J3608" t="n">
        <v>0</v>
      </c>
      <c r="K3608" t="n">
        <v>0</v>
      </c>
      <c r="L3608" t="n">
        <v>0</v>
      </c>
      <c r="M3608" t="n">
        <v>0</v>
      </c>
      <c r="N3608" t="n">
        <v>0</v>
      </c>
      <c r="O3608" t="n">
        <v>0</v>
      </c>
      <c r="P3608" t="n">
        <v>0</v>
      </c>
      <c r="Q3608" t="n">
        <v>0</v>
      </c>
      <c r="R3608" s="2" t="inlineStr"/>
    </row>
    <row r="3609" ht="15" customHeight="1">
      <c r="A3609" t="inlineStr">
        <is>
          <t>A 7168-2025</t>
        </is>
      </c>
      <c r="B3609" s="1" t="n">
        <v>45702.40306712963</v>
      </c>
      <c r="C3609" s="1" t="n">
        <v>46046</v>
      </c>
      <c r="D3609" t="inlineStr">
        <is>
          <t>NORRBOTTENS LÄN</t>
        </is>
      </c>
      <c r="E3609" t="inlineStr">
        <is>
          <t>LULEÅ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4136-2024</t>
        </is>
      </c>
      <c r="B3610" s="1" t="n">
        <v>45323</v>
      </c>
      <c r="C3610" s="1" t="n">
        <v>46046</v>
      </c>
      <c r="D3610" t="inlineStr">
        <is>
          <t>NORRBOTTENS LÄN</t>
        </is>
      </c>
      <c r="E3610" t="inlineStr">
        <is>
          <t>JOKKMOKK</t>
        </is>
      </c>
      <c r="G3610" t="n">
        <v>27.3</v>
      </c>
      <c r="H3610" t="n">
        <v>0</v>
      </c>
      <c r="I3610" t="n">
        <v>0</v>
      </c>
      <c r="J3610" t="n">
        <v>0</v>
      </c>
      <c r="K3610" t="n">
        <v>0</v>
      </c>
      <c r="L3610" t="n">
        <v>0</v>
      </c>
      <c r="M3610" t="n">
        <v>0</v>
      </c>
      <c r="N3610" t="n">
        <v>0</v>
      </c>
      <c r="O3610" t="n">
        <v>0</v>
      </c>
      <c r="P3610" t="n">
        <v>0</v>
      </c>
      <c r="Q3610" t="n">
        <v>0</v>
      </c>
      <c r="R3610" s="2" t="inlineStr"/>
    </row>
    <row r="3611" ht="15" customHeight="1">
      <c r="A3611" t="inlineStr">
        <is>
          <t>A 36090-2023</t>
        </is>
      </c>
      <c r="B3611" s="1" t="n">
        <v>45149</v>
      </c>
      <c r="C3611" s="1" t="n">
        <v>46046</v>
      </c>
      <c r="D3611" t="inlineStr">
        <is>
          <t>NORRBOTTENS LÄN</t>
        </is>
      </c>
      <c r="E3611" t="inlineStr">
        <is>
          <t>ARVIDSJAUR</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29655-2025</t>
        </is>
      </c>
      <c r="B3612" s="1" t="n">
        <v>45825.4837962963</v>
      </c>
      <c r="C3612" s="1" t="n">
        <v>46046</v>
      </c>
      <c r="D3612" t="inlineStr">
        <is>
          <t>NORRBOTTENS LÄN</t>
        </is>
      </c>
      <c r="E3612" t="inlineStr">
        <is>
          <t>KALIX</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30035-2025</t>
        </is>
      </c>
      <c r="B3613" s="1" t="n">
        <v>45826.57041666667</v>
      </c>
      <c r="C3613" s="1" t="n">
        <v>46046</v>
      </c>
      <c r="D3613" t="inlineStr">
        <is>
          <t>NORRBOTTENS LÄN</t>
        </is>
      </c>
      <c r="E3613" t="inlineStr">
        <is>
          <t>LULEÅ</t>
        </is>
      </c>
      <c r="G3613" t="n">
        <v>16.6</v>
      </c>
      <c r="H3613" t="n">
        <v>0</v>
      </c>
      <c r="I3613" t="n">
        <v>0</v>
      </c>
      <c r="J3613" t="n">
        <v>0</v>
      </c>
      <c r="K3613" t="n">
        <v>0</v>
      </c>
      <c r="L3613" t="n">
        <v>0</v>
      </c>
      <c r="M3613" t="n">
        <v>0</v>
      </c>
      <c r="N3613" t="n">
        <v>0</v>
      </c>
      <c r="O3613" t="n">
        <v>0</v>
      </c>
      <c r="P3613" t="n">
        <v>0</v>
      </c>
      <c r="Q3613" t="n">
        <v>0</v>
      </c>
      <c r="R3613" s="2" t="inlineStr"/>
    </row>
    <row r="3614" ht="15" customHeight="1">
      <c r="A3614" t="inlineStr">
        <is>
          <t>A 13568-2022</t>
        </is>
      </c>
      <c r="B3614" s="1" t="n">
        <v>44648</v>
      </c>
      <c r="C3614" s="1" t="n">
        <v>46046</v>
      </c>
      <c r="D3614" t="inlineStr">
        <is>
          <t>NORRBOTTENS LÄN</t>
        </is>
      </c>
      <c r="E3614" t="inlineStr">
        <is>
          <t>BODEN</t>
        </is>
      </c>
      <c r="F3614" t="inlineStr">
        <is>
          <t>Sveaskog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47239-2023</t>
        </is>
      </c>
      <c r="B3615" s="1" t="n">
        <v>45196</v>
      </c>
      <c r="C3615" s="1" t="n">
        <v>46046</v>
      </c>
      <c r="D3615" t="inlineStr">
        <is>
          <t>NORRBOTTENS LÄN</t>
        </is>
      </c>
      <c r="E3615" t="inlineStr">
        <is>
          <t>GÄLLIVARE</t>
        </is>
      </c>
      <c r="F3615" t="inlineStr">
        <is>
          <t>Övriga statliga verk och myndigheter</t>
        </is>
      </c>
      <c r="G3615" t="n">
        <v>28.1</v>
      </c>
      <c r="H3615" t="n">
        <v>0</v>
      </c>
      <c r="I3615" t="n">
        <v>0</v>
      </c>
      <c r="J3615" t="n">
        <v>0</v>
      </c>
      <c r="K3615" t="n">
        <v>0</v>
      </c>
      <c r="L3615" t="n">
        <v>0</v>
      </c>
      <c r="M3615" t="n">
        <v>0</v>
      </c>
      <c r="N3615" t="n">
        <v>0</v>
      </c>
      <c r="O3615" t="n">
        <v>0</v>
      </c>
      <c r="P3615" t="n">
        <v>0</v>
      </c>
      <c r="Q3615" t="n">
        <v>0</v>
      </c>
      <c r="R3615" s="2" t="inlineStr"/>
    </row>
    <row r="3616" ht="15" customHeight="1">
      <c r="A3616" t="inlineStr">
        <is>
          <t>A 30356-2025</t>
        </is>
      </c>
      <c r="B3616" s="1" t="n">
        <v>45827</v>
      </c>
      <c r="C3616" s="1" t="n">
        <v>46046</v>
      </c>
      <c r="D3616" t="inlineStr">
        <is>
          <t>NORRBOTTENS LÄN</t>
        </is>
      </c>
      <c r="E3616" t="inlineStr">
        <is>
          <t>BODEN</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30360-2025</t>
        </is>
      </c>
      <c r="B3617" s="1" t="n">
        <v>45827</v>
      </c>
      <c r="C3617" s="1" t="n">
        <v>46046</v>
      </c>
      <c r="D3617" t="inlineStr">
        <is>
          <t>NORRBOTTENS LÄN</t>
        </is>
      </c>
      <c r="E3617" t="inlineStr">
        <is>
          <t>BODEN</t>
        </is>
      </c>
      <c r="F3617" t="inlineStr">
        <is>
          <t>Sveaskog</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31355-2024</t>
        </is>
      </c>
      <c r="B3618" s="1" t="n">
        <v>45505</v>
      </c>
      <c r="C3618" s="1" t="n">
        <v>46046</v>
      </c>
      <c r="D3618" t="inlineStr">
        <is>
          <t>NORRBOTTENS LÄN</t>
        </is>
      </c>
      <c r="E3618" t="inlineStr">
        <is>
          <t>PAJALA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59919-2024</t>
        </is>
      </c>
      <c r="B3619" s="1" t="n">
        <v>45641.89665509259</v>
      </c>
      <c r="C3619" s="1" t="n">
        <v>46046</v>
      </c>
      <c r="D3619" t="inlineStr">
        <is>
          <t>NORRBOTTENS LÄN</t>
        </is>
      </c>
      <c r="E3619" t="inlineStr">
        <is>
          <t>PITEÅ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15365-2025</t>
        </is>
      </c>
      <c r="B3620" s="1" t="n">
        <v>45747.39802083333</v>
      </c>
      <c r="C3620" s="1" t="n">
        <v>46046</v>
      </c>
      <c r="D3620" t="inlineStr">
        <is>
          <t>NORRBOTTENS LÄN</t>
        </is>
      </c>
      <c r="E3620" t="inlineStr">
        <is>
          <t>ÖVERKALIX</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59969-2024</t>
        </is>
      </c>
      <c r="B3621" s="1" t="n">
        <v>45642.36207175926</v>
      </c>
      <c r="C3621" s="1" t="n">
        <v>46046</v>
      </c>
      <c r="D3621" t="inlineStr">
        <is>
          <t>NORRBOTTENS LÄN</t>
        </is>
      </c>
      <c r="E3621" t="inlineStr">
        <is>
          <t>PITEÅ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30099-2025</t>
        </is>
      </c>
      <c r="B3622" s="1" t="n">
        <v>45826.67755787037</v>
      </c>
      <c r="C3622" s="1" t="n">
        <v>46046</v>
      </c>
      <c r="D3622" t="inlineStr">
        <is>
          <t>NORRBOTTENS LÄN</t>
        </is>
      </c>
      <c r="E3622" t="inlineStr">
        <is>
          <t>ÖVERKALIX</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37821-2023</t>
        </is>
      </c>
      <c r="B3623" s="1" t="n">
        <v>45160.30193287037</v>
      </c>
      <c r="C3623" s="1" t="n">
        <v>46046</v>
      </c>
      <c r="D3623" t="inlineStr">
        <is>
          <t>NORRBOTTENS LÄN</t>
        </is>
      </c>
      <c r="E3623" t="inlineStr">
        <is>
          <t>PITEÅ</t>
        </is>
      </c>
      <c r="F3623" t="inlineStr">
        <is>
          <t>Sveaskog</t>
        </is>
      </c>
      <c r="G3623" t="n">
        <v>15.7</v>
      </c>
      <c r="H3623" t="n">
        <v>0</v>
      </c>
      <c r="I3623" t="n">
        <v>0</v>
      </c>
      <c r="J3623" t="n">
        <v>0</v>
      </c>
      <c r="K3623" t="n">
        <v>0</v>
      </c>
      <c r="L3623" t="n">
        <v>0</v>
      </c>
      <c r="M3623" t="n">
        <v>0</v>
      </c>
      <c r="N3623" t="n">
        <v>0</v>
      </c>
      <c r="O3623" t="n">
        <v>0</v>
      </c>
      <c r="P3623" t="n">
        <v>0</v>
      </c>
      <c r="Q3623" t="n">
        <v>0</v>
      </c>
      <c r="R3623" s="2" t="inlineStr"/>
    </row>
    <row r="3624" ht="15" customHeight="1">
      <c r="A3624" t="inlineStr">
        <is>
          <t>A 30164-2025</t>
        </is>
      </c>
      <c r="B3624" s="1" t="n">
        <v>45827.32819444445</v>
      </c>
      <c r="C3624" s="1" t="n">
        <v>46046</v>
      </c>
      <c r="D3624" t="inlineStr">
        <is>
          <t>NORRBOTTENS LÄN</t>
        </is>
      </c>
      <c r="E3624" t="inlineStr">
        <is>
          <t>KALIX</t>
        </is>
      </c>
      <c r="G3624" t="n">
        <v>26.1</v>
      </c>
      <c r="H3624" t="n">
        <v>0</v>
      </c>
      <c r="I3624" t="n">
        <v>0</v>
      </c>
      <c r="J3624" t="n">
        <v>0</v>
      </c>
      <c r="K3624" t="n">
        <v>0</v>
      </c>
      <c r="L3624" t="n">
        <v>0</v>
      </c>
      <c r="M3624" t="n">
        <v>0</v>
      </c>
      <c r="N3624" t="n">
        <v>0</v>
      </c>
      <c r="O3624" t="n">
        <v>0</v>
      </c>
      <c r="P3624" t="n">
        <v>0</v>
      </c>
      <c r="Q3624" t="n">
        <v>0</v>
      </c>
      <c r="R3624" s="2" t="inlineStr"/>
    </row>
    <row r="3625" ht="15" customHeight="1">
      <c r="A3625" t="inlineStr">
        <is>
          <t>A 30178-2025</t>
        </is>
      </c>
      <c r="B3625" s="1" t="n">
        <v>45827.34571759259</v>
      </c>
      <c r="C3625" s="1" t="n">
        <v>46046</v>
      </c>
      <c r="D3625" t="inlineStr">
        <is>
          <t>NORRBOTTENS LÄN</t>
        </is>
      </c>
      <c r="E3625" t="inlineStr">
        <is>
          <t>JOKKMOKK</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30091-2025</t>
        </is>
      </c>
      <c r="B3626" s="1" t="n">
        <v>45826</v>
      </c>
      <c r="C3626" s="1" t="n">
        <v>46046</v>
      </c>
      <c r="D3626" t="inlineStr">
        <is>
          <t>NORRBOTTENS LÄN</t>
        </is>
      </c>
      <c r="E3626" t="inlineStr">
        <is>
          <t>LULEÅ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15570-2024</t>
        </is>
      </c>
      <c r="B3627" s="1" t="n">
        <v>45401</v>
      </c>
      <c r="C3627" s="1" t="n">
        <v>46046</v>
      </c>
      <c r="D3627" t="inlineStr">
        <is>
          <t>NORRBOTTENS LÄN</t>
        </is>
      </c>
      <c r="E3627" t="inlineStr">
        <is>
          <t>PAJALA</t>
        </is>
      </c>
      <c r="F3627" t="inlineStr">
        <is>
          <t>Allmännings- och besparingsskogar</t>
        </is>
      </c>
      <c r="G3627" t="n">
        <v>22.1</v>
      </c>
      <c r="H3627" t="n">
        <v>0</v>
      </c>
      <c r="I3627" t="n">
        <v>0</v>
      </c>
      <c r="J3627" t="n">
        <v>0</v>
      </c>
      <c r="K3627" t="n">
        <v>0</v>
      </c>
      <c r="L3627" t="n">
        <v>0</v>
      </c>
      <c r="M3627" t="n">
        <v>0</v>
      </c>
      <c r="N3627" t="n">
        <v>0</v>
      </c>
      <c r="O3627" t="n">
        <v>0</v>
      </c>
      <c r="P3627" t="n">
        <v>0</v>
      </c>
      <c r="Q3627" t="n">
        <v>0</v>
      </c>
      <c r="R3627" s="2" t="inlineStr"/>
    </row>
    <row r="3628" ht="15" customHeight="1">
      <c r="A3628" t="inlineStr">
        <is>
          <t>A 29841-2025</t>
        </is>
      </c>
      <c r="B3628" s="1" t="n">
        <v>45826.30746527778</v>
      </c>
      <c r="C3628" s="1" t="n">
        <v>46046</v>
      </c>
      <c r="D3628" t="inlineStr">
        <is>
          <t>NORRBOTTENS LÄN</t>
        </is>
      </c>
      <c r="E3628" t="inlineStr">
        <is>
          <t>GÄLLIVARE</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28150-2024</t>
        </is>
      </c>
      <c r="B3629" s="1" t="n">
        <v>45476.76228009259</v>
      </c>
      <c r="C3629" s="1" t="n">
        <v>46046</v>
      </c>
      <c r="D3629" t="inlineStr">
        <is>
          <t>NORRBOTTENS LÄN</t>
        </is>
      </c>
      <c r="E3629" t="inlineStr">
        <is>
          <t>LULEÅ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33435-2023</t>
        </is>
      </c>
      <c r="B3630" s="1" t="n">
        <v>45129.43409722222</v>
      </c>
      <c r="C3630" s="1" t="n">
        <v>46046</v>
      </c>
      <c r="D3630" t="inlineStr">
        <is>
          <t>NORRBOTTENS LÄN</t>
        </is>
      </c>
      <c r="E3630" t="inlineStr">
        <is>
          <t>PITEÅ</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30262-2025</t>
        </is>
      </c>
      <c r="B3631" s="1" t="n">
        <v>45827.43032407408</v>
      </c>
      <c r="C3631" s="1" t="n">
        <v>46046</v>
      </c>
      <c r="D3631" t="inlineStr">
        <is>
          <t>NORRBOTTENS LÄN</t>
        </is>
      </c>
      <c r="E3631" t="inlineStr">
        <is>
          <t>PITEÅ</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52855-2024</t>
        </is>
      </c>
      <c r="B3632" s="1" t="n">
        <v>45610</v>
      </c>
      <c r="C3632" s="1" t="n">
        <v>46046</v>
      </c>
      <c r="D3632" t="inlineStr">
        <is>
          <t>NORRBOTTENS LÄN</t>
        </is>
      </c>
      <c r="E3632" t="inlineStr">
        <is>
          <t>JOKKMOKK</t>
        </is>
      </c>
      <c r="F3632" t="inlineStr">
        <is>
          <t>Allmännings- och besparingsskogar</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3656-2025</t>
        </is>
      </c>
      <c r="B3633" s="1" t="n">
        <v>45681</v>
      </c>
      <c r="C3633" s="1" t="n">
        <v>46046</v>
      </c>
      <c r="D3633" t="inlineStr">
        <is>
          <t>NORRBOTTENS LÄN</t>
        </is>
      </c>
      <c r="E3633" t="inlineStr">
        <is>
          <t>PITEÅ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30305-2025</t>
        </is>
      </c>
      <c r="B3634" s="1" t="n">
        <v>45827.48145833334</v>
      </c>
      <c r="C3634" s="1" t="n">
        <v>46046</v>
      </c>
      <c r="D3634" t="inlineStr">
        <is>
          <t>NORRBOTTENS LÄN</t>
        </is>
      </c>
      <c r="E3634" t="inlineStr">
        <is>
          <t>GÄLLIVARE</t>
        </is>
      </c>
      <c r="F3634" t="inlineStr">
        <is>
          <t>Sveaskog</t>
        </is>
      </c>
      <c r="G3634" t="n">
        <v>33.6</v>
      </c>
      <c r="H3634" t="n">
        <v>0</v>
      </c>
      <c r="I3634" t="n">
        <v>0</v>
      </c>
      <c r="J3634" t="n">
        <v>0</v>
      </c>
      <c r="K3634" t="n">
        <v>0</v>
      </c>
      <c r="L3634" t="n">
        <v>0</v>
      </c>
      <c r="M3634" t="n">
        <v>0</v>
      </c>
      <c r="N3634" t="n">
        <v>0</v>
      </c>
      <c r="O3634" t="n">
        <v>0</v>
      </c>
      <c r="P3634" t="n">
        <v>0</v>
      </c>
      <c r="Q3634" t="n">
        <v>0</v>
      </c>
      <c r="R3634" s="2" t="inlineStr"/>
    </row>
    <row r="3635" ht="15" customHeight="1">
      <c r="A3635" t="inlineStr">
        <is>
          <t>A 29896-2025</t>
        </is>
      </c>
      <c r="B3635" s="1" t="n">
        <v>45826.38290509259</v>
      </c>
      <c r="C3635" s="1" t="n">
        <v>46046</v>
      </c>
      <c r="D3635" t="inlineStr">
        <is>
          <t>NORRBOTTENS LÄN</t>
        </is>
      </c>
      <c r="E3635" t="inlineStr">
        <is>
          <t>LULEÅ</t>
        </is>
      </c>
      <c r="G3635" t="n">
        <v>17.9</v>
      </c>
      <c r="H3635" t="n">
        <v>0</v>
      </c>
      <c r="I3635" t="n">
        <v>0</v>
      </c>
      <c r="J3635" t="n">
        <v>0</v>
      </c>
      <c r="K3635" t="n">
        <v>0</v>
      </c>
      <c r="L3635" t="n">
        <v>0</v>
      </c>
      <c r="M3635" t="n">
        <v>0</v>
      </c>
      <c r="N3635" t="n">
        <v>0</v>
      </c>
      <c r="O3635" t="n">
        <v>0</v>
      </c>
      <c r="P3635" t="n">
        <v>0</v>
      </c>
      <c r="Q3635" t="n">
        <v>0</v>
      </c>
      <c r="R3635" s="2" t="inlineStr"/>
    </row>
    <row r="3636" ht="15" customHeight="1">
      <c r="A3636" t="inlineStr">
        <is>
          <t>A 30241-2025</t>
        </is>
      </c>
      <c r="B3636" s="1" t="n">
        <v>45827.40512731481</v>
      </c>
      <c r="C3636" s="1" t="n">
        <v>46046</v>
      </c>
      <c r="D3636" t="inlineStr">
        <is>
          <t>NORRBOTTENS LÄN</t>
        </is>
      </c>
      <c r="E3636" t="inlineStr">
        <is>
          <t>LULEÅ</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57442-2022</t>
        </is>
      </c>
      <c r="B3637" s="1" t="n">
        <v>44896</v>
      </c>
      <c r="C3637" s="1" t="n">
        <v>46046</v>
      </c>
      <c r="D3637" t="inlineStr">
        <is>
          <t>NORRBOTTENS LÄN</t>
        </is>
      </c>
      <c r="E3637" t="inlineStr">
        <is>
          <t>GÄLLIVARE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30383-2025</t>
        </is>
      </c>
      <c r="B3638" s="1" t="n">
        <v>45827.57081018519</v>
      </c>
      <c r="C3638" s="1" t="n">
        <v>46046</v>
      </c>
      <c r="D3638" t="inlineStr">
        <is>
          <t>NORRBOTTENS LÄN</t>
        </is>
      </c>
      <c r="E3638" t="inlineStr">
        <is>
          <t>ARVIDSJAUR</t>
        </is>
      </c>
      <c r="G3638" t="n">
        <v>20</v>
      </c>
      <c r="H3638" t="n">
        <v>0</v>
      </c>
      <c r="I3638" t="n">
        <v>0</v>
      </c>
      <c r="J3638" t="n">
        <v>0</v>
      </c>
      <c r="K3638" t="n">
        <v>0</v>
      </c>
      <c r="L3638" t="n">
        <v>0</v>
      </c>
      <c r="M3638" t="n">
        <v>0</v>
      </c>
      <c r="N3638" t="n">
        <v>0</v>
      </c>
      <c r="O3638" t="n">
        <v>0</v>
      </c>
      <c r="P3638" t="n">
        <v>0</v>
      </c>
      <c r="Q3638" t="n">
        <v>0</v>
      </c>
      <c r="R3638" s="2" t="inlineStr"/>
    </row>
    <row r="3639" ht="15" customHeight="1">
      <c r="A3639" t="inlineStr">
        <is>
          <t>A 48656-2024</t>
        </is>
      </c>
      <c r="B3639" s="1" t="n">
        <v>45593.48490740741</v>
      </c>
      <c r="C3639" s="1" t="n">
        <v>46046</v>
      </c>
      <c r="D3639" t="inlineStr">
        <is>
          <t>NORRBOTTENS LÄN</t>
        </is>
      </c>
      <c r="E3639" t="inlineStr">
        <is>
          <t>PAJALA</t>
        </is>
      </c>
      <c r="G3639" t="n">
        <v>12.7</v>
      </c>
      <c r="H3639" t="n">
        <v>0</v>
      </c>
      <c r="I3639" t="n">
        <v>0</v>
      </c>
      <c r="J3639" t="n">
        <v>0</v>
      </c>
      <c r="K3639" t="n">
        <v>0</v>
      </c>
      <c r="L3639" t="n">
        <v>0</v>
      </c>
      <c r="M3639" t="n">
        <v>0</v>
      </c>
      <c r="N3639" t="n">
        <v>0</v>
      </c>
      <c r="O3639" t="n">
        <v>0</v>
      </c>
      <c r="P3639" t="n">
        <v>0</v>
      </c>
      <c r="Q3639" t="n">
        <v>0</v>
      </c>
      <c r="R3639" s="2" t="inlineStr"/>
    </row>
    <row r="3640" ht="15" customHeight="1">
      <c r="A3640" t="inlineStr">
        <is>
          <t>A 59232-2024</t>
        </is>
      </c>
      <c r="B3640" s="1" t="n">
        <v>45637</v>
      </c>
      <c r="C3640" s="1" t="n">
        <v>46046</v>
      </c>
      <c r="D3640" t="inlineStr">
        <is>
          <t>NORRBOTTENS LÄN</t>
        </is>
      </c>
      <c r="E3640" t="inlineStr">
        <is>
          <t>GÄLLIVARE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30372-2025</t>
        </is>
      </c>
      <c r="B3641" s="1" t="n">
        <v>45827.56185185185</v>
      </c>
      <c r="C3641" s="1" t="n">
        <v>46046</v>
      </c>
      <c r="D3641" t="inlineStr">
        <is>
          <t>NORRBOTTENS LÄN</t>
        </is>
      </c>
      <c r="E3641" t="inlineStr">
        <is>
          <t>PAJALA</t>
        </is>
      </c>
      <c r="F3641" t="inlineStr">
        <is>
          <t>Sveaskog</t>
        </is>
      </c>
      <c r="G3641" t="n">
        <v>32.2</v>
      </c>
      <c r="H3641" t="n">
        <v>0</v>
      </c>
      <c r="I3641" t="n">
        <v>0</v>
      </c>
      <c r="J3641" t="n">
        <v>0</v>
      </c>
      <c r="K3641" t="n">
        <v>0</v>
      </c>
      <c r="L3641" t="n">
        <v>0</v>
      </c>
      <c r="M3641" t="n">
        <v>0</v>
      </c>
      <c r="N3641" t="n">
        <v>0</v>
      </c>
      <c r="O3641" t="n">
        <v>0</v>
      </c>
      <c r="P3641" t="n">
        <v>0</v>
      </c>
      <c r="Q3641" t="n">
        <v>0</v>
      </c>
      <c r="R3641" s="2" t="inlineStr"/>
    </row>
    <row r="3642" ht="15" customHeight="1">
      <c r="A3642" t="inlineStr">
        <is>
          <t>A 41872-2021</t>
        </is>
      </c>
      <c r="B3642" s="1" t="n">
        <v>44426</v>
      </c>
      <c r="C3642" s="1" t="n">
        <v>46046</v>
      </c>
      <c r="D3642" t="inlineStr">
        <is>
          <t>NORRBOTTENS LÄN</t>
        </is>
      </c>
      <c r="E3642" t="inlineStr">
        <is>
          <t>ARVIDSJAUR</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6454-2025</t>
        </is>
      </c>
      <c r="B3643" s="1" t="n">
        <v>45699.55261574074</v>
      </c>
      <c r="C3643" s="1" t="n">
        <v>46046</v>
      </c>
      <c r="D3643" t="inlineStr">
        <is>
          <t>NORRBOTTENS LÄN</t>
        </is>
      </c>
      <c r="E3643" t="inlineStr">
        <is>
          <t>ÖVERKALIX</t>
        </is>
      </c>
      <c r="F3643" t="inlineStr">
        <is>
          <t>SCA</t>
        </is>
      </c>
      <c r="G3643" t="n">
        <v>28.8</v>
      </c>
      <c r="H3643" t="n">
        <v>0</v>
      </c>
      <c r="I3643" t="n">
        <v>0</v>
      </c>
      <c r="J3643" t="n">
        <v>0</v>
      </c>
      <c r="K3643" t="n">
        <v>0</v>
      </c>
      <c r="L3643" t="n">
        <v>0</v>
      </c>
      <c r="M3643" t="n">
        <v>0</v>
      </c>
      <c r="N3643" t="n">
        <v>0</v>
      </c>
      <c r="O3643" t="n">
        <v>0</v>
      </c>
      <c r="P3643" t="n">
        <v>0</v>
      </c>
      <c r="Q3643" t="n">
        <v>0</v>
      </c>
      <c r="R3643" s="2" t="inlineStr"/>
    </row>
    <row r="3644" ht="15" customHeight="1">
      <c r="A3644" t="inlineStr">
        <is>
          <t>A 27657-2024</t>
        </is>
      </c>
      <c r="B3644" s="1" t="n">
        <v>45474.95196759259</v>
      </c>
      <c r="C3644" s="1" t="n">
        <v>46046</v>
      </c>
      <c r="D3644" t="inlineStr">
        <is>
          <t>NORRBOTTENS LÄN</t>
        </is>
      </c>
      <c r="E3644" t="inlineStr">
        <is>
          <t>JOKKMOKK</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27658-2024</t>
        </is>
      </c>
      <c r="B3645" s="1" t="n">
        <v>45474.95246527778</v>
      </c>
      <c r="C3645" s="1" t="n">
        <v>46046</v>
      </c>
      <c r="D3645" t="inlineStr">
        <is>
          <t>NORRBOTTENS LÄN</t>
        </is>
      </c>
      <c r="E3645" t="inlineStr">
        <is>
          <t>JOKKMOKK</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54153-2023</t>
        </is>
      </c>
      <c r="B3646" s="1" t="n">
        <v>45232</v>
      </c>
      <c r="C3646" s="1" t="n">
        <v>46046</v>
      </c>
      <c r="D3646" t="inlineStr">
        <is>
          <t>NORRBOTTENS LÄN</t>
        </is>
      </c>
      <c r="E3646" t="inlineStr">
        <is>
          <t>BODEN</t>
        </is>
      </c>
      <c r="F3646" t="inlineStr">
        <is>
          <t>Sveaskog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37703-2024</t>
        </is>
      </c>
      <c r="B3647" s="1" t="n">
        <v>45541</v>
      </c>
      <c r="C3647" s="1" t="n">
        <v>46046</v>
      </c>
      <c r="D3647" t="inlineStr">
        <is>
          <t>NORRBOTTENS LÄN</t>
        </is>
      </c>
      <c r="E3647" t="inlineStr">
        <is>
          <t>PITEÅ</t>
        </is>
      </c>
      <c r="G3647" t="n">
        <v>14.1</v>
      </c>
      <c r="H3647" t="n">
        <v>0</v>
      </c>
      <c r="I3647" t="n">
        <v>0</v>
      </c>
      <c r="J3647" t="n">
        <v>0</v>
      </c>
      <c r="K3647" t="n">
        <v>0</v>
      </c>
      <c r="L3647" t="n">
        <v>0</v>
      </c>
      <c r="M3647" t="n">
        <v>0</v>
      </c>
      <c r="N3647" t="n">
        <v>0</v>
      </c>
      <c r="O3647" t="n">
        <v>0</v>
      </c>
      <c r="P3647" t="n">
        <v>0</v>
      </c>
      <c r="Q3647" t="n">
        <v>0</v>
      </c>
      <c r="R3647" s="2" t="inlineStr"/>
    </row>
    <row r="3648" ht="15" customHeight="1">
      <c r="A3648" t="inlineStr">
        <is>
          <t>A 30030-2025</t>
        </is>
      </c>
      <c r="B3648" s="1" t="n">
        <v>45826.56829861111</v>
      </c>
      <c r="C3648" s="1" t="n">
        <v>46046</v>
      </c>
      <c r="D3648" t="inlineStr">
        <is>
          <t>NORRBOTTENS LÄN</t>
        </is>
      </c>
      <c r="E3648" t="inlineStr">
        <is>
          <t>GÄLLIVARE</t>
        </is>
      </c>
      <c r="F3648" t="inlineStr">
        <is>
          <t>Sveaskog</t>
        </is>
      </c>
      <c r="G3648" t="n">
        <v>17.4</v>
      </c>
      <c r="H3648" t="n">
        <v>0</v>
      </c>
      <c r="I3648" t="n">
        <v>0</v>
      </c>
      <c r="J3648" t="n">
        <v>0</v>
      </c>
      <c r="K3648" t="n">
        <v>0</v>
      </c>
      <c r="L3648" t="n">
        <v>0</v>
      </c>
      <c r="M3648" t="n">
        <v>0</v>
      </c>
      <c r="N3648" t="n">
        <v>0</v>
      </c>
      <c r="O3648" t="n">
        <v>0</v>
      </c>
      <c r="P3648" t="n">
        <v>0</v>
      </c>
      <c r="Q3648" t="n">
        <v>0</v>
      </c>
      <c r="R3648" s="2" t="inlineStr"/>
    </row>
    <row r="3649" ht="15" customHeight="1">
      <c r="A3649" t="inlineStr">
        <is>
          <t>A 30038-2025</t>
        </is>
      </c>
      <c r="B3649" s="1" t="n">
        <v>45826.57212962963</v>
      </c>
      <c r="C3649" s="1" t="n">
        <v>46046</v>
      </c>
      <c r="D3649" t="inlineStr">
        <is>
          <t>NORRBOTTENS LÄN</t>
        </is>
      </c>
      <c r="E3649" t="inlineStr">
        <is>
          <t>ÖVERKALIX</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30059-2025</t>
        </is>
      </c>
      <c r="B3650" s="1" t="n">
        <v>45826.61388888889</v>
      </c>
      <c r="C3650" s="1" t="n">
        <v>46046</v>
      </c>
      <c r="D3650" t="inlineStr">
        <is>
          <t>NORRBOTTENS LÄN</t>
        </is>
      </c>
      <c r="E3650" t="inlineStr">
        <is>
          <t>LULEÅ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30065-2025</t>
        </is>
      </c>
      <c r="B3651" s="1" t="n">
        <v>45826.6207175926</v>
      </c>
      <c r="C3651" s="1" t="n">
        <v>46046</v>
      </c>
      <c r="D3651" t="inlineStr">
        <is>
          <t>NORRBOTTENS LÄN</t>
        </is>
      </c>
      <c r="E3651" t="inlineStr">
        <is>
          <t>LULEÅ</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30080-2025</t>
        </is>
      </c>
      <c r="B3652" s="1" t="n">
        <v>45826.65047453704</v>
      </c>
      <c r="C3652" s="1" t="n">
        <v>46046</v>
      </c>
      <c r="D3652" t="inlineStr">
        <is>
          <t>NORRBOTTENS LÄN</t>
        </is>
      </c>
      <c r="E3652" t="inlineStr">
        <is>
          <t>LULEÅ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30373-2025</t>
        </is>
      </c>
      <c r="B3653" s="1" t="n">
        <v>45827.56239583333</v>
      </c>
      <c r="C3653" s="1" t="n">
        <v>46046</v>
      </c>
      <c r="D3653" t="inlineStr">
        <is>
          <t>NORRBOTTENS LÄN</t>
        </is>
      </c>
      <c r="E3653" t="inlineStr">
        <is>
          <t>PITEÅ</t>
        </is>
      </c>
      <c r="F3653" t="inlineStr">
        <is>
          <t>Övriga Aktiebolag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62696-2023</t>
        </is>
      </c>
      <c r="B3654" s="1" t="n">
        <v>45271</v>
      </c>
      <c r="C3654" s="1" t="n">
        <v>46046</v>
      </c>
      <c r="D3654" t="inlineStr">
        <is>
          <t>NORRBOTTENS LÄN</t>
        </is>
      </c>
      <c r="E3654" t="inlineStr">
        <is>
          <t>ÄLVSBYN</t>
        </is>
      </c>
      <c r="F3654" t="inlineStr">
        <is>
          <t>Övriga Aktiebolag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45302-2024</t>
        </is>
      </c>
      <c r="B3655" s="1" t="n">
        <v>45576</v>
      </c>
      <c r="C3655" s="1" t="n">
        <v>46046</v>
      </c>
      <c r="D3655" t="inlineStr">
        <is>
          <t>NORRBOTTENS LÄN</t>
        </is>
      </c>
      <c r="E3655" t="inlineStr">
        <is>
          <t>ÄLVSBYN</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29951-2025</t>
        </is>
      </c>
      <c r="B3656" s="1" t="n">
        <v>45826.46918981482</v>
      </c>
      <c r="C3656" s="1" t="n">
        <v>46046</v>
      </c>
      <c r="D3656" t="inlineStr">
        <is>
          <t>NORRBOTTENS LÄN</t>
        </is>
      </c>
      <c r="E3656" t="inlineStr">
        <is>
          <t>BODEN</t>
        </is>
      </c>
      <c r="F3656" t="inlineStr">
        <is>
          <t>SCA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30245-2025</t>
        </is>
      </c>
      <c r="B3657" s="1" t="n">
        <v>45827.4106712963</v>
      </c>
      <c r="C3657" s="1" t="n">
        <v>46046</v>
      </c>
      <c r="D3657" t="inlineStr">
        <is>
          <t>NORRBOTTENS LÄN</t>
        </is>
      </c>
      <c r="E3657" t="inlineStr">
        <is>
          <t>LULEÅ</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63850-2023</t>
        </is>
      </c>
      <c r="B3658" s="1" t="n">
        <v>45278.48112268518</v>
      </c>
      <c r="C3658" s="1" t="n">
        <v>46046</v>
      </c>
      <c r="D3658" t="inlineStr">
        <is>
          <t>NORRBOTTENS LÄN</t>
        </is>
      </c>
      <c r="E3658" t="inlineStr">
        <is>
          <t>HAPARANDA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63875-2023</t>
        </is>
      </c>
      <c r="B3659" s="1" t="n">
        <v>45278.52131944444</v>
      </c>
      <c r="C3659" s="1" t="n">
        <v>46046</v>
      </c>
      <c r="D3659" t="inlineStr">
        <is>
          <t>NORRBOTTENS LÄN</t>
        </is>
      </c>
      <c r="E3659" t="inlineStr">
        <is>
          <t>PITEÅ</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27681-2023</t>
        </is>
      </c>
      <c r="B3660" s="1" t="n">
        <v>45097</v>
      </c>
      <c r="C3660" s="1" t="n">
        <v>46046</v>
      </c>
      <c r="D3660" t="inlineStr">
        <is>
          <t>NORRBOTTENS LÄN</t>
        </is>
      </c>
      <c r="E3660" t="inlineStr">
        <is>
          <t>ÖVERKALIX</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8026-2023</t>
        </is>
      </c>
      <c r="B3661" s="1" t="n">
        <v>44973.94396990741</v>
      </c>
      <c r="C3661" s="1" t="n">
        <v>46046</v>
      </c>
      <c r="D3661" t="inlineStr">
        <is>
          <t>NORRBOTTENS LÄN</t>
        </is>
      </c>
      <c r="E3661" t="inlineStr">
        <is>
          <t>ÖVERKALIX</t>
        </is>
      </c>
      <c r="F3661" t="inlineStr">
        <is>
          <t>SCA</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47730-2024</t>
        </is>
      </c>
      <c r="B3662" s="1" t="n">
        <v>45588</v>
      </c>
      <c r="C3662" s="1" t="n">
        <v>46046</v>
      </c>
      <c r="D3662" t="inlineStr">
        <is>
          <t>NORRBOTTENS LÄN</t>
        </is>
      </c>
      <c r="E3662" t="inlineStr">
        <is>
          <t>KIRUNA</t>
        </is>
      </c>
      <c r="F3662" t="inlineStr">
        <is>
          <t>Allmännings- och besparingsskogar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47734-2024</t>
        </is>
      </c>
      <c r="B3663" s="1" t="n">
        <v>45588.51136574074</v>
      </c>
      <c r="C3663" s="1" t="n">
        <v>46046</v>
      </c>
      <c r="D3663" t="inlineStr">
        <is>
          <t>NORRBOTTENS LÄN</t>
        </is>
      </c>
      <c r="E3663" t="inlineStr">
        <is>
          <t>ÖVERKALIX</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27689-2023</t>
        </is>
      </c>
      <c r="B3664" s="1" t="n">
        <v>45097.93810185185</v>
      </c>
      <c r="C3664" s="1" t="n">
        <v>46046</v>
      </c>
      <c r="D3664" t="inlineStr">
        <is>
          <t>NORRBOTTENS LÄN</t>
        </is>
      </c>
      <c r="E3664" t="inlineStr">
        <is>
          <t>PITEÅ</t>
        </is>
      </c>
      <c r="F3664" t="inlineStr">
        <is>
          <t>SCA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27099-2024</t>
        </is>
      </c>
      <c r="B3665" s="1" t="n">
        <v>45471.48976851852</v>
      </c>
      <c r="C3665" s="1" t="n">
        <v>46046</v>
      </c>
      <c r="D3665" t="inlineStr">
        <is>
          <t>NORRBOTTENS LÄN</t>
        </is>
      </c>
      <c r="E3665" t="inlineStr">
        <is>
          <t>PAJALA</t>
        </is>
      </c>
      <c r="F3665" t="inlineStr">
        <is>
          <t>Sveaskog</t>
        </is>
      </c>
      <c r="G3665" t="n">
        <v>16.3</v>
      </c>
      <c r="H3665" t="n">
        <v>0</v>
      </c>
      <c r="I3665" t="n">
        <v>0</v>
      </c>
      <c r="J3665" t="n">
        <v>0</v>
      </c>
      <c r="K3665" t="n">
        <v>0</v>
      </c>
      <c r="L3665" t="n">
        <v>0</v>
      </c>
      <c r="M3665" t="n">
        <v>0</v>
      </c>
      <c r="N3665" t="n">
        <v>0</v>
      </c>
      <c r="O3665" t="n">
        <v>0</v>
      </c>
      <c r="P3665" t="n">
        <v>0</v>
      </c>
      <c r="Q3665" t="n">
        <v>0</v>
      </c>
      <c r="R3665" s="2" t="inlineStr"/>
    </row>
    <row r="3666" ht="15" customHeight="1">
      <c r="A3666" t="inlineStr">
        <is>
          <t>A 36983-2023</t>
        </is>
      </c>
      <c r="B3666" s="1" t="n">
        <v>45154.95504629629</v>
      </c>
      <c r="C3666" s="1" t="n">
        <v>46046</v>
      </c>
      <c r="D3666" t="inlineStr">
        <is>
          <t>NORRBOTTENS LÄN</t>
        </is>
      </c>
      <c r="E3666" t="inlineStr">
        <is>
          <t>GÄLLIVARE</t>
        </is>
      </c>
      <c r="F3666" t="inlineStr">
        <is>
          <t>SCA</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29906-2025</t>
        </is>
      </c>
      <c r="B3667" s="1" t="n">
        <v>45826.3965625</v>
      </c>
      <c r="C3667" s="1" t="n">
        <v>46046</v>
      </c>
      <c r="D3667" t="inlineStr">
        <is>
          <t>NORRBOTTENS LÄN</t>
        </is>
      </c>
      <c r="E3667" t="inlineStr">
        <is>
          <t>ÖVERTORNEÅ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30354-2025</t>
        </is>
      </c>
      <c r="B3668" s="1" t="n">
        <v>45827</v>
      </c>
      <c r="C3668" s="1" t="n">
        <v>46046</v>
      </c>
      <c r="D3668" t="inlineStr">
        <is>
          <t>NORRBOTTENS LÄN</t>
        </is>
      </c>
      <c r="E3668" t="inlineStr">
        <is>
          <t>BODEN</t>
        </is>
      </c>
      <c r="F3668" t="inlineStr">
        <is>
          <t>Sveaskog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57945-2023</t>
        </is>
      </c>
      <c r="B3669" s="1" t="n">
        <v>45247</v>
      </c>
      <c r="C3669" s="1" t="n">
        <v>46046</v>
      </c>
      <c r="D3669" t="inlineStr">
        <is>
          <t>NORRBOTTENS LÄN</t>
        </is>
      </c>
      <c r="E3669" t="inlineStr">
        <is>
          <t>PAJALA</t>
        </is>
      </c>
      <c r="G3669" t="n">
        <v>17.3</v>
      </c>
      <c r="H3669" t="n">
        <v>0</v>
      </c>
      <c r="I3669" t="n">
        <v>0</v>
      </c>
      <c r="J3669" t="n">
        <v>0</v>
      </c>
      <c r="K3669" t="n">
        <v>0</v>
      </c>
      <c r="L3669" t="n">
        <v>0</v>
      </c>
      <c r="M3669" t="n">
        <v>0</v>
      </c>
      <c r="N3669" t="n">
        <v>0</v>
      </c>
      <c r="O3669" t="n">
        <v>0</v>
      </c>
      <c r="P3669" t="n">
        <v>0</v>
      </c>
      <c r="Q3669" t="n">
        <v>0</v>
      </c>
      <c r="R3669" s="2" t="inlineStr"/>
    </row>
    <row r="3670" ht="15" customHeight="1">
      <c r="A3670" t="inlineStr">
        <is>
          <t>A 16700-2024</t>
        </is>
      </c>
      <c r="B3670" s="1" t="n">
        <v>45408.96738425926</v>
      </c>
      <c r="C3670" s="1" t="n">
        <v>46046</v>
      </c>
      <c r="D3670" t="inlineStr">
        <is>
          <t>NORRBOTTENS LÄN</t>
        </is>
      </c>
      <c r="E3670" t="inlineStr">
        <is>
          <t>BODEN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21302-2024</t>
        </is>
      </c>
      <c r="B3671" s="1" t="n">
        <v>45440</v>
      </c>
      <c r="C3671" s="1" t="n">
        <v>46046</v>
      </c>
      <c r="D3671" t="inlineStr">
        <is>
          <t>NORRBOTTENS LÄN</t>
        </is>
      </c>
      <c r="E3671" t="inlineStr">
        <is>
          <t>ÖVERKALIX</t>
        </is>
      </c>
      <c r="F3671" t="inlineStr">
        <is>
          <t>Sveaskog</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28757-2023</t>
        </is>
      </c>
      <c r="B3672" s="1" t="n">
        <v>45103</v>
      </c>
      <c r="C3672" s="1" t="n">
        <v>46046</v>
      </c>
      <c r="D3672" t="inlineStr">
        <is>
          <t>NORRBOTTENS LÄN</t>
        </is>
      </c>
      <c r="E3672" t="inlineStr">
        <is>
          <t>ÄLVSBYN</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30147-2025</t>
        </is>
      </c>
      <c r="B3673" s="1" t="n">
        <v>45827</v>
      </c>
      <c r="C3673" s="1" t="n">
        <v>46046</v>
      </c>
      <c r="D3673" t="inlineStr">
        <is>
          <t>NORRBOTTENS LÄN</t>
        </is>
      </c>
      <c r="E3673" t="inlineStr">
        <is>
          <t>ÄLVSBYN</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10735-2024</t>
        </is>
      </c>
      <c r="B3674" s="1" t="n">
        <v>45369</v>
      </c>
      <c r="C3674" s="1" t="n">
        <v>46046</v>
      </c>
      <c r="D3674" t="inlineStr">
        <is>
          <t>NORRBOTTENS LÄN</t>
        </is>
      </c>
      <c r="E3674" t="inlineStr">
        <is>
          <t>HAPARANDA</t>
        </is>
      </c>
      <c r="G3674" t="n">
        <v>12.4</v>
      </c>
      <c r="H3674" t="n">
        <v>0</v>
      </c>
      <c r="I3674" t="n">
        <v>0</v>
      </c>
      <c r="J3674" t="n">
        <v>0</v>
      </c>
      <c r="K3674" t="n">
        <v>0</v>
      </c>
      <c r="L3674" t="n">
        <v>0</v>
      </c>
      <c r="M3674" t="n">
        <v>0</v>
      </c>
      <c r="N3674" t="n">
        <v>0</v>
      </c>
      <c r="O3674" t="n">
        <v>0</v>
      </c>
      <c r="P3674" t="n">
        <v>0</v>
      </c>
      <c r="Q3674" t="n">
        <v>0</v>
      </c>
      <c r="R3674" s="2" t="inlineStr"/>
    </row>
    <row r="3675" ht="15" customHeight="1">
      <c r="A3675" t="inlineStr">
        <is>
          <t>A 14815-2024</t>
        </is>
      </c>
      <c r="B3675" s="1" t="n">
        <v>45397.95770833334</v>
      </c>
      <c r="C3675" s="1" t="n">
        <v>46046</v>
      </c>
      <c r="D3675" t="inlineStr">
        <is>
          <t>NORRBOTTENS LÄN</t>
        </is>
      </c>
      <c r="E3675" t="inlineStr">
        <is>
          <t>JOKKMOKK</t>
        </is>
      </c>
      <c r="F3675" t="inlineStr">
        <is>
          <t>SCA</t>
        </is>
      </c>
      <c r="G3675" t="n">
        <v>54.1</v>
      </c>
      <c r="H3675" t="n">
        <v>0</v>
      </c>
      <c r="I3675" t="n">
        <v>0</v>
      </c>
      <c r="J3675" t="n">
        <v>0</v>
      </c>
      <c r="K3675" t="n">
        <v>0</v>
      </c>
      <c r="L3675" t="n">
        <v>0</v>
      </c>
      <c r="M3675" t="n">
        <v>0</v>
      </c>
      <c r="N3675" t="n">
        <v>0</v>
      </c>
      <c r="O3675" t="n">
        <v>0</v>
      </c>
      <c r="P3675" t="n">
        <v>0</v>
      </c>
      <c r="Q3675" t="n">
        <v>0</v>
      </c>
      <c r="R3675" s="2" t="inlineStr"/>
    </row>
    <row r="3676" ht="15" customHeight="1">
      <c r="A3676" t="inlineStr">
        <is>
          <t>A 30177-2025</t>
        </is>
      </c>
      <c r="B3676" s="1" t="n">
        <v>45827.34537037037</v>
      </c>
      <c r="C3676" s="1" t="n">
        <v>46046</v>
      </c>
      <c r="D3676" t="inlineStr">
        <is>
          <t>NORRBOTTENS LÄN</t>
        </is>
      </c>
      <c r="E3676" t="inlineStr">
        <is>
          <t>JOKKMOKK</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30185-2025</t>
        </is>
      </c>
      <c r="B3677" s="1" t="n">
        <v>45827.34717592593</v>
      </c>
      <c r="C3677" s="1" t="n">
        <v>46046</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52733-2024</t>
        </is>
      </c>
      <c r="B3678" s="1" t="n">
        <v>45610</v>
      </c>
      <c r="C3678" s="1" t="n">
        <v>46046</v>
      </c>
      <c r="D3678" t="inlineStr">
        <is>
          <t>NORRBOTTENS LÄN</t>
        </is>
      </c>
      <c r="E3678" t="inlineStr">
        <is>
          <t>JOKKMOKK</t>
        </is>
      </c>
      <c r="F3678" t="inlineStr">
        <is>
          <t>Allmännings- och besparingsskogar</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30232-2025</t>
        </is>
      </c>
      <c r="B3679" s="1" t="n">
        <v>45827.38586805556</v>
      </c>
      <c r="C3679" s="1" t="n">
        <v>46046</v>
      </c>
      <c r="D3679" t="inlineStr">
        <is>
          <t>NORRBOTTENS LÄN</t>
        </is>
      </c>
      <c r="E3679" t="inlineStr">
        <is>
          <t>KALIX</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30253-2025</t>
        </is>
      </c>
      <c r="B3680" s="1" t="n">
        <v>45827.4234375</v>
      </c>
      <c r="C3680" s="1" t="n">
        <v>46046</v>
      </c>
      <c r="D3680" t="inlineStr">
        <is>
          <t>NORRBOTTENS LÄN</t>
        </is>
      </c>
      <c r="E3680" t="inlineStr">
        <is>
          <t>GÄLLIVARE</t>
        </is>
      </c>
      <c r="F3680" t="inlineStr">
        <is>
          <t>Sveaskog</t>
        </is>
      </c>
      <c r="G3680" t="n">
        <v>25.6</v>
      </c>
      <c r="H3680" t="n">
        <v>0</v>
      </c>
      <c r="I3680" t="n">
        <v>0</v>
      </c>
      <c r="J3680" t="n">
        <v>0</v>
      </c>
      <c r="K3680" t="n">
        <v>0</v>
      </c>
      <c r="L3680" t="n">
        <v>0</v>
      </c>
      <c r="M3680" t="n">
        <v>0</v>
      </c>
      <c r="N3680" t="n">
        <v>0</v>
      </c>
      <c r="O3680" t="n">
        <v>0</v>
      </c>
      <c r="P3680" t="n">
        <v>0</v>
      </c>
      <c r="Q3680" t="n">
        <v>0</v>
      </c>
      <c r="R3680" s="2" t="inlineStr"/>
    </row>
    <row r="3681" ht="15" customHeight="1">
      <c r="A3681" t="inlineStr">
        <is>
          <t>A 16356-2025</t>
        </is>
      </c>
      <c r="B3681" s="1" t="n">
        <v>45750</v>
      </c>
      <c r="C3681" s="1" t="n">
        <v>46046</v>
      </c>
      <c r="D3681" t="inlineStr">
        <is>
          <t>NORRBOTTENS LÄN</t>
        </is>
      </c>
      <c r="E3681" t="inlineStr">
        <is>
          <t>ÖVERTORNEÅ</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30387-2025</t>
        </is>
      </c>
      <c r="B3682" s="1" t="n">
        <v>45827.57340277778</v>
      </c>
      <c r="C3682" s="1" t="n">
        <v>46046</v>
      </c>
      <c r="D3682" t="inlineStr">
        <is>
          <t>NORRBOTTENS LÄN</t>
        </is>
      </c>
      <c r="E3682" t="inlineStr">
        <is>
          <t>KALIX</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30048-2025</t>
        </is>
      </c>
      <c r="B3683" s="1" t="n">
        <v>45826.58424768518</v>
      </c>
      <c r="C3683" s="1" t="n">
        <v>46046</v>
      </c>
      <c r="D3683" t="inlineStr">
        <is>
          <t>NORRBOTTENS LÄN</t>
        </is>
      </c>
      <c r="E3683" t="inlineStr">
        <is>
          <t>LULEÅ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30052-2025</t>
        </is>
      </c>
      <c r="B3684" s="1" t="n">
        <v>45826.59502314815</v>
      </c>
      <c r="C3684" s="1" t="n">
        <v>46046</v>
      </c>
      <c r="D3684" t="inlineStr">
        <is>
          <t>NORRBOTTENS LÄN</t>
        </is>
      </c>
      <c r="E3684" t="inlineStr">
        <is>
          <t>LULEÅ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30181-2025</t>
        </is>
      </c>
      <c r="B3685" s="1" t="n">
        <v>45827.34607638889</v>
      </c>
      <c r="C3685" s="1" t="n">
        <v>46046</v>
      </c>
      <c r="D3685" t="inlineStr">
        <is>
          <t>NORRBOTTENS LÄN</t>
        </is>
      </c>
      <c r="E3685" t="inlineStr">
        <is>
          <t>JOKKMOKK</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30182-2025</t>
        </is>
      </c>
      <c r="B3686" s="1" t="n">
        <v>45827.34640046296</v>
      </c>
      <c r="C3686" s="1" t="n">
        <v>46046</v>
      </c>
      <c r="D3686" t="inlineStr">
        <is>
          <t>NORRBOTTENS LÄN</t>
        </is>
      </c>
      <c r="E3686" t="inlineStr">
        <is>
          <t>JOKKMOKK</t>
        </is>
      </c>
      <c r="F3686" t="inlineStr">
        <is>
          <t>SCA</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28928-2024</t>
        </is>
      </c>
      <c r="B3687" s="1" t="n">
        <v>45481</v>
      </c>
      <c r="C3687" s="1" t="n">
        <v>46046</v>
      </c>
      <c r="D3687" t="inlineStr">
        <is>
          <t>NORRBOTTENS LÄN</t>
        </is>
      </c>
      <c r="E3687" t="inlineStr">
        <is>
          <t>ÖVERTORNEÅ</t>
        </is>
      </c>
      <c r="F3687" t="inlineStr">
        <is>
          <t>Sveaskog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15573-2024</t>
        </is>
      </c>
      <c r="B3688" s="1" t="n">
        <v>45401</v>
      </c>
      <c r="C3688" s="1" t="n">
        <v>46046</v>
      </c>
      <c r="D3688" t="inlineStr">
        <is>
          <t>NORRBOTTENS LÄN</t>
        </is>
      </c>
      <c r="E3688" t="inlineStr">
        <is>
          <t>PAJALA</t>
        </is>
      </c>
      <c r="F3688" t="inlineStr">
        <is>
          <t>Allmännings- och besparingsskogar</t>
        </is>
      </c>
      <c r="G3688" t="n">
        <v>8.5</v>
      </c>
      <c r="H3688" t="n">
        <v>0</v>
      </c>
      <c r="I3688" t="n">
        <v>0</v>
      </c>
      <c r="J3688" t="n">
        <v>0</v>
      </c>
      <c r="K3688" t="n">
        <v>0</v>
      </c>
      <c r="L3688" t="n">
        <v>0</v>
      </c>
      <c r="M3688" t="n">
        <v>0</v>
      </c>
      <c r="N3688" t="n">
        <v>0</v>
      </c>
      <c r="O3688" t="n">
        <v>0</v>
      </c>
      <c r="P3688" t="n">
        <v>0</v>
      </c>
      <c r="Q3688" t="n">
        <v>0</v>
      </c>
      <c r="R3688" s="2" t="inlineStr"/>
    </row>
    <row r="3689" ht="15" customHeight="1">
      <c r="A3689" t="inlineStr">
        <is>
          <t>A 31159-2024</t>
        </is>
      </c>
      <c r="B3689" s="1" t="n">
        <v>45503</v>
      </c>
      <c r="C3689" s="1" t="n">
        <v>46046</v>
      </c>
      <c r="D3689" t="inlineStr">
        <is>
          <t>NORRBOTTENS LÄN</t>
        </is>
      </c>
      <c r="E3689" t="inlineStr">
        <is>
          <t>PITEÅ</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30184-2025</t>
        </is>
      </c>
      <c r="B3690" s="1" t="n">
        <v>45827.34695601852</v>
      </c>
      <c r="C3690" s="1" t="n">
        <v>46046</v>
      </c>
      <c r="D3690" t="inlineStr">
        <is>
          <t>NORRBOTTENS LÄN</t>
        </is>
      </c>
      <c r="E3690" t="inlineStr">
        <is>
          <t>JOKKMOKK</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7189-2023</t>
        </is>
      </c>
      <c r="B3691" s="1" t="n">
        <v>44970.53221064815</v>
      </c>
      <c r="C3691" s="1" t="n">
        <v>46046</v>
      </c>
      <c r="D3691" t="inlineStr">
        <is>
          <t>NORRBOTTENS LÄN</t>
        </is>
      </c>
      <c r="E3691" t="inlineStr">
        <is>
          <t>KALIX</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7448-2023</t>
        </is>
      </c>
      <c r="B3692" s="1" t="n">
        <v>44966</v>
      </c>
      <c r="C3692" s="1" t="n">
        <v>46046</v>
      </c>
      <c r="D3692" t="inlineStr">
        <is>
          <t>NORRBOTTENS LÄN</t>
        </is>
      </c>
      <c r="E3692" t="inlineStr">
        <is>
          <t>ÖVERKALIX</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55796-2023</t>
        </is>
      </c>
      <c r="B3693" s="1" t="n">
        <v>45239.54928240741</v>
      </c>
      <c r="C3693" s="1" t="n">
        <v>46046</v>
      </c>
      <c r="D3693" t="inlineStr">
        <is>
          <t>NORRBOTTENS LÄN</t>
        </is>
      </c>
      <c r="E3693" t="inlineStr">
        <is>
          <t>PITEÅ</t>
        </is>
      </c>
      <c r="G3693" t="n">
        <v>38.2</v>
      </c>
      <c r="H3693" t="n">
        <v>0</v>
      </c>
      <c r="I3693" t="n">
        <v>0</v>
      </c>
      <c r="J3693" t="n">
        <v>0</v>
      </c>
      <c r="K3693" t="n">
        <v>0</v>
      </c>
      <c r="L3693" t="n">
        <v>0</v>
      </c>
      <c r="M3693" t="n">
        <v>0</v>
      </c>
      <c r="N3693" t="n">
        <v>0</v>
      </c>
      <c r="O3693" t="n">
        <v>0</v>
      </c>
      <c r="P3693" t="n">
        <v>0</v>
      </c>
      <c r="Q3693" t="n">
        <v>0</v>
      </c>
      <c r="R3693" s="2" t="inlineStr"/>
    </row>
    <row r="3694" ht="15" customHeight="1">
      <c r="A3694" t="inlineStr">
        <is>
          <t>A 68591-2021</t>
        </is>
      </c>
      <c r="B3694" s="1" t="n">
        <v>44529</v>
      </c>
      <c r="C3694" s="1" t="n">
        <v>46046</v>
      </c>
      <c r="D3694" t="inlineStr">
        <is>
          <t>NORRBOTTENS LÄN</t>
        </is>
      </c>
      <c r="E3694" t="inlineStr">
        <is>
          <t>BODEN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30189-2025</t>
        </is>
      </c>
      <c r="B3695" s="1" t="n">
        <v>45827.34756944444</v>
      </c>
      <c r="C3695" s="1" t="n">
        <v>46046</v>
      </c>
      <c r="D3695" t="inlineStr">
        <is>
          <t>NORRBOTTENS LÄN</t>
        </is>
      </c>
      <c r="E3695" t="inlineStr">
        <is>
          <t>JOKKMOKK</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22097-2024</t>
        </is>
      </c>
      <c r="B3696" s="1" t="n">
        <v>45443.91856481481</v>
      </c>
      <c r="C3696" s="1" t="n">
        <v>46046</v>
      </c>
      <c r="D3696" t="inlineStr">
        <is>
          <t>NORRBOTTENS LÄN</t>
        </is>
      </c>
      <c r="E3696" t="inlineStr">
        <is>
          <t>PAJALA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16769-2023</t>
        </is>
      </c>
      <c r="B3697" s="1" t="n">
        <v>45031.25363425926</v>
      </c>
      <c r="C3697" s="1" t="n">
        <v>46046</v>
      </c>
      <c r="D3697" t="inlineStr">
        <is>
          <t>NORRBOTTENS LÄN</t>
        </is>
      </c>
      <c r="E3697" t="inlineStr">
        <is>
          <t>PAJALA</t>
        </is>
      </c>
      <c r="G3697" t="n">
        <v>35.6</v>
      </c>
      <c r="H3697" t="n">
        <v>0</v>
      </c>
      <c r="I3697" t="n">
        <v>0</v>
      </c>
      <c r="J3697" t="n">
        <v>0</v>
      </c>
      <c r="K3697" t="n">
        <v>0</v>
      </c>
      <c r="L3697" t="n">
        <v>0</v>
      </c>
      <c r="M3697" t="n">
        <v>0</v>
      </c>
      <c r="N3697" t="n">
        <v>0</v>
      </c>
      <c r="O3697" t="n">
        <v>0</v>
      </c>
      <c r="P3697" t="n">
        <v>0</v>
      </c>
      <c r="Q3697" t="n">
        <v>0</v>
      </c>
      <c r="R3697" s="2" t="inlineStr"/>
    </row>
    <row r="3698" ht="15" customHeight="1">
      <c r="A3698" t="inlineStr">
        <is>
          <t>A 30237-2025</t>
        </is>
      </c>
      <c r="B3698" s="1" t="n">
        <v>45827.39997685186</v>
      </c>
      <c r="C3698" s="1" t="n">
        <v>46046</v>
      </c>
      <c r="D3698" t="inlineStr">
        <is>
          <t>NORRBOTTENS LÄN</t>
        </is>
      </c>
      <c r="E3698" t="inlineStr">
        <is>
          <t>LULEÅ</t>
        </is>
      </c>
      <c r="G3698" t="n">
        <v>17.6</v>
      </c>
      <c r="H3698" t="n">
        <v>0</v>
      </c>
      <c r="I3698" t="n">
        <v>0</v>
      </c>
      <c r="J3698" t="n">
        <v>0</v>
      </c>
      <c r="K3698" t="n">
        <v>0</v>
      </c>
      <c r="L3698" t="n">
        <v>0</v>
      </c>
      <c r="M3698" t="n">
        <v>0</v>
      </c>
      <c r="N3698" t="n">
        <v>0</v>
      </c>
      <c r="O3698" t="n">
        <v>0</v>
      </c>
      <c r="P3698" t="n">
        <v>0</v>
      </c>
      <c r="Q3698" t="n">
        <v>0</v>
      </c>
      <c r="R3698" s="2" t="inlineStr"/>
    </row>
    <row r="3699" ht="15" customHeight="1">
      <c r="A3699" t="inlineStr">
        <is>
          <t>A 30238-2025</t>
        </is>
      </c>
      <c r="B3699" s="1" t="n">
        <v>45827.40238425926</v>
      </c>
      <c r="C3699" s="1" t="n">
        <v>46046</v>
      </c>
      <c r="D3699" t="inlineStr">
        <is>
          <t>NORRBOTTENS LÄN</t>
        </is>
      </c>
      <c r="E3699" t="inlineStr">
        <is>
          <t>LULEÅ</t>
        </is>
      </c>
      <c r="G3699" t="n">
        <v>10.2</v>
      </c>
      <c r="H3699" t="n">
        <v>0</v>
      </c>
      <c r="I3699" t="n">
        <v>0</v>
      </c>
      <c r="J3699" t="n">
        <v>0</v>
      </c>
      <c r="K3699" t="n">
        <v>0</v>
      </c>
      <c r="L3699" t="n">
        <v>0</v>
      </c>
      <c r="M3699" t="n">
        <v>0</v>
      </c>
      <c r="N3699" t="n">
        <v>0</v>
      </c>
      <c r="O3699" t="n">
        <v>0</v>
      </c>
      <c r="P3699" t="n">
        <v>0</v>
      </c>
      <c r="Q3699" t="n">
        <v>0</v>
      </c>
      <c r="R3699" s="2" t="inlineStr"/>
    </row>
    <row r="3700" ht="15" customHeight="1">
      <c r="A3700" t="inlineStr">
        <is>
          <t>A 52646-2023</t>
        </is>
      </c>
      <c r="B3700" s="1" t="n">
        <v>45225</v>
      </c>
      <c r="C3700" s="1" t="n">
        <v>46046</v>
      </c>
      <c r="D3700" t="inlineStr">
        <is>
          <t>NORRBOTTENS LÄN</t>
        </is>
      </c>
      <c r="E3700" t="inlineStr">
        <is>
          <t>ARVIDSJAUR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61729-2024</t>
        </is>
      </c>
      <c r="B3701" s="1" t="n">
        <v>45649</v>
      </c>
      <c r="C3701" s="1" t="n">
        <v>46046</v>
      </c>
      <c r="D3701" t="inlineStr">
        <is>
          <t>NORRBOTTENS LÄN</t>
        </is>
      </c>
      <c r="E3701" t="inlineStr">
        <is>
          <t>ARJEPLOG</t>
        </is>
      </c>
      <c r="F3701" t="inlineStr">
        <is>
          <t>Övriga statliga verk och myndigheter</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61760-2024</t>
        </is>
      </c>
      <c r="B3702" s="1" t="n">
        <v>45649</v>
      </c>
      <c r="C3702" s="1" t="n">
        <v>46046</v>
      </c>
      <c r="D3702" t="inlineStr">
        <is>
          <t>NORRBOTTENS LÄN</t>
        </is>
      </c>
      <c r="E3702" t="inlineStr">
        <is>
          <t>JOKKMOKK</t>
        </is>
      </c>
      <c r="F3702" t="inlineStr">
        <is>
          <t>Övriga statliga verk och myndigheter</t>
        </is>
      </c>
      <c r="G3702" t="n">
        <v>19.3</v>
      </c>
      <c r="H3702" t="n">
        <v>0</v>
      </c>
      <c r="I3702" t="n">
        <v>0</v>
      </c>
      <c r="J3702" t="n">
        <v>0</v>
      </c>
      <c r="K3702" t="n">
        <v>0</v>
      </c>
      <c r="L3702" t="n">
        <v>0</v>
      </c>
      <c r="M3702" t="n">
        <v>0</v>
      </c>
      <c r="N3702" t="n">
        <v>0</v>
      </c>
      <c r="O3702" t="n">
        <v>0</v>
      </c>
      <c r="P3702" t="n">
        <v>0</v>
      </c>
      <c r="Q3702" t="n">
        <v>0</v>
      </c>
      <c r="R3702" s="2" t="inlineStr"/>
    </row>
    <row r="3703" ht="15" customHeight="1">
      <c r="A3703" t="inlineStr">
        <is>
          <t>A 29853-2025</t>
        </is>
      </c>
      <c r="B3703" s="1" t="n">
        <v>45826.34438657408</v>
      </c>
      <c r="C3703" s="1" t="n">
        <v>46046</v>
      </c>
      <c r="D3703" t="inlineStr">
        <is>
          <t>NORRBOTTENS LÄN</t>
        </is>
      </c>
      <c r="E3703" t="inlineStr">
        <is>
          <t>JOKKMOKK</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29857-2025</t>
        </is>
      </c>
      <c r="B3704" s="1" t="n">
        <v>45826.3453125</v>
      </c>
      <c r="C3704" s="1" t="n">
        <v>46046</v>
      </c>
      <c r="D3704" t="inlineStr">
        <is>
          <t>NORRBOTTENS LÄN</t>
        </is>
      </c>
      <c r="E3704" t="inlineStr">
        <is>
          <t>JOKKMOKK</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30056-2025</t>
        </is>
      </c>
      <c r="B3705" s="1" t="n">
        <v>45826.6047800926</v>
      </c>
      <c r="C3705" s="1" t="n">
        <v>46046</v>
      </c>
      <c r="D3705" t="inlineStr">
        <is>
          <t>NORRBOTTENS LÄN</t>
        </is>
      </c>
      <c r="E3705" t="inlineStr">
        <is>
          <t>LULEÅ</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30089-2025</t>
        </is>
      </c>
      <c r="B3706" s="1" t="n">
        <v>45826</v>
      </c>
      <c r="C3706" s="1" t="n">
        <v>46046</v>
      </c>
      <c r="D3706" t="inlineStr">
        <is>
          <t>NORRBOTTENS LÄN</t>
        </is>
      </c>
      <c r="E3706" t="inlineStr">
        <is>
          <t>BODEN</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30459-2025</t>
        </is>
      </c>
      <c r="B3707" s="1" t="n">
        <v>45827</v>
      </c>
      <c r="C3707" s="1" t="n">
        <v>46046</v>
      </c>
      <c r="D3707" t="inlineStr">
        <is>
          <t>NORRBOTTENS LÄN</t>
        </is>
      </c>
      <c r="E3707" t="inlineStr">
        <is>
          <t>PITEÅ</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30408-2025</t>
        </is>
      </c>
      <c r="B3708" s="1" t="n">
        <v>45827.59447916667</v>
      </c>
      <c r="C3708" s="1" t="n">
        <v>46046</v>
      </c>
      <c r="D3708" t="inlineStr">
        <is>
          <t>NORRBOTTENS LÄN</t>
        </is>
      </c>
      <c r="E3708" t="inlineStr">
        <is>
          <t>PITEÅ</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12580-2024</t>
        </is>
      </c>
      <c r="B3709" s="1" t="n">
        <v>45379.92288194445</v>
      </c>
      <c r="C3709" s="1" t="n">
        <v>46046</v>
      </c>
      <c r="D3709" t="inlineStr">
        <is>
          <t>NORRBOTTENS LÄN</t>
        </is>
      </c>
      <c r="E3709" t="inlineStr">
        <is>
          <t>ÖVERKALIX</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22-2023</t>
        </is>
      </c>
      <c r="B3710" s="1" t="n">
        <v>44918</v>
      </c>
      <c r="C3710" s="1" t="n">
        <v>46046</v>
      </c>
      <c r="D3710" t="inlineStr">
        <is>
          <t>NORRBOTTENS LÄN</t>
        </is>
      </c>
      <c r="E3710" t="inlineStr">
        <is>
          <t>ÄLVSBYN</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41235-2022</t>
        </is>
      </c>
      <c r="B3711" s="1" t="n">
        <v>44825</v>
      </c>
      <c r="C3711" s="1" t="n">
        <v>46046</v>
      </c>
      <c r="D3711" t="inlineStr">
        <is>
          <t>NORRBOTTENS LÄN</t>
        </is>
      </c>
      <c r="E3711" t="inlineStr">
        <is>
          <t>ARVIDSJAUR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29971-2025</t>
        </is>
      </c>
      <c r="B3712" s="1" t="n">
        <v>45826.49025462963</v>
      </c>
      <c r="C3712" s="1" t="n">
        <v>46046</v>
      </c>
      <c r="D3712" t="inlineStr">
        <is>
          <t>NORRBOTTENS LÄN</t>
        </is>
      </c>
      <c r="E3712" t="inlineStr">
        <is>
          <t>BODEN</t>
        </is>
      </c>
      <c r="F3712" t="inlineStr">
        <is>
          <t>SCA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43-2023</t>
        </is>
      </c>
      <c r="B3713" s="1" t="n">
        <v>44918</v>
      </c>
      <c r="C3713" s="1" t="n">
        <v>46046</v>
      </c>
      <c r="D3713" t="inlineStr">
        <is>
          <t>NORRBOTTENS LÄN</t>
        </is>
      </c>
      <c r="E3713" t="inlineStr">
        <is>
          <t>ÄLVSBYN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50576-2023</t>
        </is>
      </c>
      <c r="B3714" s="1" t="n">
        <v>45210</v>
      </c>
      <c r="C3714" s="1" t="n">
        <v>46046</v>
      </c>
      <c r="D3714" t="inlineStr">
        <is>
          <t>NORRBOTTENS LÄN</t>
        </is>
      </c>
      <c r="E3714" t="inlineStr">
        <is>
          <t>KALIX</t>
        </is>
      </c>
      <c r="F3714" t="inlineStr">
        <is>
          <t>Kommuner</t>
        </is>
      </c>
      <c r="G3714" t="n">
        <v>17.1</v>
      </c>
      <c r="H3714" t="n">
        <v>0</v>
      </c>
      <c r="I3714" t="n">
        <v>0</v>
      </c>
      <c r="J3714" t="n">
        <v>0</v>
      </c>
      <c r="K3714" t="n">
        <v>0</v>
      </c>
      <c r="L3714" t="n">
        <v>0</v>
      </c>
      <c r="M3714" t="n">
        <v>0</v>
      </c>
      <c r="N3714" t="n">
        <v>0</v>
      </c>
      <c r="O3714" t="n">
        <v>0</v>
      </c>
      <c r="P3714" t="n">
        <v>0</v>
      </c>
      <c r="Q3714" t="n">
        <v>0</v>
      </c>
      <c r="R3714" s="2" t="inlineStr"/>
    </row>
    <row r="3715" ht="15" customHeight="1">
      <c r="A3715" t="inlineStr">
        <is>
          <t>A 50747-2024</t>
        </is>
      </c>
      <c r="B3715" s="1" t="n">
        <v>45602.42299768519</v>
      </c>
      <c r="C3715" s="1" t="n">
        <v>46046</v>
      </c>
      <c r="D3715" t="inlineStr">
        <is>
          <t>NORRBOTTENS LÄN</t>
        </is>
      </c>
      <c r="E3715" t="inlineStr">
        <is>
          <t>PITEÅ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1961-2025</t>
        </is>
      </c>
      <c r="B3716" s="1" t="n">
        <v>45672</v>
      </c>
      <c r="C3716" s="1" t="n">
        <v>46046</v>
      </c>
      <c r="D3716" t="inlineStr">
        <is>
          <t>NORRBOTTENS LÄN</t>
        </is>
      </c>
      <c r="E3716" t="inlineStr">
        <is>
          <t>BODEN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1513-2025</t>
        </is>
      </c>
      <c r="B3717" s="1" t="n">
        <v>45670.45391203704</v>
      </c>
      <c r="C3717" s="1" t="n">
        <v>46046</v>
      </c>
      <c r="D3717" t="inlineStr">
        <is>
          <t>NORRBOTTENS LÄN</t>
        </is>
      </c>
      <c r="E3717" t="inlineStr">
        <is>
          <t>LULEÅ</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55539-2024</t>
        </is>
      </c>
      <c r="B3718" s="1" t="n">
        <v>45622</v>
      </c>
      <c r="C3718" s="1" t="n">
        <v>46046</v>
      </c>
      <c r="D3718" t="inlineStr">
        <is>
          <t>NORRBOTTENS LÄN</t>
        </is>
      </c>
      <c r="E3718" t="inlineStr">
        <is>
          <t>KALIX</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30257-2025</t>
        </is>
      </c>
      <c r="B3719" s="1" t="n">
        <v>45827.42748842593</v>
      </c>
      <c r="C3719" s="1" t="n">
        <v>46046</v>
      </c>
      <c r="D3719" t="inlineStr">
        <is>
          <t>NORRBOTTENS LÄN</t>
        </is>
      </c>
      <c r="E3719" t="inlineStr">
        <is>
          <t>ÖVERKALIX</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29856-2025</t>
        </is>
      </c>
      <c r="B3720" s="1" t="n">
        <v>45826.345</v>
      </c>
      <c r="C3720" s="1" t="n">
        <v>46046</v>
      </c>
      <c r="D3720" t="inlineStr">
        <is>
          <t>NORRBOTTENS LÄN</t>
        </is>
      </c>
      <c r="E3720" t="inlineStr">
        <is>
          <t>JOKKMOKK</t>
        </is>
      </c>
      <c r="F3720" t="inlineStr">
        <is>
          <t>SCA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44567-2024</t>
        </is>
      </c>
      <c r="B3721" s="1" t="n">
        <v>45574</v>
      </c>
      <c r="C3721" s="1" t="n">
        <v>46046</v>
      </c>
      <c r="D3721" t="inlineStr">
        <is>
          <t>NORRBOTTENS LÄN</t>
        </is>
      </c>
      <c r="E3721" t="inlineStr">
        <is>
          <t>BODEN</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29858-2025</t>
        </is>
      </c>
      <c r="B3722" s="1" t="n">
        <v>45826.34565972222</v>
      </c>
      <c r="C3722" s="1" t="n">
        <v>46046</v>
      </c>
      <c r="D3722" t="inlineStr">
        <is>
          <t>NORRBOTTENS LÄN</t>
        </is>
      </c>
      <c r="E3722" t="inlineStr">
        <is>
          <t>JOKKMOKK</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13372-2023</t>
        </is>
      </c>
      <c r="B3723" s="1" t="n">
        <v>45005.48414351852</v>
      </c>
      <c r="C3723" s="1" t="n">
        <v>46046</v>
      </c>
      <c r="D3723" t="inlineStr">
        <is>
          <t>NORRBOTTENS LÄN</t>
        </is>
      </c>
      <c r="E3723" t="inlineStr">
        <is>
          <t>ÖVERKALIX</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29907-2025</t>
        </is>
      </c>
      <c r="B3724" s="1" t="n">
        <v>45826.40111111111</v>
      </c>
      <c r="C3724" s="1" t="n">
        <v>46046</v>
      </c>
      <c r="D3724" t="inlineStr">
        <is>
          <t>NORRBOTTENS LÄN</t>
        </is>
      </c>
      <c r="E3724" t="inlineStr">
        <is>
          <t>ÖVERTORNEÅ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29975-2025</t>
        </is>
      </c>
      <c r="B3725" s="1" t="n">
        <v>45826</v>
      </c>
      <c r="C3725" s="1" t="n">
        <v>46046</v>
      </c>
      <c r="D3725" t="inlineStr">
        <is>
          <t>NORRBOTTENS LÄN</t>
        </is>
      </c>
      <c r="E3725" t="inlineStr">
        <is>
          <t>LULEÅ</t>
        </is>
      </c>
      <c r="F3725" t="inlineStr">
        <is>
          <t>SCA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30460-2025</t>
        </is>
      </c>
      <c r="B3726" s="1" t="n">
        <v>45827</v>
      </c>
      <c r="C3726" s="1" t="n">
        <v>46046</v>
      </c>
      <c r="D3726" t="inlineStr">
        <is>
          <t>NORRBOTTENS LÄN</t>
        </is>
      </c>
      <c r="E3726" t="inlineStr">
        <is>
          <t>PITEÅ</t>
        </is>
      </c>
      <c r="F3726" t="inlineStr">
        <is>
          <t>Kommuner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49172-2024</t>
        </is>
      </c>
      <c r="B3727" s="1" t="n">
        <v>45595.31174768518</v>
      </c>
      <c r="C3727" s="1" t="n">
        <v>46046</v>
      </c>
      <c r="D3727" t="inlineStr">
        <is>
          <t>NORRBOTTENS LÄN</t>
        </is>
      </c>
      <c r="E3727" t="inlineStr">
        <is>
          <t>ARVIDSJAUR</t>
        </is>
      </c>
      <c r="F3727" t="inlineStr">
        <is>
          <t>Sveaskog</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18871-2025</t>
        </is>
      </c>
      <c r="B3728" s="1" t="n">
        <v>45764</v>
      </c>
      <c r="C3728" s="1" t="n">
        <v>46046</v>
      </c>
      <c r="D3728" t="inlineStr">
        <is>
          <t>NORRBOTTENS LÄN</t>
        </is>
      </c>
      <c r="E3728" t="inlineStr">
        <is>
          <t>BODEN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66739-2021</t>
        </is>
      </c>
      <c r="B3729" s="1" t="n">
        <v>44520.84179398148</v>
      </c>
      <c r="C3729" s="1" t="n">
        <v>46046</v>
      </c>
      <c r="D3729" t="inlineStr">
        <is>
          <t>NORRBOTTENS LÄN</t>
        </is>
      </c>
      <c r="E3729" t="inlineStr">
        <is>
          <t>KALIX</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30629-2025</t>
        </is>
      </c>
      <c r="B3730" s="1" t="n">
        <v>45830</v>
      </c>
      <c r="C3730" s="1" t="n">
        <v>46046</v>
      </c>
      <c r="D3730" t="inlineStr">
        <is>
          <t>NORRBOTTENS LÄN</t>
        </is>
      </c>
      <c r="E3730" t="inlineStr">
        <is>
          <t>PITEÅ</t>
        </is>
      </c>
      <c r="G3730" t="n">
        <v>13.6</v>
      </c>
      <c r="H3730" t="n">
        <v>0</v>
      </c>
      <c r="I3730" t="n">
        <v>0</v>
      </c>
      <c r="J3730" t="n">
        <v>0</v>
      </c>
      <c r="K3730" t="n">
        <v>0</v>
      </c>
      <c r="L3730" t="n">
        <v>0</v>
      </c>
      <c r="M3730" t="n">
        <v>0</v>
      </c>
      <c r="N3730" t="n">
        <v>0</v>
      </c>
      <c r="O3730" t="n">
        <v>0</v>
      </c>
      <c r="P3730" t="n">
        <v>0</v>
      </c>
      <c r="Q3730" t="n">
        <v>0</v>
      </c>
      <c r="R3730" s="2" t="inlineStr"/>
    </row>
    <row r="3731" ht="15" customHeight="1">
      <c r="A3731" t="inlineStr">
        <is>
          <t>A 30569-2025</t>
        </is>
      </c>
      <c r="B3731" s="1" t="n">
        <v>45831</v>
      </c>
      <c r="C3731" s="1" t="n">
        <v>46046</v>
      </c>
      <c r="D3731" t="inlineStr">
        <is>
          <t>NORRBOTTENS LÄN</t>
        </is>
      </c>
      <c r="E3731" t="inlineStr">
        <is>
          <t>LULEÅ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30570-2025</t>
        </is>
      </c>
      <c r="B3732" s="1" t="n">
        <v>45831.40694444445</v>
      </c>
      <c r="C3732" s="1" t="n">
        <v>46046</v>
      </c>
      <c r="D3732" t="inlineStr">
        <is>
          <t>NORRBOTTENS LÄN</t>
        </is>
      </c>
      <c r="E3732" t="inlineStr">
        <is>
          <t>LULEÅ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52667-2024</t>
        </is>
      </c>
      <c r="B3733" s="1" t="n">
        <v>45610</v>
      </c>
      <c r="C3733" s="1" t="n">
        <v>46046</v>
      </c>
      <c r="D3733" t="inlineStr">
        <is>
          <t>NORRBOTTENS LÄN</t>
        </is>
      </c>
      <c r="E3733" t="inlineStr">
        <is>
          <t>LULEÅ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2006-2023</t>
        </is>
      </c>
      <c r="B3734" s="1" t="n">
        <v>44937</v>
      </c>
      <c r="C3734" s="1" t="n">
        <v>46046</v>
      </c>
      <c r="D3734" t="inlineStr">
        <is>
          <t>NORRBOTTENS LÄN</t>
        </is>
      </c>
      <c r="E3734" t="inlineStr">
        <is>
          <t>LULEÅ</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30980-2025</t>
        </is>
      </c>
      <c r="B3735" s="1" t="n">
        <v>45831</v>
      </c>
      <c r="C3735" s="1" t="n">
        <v>46046</v>
      </c>
      <c r="D3735" t="inlineStr">
        <is>
          <t>NORRBOTTENS LÄN</t>
        </is>
      </c>
      <c r="E3735" t="inlineStr">
        <is>
          <t>ÖVERKALIX</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30987-2025</t>
        </is>
      </c>
      <c r="B3736" s="1" t="n">
        <v>45831</v>
      </c>
      <c r="C3736" s="1" t="n">
        <v>46046</v>
      </c>
      <c r="D3736" t="inlineStr">
        <is>
          <t>NORRBOTTENS LÄN</t>
        </is>
      </c>
      <c r="E3736" t="inlineStr">
        <is>
          <t>ÖVERKALIX</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39908-2021</t>
        </is>
      </c>
      <c r="B3737" s="1" t="n">
        <v>44417</v>
      </c>
      <c r="C3737" s="1" t="n">
        <v>46046</v>
      </c>
      <c r="D3737" t="inlineStr">
        <is>
          <t>NORRBOTTENS LÄN</t>
        </is>
      </c>
      <c r="E3737" t="inlineStr">
        <is>
          <t>PAJALA</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30765-2025</t>
        </is>
      </c>
      <c r="B3738" s="1" t="n">
        <v>45831.60569444444</v>
      </c>
      <c r="C3738" s="1" t="n">
        <v>46046</v>
      </c>
      <c r="D3738" t="inlineStr">
        <is>
          <t>NORRBOTTENS LÄN</t>
        </is>
      </c>
      <c r="E3738" t="inlineStr">
        <is>
          <t>BODEN</t>
        </is>
      </c>
      <c r="F3738" t="inlineStr">
        <is>
          <t>Sveaskog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47862-2024</t>
        </is>
      </c>
      <c r="B3739" s="1" t="n">
        <v>45588</v>
      </c>
      <c r="C3739" s="1" t="n">
        <v>46046</v>
      </c>
      <c r="D3739" t="inlineStr">
        <is>
          <t>NORRBOTTENS LÄN</t>
        </is>
      </c>
      <c r="E3739" t="inlineStr">
        <is>
          <t>GÄLLIVARE</t>
        </is>
      </c>
      <c r="F3739" t="inlineStr">
        <is>
          <t>Allmännings- och besparingsskogar</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30780-2025</t>
        </is>
      </c>
      <c r="B3740" s="1" t="n">
        <v>45831.62239583334</v>
      </c>
      <c r="C3740" s="1" t="n">
        <v>46046</v>
      </c>
      <c r="D3740" t="inlineStr">
        <is>
          <t>NORRBOTTENS LÄN</t>
        </is>
      </c>
      <c r="E3740" t="inlineStr">
        <is>
          <t>ÖVERTORNEÅ</t>
        </is>
      </c>
      <c r="F3740" t="inlineStr">
        <is>
          <t>Sveaskog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30809-2025</t>
        </is>
      </c>
      <c r="B3741" s="1" t="n">
        <v>45831.65704861111</v>
      </c>
      <c r="C3741" s="1" t="n">
        <v>46046</v>
      </c>
      <c r="D3741" t="inlineStr">
        <is>
          <t>NORRBOTTENS LÄN</t>
        </is>
      </c>
      <c r="E3741" t="inlineStr">
        <is>
          <t>PITEÅ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30823-2025</t>
        </is>
      </c>
      <c r="B3742" s="1" t="n">
        <v>45831.66894675926</v>
      </c>
      <c r="C3742" s="1" t="n">
        <v>46046</v>
      </c>
      <c r="D3742" t="inlineStr">
        <is>
          <t>NORRBOTTENS LÄN</t>
        </is>
      </c>
      <c r="E3742" t="inlineStr">
        <is>
          <t>ÖVERTORNEÅ</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68764-2021</t>
        </is>
      </c>
      <c r="B3743" s="1" t="n">
        <v>44529</v>
      </c>
      <c r="C3743" s="1" t="n">
        <v>46046</v>
      </c>
      <c r="D3743" t="inlineStr">
        <is>
          <t>NORRBOTTENS LÄN</t>
        </is>
      </c>
      <c r="E3743" t="inlineStr">
        <is>
          <t>ÖVERTORNEÅ</t>
        </is>
      </c>
      <c r="G3743" t="n">
        <v>19.2</v>
      </c>
      <c r="H3743" t="n">
        <v>0</v>
      </c>
      <c r="I3743" t="n">
        <v>0</v>
      </c>
      <c r="J3743" t="n">
        <v>0</v>
      </c>
      <c r="K3743" t="n">
        <v>0</v>
      </c>
      <c r="L3743" t="n">
        <v>0</v>
      </c>
      <c r="M3743" t="n">
        <v>0</v>
      </c>
      <c r="N3743" t="n">
        <v>0</v>
      </c>
      <c r="O3743" t="n">
        <v>0</v>
      </c>
      <c r="P3743" t="n">
        <v>0</v>
      </c>
      <c r="Q3743" t="n">
        <v>0</v>
      </c>
      <c r="R3743" s="2" t="inlineStr"/>
    </row>
    <row r="3744" ht="15" customHeight="1">
      <c r="A3744" t="inlineStr">
        <is>
          <t>A 54775-2024</t>
        </is>
      </c>
      <c r="B3744" s="1" t="n">
        <v>45618.47974537037</v>
      </c>
      <c r="C3744" s="1" t="n">
        <v>46046</v>
      </c>
      <c r="D3744" t="inlineStr">
        <is>
          <t>NORRBOTTENS LÄN</t>
        </is>
      </c>
      <c r="E3744" t="inlineStr">
        <is>
          <t>PITEÅ</t>
        </is>
      </c>
      <c r="G3744" t="n">
        <v>9.199999999999999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41653-2023</t>
        </is>
      </c>
      <c r="B3745" s="1" t="n">
        <v>45175.95738425926</v>
      </c>
      <c r="C3745" s="1" t="n">
        <v>46046</v>
      </c>
      <c r="D3745" t="inlineStr">
        <is>
          <t>NORRBOTTENS LÄN</t>
        </is>
      </c>
      <c r="E3745" t="inlineStr">
        <is>
          <t>GÄLLIVARE</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41662-2023</t>
        </is>
      </c>
      <c r="B3746" s="1" t="n">
        <v>45175.95799768518</v>
      </c>
      <c r="C3746" s="1" t="n">
        <v>46046</v>
      </c>
      <c r="D3746" t="inlineStr">
        <is>
          <t>NORRBOTTENS LÄN</t>
        </is>
      </c>
      <c r="E3746" t="inlineStr">
        <is>
          <t>KALIX</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54824-2022</t>
        </is>
      </c>
      <c r="B3747" s="1" t="n">
        <v>44883.92393518519</v>
      </c>
      <c r="C3747" s="1" t="n">
        <v>46046</v>
      </c>
      <c r="D3747" t="inlineStr">
        <is>
          <t>NORRBOTTENS LÄN</t>
        </is>
      </c>
      <c r="E3747" t="inlineStr">
        <is>
          <t>LULEÅ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30476-2025</t>
        </is>
      </c>
      <c r="B3748" s="1" t="n">
        <v>45828</v>
      </c>
      <c r="C3748" s="1" t="n">
        <v>46046</v>
      </c>
      <c r="D3748" t="inlineStr">
        <is>
          <t>NORRBOTTENS LÄN</t>
        </is>
      </c>
      <c r="E3748" t="inlineStr">
        <is>
          <t>GÄLLIVARE</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47051-2024</t>
        </is>
      </c>
      <c r="B3749" s="1" t="n">
        <v>45585</v>
      </c>
      <c r="C3749" s="1" t="n">
        <v>46046</v>
      </c>
      <c r="D3749" t="inlineStr">
        <is>
          <t>NORRBOTTENS LÄN</t>
        </is>
      </c>
      <c r="E3749" t="inlineStr">
        <is>
          <t>PAJALA</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11535-2024</t>
        </is>
      </c>
      <c r="B3750" s="1" t="n">
        <v>45372.92877314815</v>
      </c>
      <c r="C3750" s="1" t="n">
        <v>46046</v>
      </c>
      <c r="D3750" t="inlineStr">
        <is>
          <t>NORRBOTTENS LÄN</t>
        </is>
      </c>
      <c r="E3750" t="inlineStr">
        <is>
          <t>ÖVERKALIX</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6744-2025</t>
        </is>
      </c>
      <c r="B3751" s="1" t="n">
        <v>45700.60403935185</v>
      </c>
      <c r="C3751" s="1" t="n">
        <v>46046</v>
      </c>
      <c r="D3751" t="inlineStr">
        <is>
          <t>NORRBOTTENS LÄN</t>
        </is>
      </c>
      <c r="E3751" t="inlineStr">
        <is>
          <t>PITEÅ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18771-2023</t>
        </is>
      </c>
      <c r="B3752" s="1" t="n">
        <v>45043.94283564815</v>
      </c>
      <c r="C3752" s="1" t="n">
        <v>46046</v>
      </c>
      <c r="D3752" t="inlineStr">
        <is>
          <t>NORRBOTTENS LÄN</t>
        </is>
      </c>
      <c r="E3752" t="inlineStr">
        <is>
          <t>PITEÅ</t>
        </is>
      </c>
      <c r="F3752" t="inlineStr">
        <is>
          <t>SCA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2925-2023</t>
        </is>
      </c>
      <c r="B3753" s="1" t="n">
        <v>44945</v>
      </c>
      <c r="C3753" s="1" t="n">
        <v>46046</v>
      </c>
      <c r="D3753" t="inlineStr">
        <is>
          <t>NORRBOTTENS LÄN</t>
        </is>
      </c>
      <c r="E3753" t="inlineStr">
        <is>
          <t>PAJALA</t>
        </is>
      </c>
      <c r="G3753" t="n">
        <v>20.2</v>
      </c>
      <c r="H3753" t="n">
        <v>0</v>
      </c>
      <c r="I3753" t="n">
        <v>0</v>
      </c>
      <c r="J3753" t="n">
        <v>0</v>
      </c>
      <c r="K3753" t="n">
        <v>0</v>
      </c>
      <c r="L3753" t="n">
        <v>0</v>
      </c>
      <c r="M3753" t="n">
        <v>0</v>
      </c>
      <c r="N3753" t="n">
        <v>0</v>
      </c>
      <c r="O3753" t="n">
        <v>0</v>
      </c>
      <c r="P3753" t="n">
        <v>0</v>
      </c>
      <c r="Q3753" t="n">
        <v>0</v>
      </c>
      <c r="R3753" s="2" t="inlineStr"/>
    </row>
    <row r="3754" ht="15" customHeight="1">
      <c r="A3754" t="inlineStr">
        <is>
          <t>A 25275-2023</t>
        </is>
      </c>
      <c r="B3754" s="1" t="n">
        <v>45079</v>
      </c>
      <c r="C3754" s="1" t="n">
        <v>46046</v>
      </c>
      <c r="D3754" t="inlineStr">
        <is>
          <t>NORRBOTTENS LÄN</t>
        </is>
      </c>
      <c r="E3754" t="inlineStr">
        <is>
          <t>ARJEPLOG</t>
        </is>
      </c>
      <c r="F3754" t="inlineStr">
        <is>
          <t>Övriga statliga verk och myndigheter</t>
        </is>
      </c>
      <c r="G3754" t="n">
        <v>22.7</v>
      </c>
      <c r="H3754" t="n">
        <v>0</v>
      </c>
      <c r="I3754" t="n">
        <v>0</v>
      </c>
      <c r="J3754" t="n">
        <v>0</v>
      </c>
      <c r="K3754" t="n">
        <v>0</v>
      </c>
      <c r="L3754" t="n">
        <v>0</v>
      </c>
      <c r="M3754" t="n">
        <v>0</v>
      </c>
      <c r="N3754" t="n">
        <v>0</v>
      </c>
      <c r="O3754" t="n">
        <v>0</v>
      </c>
      <c r="P3754" t="n">
        <v>0</v>
      </c>
      <c r="Q3754" t="n">
        <v>0</v>
      </c>
      <c r="R3754" s="2" t="inlineStr"/>
    </row>
    <row r="3755" ht="15" customHeight="1">
      <c r="A3755" t="inlineStr">
        <is>
          <t>A 30705-2025</t>
        </is>
      </c>
      <c r="B3755" s="1" t="n">
        <v>45831.54939814815</v>
      </c>
      <c r="C3755" s="1" t="n">
        <v>46046</v>
      </c>
      <c r="D3755" t="inlineStr">
        <is>
          <t>NORRBOTTENS LÄN</t>
        </is>
      </c>
      <c r="E3755" t="inlineStr">
        <is>
          <t>BODEN</t>
        </is>
      </c>
      <c r="F3755" t="inlineStr">
        <is>
          <t>Sveaskog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15532-2025</t>
        </is>
      </c>
      <c r="B3756" s="1" t="n">
        <v>45747.63590277778</v>
      </c>
      <c r="C3756" s="1" t="n">
        <v>46046</v>
      </c>
      <c r="D3756" t="inlineStr">
        <is>
          <t>NORRBOTTENS LÄN</t>
        </is>
      </c>
      <c r="E3756" t="inlineStr">
        <is>
          <t>PITEÅ</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51304-2022</t>
        </is>
      </c>
      <c r="B3757" s="1" t="n">
        <v>44868</v>
      </c>
      <c r="C3757" s="1" t="n">
        <v>46046</v>
      </c>
      <c r="D3757" t="inlineStr">
        <is>
          <t>NORRBOTTENS LÄN</t>
        </is>
      </c>
      <c r="E3757" t="inlineStr">
        <is>
          <t>JOKKMOKK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30785-2025</t>
        </is>
      </c>
      <c r="B3758" s="1" t="n">
        <v>45831.62880787037</v>
      </c>
      <c r="C3758" s="1" t="n">
        <v>46046</v>
      </c>
      <c r="D3758" t="inlineStr">
        <is>
          <t>NORRBOTTENS LÄN</t>
        </is>
      </c>
      <c r="E3758" t="inlineStr">
        <is>
          <t>PAJALA</t>
        </is>
      </c>
      <c r="F3758" t="inlineStr">
        <is>
          <t>Sveaskog</t>
        </is>
      </c>
      <c r="G3758" t="n">
        <v>16.7</v>
      </c>
      <c r="H3758" t="n">
        <v>0</v>
      </c>
      <c r="I3758" t="n">
        <v>0</v>
      </c>
      <c r="J3758" t="n">
        <v>0</v>
      </c>
      <c r="K3758" t="n">
        <v>0</v>
      </c>
      <c r="L3758" t="n">
        <v>0</v>
      </c>
      <c r="M3758" t="n">
        <v>0</v>
      </c>
      <c r="N3758" t="n">
        <v>0</v>
      </c>
      <c r="O3758" t="n">
        <v>0</v>
      </c>
      <c r="P3758" t="n">
        <v>0</v>
      </c>
      <c r="Q3758" t="n">
        <v>0</v>
      </c>
      <c r="R3758" s="2" t="inlineStr"/>
    </row>
    <row r="3759" ht="15" customHeight="1">
      <c r="A3759" t="inlineStr">
        <is>
          <t>A 18737-2023</t>
        </is>
      </c>
      <c r="B3759" s="1" t="n">
        <v>45042</v>
      </c>
      <c r="C3759" s="1" t="n">
        <v>46046</v>
      </c>
      <c r="D3759" t="inlineStr">
        <is>
          <t>NORRBOTTENS LÄN</t>
        </is>
      </c>
      <c r="E3759" t="inlineStr">
        <is>
          <t>KIRUNA</t>
        </is>
      </c>
      <c r="F3759" t="inlineStr">
        <is>
          <t>Sveaskog</t>
        </is>
      </c>
      <c r="G3759" t="n">
        <v>10.7</v>
      </c>
      <c r="H3759" t="n">
        <v>0</v>
      </c>
      <c r="I3759" t="n">
        <v>0</v>
      </c>
      <c r="J3759" t="n">
        <v>0</v>
      </c>
      <c r="K3759" t="n">
        <v>0</v>
      </c>
      <c r="L3759" t="n">
        <v>0</v>
      </c>
      <c r="M3759" t="n">
        <v>0</v>
      </c>
      <c r="N3759" t="n">
        <v>0</v>
      </c>
      <c r="O3759" t="n">
        <v>0</v>
      </c>
      <c r="P3759" t="n">
        <v>0</v>
      </c>
      <c r="Q3759" t="n">
        <v>0</v>
      </c>
      <c r="R3759" s="2" t="inlineStr"/>
    </row>
    <row r="3760" ht="15" customHeight="1">
      <c r="A3760" t="inlineStr">
        <is>
          <t>A 31104-2024</t>
        </is>
      </c>
      <c r="B3760" s="1" t="n">
        <v>45502</v>
      </c>
      <c r="C3760" s="1" t="n">
        <v>46046</v>
      </c>
      <c r="D3760" t="inlineStr">
        <is>
          <t>NORRBOTTENS LÄN</t>
        </is>
      </c>
      <c r="E3760" t="inlineStr">
        <is>
          <t>HAPARANDA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37820-2022</t>
        </is>
      </c>
      <c r="B3761" s="1" t="n">
        <v>44810</v>
      </c>
      <c r="C3761" s="1" t="n">
        <v>46046</v>
      </c>
      <c r="D3761" t="inlineStr">
        <is>
          <t>NORRBOTTENS LÄN</t>
        </is>
      </c>
      <c r="E3761" t="inlineStr">
        <is>
          <t>LULEÅ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31009-2025</t>
        </is>
      </c>
      <c r="B3762" s="1" t="n">
        <v>45831</v>
      </c>
      <c r="C3762" s="1" t="n">
        <v>46046</v>
      </c>
      <c r="D3762" t="inlineStr">
        <is>
          <t>NORRBOTTENS LÄN</t>
        </is>
      </c>
      <c r="E3762" t="inlineStr">
        <is>
          <t>ÖVERKALIX</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31025-2025</t>
        </is>
      </c>
      <c r="B3763" s="1" t="n">
        <v>45831</v>
      </c>
      <c r="C3763" s="1" t="n">
        <v>46046</v>
      </c>
      <c r="D3763" t="inlineStr">
        <is>
          <t>NORRBOTTENS LÄN</t>
        </is>
      </c>
      <c r="E3763" t="inlineStr">
        <is>
          <t>LULEÅ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30985-2025</t>
        </is>
      </c>
      <c r="B3764" s="1" t="n">
        <v>45831</v>
      </c>
      <c r="C3764" s="1" t="n">
        <v>46046</v>
      </c>
      <c r="D3764" t="inlineStr">
        <is>
          <t>NORRBOTTENS LÄN</t>
        </is>
      </c>
      <c r="E3764" t="inlineStr">
        <is>
          <t>ÖVERKALIX</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54317-2023</t>
        </is>
      </c>
      <c r="B3765" s="1" t="n">
        <v>45232</v>
      </c>
      <c r="C3765" s="1" t="n">
        <v>46046</v>
      </c>
      <c r="D3765" t="inlineStr">
        <is>
          <t>NORRBOTTENS LÄN</t>
        </is>
      </c>
      <c r="E3765" t="inlineStr">
        <is>
          <t>ÄLVSBYN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34992-2024</t>
        </is>
      </c>
      <c r="B3766" s="1" t="n">
        <v>45527</v>
      </c>
      <c r="C3766" s="1" t="n">
        <v>46046</v>
      </c>
      <c r="D3766" t="inlineStr">
        <is>
          <t>NORRBOTTENS LÄN</t>
        </is>
      </c>
      <c r="E3766" t="inlineStr">
        <is>
          <t>LULEÅ</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45929-2023</t>
        </is>
      </c>
      <c r="B3767" s="1" t="n">
        <v>45195.94517361111</v>
      </c>
      <c r="C3767" s="1" t="n">
        <v>46046</v>
      </c>
      <c r="D3767" t="inlineStr">
        <is>
          <t>NORRBOTTENS LÄN</t>
        </is>
      </c>
      <c r="E3767" t="inlineStr">
        <is>
          <t>BODEN</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39436-2024</t>
        </is>
      </c>
      <c r="B3768" s="1" t="n">
        <v>45551</v>
      </c>
      <c r="C3768" s="1" t="n">
        <v>46046</v>
      </c>
      <c r="D3768" t="inlineStr">
        <is>
          <t>NORRBOTTENS LÄN</t>
        </is>
      </c>
      <c r="E3768" t="inlineStr">
        <is>
          <t>ARVIDSJAUR</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39439-2024</t>
        </is>
      </c>
      <c r="B3769" s="1" t="n">
        <v>45551.60893518518</v>
      </c>
      <c r="C3769" s="1" t="n">
        <v>46046</v>
      </c>
      <c r="D3769" t="inlineStr">
        <is>
          <t>NORRBOTTENS LÄN</t>
        </is>
      </c>
      <c r="E3769" t="inlineStr">
        <is>
          <t>ARVIDSJAUR</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41195-2024</t>
        </is>
      </c>
      <c r="B3770" s="1" t="n">
        <v>45559.51078703703</v>
      </c>
      <c r="C3770" s="1" t="n">
        <v>46046</v>
      </c>
      <c r="D3770" t="inlineStr">
        <is>
          <t>NORRBOTTENS LÄN</t>
        </is>
      </c>
      <c r="E3770" t="inlineStr">
        <is>
          <t>PITEÅ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30526-2025</t>
        </is>
      </c>
      <c r="B3771" s="1" t="n">
        <v>45831.35650462963</v>
      </c>
      <c r="C3771" s="1" t="n">
        <v>46046</v>
      </c>
      <c r="D3771" t="inlineStr">
        <is>
          <t>NORRBOTTENS LÄN</t>
        </is>
      </c>
      <c r="E3771" t="inlineStr">
        <is>
          <t>ÄLVSBYN</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59890-2023</t>
        </is>
      </c>
      <c r="B3772" s="1" t="n">
        <v>45254</v>
      </c>
      <c r="C3772" s="1" t="n">
        <v>46046</v>
      </c>
      <c r="D3772" t="inlineStr">
        <is>
          <t>NORRBOTTENS LÄN</t>
        </is>
      </c>
      <c r="E3772" t="inlineStr">
        <is>
          <t>BODEN</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30776-2025</t>
        </is>
      </c>
      <c r="B3773" s="1" t="n">
        <v>45831.61511574074</v>
      </c>
      <c r="C3773" s="1" t="n">
        <v>46046</v>
      </c>
      <c r="D3773" t="inlineStr">
        <is>
          <t>NORRBOTTENS LÄN</t>
        </is>
      </c>
      <c r="E3773" t="inlineStr">
        <is>
          <t>ÖVERKALIX</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51525-2024</t>
        </is>
      </c>
      <c r="B3774" s="1" t="n">
        <v>45604</v>
      </c>
      <c r="C3774" s="1" t="n">
        <v>46046</v>
      </c>
      <c r="D3774" t="inlineStr">
        <is>
          <t>NORRBOTTENS LÄN</t>
        </is>
      </c>
      <c r="E3774" t="inlineStr">
        <is>
          <t>ÖVERKALIX</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51570-2024</t>
        </is>
      </c>
      <c r="B3775" s="1" t="n">
        <v>45604</v>
      </c>
      <c r="C3775" s="1" t="n">
        <v>46046</v>
      </c>
      <c r="D3775" t="inlineStr">
        <is>
          <t>NORRBOTTENS LÄN</t>
        </is>
      </c>
      <c r="E3775" t="inlineStr">
        <is>
          <t>GÄLLIVARE</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30715-2025</t>
        </is>
      </c>
      <c r="B3776" s="1" t="n">
        <v>45831.55346064815</v>
      </c>
      <c r="C3776" s="1" t="n">
        <v>46046</v>
      </c>
      <c r="D3776" t="inlineStr">
        <is>
          <t>NORRBOTTENS LÄN</t>
        </is>
      </c>
      <c r="E3776" t="inlineStr">
        <is>
          <t>KALIX</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61583-2024</t>
        </is>
      </c>
      <c r="B3777" s="1" t="n">
        <v>45646.62667824074</v>
      </c>
      <c r="C3777" s="1" t="n">
        <v>46046</v>
      </c>
      <c r="D3777" t="inlineStr">
        <is>
          <t>NORRBOTTENS LÄN</t>
        </is>
      </c>
      <c r="E3777" t="inlineStr">
        <is>
          <t>BODEN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61587-2024</t>
        </is>
      </c>
      <c r="B3778" s="1" t="n">
        <v>45646.62850694444</v>
      </c>
      <c r="C3778" s="1" t="n">
        <v>46046</v>
      </c>
      <c r="D3778" t="inlineStr">
        <is>
          <t>NORRBOTTENS LÄN</t>
        </is>
      </c>
      <c r="E3778" t="inlineStr">
        <is>
          <t>BODEN</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63219-2021</t>
        </is>
      </c>
      <c r="B3779" s="1" t="n">
        <v>44508.31758101852</v>
      </c>
      <c r="C3779" s="1" t="n">
        <v>46046</v>
      </c>
      <c r="D3779" t="inlineStr">
        <is>
          <t>NORRBOTTENS LÄN</t>
        </is>
      </c>
      <c r="E3779" t="inlineStr">
        <is>
          <t>HAPARANDA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19433-2025</t>
        </is>
      </c>
      <c r="B3780" s="1" t="n">
        <v>45769.89828703704</v>
      </c>
      <c r="C3780" s="1" t="n">
        <v>46046</v>
      </c>
      <c r="D3780" t="inlineStr">
        <is>
          <t>NORRBOTTENS LÄN</t>
        </is>
      </c>
      <c r="E3780" t="inlineStr">
        <is>
          <t>PITEÅ</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30990-2025</t>
        </is>
      </c>
      <c r="B3781" s="1" t="n">
        <v>45831</v>
      </c>
      <c r="C3781" s="1" t="n">
        <v>46046</v>
      </c>
      <c r="D3781" t="inlineStr">
        <is>
          <t>NORRBOTTENS LÄN</t>
        </is>
      </c>
      <c r="E3781" t="inlineStr">
        <is>
          <t>ÖVERKALIX</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30992-2025</t>
        </is>
      </c>
      <c r="B3782" s="1" t="n">
        <v>45831</v>
      </c>
      <c r="C3782" s="1" t="n">
        <v>46046</v>
      </c>
      <c r="D3782" t="inlineStr">
        <is>
          <t>NORRBOTTENS LÄN</t>
        </is>
      </c>
      <c r="E3782" t="inlineStr">
        <is>
          <t>ÖVERKALIX</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4012-2022</t>
        </is>
      </c>
      <c r="B3783" s="1" t="n">
        <v>44587</v>
      </c>
      <c r="C3783" s="1" t="n">
        <v>46046</v>
      </c>
      <c r="D3783" t="inlineStr">
        <is>
          <t>NORRBOTTENS LÄN</t>
        </is>
      </c>
      <c r="E3783" t="inlineStr">
        <is>
          <t>ÖVERTORNEÅ</t>
        </is>
      </c>
      <c r="F3783" t="inlineStr">
        <is>
          <t>Kommuner</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15352-2024</t>
        </is>
      </c>
      <c r="B3784" s="1" t="n">
        <v>45400.83166666667</v>
      </c>
      <c r="C3784" s="1" t="n">
        <v>46046</v>
      </c>
      <c r="D3784" t="inlineStr">
        <is>
          <t>NORRBOTTENS LÄN</t>
        </is>
      </c>
      <c r="E3784" t="inlineStr">
        <is>
          <t>PITEÅ</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49473-2023</t>
        </is>
      </c>
      <c r="B3785" s="1" t="n">
        <v>45205</v>
      </c>
      <c r="C3785" s="1" t="n">
        <v>46046</v>
      </c>
      <c r="D3785" t="inlineStr">
        <is>
          <t>NORRBOTTENS LÄN</t>
        </is>
      </c>
      <c r="E3785" t="inlineStr">
        <is>
          <t>ÖVERKALIX</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37951-2021</t>
        </is>
      </c>
      <c r="B3786" s="1" t="n">
        <v>44403.92158564815</v>
      </c>
      <c r="C3786" s="1" t="n">
        <v>46046</v>
      </c>
      <c r="D3786" t="inlineStr">
        <is>
          <t>NORRBOTTENS LÄN</t>
        </is>
      </c>
      <c r="E3786" t="inlineStr">
        <is>
          <t>PITEÅ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19051-2024</t>
        </is>
      </c>
      <c r="B3787" s="1" t="n">
        <v>45427</v>
      </c>
      <c r="C3787" s="1" t="n">
        <v>46046</v>
      </c>
      <c r="D3787" t="inlineStr">
        <is>
          <t>NORRBOTTENS LÄN</t>
        </is>
      </c>
      <c r="E3787" t="inlineStr">
        <is>
          <t>ÖVERTORNEÅ</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30700-2025</t>
        </is>
      </c>
      <c r="B3788" s="1" t="n">
        <v>45831.5465625</v>
      </c>
      <c r="C3788" s="1" t="n">
        <v>46046</v>
      </c>
      <c r="D3788" t="inlineStr">
        <is>
          <t>NORRBOTTENS LÄN</t>
        </is>
      </c>
      <c r="E3788" t="inlineStr">
        <is>
          <t>BODEN</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64822-2023</t>
        </is>
      </c>
      <c r="B3789" s="1" t="n">
        <v>45281</v>
      </c>
      <c r="C3789" s="1" t="n">
        <v>46046</v>
      </c>
      <c r="D3789" t="inlineStr">
        <is>
          <t>NORRBOTTENS LÄN</t>
        </is>
      </c>
      <c r="E3789" t="inlineStr">
        <is>
          <t>ARJEPLOG</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14974-2025</t>
        </is>
      </c>
      <c r="B3790" s="1" t="n">
        <v>45743</v>
      </c>
      <c r="C3790" s="1" t="n">
        <v>46046</v>
      </c>
      <c r="D3790" t="inlineStr">
        <is>
          <t>NORRBOTTENS LÄN</t>
        </is>
      </c>
      <c r="E3790" t="inlineStr">
        <is>
          <t>GÄLLIVARE</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15045-2025</t>
        </is>
      </c>
      <c r="B3791" s="1" t="n">
        <v>45743</v>
      </c>
      <c r="C3791" s="1" t="n">
        <v>46046</v>
      </c>
      <c r="D3791" t="inlineStr">
        <is>
          <t>NORRBOTTENS LÄN</t>
        </is>
      </c>
      <c r="E3791" t="inlineStr">
        <is>
          <t>ÖVERTORNEÅ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30949-2025</t>
        </is>
      </c>
      <c r="B3792" s="1" t="n">
        <v>45832.42759259259</v>
      </c>
      <c r="C3792" s="1" t="n">
        <v>46046</v>
      </c>
      <c r="D3792" t="inlineStr">
        <is>
          <t>NORRBOTTENS LÄN</t>
        </is>
      </c>
      <c r="E3792" t="inlineStr">
        <is>
          <t>PITEÅ</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31013-2025</t>
        </is>
      </c>
      <c r="B3793" s="1" t="n">
        <v>45832.50912037037</v>
      </c>
      <c r="C3793" s="1" t="n">
        <v>46046</v>
      </c>
      <c r="D3793" t="inlineStr">
        <is>
          <t>NORRBOTTENS LÄN</t>
        </is>
      </c>
      <c r="E3793" t="inlineStr">
        <is>
          <t>ÄLVSBYN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1267-2023</t>
        </is>
      </c>
      <c r="B3794" s="1" t="n">
        <v>44936.40097222223</v>
      </c>
      <c r="C3794" s="1" t="n">
        <v>46046</v>
      </c>
      <c r="D3794" t="inlineStr">
        <is>
          <t>NORRBOTTENS LÄN</t>
        </is>
      </c>
      <c r="E3794" t="inlineStr">
        <is>
          <t>KALIX</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25503-2024</t>
        </is>
      </c>
      <c r="B3795" s="1" t="n">
        <v>45463.48306712963</v>
      </c>
      <c r="C3795" s="1" t="n">
        <v>46046</v>
      </c>
      <c r="D3795" t="inlineStr">
        <is>
          <t>NORRBOTTENS LÄN</t>
        </is>
      </c>
      <c r="E3795" t="inlineStr">
        <is>
          <t>GÄLLIVARE</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62580-2023</t>
        </is>
      </c>
      <c r="B3796" s="1" t="n">
        <v>45270.6325462963</v>
      </c>
      <c r="C3796" s="1" t="n">
        <v>46046</v>
      </c>
      <c r="D3796" t="inlineStr">
        <is>
          <t>NORRBOTTENS LÄN</t>
        </is>
      </c>
      <c r="E3796" t="inlineStr">
        <is>
          <t>PAJALA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32915-2023</t>
        </is>
      </c>
      <c r="B3797" s="1" t="n">
        <v>45124.95214120371</v>
      </c>
      <c r="C3797" s="1" t="n">
        <v>46046</v>
      </c>
      <c r="D3797" t="inlineStr">
        <is>
          <t>NORRBOTTENS LÄN</t>
        </is>
      </c>
      <c r="E3797" t="inlineStr">
        <is>
          <t>JOKKMOKK</t>
        </is>
      </c>
      <c r="F3797" t="inlineStr">
        <is>
          <t>SCA</t>
        </is>
      </c>
      <c r="G3797" t="n">
        <v>15.1</v>
      </c>
      <c r="H3797" t="n">
        <v>0</v>
      </c>
      <c r="I3797" t="n">
        <v>0</v>
      </c>
      <c r="J3797" t="n">
        <v>0</v>
      </c>
      <c r="K3797" t="n">
        <v>0</v>
      </c>
      <c r="L3797" t="n">
        <v>0</v>
      </c>
      <c r="M3797" t="n">
        <v>0</v>
      </c>
      <c r="N3797" t="n">
        <v>0</v>
      </c>
      <c r="O3797" t="n">
        <v>0</v>
      </c>
      <c r="P3797" t="n">
        <v>0</v>
      </c>
      <c r="Q3797" t="n">
        <v>0</v>
      </c>
      <c r="R3797" s="2" t="inlineStr"/>
    </row>
    <row r="3798" ht="15" customHeight="1">
      <c r="A3798" t="inlineStr">
        <is>
          <t>A 60618-2024</t>
        </is>
      </c>
      <c r="B3798" s="1" t="n">
        <v>45644.38747685185</v>
      </c>
      <c r="C3798" s="1" t="n">
        <v>46046</v>
      </c>
      <c r="D3798" t="inlineStr">
        <is>
          <t>NORRBOTTENS LÄN</t>
        </is>
      </c>
      <c r="E3798" t="inlineStr">
        <is>
          <t>PITEÅ</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44340-2024</t>
        </is>
      </c>
      <c r="B3799" s="1" t="n">
        <v>45573</v>
      </c>
      <c r="C3799" s="1" t="n">
        <v>46046</v>
      </c>
      <c r="D3799" t="inlineStr">
        <is>
          <t>NORRBOTTENS LÄN</t>
        </is>
      </c>
      <c r="E3799" t="inlineStr">
        <is>
          <t>GÄLLIVARE</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19984-2025</t>
        </is>
      </c>
      <c r="B3800" s="1" t="n">
        <v>45771.71935185185</v>
      </c>
      <c r="C3800" s="1" t="n">
        <v>46046</v>
      </c>
      <c r="D3800" t="inlineStr">
        <is>
          <t>NORRBOTTENS LÄN</t>
        </is>
      </c>
      <c r="E3800" t="inlineStr">
        <is>
          <t>ÖVERKALIX</t>
        </is>
      </c>
      <c r="F3800" t="inlineStr">
        <is>
          <t>SCA</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47701-2022</t>
        </is>
      </c>
      <c r="B3801" s="1" t="n">
        <v>44854</v>
      </c>
      <c r="C3801" s="1" t="n">
        <v>46046</v>
      </c>
      <c r="D3801" t="inlineStr">
        <is>
          <t>NORRBOTTENS LÄN</t>
        </is>
      </c>
      <c r="E3801" t="inlineStr">
        <is>
          <t>PAJALA</t>
        </is>
      </c>
      <c r="F3801" t="inlineStr">
        <is>
          <t>Sveaskog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30912-2025</t>
        </is>
      </c>
      <c r="B3802" s="1" t="n">
        <v>45832.37572916667</v>
      </c>
      <c r="C3802" s="1" t="n">
        <v>46046</v>
      </c>
      <c r="D3802" t="inlineStr">
        <is>
          <t>NORRBOTTENS LÄN</t>
        </is>
      </c>
      <c r="E3802" t="inlineStr">
        <is>
          <t>ÄLVSBYN</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19051-2025</t>
        </is>
      </c>
      <c r="B3803" s="1" t="n">
        <v>45764</v>
      </c>
      <c r="C3803" s="1" t="n">
        <v>46046</v>
      </c>
      <c r="D3803" t="inlineStr">
        <is>
          <t>NORRBOTTENS LÄN</t>
        </is>
      </c>
      <c r="E3803" t="inlineStr">
        <is>
          <t>BODEN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58386-2024</t>
        </is>
      </c>
      <c r="B3804" s="1" t="n">
        <v>45633</v>
      </c>
      <c r="C3804" s="1" t="n">
        <v>46046</v>
      </c>
      <c r="D3804" t="inlineStr">
        <is>
          <t>NORRBOTTENS LÄN</t>
        </is>
      </c>
      <c r="E3804" t="inlineStr">
        <is>
          <t>ÖVERTORNEÅ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47703-2022</t>
        </is>
      </c>
      <c r="B3805" s="1" t="n">
        <v>44854</v>
      </c>
      <c r="C3805" s="1" t="n">
        <v>46046</v>
      </c>
      <c r="D3805" t="inlineStr">
        <is>
          <t>NORRBOTTENS LÄN</t>
        </is>
      </c>
      <c r="E3805" t="inlineStr">
        <is>
          <t>PAJALA</t>
        </is>
      </c>
      <c r="F3805" t="inlineStr">
        <is>
          <t>Sveaskog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30907-2025</t>
        </is>
      </c>
      <c r="B3806" s="1" t="n">
        <v>45832.36484953704</v>
      </c>
      <c r="C3806" s="1" t="n">
        <v>46046</v>
      </c>
      <c r="D3806" t="inlineStr">
        <is>
          <t>NORRBOTTENS LÄN</t>
        </is>
      </c>
      <c r="E3806" t="inlineStr">
        <is>
          <t>LULEÅ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2778-2025</t>
        </is>
      </c>
      <c r="B3807" s="1" t="n">
        <v>45677.53295138889</v>
      </c>
      <c r="C3807" s="1" t="n">
        <v>46046</v>
      </c>
      <c r="D3807" t="inlineStr">
        <is>
          <t>NORRBOTTENS LÄN</t>
        </is>
      </c>
      <c r="E3807" t="inlineStr">
        <is>
          <t>PITEÅ</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31363-2025</t>
        </is>
      </c>
      <c r="B3808" s="1" t="n">
        <v>45833.43721064815</v>
      </c>
      <c r="C3808" s="1" t="n">
        <v>46046</v>
      </c>
      <c r="D3808" t="inlineStr">
        <is>
          <t>NORRBOTTENS LÄN</t>
        </is>
      </c>
      <c r="E3808" t="inlineStr">
        <is>
          <t>BODEN</t>
        </is>
      </c>
      <c r="F3808" t="inlineStr">
        <is>
          <t>Sveaskog</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31097-2025</t>
        </is>
      </c>
      <c r="B3809" s="1" t="n">
        <v>45832.59638888889</v>
      </c>
      <c r="C3809" s="1" t="n">
        <v>46046</v>
      </c>
      <c r="D3809" t="inlineStr">
        <is>
          <t>NORRBOTTENS LÄN</t>
        </is>
      </c>
      <c r="E3809" t="inlineStr">
        <is>
          <t>GÄLLIVARE</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31430-2025</t>
        </is>
      </c>
      <c r="B3810" s="1" t="n">
        <v>45833.49342592592</v>
      </c>
      <c r="C3810" s="1" t="n">
        <v>46046</v>
      </c>
      <c r="D3810" t="inlineStr">
        <is>
          <t>NORRBOTTENS LÄN</t>
        </is>
      </c>
      <c r="E3810" t="inlineStr">
        <is>
          <t>GÄLLIVARE</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31453-2025</t>
        </is>
      </c>
      <c r="B3811" s="1" t="n">
        <v>45833.53407407407</v>
      </c>
      <c r="C3811" s="1" t="n">
        <v>46046</v>
      </c>
      <c r="D3811" t="inlineStr">
        <is>
          <t>NORRBOTTENS LÄN</t>
        </is>
      </c>
      <c r="E3811" t="inlineStr">
        <is>
          <t>PITEÅ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31205-2025</t>
        </is>
      </c>
      <c r="B3812" s="1" t="n">
        <v>45832.70251157408</v>
      </c>
      <c r="C3812" s="1" t="n">
        <v>46046</v>
      </c>
      <c r="D3812" t="inlineStr">
        <is>
          <t>NORRBOTTENS LÄN</t>
        </is>
      </c>
      <c r="E3812" t="inlineStr">
        <is>
          <t>PAJALA</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31209-2025</t>
        </is>
      </c>
      <c r="B3813" s="1" t="n">
        <v>45832.7091087963</v>
      </c>
      <c r="C3813" s="1" t="n">
        <v>46046</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58055-2024</t>
        </is>
      </c>
      <c r="B3814" s="1" t="n">
        <v>45631.86152777778</v>
      </c>
      <c r="C3814" s="1" t="n">
        <v>46046</v>
      </c>
      <c r="D3814" t="inlineStr">
        <is>
          <t>NORRBOTTENS LÄN</t>
        </is>
      </c>
      <c r="E3814" t="inlineStr">
        <is>
          <t>PAJALA</t>
        </is>
      </c>
      <c r="G3814" t="n">
        <v>20.3</v>
      </c>
      <c r="H3814" t="n">
        <v>0</v>
      </c>
      <c r="I3814" t="n">
        <v>0</v>
      </c>
      <c r="J3814" t="n">
        <v>0</v>
      </c>
      <c r="K3814" t="n">
        <v>0</v>
      </c>
      <c r="L3814" t="n">
        <v>0</v>
      </c>
      <c r="M3814" t="n">
        <v>0</v>
      </c>
      <c r="N3814" t="n">
        <v>0</v>
      </c>
      <c r="O3814" t="n">
        <v>0</v>
      </c>
      <c r="P3814" t="n">
        <v>0</v>
      </c>
      <c r="Q3814" t="n">
        <v>0</v>
      </c>
      <c r="R3814" s="2" t="inlineStr"/>
    </row>
    <row r="3815" ht="15" customHeight="1">
      <c r="A3815" t="inlineStr">
        <is>
          <t>A 31436-2025</t>
        </is>
      </c>
      <c r="B3815" s="1" t="n">
        <v>45833.49737268518</v>
      </c>
      <c r="C3815" s="1" t="n">
        <v>46046</v>
      </c>
      <c r="D3815" t="inlineStr">
        <is>
          <t>NORRBOTTENS LÄN</t>
        </is>
      </c>
      <c r="E3815" t="inlineStr">
        <is>
          <t>GÄLLIVARE</t>
        </is>
      </c>
      <c r="F3815" t="inlineStr">
        <is>
          <t>Sveaskog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36894-2023</t>
        </is>
      </c>
      <c r="B3816" s="1" t="n">
        <v>45154</v>
      </c>
      <c r="C3816" s="1" t="n">
        <v>46046</v>
      </c>
      <c r="D3816" t="inlineStr">
        <is>
          <t>NORRBOTTENS LÄN</t>
        </is>
      </c>
      <c r="E3816" t="inlineStr">
        <is>
          <t>PAJALA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50253-2024</t>
        </is>
      </c>
      <c r="B3817" s="1" t="n">
        <v>45600</v>
      </c>
      <c r="C3817" s="1" t="n">
        <v>46046</v>
      </c>
      <c r="D3817" t="inlineStr">
        <is>
          <t>NORRBOTTENS LÄN</t>
        </is>
      </c>
      <c r="E3817" t="inlineStr">
        <is>
          <t>BODEN</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46843-2022</t>
        </is>
      </c>
      <c r="B3818" s="1" t="n">
        <v>44848</v>
      </c>
      <c r="C3818" s="1" t="n">
        <v>46046</v>
      </c>
      <c r="D3818" t="inlineStr">
        <is>
          <t>NORRBOTTENS LÄN</t>
        </is>
      </c>
      <c r="E3818" t="inlineStr">
        <is>
          <t>PITEÅ</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31195-2025</t>
        </is>
      </c>
      <c r="B3819" s="1" t="n">
        <v>45832.68653935185</v>
      </c>
      <c r="C3819" s="1" t="n">
        <v>46046</v>
      </c>
      <c r="D3819" t="inlineStr">
        <is>
          <t>NORRBOTTENS LÄN</t>
        </is>
      </c>
      <c r="E3819" t="inlineStr">
        <is>
          <t>BODEN</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36980-2023</t>
        </is>
      </c>
      <c r="B3820" s="1" t="n">
        <v>45154.95482638889</v>
      </c>
      <c r="C3820" s="1" t="n">
        <v>46046</v>
      </c>
      <c r="D3820" t="inlineStr">
        <is>
          <t>NORRBOTTENS LÄN</t>
        </is>
      </c>
      <c r="E3820" t="inlineStr">
        <is>
          <t>GÄLLIVARE</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41989-2024</t>
        </is>
      </c>
      <c r="B3821" s="1" t="n">
        <v>45561.63650462963</v>
      </c>
      <c r="C3821" s="1" t="n">
        <v>46046</v>
      </c>
      <c r="D3821" t="inlineStr">
        <is>
          <t>NORRBOTTENS LÄN</t>
        </is>
      </c>
      <c r="E3821" t="inlineStr">
        <is>
          <t>ÄLVSBYN</t>
        </is>
      </c>
      <c r="F3821" t="inlineStr">
        <is>
          <t>SCA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19627-2025</t>
        </is>
      </c>
      <c r="B3822" s="1" t="n">
        <v>45770</v>
      </c>
      <c r="C3822" s="1" t="n">
        <v>46046</v>
      </c>
      <c r="D3822" t="inlineStr">
        <is>
          <t>NORRBOTTENS LÄN</t>
        </is>
      </c>
      <c r="E3822" t="inlineStr">
        <is>
          <t>KALIX</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25575-2024</t>
        </is>
      </c>
      <c r="B3823" s="1" t="n">
        <v>45463.58862268519</v>
      </c>
      <c r="C3823" s="1" t="n">
        <v>46046</v>
      </c>
      <c r="D3823" t="inlineStr">
        <is>
          <t>NORRBOTTENS LÄN</t>
        </is>
      </c>
      <c r="E3823" t="inlineStr">
        <is>
          <t>BODEN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37652-2024</t>
        </is>
      </c>
      <c r="B3824" s="1" t="n">
        <v>45541.55353009259</v>
      </c>
      <c r="C3824" s="1" t="n">
        <v>46046</v>
      </c>
      <c r="D3824" t="inlineStr">
        <is>
          <t>NORRBOTTENS LÄN</t>
        </is>
      </c>
      <c r="E3824" t="inlineStr">
        <is>
          <t>PITEÅ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31563-2025</t>
        </is>
      </c>
      <c r="B3825" s="1" t="n">
        <v>45833.65652777778</v>
      </c>
      <c r="C3825" s="1" t="n">
        <v>46046</v>
      </c>
      <c r="D3825" t="inlineStr">
        <is>
          <t>NORRBOTTENS LÄN</t>
        </is>
      </c>
      <c r="E3825" t="inlineStr">
        <is>
          <t>ÄLVSBYN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31565-2025</t>
        </is>
      </c>
      <c r="B3826" s="1" t="n">
        <v>45833.65660879629</v>
      </c>
      <c r="C3826" s="1" t="n">
        <v>46046</v>
      </c>
      <c r="D3826" t="inlineStr">
        <is>
          <t>NORRBOTTENS LÄN</t>
        </is>
      </c>
      <c r="E3826" t="inlineStr">
        <is>
          <t>ÄLVSBYN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60508-2023</t>
        </is>
      </c>
      <c r="B3827" s="1" t="n">
        <v>45259.64317129629</v>
      </c>
      <c r="C3827" s="1" t="n">
        <v>46046</v>
      </c>
      <c r="D3827" t="inlineStr">
        <is>
          <t>NORRBOTTENS LÄN</t>
        </is>
      </c>
      <c r="E3827" t="inlineStr">
        <is>
          <t>KALIX</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19362-2021</t>
        </is>
      </c>
      <c r="B3828" s="1" t="n">
        <v>44307</v>
      </c>
      <c r="C3828" s="1" t="n">
        <v>46046</v>
      </c>
      <c r="D3828" t="inlineStr">
        <is>
          <t>NORRBOTTENS LÄN</t>
        </is>
      </c>
      <c r="E3828" t="inlineStr">
        <is>
          <t>HAPARANDA</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57254-2021</t>
        </is>
      </c>
      <c r="B3829" s="1" t="n">
        <v>44482</v>
      </c>
      <c r="C3829" s="1" t="n">
        <v>46046</v>
      </c>
      <c r="D3829" t="inlineStr">
        <is>
          <t>NORRBOTTENS LÄN</t>
        </is>
      </c>
      <c r="E3829" t="inlineStr">
        <is>
          <t>HAPARANDA</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31323-2025</t>
        </is>
      </c>
      <c r="B3830" s="1" t="n">
        <v>45833</v>
      </c>
      <c r="C3830" s="1" t="n">
        <v>46046</v>
      </c>
      <c r="D3830" t="inlineStr">
        <is>
          <t>NORRBOTTENS LÄN</t>
        </is>
      </c>
      <c r="E3830" t="inlineStr">
        <is>
          <t>BODEN</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30967-2025</t>
        </is>
      </c>
      <c r="B3831" s="1" t="n">
        <v>45832.45363425926</v>
      </c>
      <c r="C3831" s="1" t="n">
        <v>46046</v>
      </c>
      <c r="D3831" t="inlineStr">
        <is>
          <t>NORRBOTTENS LÄN</t>
        </is>
      </c>
      <c r="E3831" t="inlineStr">
        <is>
          <t>ÄLVSBYN</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27175-2023</t>
        </is>
      </c>
      <c r="B3832" s="1" t="n">
        <v>45096</v>
      </c>
      <c r="C3832" s="1" t="n">
        <v>46046</v>
      </c>
      <c r="D3832" t="inlineStr">
        <is>
          <t>NORRBOTTENS LÄN</t>
        </is>
      </c>
      <c r="E3832" t="inlineStr">
        <is>
          <t>PITEÅ</t>
        </is>
      </c>
      <c r="F3832" t="inlineStr">
        <is>
          <t>Övriga Aktiebolag</t>
        </is>
      </c>
      <c r="G3832" t="n">
        <v>9.4</v>
      </c>
      <c r="H3832" t="n">
        <v>0</v>
      </c>
      <c r="I3832" t="n">
        <v>0</v>
      </c>
      <c r="J3832" t="n">
        <v>0</v>
      </c>
      <c r="K3832" t="n">
        <v>0</v>
      </c>
      <c r="L3832" t="n">
        <v>0</v>
      </c>
      <c r="M3832" t="n">
        <v>0</v>
      </c>
      <c r="N3832" t="n">
        <v>0</v>
      </c>
      <c r="O3832" t="n">
        <v>0</v>
      </c>
      <c r="P3832" t="n">
        <v>0</v>
      </c>
      <c r="Q3832" t="n">
        <v>0</v>
      </c>
      <c r="R3832" s="2" t="inlineStr"/>
    </row>
    <row r="3833" ht="15" customHeight="1">
      <c r="A3833" t="inlineStr">
        <is>
          <t>A 50761-2024</t>
        </is>
      </c>
      <c r="B3833" s="1" t="n">
        <v>45602.43773148148</v>
      </c>
      <c r="C3833" s="1" t="n">
        <v>46046</v>
      </c>
      <c r="D3833" t="inlineStr">
        <is>
          <t>NORRBOTTENS LÄN</t>
        </is>
      </c>
      <c r="E3833" t="inlineStr">
        <is>
          <t>KALIX</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31203-2025</t>
        </is>
      </c>
      <c r="B3834" s="1" t="n">
        <v>45832.6991087963</v>
      </c>
      <c r="C3834" s="1" t="n">
        <v>46046</v>
      </c>
      <c r="D3834" t="inlineStr">
        <is>
          <t>NORRBOTTENS LÄN</t>
        </is>
      </c>
      <c r="E3834" t="inlineStr">
        <is>
          <t>BODEN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53624-2023</t>
        </is>
      </c>
      <c r="B3835" s="1" t="n">
        <v>45224</v>
      </c>
      <c r="C3835" s="1" t="n">
        <v>46046</v>
      </c>
      <c r="D3835" t="inlineStr">
        <is>
          <t>NORRBOTTENS LÄN</t>
        </is>
      </c>
      <c r="E3835" t="inlineStr">
        <is>
          <t>LULEÅ</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31019-2025</t>
        </is>
      </c>
      <c r="B3836" s="1" t="n">
        <v>45832.51322916667</v>
      </c>
      <c r="C3836" s="1" t="n">
        <v>46046</v>
      </c>
      <c r="D3836" t="inlineStr">
        <is>
          <t>NORRBOTTENS LÄN</t>
        </is>
      </c>
      <c r="E3836" t="inlineStr">
        <is>
          <t>PAJALA</t>
        </is>
      </c>
      <c r="F3836" t="inlineStr">
        <is>
          <t>Sveaskog</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31036-2025</t>
        </is>
      </c>
      <c r="B3837" s="1" t="n">
        <v>45832.54734953704</v>
      </c>
      <c r="C3837" s="1" t="n">
        <v>46046</v>
      </c>
      <c r="D3837" t="inlineStr">
        <is>
          <t>NORRBOTTENS LÄN</t>
        </is>
      </c>
      <c r="E3837" t="inlineStr">
        <is>
          <t>KALIX</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24564-2022</t>
        </is>
      </c>
      <c r="B3838" s="1" t="n">
        <v>44726</v>
      </c>
      <c r="C3838" s="1" t="n">
        <v>46046</v>
      </c>
      <c r="D3838" t="inlineStr">
        <is>
          <t>NORRBOTTENS LÄN</t>
        </is>
      </c>
      <c r="E3838" t="inlineStr">
        <is>
          <t>GÄLLIVARE</t>
        </is>
      </c>
      <c r="G3838" t="n">
        <v>12.9</v>
      </c>
      <c r="H3838" t="n">
        <v>0</v>
      </c>
      <c r="I3838" t="n">
        <v>0</v>
      </c>
      <c r="J3838" t="n">
        <v>0</v>
      </c>
      <c r="K3838" t="n">
        <v>0</v>
      </c>
      <c r="L3838" t="n">
        <v>0</v>
      </c>
      <c r="M3838" t="n">
        <v>0</v>
      </c>
      <c r="N3838" t="n">
        <v>0</v>
      </c>
      <c r="O3838" t="n">
        <v>0</v>
      </c>
      <c r="P3838" t="n">
        <v>0</v>
      </c>
      <c r="Q3838" t="n">
        <v>0</v>
      </c>
      <c r="R3838" s="2" t="inlineStr"/>
    </row>
    <row r="3839" ht="15" customHeight="1">
      <c r="A3839" t="inlineStr">
        <is>
          <t>A 30893-2025</t>
        </is>
      </c>
      <c r="B3839" s="1" t="n">
        <v>45832.34675925926</v>
      </c>
      <c r="C3839" s="1" t="n">
        <v>46046</v>
      </c>
      <c r="D3839" t="inlineStr">
        <is>
          <t>NORRBOTTENS LÄN</t>
        </is>
      </c>
      <c r="E3839" t="inlineStr">
        <is>
          <t>ÄLVSBYN</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45218-2023</t>
        </is>
      </c>
      <c r="B3840" s="1" t="n">
        <v>45191</v>
      </c>
      <c r="C3840" s="1" t="n">
        <v>46046</v>
      </c>
      <c r="D3840" t="inlineStr">
        <is>
          <t>NORRBOTTENS LÄN</t>
        </is>
      </c>
      <c r="E3840" t="inlineStr">
        <is>
          <t>KALIX</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50568-2022</t>
        </is>
      </c>
      <c r="B3841" s="1" t="n">
        <v>44866</v>
      </c>
      <c r="C3841" s="1" t="n">
        <v>46046</v>
      </c>
      <c r="D3841" t="inlineStr">
        <is>
          <t>NORRBOTTENS LÄN</t>
        </is>
      </c>
      <c r="E3841" t="inlineStr">
        <is>
          <t>JOKKMOKK</t>
        </is>
      </c>
      <c r="F3841" t="inlineStr">
        <is>
          <t>Sveaskog</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40661-2024</t>
        </is>
      </c>
      <c r="B3842" s="1" t="n">
        <v>45558.34508101852</v>
      </c>
      <c r="C3842" s="1" t="n">
        <v>46046</v>
      </c>
      <c r="D3842" t="inlineStr">
        <is>
          <t>NORRBOTTENS LÄN</t>
        </is>
      </c>
      <c r="E3842" t="inlineStr">
        <is>
          <t>PITEÅ</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60351-2022</t>
        </is>
      </c>
      <c r="B3843" s="1" t="n">
        <v>44910</v>
      </c>
      <c r="C3843" s="1" t="n">
        <v>46046</v>
      </c>
      <c r="D3843" t="inlineStr">
        <is>
          <t>NORRBOTTENS LÄN</t>
        </is>
      </c>
      <c r="E3843" t="inlineStr">
        <is>
          <t>ÄLVSBYN</t>
        </is>
      </c>
      <c r="G3843" t="n">
        <v>23.4</v>
      </c>
      <c r="H3843" t="n">
        <v>0</v>
      </c>
      <c r="I3843" t="n">
        <v>0</v>
      </c>
      <c r="J3843" t="n">
        <v>0</v>
      </c>
      <c r="K3843" t="n">
        <v>0</v>
      </c>
      <c r="L3843" t="n">
        <v>0</v>
      </c>
      <c r="M3843" t="n">
        <v>0</v>
      </c>
      <c r="N3843" t="n">
        <v>0</v>
      </c>
      <c r="O3843" t="n">
        <v>0</v>
      </c>
      <c r="P3843" t="n">
        <v>0</v>
      </c>
      <c r="Q3843" t="n">
        <v>0</v>
      </c>
      <c r="R3843" s="2" t="inlineStr"/>
    </row>
    <row r="3844" ht="15" customHeight="1">
      <c r="A3844" t="inlineStr">
        <is>
          <t>A 31553-2025</t>
        </is>
      </c>
      <c r="B3844" s="1" t="n">
        <v>45833</v>
      </c>
      <c r="C3844" s="1" t="n">
        <v>46046</v>
      </c>
      <c r="D3844" t="inlineStr">
        <is>
          <t>NORRBOTTENS LÄN</t>
        </is>
      </c>
      <c r="E3844" t="inlineStr">
        <is>
          <t>GÄLLIVARE</t>
        </is>
      </c>
      <c r="F3844" t="inlineStr">
        <is>
          <t>Allmännings- och besparingsskogar</t>
        </is>
      </c>
      <c r="G3844" t="n">
        <v>40.8</v>
      </c>
      <c r="H3844" t="n">
        <v>0</v>
      </c>
      <c r="I3844" t="n">
        <v>0</v>
      </c>
      <c r="J3844" t="n">
        <v>0</v>
      </c>
      <c r="K3844" t="n">
        <v>0</v>
      </c>
      <c r="L3844" t="n">
        <v>0</v>
      </c>
      <c r="M3844" t="n">
        <v>0</v>
      </c>
      <c r="N3844" t="n">
        <v>0</v>
      </c>
      <c r="O3844" t="n">
        <v>0</v>
      </c>
      <c r="P3844" t="n">
        <v>0</v>
      </c>
      <c r="Q3844" t="n">
        <v>0</v>
      </c>
      <c r="R3844" s="2" t="inlineStr"/>
    </row>
    <row r="3845" ht="15" customHeight="1">
      <c r="A3845" t="inlineStr">
        <is>
          <t>A 64238-2023</t>
        </is>
      </c>
      <c r="B3845" s="1" t="n">
        <v>45279</v>
      </c>
      <c r="C3845" s="1" t="n">
        <v>46046</v>
      </c>
      <c r="D3845" t="inlineStr">
        <is>
          <t>NORRBOTTENS LÄN</t>
        </is>
      </c>
      <c r="E3845" t="inlineStr">
        <is>
          <t>GÄLLIVARE</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64240-2023</t>
        </is>
      </c>
      <c r="B3846" s="1" t="n">
        <v>45279</v>
      </c>
      <c r="C3846" s="1" t="n">
        <v>46046</v>
      </c>
      <c r="D3846" t="inlineStr">
        <is>
          <t>NORRBOTTENS LÄN</t>
        </is>
      </c>
      <c r="E3846" t="inlineStr">
        <is>
          <t>LULEÅ</t>
        </is>
      </c>
      <c r="G3846" t="n">
        <v>9.699999999999999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63285-2023</t>
        </is>
      </c>
      <c r="B3847" s="1" t="n">
        <v>45273.92435185185</v>
      </c>
      <c r="C3847" s="1" t="n">
        <v>46046</v>
      </c>
      <c r="D3847" t="inlineStr">
        <is>
          <t>NORRBOTTENS LÄN</t>
        </is>
      </c>
      <c r="E3847" t="inlineStr">
        <is>
          <t>ÖVERTORNEÅ</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31200-2025</t>
        </is>
      </c>
      <c r="B3848" s="1" t="n">
        <v>45832.69638888889</v>
      </c>
      <c r="C3848" s="1" t="n">
        <v>46046</v>
      </c>
      <c r="D3848" t="inlineStr">
        <is>
          <t>NORRBOTTENS LÄN</t>
        </is>
      </c>
      <c r="E3848" t="inlineStr">
        <is>
          <t>BODEN</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65015-2023</t>
        </is>
      </c>
      <c r="B3849" s="1" t="n">
        <v>45287.40711805555</v>
      </c>
      <c r="C3849" s="1" t="n">
        <v>46046</v>
      </c>
      <c r="D3849" t="inlineStr">
        <is>
          <t>NORRBOTTENS LÄN</t>
        </is>
      </c>
      <c r="E3849" t="inlineStr">
        <is>
          <t>PITEÅ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32966-2023</t>
        </is>
      </c>
      <c r="B3850" s="1" t="n">
        <v>45125.54148148148</v>
      </c>
      <c r="C3850" s="1" t="n">
        <v>46046</v>
      </c>
      <c r="D3850" t="inlineStr">
        <is>
          <t>NORRBOTTENS LÄN</t>
        </is>
      </c>
      <c r="E3850" t="inlineStr">
        <is>
          <t>ÄLVSBYN</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61679-2022</t>
        </is>
      </c>
      <c r="B3851" s="1" t="n">
        <v>44909</v>
      </c>
      <c r="C3851" s="1" t="n">
        <v>46046</v>
      </c>
      <c r="D3851" t="inlineStr">
        <is>
          <t>NORRBOTTENS LÄN</t>
        </is>
      </c>
      <c r="E3851" t="inlineStr">
        <is>
          <t>GÄLLIVARE</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18397-2022</t>
        </is>
      </c>
      <c r="B3852" s="1" t="n">
        <v>44685</v>
      </c>
      <c r="C3852" s="1" t="n">
        <v>46046</v>
      </c>
      <c r="D3852" t="inlineStr">
        <is>
          <t>NORRBOTTENS LÄN</t>
        </is>
      </c>
      <c r="E3852" t="inlineStr">
        <is>
          <t>PITEÅ</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48210-2024</t>
        </is>
      </c>
      <c r="B3853" s="1" t="n">
        <v>45590</v>
      </c>
      <c r="C3853" s="1" t="n">
        <v>46046</v>
      </c>
      <c r="D3853" t="inlineStr">
        <is>
          <t>NORRBOTTENS LÄN</t>
        </is>
      </c>
      <c r="E3853" t="inlineStr">
        <is>
          <t>JOKKMOKK</t>
        </is>
      </c>
      <c r="F3853" t="inlineStr">
        <is>
          <t>SCA</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48376-2023</t>
        </is>
      </c>
      <c r="B3854" s="1" t="n">
        <v>45205</v>
      </c>
      <c r="C3854" s="1" t="n">
        <v>46046</v>
      </c>
      <c r="D3854" t="inlineStr">
        <is>
          <t>NORRBOTTENS LÄN</t>
        </is>
      </c>
      <c r="E3854" t="inlineStr">
        <is>
          <t>ARJEPLOG</t>
        </is>
      </c>
      <c r="F3854" t="inlineStr">
        <is>
          <t>Övriga Aktiebolag</t>
        </is>
      </c>
      <c r="G3854" t="n">
        <v>18.3</v>
      </c>
      <c r="H3854" t="n">
        <v>0</v>
      </c>
      <c r="I3854" t="n">
        <v>0</v>
      </c>
      <c r="J3854" t="n">
        <v>0</v>
      </c>
      <c r="K3854" t="n">
        <v>0</v>
      </c>
      <c r="L3854" t="n">
        <v>0</v>
      </c>
      <c r="M3854" t="n">
        <v>0</v>
      </c>
      <c r="N3854" t="n">
        <v>0</v>
      </c>
      <c r="O3854" t="n">
        <v>0</v>
      </c>
      <c r="P3854" t="n">
        <v>0</v>
      </c>
      <c r="Q3854" t="n">
        <v>0</v>
      </c>
      <c r="R3854" s="2" t="inlineStr"/>
    </row>
    <row r="3855" ht="15" customHeight="1">
      <c r="A3855" t="inlineStr">
        <is>
          <t>A 31546-2025</t>
        </is>
      </c>
      <c r="B3855" s="1" t="n">
        <v>45833.63626157407</v>
      </c>
      <c r="C3855" s="1" t="n">
        <v>46046</v>
      </c>
      <c r="D3855" t="inlineStr">
        <is>
          <t>NORRBOTTENS LÄN</t>
        </is>
      </c>
      <c r="E3855" t="inlineStr">
        <is>
          <t>ÄLVSBYN</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33572-2024</t>
        </is>
      </c>
      <c r="B3856" s="1" t="n">
        <v>45520</v>
      </c>
      <c r="C3856" s="1" t="n">
        <v>46046</v>
      </c>
      <c r="D3856" t="inlineStr">
        <is>
          <t>NORRBOTTENS LÄN</t>
        </is>
      </c>
      <c r="E3856" t="inlineStr">
        <is>
          <t>ÖVERTORNEÅ</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44713-2024</t>
        </is>
      </c>
      <c r="B3857" s="1" t="n">
        <v>45574.57422453703</v>
      </c>
      <c r="C3857" s="1" t="n">
        <v>46046</v>
      </c>
      <c r="D3857" t="inlineStr">
        <is>
          <t>NORRBOTTENS LÄN</t>
        </is>
      </c>
      <c r="E3857" t="inlineStr">
        <is>
          <t>PITEÅ</t>
        </is>
      </c>
      <c r="F3857" t="inlineStr">
        <is>
          <t>SCA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44715-2024</t>
        </is>
      </c>
      <c r="B3858" s="1" t="n">
        <v>45574.57452546297</v>
      </c>
      <c r="C3858" s="1" t="n">
        <v>46046</v>
      </c>
      <c r="D3858" t="inlineStr">
        <is>
          <t>NORRBOTTENS LÄN</t>
        </is>
      </c>
      <c r="E3858" t="inlineStr">
        <is>
          <t>PITEÅ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31104-2025</t>
        </is>
      </c>
      <c r="B3859" s="1" t="n">
        <v>45832.60090277778</v>
      </c>
      <c r="C3859" s="1" t="n">
        <v>46046</v>
      </c>
      <c r="D3859" t="inlineStr">
        <is>
          <t>NORRBOTTENS LÄN</t>
        </is>
      </c>
      <c r="E3859" t="inlineStr">
        <is>
          <t>ARJEPLOG</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9384-2025</t>
        </is>
      </c>
      <c r="B3860" s="1" t="n">
        <v>45715.34438657408</v>
      </c>
      <c r="C3860" s="1" t="n">
        <v>46046</v>
      </c>
      <c r="D3860" t="inlineStr">
        <is>
          <t>NORRBOTTENS LÄN</t>
        </is>
      </c>
      <c r="E3860" t="inlineStr">
        <is>
          <t>BODEN</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5636-2023</t>
        </is>
      </c>
      <c r="B3861" s="1" t="n">
        <v>44960.59099537037</v>
      </c>
      <c r="C3861" s="1" t="n">
        <v>46046</v>
      </c>
      <c r="D3861" t="inlineStr">
        <is>
          <t>NORRBOTTENS LÄN</t>
        </is>
      </c>
      <c r="E3861" t="inlineStr">
        <is>
          <t>PITEÅ</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31095-2025</t>
        </is>
      </c>
      <c r="B3862" s="1" t="n">
        <v>45832.59581018519</v>
      </c>
      <c r="C3862" s="1" t="n">
        <v>46046</v>
      </c>
      <c r="D3862" t="inlineStr">
        <is>
          <t>NORRBOTTENS LÄN</t>
        </is>
      </c>
      <c r="E3862" t="inlineStr">
        <is>
          <t>PITEÅ</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31541-2025</t>
        </is>
      </c>
      <c r="B3863" s="1" t="n">
        <v>45833</v>
      </c>
      <c r="C3863" s="1" t="n">
        <v>46046</v>
      </c>
      <c r="D3863" t="inlineStr">
        <is>
          <t>NORRBOTTENS LÄN</t>
        </is>
      </c>
      <c r="E3863" t="inlineStr">
        <is>
          <t>GÄLLIVARE</t>
        </is>
      </c>
      <c r="F3863" t="inlineStr">
        <is>
          <t>Allmännings- och besparingsskogar</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61640-2024</t>
        </is>
      </c>
      <c r="B3864" s="1" t="n">
        <v>45646.68362268519</v>
      </c>
      <c r="C3864" s="1" t="n">
        <v>46046</v>
      </c>
      <c r="D3864" t="inlineStr">
        <is>
          <t>NORRBOTTENS LÄN</t>
        </is>
      </c>
      <c r="E3864" t="inlineStr">
        <is>
          <t>JOKKMOKK</t>
        </is>
      </c>
      <c r="G3864" t="n">
        <v>10.6</v>
      </c>
      <c r="H3864" t="n">
        <v>0</v>
      </c>
      <c r="I3864" t="n">
        <v>0</v>
      </c>
      <c r="J3864" t="n">
        <v>0</v>
      </c>
      <c r="K3864" t="n">
        <v>0</v>
      </c>
      <c r="L3864" t="n">
        <v>0</v>
      </c>
      <c r="M3864" t="n">
        <v>0</v>
      </c>
      <c r="N3864" t="n">
        <v>0</v>
      </c>
      <c r="O3864" t="n">
        <v>0</v>
      </c>
      <c r="P3864" t="n">
        <v>0</v>
      </c>
      <c r="Q3864" t="n">
        <v>0</v>
      </c>
      <c r="R3864" s="2" t="inlineStr"/>
    </row>
    <row r="3865" ht="15" customHeight="1">
      <c r="A3865" t="inlineStr">
        <is>
          <t>A 61641-2024</t>
        </is>
      </c>
      <c r="B3865" s="1" t="n">
        <v>45646</v>
      </c>
      <c r="C3865" s="1" t="n">
        <v>46046</v>
      </c>
      <c r="D3865" t="inlineStr">
        <is>
          <t>NORRBOTTENS LÄN</t>
        </is>
      </c>
      <c r="E3865" t="inlineStr">
        <is>
          <t>JOKKMOKK</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8258-2021</t>
        </is>
      </c>
      <c r="B3866" s="1" t="n">
        <v>44244</v>
      </c>
      <c r="C3866" s="1" t="n">
        <v>46046</v>
      </c>
      <c r="D3866" t="inlineStr">
        <is>
          <t>NORRBOTTENS LÄN</t>
        </is>
      </c>
      <c r="E3866" t="inlineStr">
        <is>
          <t>KALIX</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5729-2024</t>
        </is>
      </c>
      <c r="B3867" s="1" t="n">
        <v>45334.9308912037</v>
      </c>
      <c r="C3867" s="1" t="n">
        <v>46046</v>
      </c>
      <c r="D3867" t="inlineStr">
        <is>
          <t>NORRBOTTENS LÄN</t>
        </is>
      </c>
      <c r="E3867" t="inlineStr">
        <is>
          <t>PAJALA</t>
        </is>
      </c>
      <c r="G3867" t="n">
        <v>22.5</v>
      </c>
      <c r="H3867" t="n">
        <v>0</v>
      </c>
      <c r="I3867" t="n">
        <v>0</v>
      </c>
      <c r="J3867" t="n">
        <v>0</v>
      </c>
      <c r="K3867" t="n">
        <v>0</v>
      </c>
      <c r="L3867" t="n">
        <v>0</v>
      </c>
      <c r="M3867" t="n">
        <v>0</v>
      </c>
      <c r="N3867" t="n">
        <v>0</v>
      </c>
      <c r="O3867" t="n">
        <v>0</v>
      </c>
      <c r="P3867" t="n">
        <v>0</v>
      </c>
      <c r="Q3867" t="n">
        <v>0</v>
      </c>
      <c r="R3867" s="2" t="inlineStr"/>
    </row>
    <row r="3868" ht="15" customHeight="1">
      <c r="A3868" t="inlineStr">
        <is>
          <t>A 404-2024</t>
        </is>
      </c>
      <c r="B3868" s="1" t="n">
        <v>45296</v>
      </c>
      <c r="C3868" s="1" t="n">
        <v>46046</v>
      </c>
      <c r="D3868" t="inlineStr">
        <is>
          <t>NORRBOTTENS LÄN</t>
        </is>
      </c>
      <c r="E3868" t="inlineStr">
        <is>
          <t>ÄLVSBYN</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46786-2024</t>
        </is>
      </c>
      <c r="B3869" s="1" t="n">
        <v>45583</v>
      </c>
      <c r="C3869" s="1" t="n">
        <v>46046</v>
      </c>
      <c r="D3869" t="inlineStr">
        <is>
          <t>NORRBOTTENS LÄN</t>
        </is>
      </c>
      <c r="E3869" t="inlineStr">
        <is>
          <t>ÄLVSBYN</t>
        </is>
      </c>
      <c r="F3869" t="inlineStr">
        <is>
          <t>Sveaskog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11982-2023</t>
        </is>
      </c>
      <c r="B3870" s="1" t="n">
        <v>44994</v>
      </c>
      <c r="C3870" s="1" t="n">
        <v>46046</v>
      </c>
      <c r="D3870" t="inlineStr">
        <is>
          <t>NORRBOTTENS LÄN</t>
        </is>
      </c>
      <c r="E3870" t="inlineStr">
        <is>
          <t>LULEÅ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9193-2022</t>
        </is>
      </c>
      <c r="B3871" s="1" t="n">
        <v>44615</v>
      </c>
      <c r="C3871" s="1" t="n">
        <v>46046</v>
      </c>
      <c r="D3871" t="inlineStr">
        <is>
          <t>NORRBOTTENS LÄN</t>
        </is>
      </c>
      <c r="E3871" t="inlineStr">
        <is>
          <t>PITEÅ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61190-2023</t>
        </is>
      </c>
      <c r="B3872" s="1" t="n">
        <v>45264</v>
      </c>
      <c r="C3872" s="1" t="n">
        <v>46046</v>
      </c>
      <c r="D3872" t="inlineStr">
        <is>
          <t>NORRBOTTENS LÄN</t>
        </is>
      </c>
      <c r="E3872" t="inlineStr">
        <is>
          <t>GÄLLIVARE</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7693-2022</t>
        </is>
      </c>
      <c r="B3873" s="1" t="n">
        <v>44607</v>
      </c>
      <c r="C3873" s="1" t="n">
        <v>46046</v>
      </c>
      <c r="D3873" t="inlineStr">
        <is>
          <t>NORRBOTTENS LÄN</t>
        </is>
      </c>
      <c r="E3873" t="inlineStr">
        <is>
          <t>GÄLLIVARE</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26811-2022</t>
        </is>
      </c>
      <c r="B3874" s="1" t="n">
        <v>44735</v>
      </c>
      <c r="C3874" s="1" t="n">
        <v>46046</v>
      </c>
      <c r="D3874" t="inlineStr">
        <is>
          <t>NORRBOTTENS LÄN</t>
        </is>
      </c>
      <c r="E3874" t="inlineStr">
        <is>
          <t>ARJEPLOG</t>
        </is>
      </c>
      <c r="F3874" t="inlineStr">
        <is>
          <t>Övriga statliga verk och myndigheter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46857-2023</t>
        </is>
      </c>
      <c r="B3875" s="1" t="n">
        <v>45199.97033564815</v>
      </c>
      <c r="C3875" s="1" t="n">
        <v>46046</v>
      </c>
      <c r="D3875" t="inlineStr">
        <is>
          <t>NORRBOTTENS LÄN</t>
        </is>
      </c>
      <c r="E3875" t="inlineStr">
        <is>
          <t>GÄLLIVARE</t>
        </is>
      </c>
      <c r="F3875" t="inlineStr">
        <is>
          <t>SCA</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2627-2023</t>
        </is>
      </c>
      <c r="B3876" s="1" t="n">
        <v>44942</v>
      </c>
      <c r="C3876" s="1" t="n">
        <v>46046</v>
      </c>
      <c r="D3876" t="inlineStr">
        <is>
          <t>NORRBOTTENS LÄN</t>
        </is>
      </c>
      <c r="E3876" t="inlineStr">
        <is>
          <t>PITEÅ</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31531-2025</t>
        </is>
      </c>
      <c r="B3877" s="1" t="n">
        <v>45833.61671296296</v>
      </c>
      <c r="C3877" s="1" t="n">
        <v>46046</v>
      </c>
      <c r="D3877" t="inlineStr">
        <is>
          <t>NORRBOTTENS LÄN</t>
        </is>
      </c>
      <c r="E3877" t="inlineStr">
        <is>
          <t>BODEN</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41182-2024</t>
        </is>
      </c>
      <c r="B3878" s="1" t="n">
        <v>45559.49592592593</v>
      </c>
      <c r="C3878" s="1" t="n">
        <v>46046</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41188-2024</t>
        </is>
      </c>
      <c r="B3879" s="1" t="n">
        <v>45559.50427083333</v>
      </c>
      <c r="C3879" s="1" t="n">
        <v>46046</v>
      </c>
      <c r="D3879" t="inlineStr">
        <is>
          <t>NORRBOTTENS LÄN</t>
        </is>
      </c>
      <c r="E3879" t="inlineStr">
        <is>
          <t>PITEÅ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57264-2022</t>
        </is>
      </c>
      <c r="B3880" s="1" t="n">
        <v>44895</v>
      </c>
      <c r="C3880" s="1" t="n">
        <v>46046</v>
      </c>
      <c r="D3880" t="inlineStr">
        <is>
          <t>NORRBOTTENS LÄN</t>
        </is>
      </c>
      <c r="E3880" t="inlineStr">
        <is>
          <t>LULEÅ</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12163-2024</t>
        </is>
      </c>
      <c r="B3881" s="1" t="n">
        <v>45377.8446875</v>
      </c>
      <c r="C3881" s="1" t="n">
        <v>46046</v>
      </c>
      <c r="D3881" t="inlineStr">
        <is>
          <t>NORRBOTTENS LÄN</t>
        </is>
      </c>
      <c r="E3881" t="inlineStr">
        <is>
          <t>ÖVERTORNEÅ</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32616-2024</t>
        </is>
      </c>
      <c r="B3882" s="1" t="n">
        <v>45513.67081018518</v>
      </c>
      <c r="C3882" s="1" t="n">
        <v>46046</v>
      </c>
      <c r="D3882" t="inlineStr">
        <is>
          <t>NORRBOTTENS LÄN</t>
        </is>
      </c>
      <c r="E3882" t="inlineStr">
        <is>
          <t>ÖVERKALIX</t>
        </is>
      </c>
      <c r="F3882" t="inlineStr">
        <is>
          <t>Sveaskog</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53227-2024</t>
        </is>
      </c>
      <c r="B3883" s="1" t="n">
        <v>45613</v>
      </c>
      <c r="C3883" s="1" t="n">
        <v>46046</v>
      </c>
      <c r="D3883" t="inlineStr">
        <is>
          <t>NORRBOTTENS LÄN</t>
        </is>
      </c>
      <c r="E3883" t="inlineStr">
        <is>
          <t>PAJALA</t>
        </is>
      </c>
      <c r="G3883" t="n">
        <v>44.3</v>
      </c>
      <c r="H3883" t="n">
        <v>0</v>
      </c>
      <c r="I3883" t="n">
        <v>0</v>
      </c>
      <c r="J3883" t="n">
        <v>0</v>
      </c>
      <c r="K3883" t="n">
        <v>0</v>
      </c>
      <c r="L3883" t="n">
        <v>0</v>
      </c>
      <c r="M3883" t="n">
        <v>0</v>
      </c>
      <c r="N3883" t="n">
        <v>0</v>
      </c>
      <c r="O3883" t="n">
        <v>0</v>
      </c>
      <c r="P3883" t="n">
        <v>0</v>
      </c>
      <c r="Q3883" t="n">
        <v>0</v>
      </c>
      <c r="R3883" s="2" t="inlineStr"/>
    </row>
    <row r="3884" ht="15" customHeight="1">
      <c r="A3884" t="inlineStr">
        <is>
          <t>A 44076-2023</t>
        </is>
      </c>
      <c r="B3884" s="1" t="n">
        <v>45188</v>
      </c>
      <c r="C3884" s="1" t="n">
        <v>46046</v>
      </c>
      <c r="D3884" t="inlineStr">
        <is>
          <t>NORRBOTTENS LÄN</t>
        </is>
      </c>
      <c r="E3884" t="inlineStr">
        <is>
          <t>PITEÅ</t>
        </is>
      </c>
      <c r="F3884" t="inlineStr">
        <is>
          <t>Sveaskog</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8075-2025</t>
        </is>
      </c>
      <c r="B3885" s="1" t="n">
        <v>45707</v>
      </c>
      <c r="C3885" s="1" t="n">
        <v>46046</v>
      </c>
      <c r="D3885" t="inlineStr">
        <is>
          <t>NORRBOTTENS LÄN</t>
        </is>
      </c>
      <c r="E3885" t="inlineStr">
        <is>
          <t>GÄLLIVARE</t>
        </is>
      </c>
      <c r="F3885" t="inlineStr">
        <is>
          <t>Sveaskog</t>
        </is>
      </c>
      <c r="G3885" t="n">
        <v>43.4</v>
      </c>
      <c r="H3885" t="n">
        <v>0</v>
      </c>
      <c r="I3885" t="n">
        <v>0</v>
      </c>
      <c r="J3885" t="n">
        <v>0</v>
      </c>
      <c r="K3885" t="n">
        <v>0</v>
      </c>
      <c r="L3885" t="n">
        <v>0</v>
      </c>
      <c r="M3885" t="n">
        <v>0</v>
      </c>
      <c r="N3885" t="n">
        <v>0</v>
      </c>
      <c r="O3885" t="n">
        <v>0</v>
      </c>
      <c r="P3885" t="n">
        <v>0</v>
      </c>
      <c r="Q3885" t="n">
        <v>0</v>
      </c>
      <c r="R3885" s="2" t="inlineStr"/>
    </row>
    <row r="3886" ht="15" customHeight="1">
      <c r="A3886" t="inlineStr">
        <is>
          <t>A 23302-2023</t>
        </is>
      </c>
      <c r="B3886" s="1" t="n">
        <v>45075</v>
      </c>
      <c r="C3886" s="1" t="n">
        <v>46046</v>
      </c>
      <c r="D3886" t="inlineStr">
        <is>
          <t>NORRBOTTENS LÄN</t>
        </is>
      </c>
      <c r="E3886" t="inlineStr">
        <is>
          <t>ÖVERKALIX</t>
        </is>
      </c>
      <c r="F3886" t="inlineStr">
        <is>
          <t>SCA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849-2024</t>
        </is>
      </c>
      <c r="B3887" s="1" t="n">
        <v>45300</v>
      </c>
      <c r="C3887" s="1" t="n">
        <v>46046</v>
      </c>
      <c r="D3887" t="inlineStr">
        <is>
          <t>NORRBOTTENS LÄN</t>
        </is>
      </c>
      <c r="E3887" t="inlineStr">
        <is>
          <t>BODEN</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31836-2025</t>
        </is>
      </c>
      <c r="B3888" s="1" t="n">
        <v>45834.59451388889</v>
      </c>
      <c r="C3888" s="1" t="n">
        <v>46046</v>
      </c>
      <c r="D3888" t="inlineStr">
        <is>
          <t>NORRBOTTENS LÄN</t>
        </is>
      </c>
      <c r="E3888" t="inlineStr">
        <is>
          <t>BODEN</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5822-2025</t>
        </is>
      </c>
      <c r="B3889" s="1" t="n">
        <v>45694</v>
      </c>
      <c r="C3889" s="1" t="n">
        <v>46046</v>
      </c>
      <c r="D3889" t="inlineStr">
        <is>
          <t>NORRBOTTENS LÄN</t>
        </is>
      </c>
      <c r="E3889" t="inlineStr">
        <is>
          <t>LULEÅ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32309-2025</t>
        </is>
      </c>
      <c r="B3890" s="1" t="n">
        <v>45835.74189814815</v>
      </c>
      <c r="C3890" s="1" t="n">
        <v>46046</v>
      </c>
      <c r="D3890" t="inlineStr">
        <is>
          <t>NORRBOTTENS LÄN</t>
        </is>
      </c>
      <c r="E3890" t="inlineStr">
        <is>
          <t>BODEN</t>
        </is>
      </c>
      <c r="F3890" t="inlineStr">
        <is>
          <t>Sveaskog</t>
        </is>
      </c>
      <c r="G3890" t="n">
        <v>13.6</v>
      </c>
      <c r="H3890" t="n">
        <v>0</v>
      </c>
      <c r="I3890" t="n">
        <v>0</v>
      </c>
      <c r="J3890" t="n">
        <v>0</v>
      </c>
      <c r="K3890" t="n">
        <v>0</v>
      </c>
      <c r="L3890" t="n">
        <v>0</v>
      </c>
      <c r="M3890" t="n">
        <v>0</v>
      </c>
      <c r="N3890" t="n">
        <v>0</v>
      </c>
      <c r="O3890" t="n">
        <v>0</v>
      </c>
      <c r="P3890" t="n">
        <v>0</v>
      </c>
      <c r="Q3890" t="n">
        <v>0</v>
      </c>
      <c r="R3890" s="2" t="inlineStr"/>
    </row>
    <row r="3891" ht="15" customHeight="1">
      <c r="A3891" t="inlineStr">
        <is>
          <t>A 32223-2025</t>
        </is>
      </c>
      <c r="B3891" s="1" t="n">
        <v>45835.59313657408</v>
      </c>
      <c r="C3891" s="1" t="n">
        <v>46046</v>
      </c>
      <c r="D3891" t="inlineStr">
        <is>
          <t>NORRBOTTENS LÄN</t>
        </is>
      </c>
      <c r="E3891" t="inlineStr">
        <is>
          <t>LULEÅ</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32244-2025</t>
        </is>
      </c>
      <c r="B3892" s="1" t="n">
        <v>45835.61568287037</v>
      </c>
      <c r="C3892" s="1" t="n">
        <v>46046</v>
      </c>
      <c r="D3892" t="inlineStr">
        <is>
          <t>NORRBOTTENS LÄN</t>
        </is>
      </c>
      <c r="E3892" t="inlineStr">
        <is>
          <t>KALIX</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17427-2023</t>
        </is>
      </c>
      <c r="B3893" s="1" t="n">
        <v>45035</v>
      </c>
      <c r="C3893" s="1" t="n">
        <v>46046</v>
      </c>
      <c r="D3893" t="inlineStr">
        <is>
          <t>NORRBOTTENS LÄN</t>
        </is>
      </c>
      <c r="E3893" t="inlineStr">
        <is>
          <t>LULEÅ</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2647-2023</t>
        </is>
      </c>
      <c r="B3894" s="1" t="n">
        <v>44944</v>
      </c>
      <c r="C3894" s="1" t="n">
        <v>46046</v>
      </c>
      <c r="D3894" t="inlineStr">
        <is>
          <t>NORRBOTTENS LÄN</t>
        </is>
      </c>
      <c r="E3894" t="inlineStr">
        <is>
          <t>PAJALA</t>
        </is>
      </c>
      <c r="G3894" t="n">
        <v>18.4</v>
      </c>
      <c r="H3894" t="n">
        <v>0</v>
      </c>
      <c r="I3894" t="n">
        <v>0</v>
      </c>
      <c r="J3894" t="n">
        <v>0</v>
      </c>
      <c r="K3894" t="n">
        <v>0</v>
      </c>
      <c r="L3894" t="n">
        <v>0</v>
      </c>
      <c r="M3894" t="n">
        <v>0</v>
      </c>
      <c r="N3894" t="n">
        <v>0</v>
      </c>
      <c r="O3894" t="n">
        <v>0</v>
      </c>
      <c r="P3894" t="n">
        <v>0</v>
      </c>
      <c r="Q3894" t="n">
        <v>0</v>
      </c>
      <c r="R3894" s="2" t="inlineStr"/>
    </row>
    <row r="3895" ht="15" customHeight="1">
      <c r="A3895" t="inlineStr">
        <is>
          <t>A 55195-2022</t>
        </is>
      </c>
      <c r="B3895" s="1" t="n">
        <v>44886</v>
      </c>
      <c r="C3895" s="1" t="n">
        <v>46046</v>
      </c>
      <c r="D3895" t="inlineStr">
        <is>
          <t>NORRBOTTENS LÄN</t>
        </is>
      </c>
      <c r="E3895" t="inlineStr">
        <is>
          <t>LULEÅ</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31633-2025</t>
        </is>
      </c>
      <c r="B3896" s="1" t="n">
        <v>45834</v>
      </c>
      <c r="C3896" s="1" t="n">
        <v>46046</v>
      </c>
      <c r="D3896" t="inlineStr">
        <is>
          <t>NORRBOTTENS LÄN</t>
        </is>
      </c>
      <c r="E3896" t="inlineStr">
        <is>
          <t>PITEÅ</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44110-2024</t>
        </is>
      </c>
      <c r="B3897" s="1" t="n">
        <v>45572.63494212963</v>
      </c>
      <c r="C3897" s="1" t="n">
        <v>46046</v>
      </c>
      <c r="D3897" t="inlineStr">
        <is>
          <t>NORRBOTTENS LÄN</t>
        </is>
      </c>
      <c r="E3897" t="inlineStr">
        <is>
          <t>PAJALA</t>
        </is>
      </c>
      <c r="F3897" t="inlineStr">
        <is>
          <t>Sveaskog</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31834-2025</t>
        </is>
      </c>
      <c r="B3898" s="1" t="n">
        <v>45834.59415509259</v>
      </c>
      <c r="C3898" s="1" t="n">
        <v>46046</v>
      </c>
      <c r="D3898" t="inlineStr">
        <is>
          <t>NORRBOTTENS LÄN</t>
        </is>
      </c>
      <c r="E3898" t="inlineStr">
        <is>
          <t>BODEN</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31840-2025</t>
        </is>
      </c>
      <c r="B3899" s="1" t="n">
        <v>45834.59708333333</v>
      </c>
      <c r="C3899" s="1" t="n">
        <v>46046</v>
      </c>
      <c r="D3899" t="inlineStr">
        <is>
          <t>NORRBOTTENS LÄN</t>
        </is>
      </c>
      <c r="E3899" t="inlineStr">
        <is>
          <t>BODEN</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14757-2023</t>
        </is>
      </c>
      <c r="B3900" s="1" t="n">
        <v>45014.54700231482</v>
      </c>
      <c r="C3900" s="1" t="n">
        <v>46046</v>
      </c>
      <c r="D3900" t="inlineStr">
        <is>
          <t>NORRBOTTENS LÄN</t>
        </is>
      </c>
      <c r="E3900" t="inlineStr">
        <is>
          <t>BODEN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31961-2025</t>
        </is>
      </c>
      <c r="B3901" s="1" t="n">
        <v>45835.34453703704</v>
      </c>
      <c r="C3901" s="1" t="n">
        <v>46046</v>
      </c>
      <c r="D3901" t="inlineStr">
        <is>
          <t>NORRBOTTENS LÄN</t>
        </is>
      </c>
      <c r="E3901" t="inlineStr">
        <is>
          <t>ÖVERKALIX</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41871-2024</t>
        </is>
      </c>
      <c r="B3902" s="1" t="n">
        <v>45561.46952546296</v>
      </c>
      <c r="C3902" s="1" t="n">
        <v>46046</v>
      </c>
      <c r="D3902" t="inlineStr">
        <is>
          <t>NORRBOTTENS LÄN</t>
        </is>
      </c>
      <c r="E3902" t="inlineStr">
        <is>
          <t>PAJALA</t>
        </is>
      </c>
      <c r="G3902" t="n">
        <v>25.1</v>
      </c>
      <c r="H3902" t="n">
        <v>0</v>
      </c>
      <c r="I3902" t="n">
        <v>0</v>
      </c>
      <c r="J3902" t="n">
        <v>0</v>
      </c>
      <c r="K3902" t="n">
        <v>0</v>
      </c>
      <c r="L3902" t="n">
        <v>0</v>
      </c>
      <c r="M3902" t="n">
        <v>0</v>
      </c>
      <c r="N3902" t="n">
        <v>0</v>
      </c>
      <c r="O3902" t="n">
        <v>0</v>
      </c>
      <c r="P3902" t="n">
        <v>0</v>
      </c>
      <c r="Q3902" t="n">
        <v>0</v>
      </c>
      <c r="R3902" s="2" t="inlineStr"/>
    </row>
    <row r="3903" ht="15" customHeight="1">
      <c r="A3903" t="inlineStr">
        <is>
          <t>A 24424-2024</t>
        </is>
      </c>
      <c r="B3903" s="1" t="n">
        <v>45457</v>
      </c>
      <c r="C3903" s="1" t="n">
        <v>46046</v>
      </c>
      <c r="D3903" t="inlineStr">
        <is>
          <t>NORRBOTTENS LÄN</t>
        </is>
      </c>
      <c r="E3903" t="inlineStr">
        <is>
          <t>PITEÅ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1685-2025</t>
        </is>
      </c>
      <c r="B3904" s="1" t="n">
        <v>45670.69877314815</v>
      </c>
      <c r="C3904" s="1" t="n">
        <v>46046</v>
      </c>
      <c r="D3904" t="inlineStr">
        <is>
          <t>NORRBOTTENS LÄN</t>
        </is>
      </c>
      <c r="E3904" t="inlineStr">
        <is>
          <t>LULEÅ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25019-2024</t>
        </is>
      </c>
      <c r="B3905" s="1" t="n">
        <v>45461</v>
      </c>
      <c r="C3905" s="1" t="n">
        <v>46046</v>
      </c>
      <c r="D3905" t="inlineStr">
        <is>
          <t>NORRBOTTENS LÄN</t>
        </is>
      </c>
      <c r="E3905" t="inlineStr">
        <is>
          <t>KALIX</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32255-2025</t>
        </is>
      </c>
      <c r="B3906" s="1" t="n">
        <v>45835.63332175926</v>
      </c>
      <c r="C3906" s="1" t="n">
        <v>46046</v>
      </c>
      <c r="D3906" t="inlineStr">
        <is>
          <t>NORRBOTTENS LÄN</t>
        </is>
      </c>
      <c r="E3906" t="inlineStr">
        <is>
          <t>LULEÅ</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54218-2024</t>
        </is>
      </c>
      <c r="B3907" s="1" t="n">
        <v>45616</v>
      </c>
      <c r="C3907" s="1" t="n">
        <v>46046</v>
      </c>
      <c r="D3907" t="inlineStr">
        <is>
          <t>NORRBOTTENS LÄN</t>
        </is>
      </c>
      <c r="E3907" t="inlineStr">
        <is>
          <t>ARVIDSJAUR</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32052-2025</t>
        </is>
      </c>
      <c r="B3908" s="1" t="n">
        <v>45835.44276620371</v>
      </c>
      <c r="C3908" s="1" t="n">
        <v>46046</v>
      </c>
      <c r="D3908" t="inlineStr">
        <is>
          <t>NORRBOTTENS LÄN</t>
        </is>
      </c>
      <c r="E3908" t="inlineStr">
        <is>
          <t>BODEN</t>
        </is>
      </c>
      <c r="F3908" t="inlineStr">
        <is>
          <t>Sveaskog</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59704-2024</t>
        </is>
      </c>
      <c r="B3909" s="1" t="n">
        <v>45639</v>
      </c>
      <c r="C3909" s="1" t="n">
        <v>46046</v>
      </c>
      <c r="D3909" t="inlineStr">
        <is>
          <t>NORRBOTTENS LÄN</t>
        </is>
      </c>
      <c r="E3909" t="inlineStr">
        <is>
          <t>GÄLLIVARE</t>
        </is>
      </c>
      <c r="F3909" t="inlineStr">
        <is>
          <t>Sveaskog</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32156-2025</t>
        </is>
      </c>
      <c r="B3910" s="1" t="n">
        <v>45835.53508101852</v>
      </c>
      <c r="C3910" s="1" t="n">
        <v>46046</v>
      </c>
      <c r="D3910" t="inlineStr">
        <is>
          <t>NORRBOTTENS LÄN</t>
        </is>
      </c>
      <c r="E3910" t="inlineStr">
        <is>
          <t>ÖVERTORNEÅ</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31647-2025</t>
        </is>
      </c>
      <c r="B3911" s="1" t="n">
        <v>45834.34582175926</v>
      </c>
      <c r="C3911" s="1" t="n">
        <v>46046</v>
      </c>
      <c r="D3911" t="inlineStr">
        <is>
          <t>NORRBOTTENS LÄN</t>
        </is>
      </c>
      <c r="E3911" t="inlineStr">
        <is>
          <t>GÄLLIVARE</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48412-2023</t>
        </is>
      </c>
      <c r="B3912" s="1" t="n">
        <v>45205</v>
      </c>
      <c r="C3912" s="1" t="n">
        <v>46046</v>
      </c>
      <c r="D3912" t="inlineStr">
        <is>
          <t>NORRBOTTENS LÄN</t>
        </is>
      </c>
      <c r="E3912" t="inlineStr">
        <is>
          <t>LULEÅ</t>
        </is>
      </c>
      <c r="G3912" t="n">
        <v>45.8</v>
      </c>
      <c r="H3912" t="n">
        <v>0</v>
      </c>
      <c r="I3912" t="n">
        <v>0</v>
      </c>
      <c r="J3912" t="n">
        <v>0</v>
      </c>
      <c r="K3912" t="n">
        <v>0</v>
      </c>
      <c r="L3912" t="n">
        <v>0</v>
      </c>
      <c r="M3912" t="n">
        <v>0</v>
      </c>
      <c r="N3912" t="n">
        <v>0</v>
      </c>
      <c r="O3912" t="n">
        <v>0</v>
      </c>
      <c r="P3912" t="n">
        <v>0</v>
      </c>
      <c r="Q3912" t="n">
        <v>0</v>
      </c>
      <c r="R3912" s="2" t="inlineStr"/>
    </row>
    <row r="3913" ht="15" customHeight="1">
      <c r="A3913" t="inlineStr">
        <is>
          <t>A 32127-2025</t>
        </is>
      </c>
      <c r="B3913" s="1" t="n">
        <v>45835.49930555555</v>
      </c>
      <c r="C3913" s="1" t="n">
        <v>46046</v>
      </c>
      <c r="D3913" t="inlineStr">
        <is>
          <t>NORRBOTTENS LÄN</t>
        </is>
      </c>
      <c r="E3913" t="inlineStr">
        <is>
          <t>LULEÅ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8228-2024</t>
        </is>
      </c>
      <c r="B3914" s="1" t="n">
        <v>45351</v>
      </c>
      <c r="C3914" s="1" t="n">
        <v>46046</v>
      </c>
      <c r="D3914" t="inlineStr">
        <is>
          <t>NORRBOTTENS LÄN</t>
        </is>
      </c>
      <c r="E3914" t="inlineStr">
        <is>
          <t>LULEÅ</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58469-2024</t>
        </is>
      </c>
      <c r="B3915" s="1" t="n">
        <v>45632</v>
      </c>
      <c r="C3915" s="1" t="n">
        <v>46046</v>
      </c>
      <c r="D3915" t="inlineStr">
        <is>
          <t>NORRBOTTENS LÄN</t>
        </is>
      </c>
      <c r="E3915" t="inlineStr">
        <is>
          <t>LULEÅ</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58536-2024</t>
        </is>
      </c>
      <c r="B3916" s="1" t="n">
        <v>45635.45011574074</v>
      </c>
      <c r="C3916" s="1" t="n">
        <v>46046</v>
      </c>
      <c r="D3916" t="inlineStr">
        <is>
          <t>NORRBOTTENS LÄN</t>
        </is>
      </c>
      <c r="E3916" t="inlineStr">
        <is>
          <t>ÖVERTORNEÅ</t>
        </is>
      </c>
      <c r="G3916" t="n">
        <v>14.9</v>
      </c>
      <c r="H3916" t="n">
        <v>0</v>
      </c>
      <c r="I3916" t="n">
        <v>0</v>
      </c>
      <c r="J3916" t="n">
        <v>0</v>
      </c>
      <c r="K3916" t="n">
        <v>0</v>
      </c>
      <c r="L3916" t="n">
        <v>0</v>
      </c>
      <c r="M3916" t="n">
        <v>0</v>
      </c>
      <c r="N3916" t="n">
        <v>0</v>
      </c>
      <c r="O3916" t="n">
        <v>0</v>
      </c>
      <c r="P3916" t="n">
        <v>0</v>
      </c>
      <c r="Q3916" t="n">
        <v>0</v>
      </c>
      <c r="R3916" s="2" t="inlineStr"/>
    </row>
    <row r="3917" ht="15" customHeight="1">
      <c r="A3917" t="inlineStr">
        <is>
          <t>A 18772-2023</t>
        </is>
      </c>
      <c r="B3917" s="1" t="n">
        <v>45043</v>
      </c>
      <c r="C3917" s="1" t="n">
        <v>46046</v>
      </c>
      <c r="D3917" t="inlineStr">
        <is>
          <t>NORRBOTTENS LÄN</t>
        </is>
      </c>
      <c r="E3917" t="inlineStr">
        <is>
          <t>JOKKMOKK</t>
        </is>
      </c>
      <c r="F3917" t="inlineStr">
        <is>
          <t>SCA</t>
        </is>
      </c>
      <c r="G3917" t="n">
        <v>11.9</v>
      </c>
      <c r="H3917" t="n">
        <v>0</v>
      </c>
      <c r="I3917" t="n">
        <v>0</v>
      </c>
      <c r="J3917" t="n">
        <v>0</v>
      </c>
      <c r="K3917" t="n">
        <v>0</v>
      </c>
      <c r="L3917" t="n">
        <v>0</v>
      </c>
      <c r="M3917" t="n">
        <v>0</v>
      </c>
      <c r="N3917" t="n">
        <v>0</v>
      </c>
      <c r="O3917" t="n">
        <v>0</v>
      </c>
      <c r="P3917" t="n">
        <v>0</v>
      </c>
      <c r="Q3917" t="n">
        <v>0</v>
      </c>
      <c r="R3917" s="2" t="inlineStr"/>
    </row>
    <row r="3918" ht="15" customHeight="1">
      <c r="A3918" t="inlineStr">
        <is>
          <t>A 3184-2025</t>
        </is>
      </c>
      <c r="B3918" s="1" t="n">
        <v>45679</v>
      </c>
      <c r="C3918" s="1" t="n">
        <v>46046</v>
      </c>
      <c r="D3918" t="inlineStr">
        <is>
          <t>NORRBOTTENS LÄN</t>
        </is>
      </c>
      <c r="E3918" t="inlineStr">
        <is>
          <t>LULEÅ</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20439-2025</t>
        </is>
      </c>
      <c r="B3919" s="1" t="n">
        <v>45775</v>
      </c>
      <c r="C3919" s="1" t="n">
        <v>46046</v>
      </c>
      <c r="D3919" t="inlineStr">
        <is>
          <t>NORRBOTTENS LÄN</t>
        </is>
      </c>
      <c r="E3919" t="inlineStr">
        <is>
          <t>ÖVERTORNEÅ</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64360-2023</t>
        </is>
      </c>
      <c r="B3920" s="1" t="n">
        <v>45280</v>
      </c>
      <c r="C3920" s="1" t="n">
        <v>46046</v>
      </c>
      <c r="D3920" t="inlineStr">
        <is>
          <t>NORRBOTTENS LÄN</t>
        </is>
      </c>
      <c r="E3920" t="inlineStr">
        <is>
          <t>GÄLLIVARE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54941-2024</t>
        </is>
      </c>
      <c r="B3921" s="1" t="n">
        <v>45618.9441087963</v>
      </c>
      <c r="C3921" s="1" t="n">
        <v>46046</v>
      </c>
      <c r="D3921" t="inlineStr">
        <is>
          <t>NORRBOTTENS LÄN</t>
        </is>
      </c>
      <c r="E3921" t="inlineStr">
        <is>
          <t>PITEÅ</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46769-2024</t>
        </is>
      </c>
      <c r="B3922" s="1" t="n">
        <v>45583.49565972222</v>
      </c>
      <c r="C3922" s="1" t="n">
        <v>46046</v>
      </c>
      <c r="D3922" t="inlineStr">
        <is>
          <t>NORRBOTTENS LÄN</t>
        </is>
      </c>
      <c r="E3922" t="inlineStr">
        <is>
          <t>PAJALA</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32144-2025</t>
        </is>
      </c>
      <c r="B3923" s="1" t="n">
        <v>45835.52673611111</v>
      </c>
      <c r="C3923" s="1" t="n">
        <v>46046</v>
      </c>
      <c r="D3923" t="inlineStr">
        <is>
          <t>NORRBOTTENS LÄN</t>
        </is>
      </c>
      <c r="E3923" t="inlineStr">
        <is>
          <t>ÖVERTORNEÅ</t>
        </is>
      </c>
      <c r="F3923" t="inlineStr">
        <is>
          <t>Sveaskog</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39020-2024</t>
        </is>
      </c>
      <c r="B3924" s="1" t="n">
        <v>45548</v>
      </c>
      <c r="C3924" s="1" t="n">
        <v>46046</v>
      </c>
      <c r="D3924" t="inlineStr">
        <is>
          <t>NORRBOTTENS LÄN</t>
        </is>
      </c>
      <c r="E3924" t="inlineStr">
        <is>
          <t>ÄLVSBYN</t>
        </is>
      </c>
      <c r="F3924" t="inlineStr">
        <is>
          <t>Sveaskog</t>
        </is>
      </c>
      <c r="G3924" t="n">
        <v>9.4</v>
      </c>
      <c r="H3924" t="n">
        <v>0</v>
      </c>
      <c r="I3924" t="n">
        <v>0</v>
      </c>
      <c r="J3924" t="n">
        <v>0</v>
      </c>
      <c r="K3924" t="n">
        <v>0</v>
      </c>
      <c r="L3924" t="n">
        <v>0</v>
      </c>
      <c r="M3924" t="n">
        <v>0</v>
      </c>
      <c r="N3924" t="n">
        <v>0</v>
      </c>
      <c r="O3924" t="n">
        <v>0</v>
      </c>
      <c r="P3924" t="n">
        <v>0</v>
      </c>
      <c r="Q3924" t="n">
        <v>0</v>
      </c>
      <c r="R3924" s="2" t="inlineStr"/>
    </row>
    <row r="3925" ht="15" customHeight="1">
      <c r="A3925" t="inlineStr">
        <is>
          <t>A 46026-2021</t>
        </is>
      </c>
      <c r="B3925" s="1" t="n">
        <v>44441.92107638889</v>
      </c>
      <c r="C3925" s="1" t="n">
        <v>46046</v>
      </c>
      <c r="D3925" t="inlineStr">
        <is>
          <t>NORRBOTTENS LÄN</t>
        </is>
      </c>
      <c r="E3925" t="inlineStr">
        <is>
          <t>ÖVERTORNEÅ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46035-2021</t>
        </is>
      </c>
      <c r="B3926" s="1" t="n">
        <v>44441</v>
      </c>
      <c r="C3926" s="1" t="n">
        <v>46046</v>
      </c>
      <c r="D3926" t="inlineStr">
        <is>
          <t>NORRBOTTENS LÄN</t>
        </is>
      </c>
      <c r="E3926" t="inlineStr">
        <is>
          <t>ÖVERTORNEÅ</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31620-2025</t>
        </is>
      </c>
      <c r="B3927" s="1" t="n">
        <v>45833.87428240741</v>
      </c>
      <c r="C3927" s="1" t="n">
        <v>46046</v>
      </c>
      <c r="D3927" t="inlineStr">
        <is>
          <t>NORRBOTTENS LÄN</t>
        </is>
      </c>
      <c r="E3927" t="inlineStr">
        <is>
          <t>LULEÅ</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32154-2025</t>
        </is>
      </c>
      <c r="B3928" s="1" t="n">
        <v>45835.53480324074</v>
      </c>
      <c r="C3928" s="1" t="n">
        <v>46046</v>
      </c>
      <c r="D3928" t="inlineStr">
        <is>
          <t>NORRBOTTENS LÄN</t>
        </is>
      </c>
      <c r="E3928" t="inlineStr">
        <is>
          <t>LULEÅ</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32173-2025</t>
        </is>
      </c>
      <c r="B3929" s="1" t="n">
        <v>45835.55337962963</v>
      </c>
      <c r="C3929" s="1" t="n">
        <v>46046</v>
      </c>
      <c r="D3929" t="inlineStr">
        <is>
          <t>NORRBOTTENS LÄN</t>
        </is>
      </c>
      <c r="E3929" t="inlineStr">
        <is>
          <t>ÖVERKALIX</t>
        </is>
      </c>
      <c r="F3929" t="inlineStr">
        <is>
          <t>Sveaskog</t>
        </is>
      </c>
      <c r="G3929" t="n">
        <v>16.3</v>
      </c>
      <c r="H3929" t="n">
        <v>0</v>
      </c>
      <c r="I3929" t="n">
        <v>0</v>
      </c>
      <c r="J3929" t="n">
        <v>0</v>
      </c>
      <c r="K3929" t="n">
        <v>0</v>
      </c>
      <c r="L3929" t="n">
        <v>0</v>
      </c>
      <c r="M3929" t="n">
        <v>0</v>
      </c>
      <c r="N3929" t="n">
        <v>0</v>
      </c>
      <c r="O3929" t="n">
        <v>0</v>
      </c>
      <c r="P3929" t="n">
        <v>0</v>
      </c>
      <c r="Q3929" t="n">
        <v>0</v>
      </c>
      <c r="R3929" s="2" t="inlineStr"/>
    </row>
    <row r="3930" ht="15" customHeight="1">
      <c r="A3930" t="inlineStr">
        <is>
          <t>A 37483-2024</t>
        </is>
      </c>
      <c r="B3930" s="1" t="n">
        <v>45541.33534722222</v>
      </c>
      <c r="C3930" s="1" t="n">
        <v>46046</v>
      </c>
      <c r="D3930" t="inlineStr">
        <is>
          <t>NORRBOTTENS LÄN</t>
        </is>
      </c>
      <c r="E3930" t="inlineStr">
        <is>
          <t>ARVIDSJAUR</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1192-2025</t>
        </is>
      </c>
      <c r="B3931" s="1" t="n">
        <v>45667.37363425926</v>
      </c>
      <c r="C3931" s="1" t="n">
        <v>46046</v>
      </c>
      <c r="D3931" t="inlineStr">
        <is>
          <t>NORRBOTTENS LÄN</t>
        </is>
      </c>
      <c r="E3931" t="inlineStr">
        <is>
          <t>BODEN</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1205-2025</t>
        </is>
      </c>
      <c r="B3932" s="1" t="n">
        <v>45667.39547453704</v>
      </c>
      <c r="C3932" s="1" t="n">
        <v>46046</v>
      </c>
      <c r="D3932" t="inlineStr">
        <is>
          <t>NORRBOTTENS LÄN</t>
        </is>
      </c>
      <c r="E3932" t="inlineStr">
        <is>
          <t>BODEN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31640-2025</t>
        </is>
      </c>
      <c r="B3933" s="1" t="n">
        <v>45834.34450231482</v>
      </c>
      <c r="C3933" s="1" t="n">
        <v>46046</v>
      </c>
      <c r="D3933" t="inlineStr">
        <is>
          <t>NORRBOTTENS LÄN</t>
        </is>
      </c>
      <c r="E3933" t="inlineStr">
        <is>
          <t>ÖVERKALIX</t>
        </is>
      </c>
      <c r="F3933" t="inlineStr">
        <is>
          <t>SCA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31648-2025</t>
        </is>
      </c>
      <c r="B3934" s="1" t="n">
        <v>45834</v>
      </c>
      <c r="C3934" s="1" t="n">
        <v>46046</v>
      </c>
      <c r="D3934" t="inlineStr">
        <is>
          <t>NORRBOTTENS LÄN</t>
        </is>
      </c>
      <c r="E3934" t="inlineStr">
        <is>
          <t>GÄLLIVARE</t>
        </is>
      </c>
      <c r="F3934" t="inlineStr">
        <is>
          <t>SCA</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58827-2024</t>
        </is>
      </c>
      <c r="B3935" s="1" t="n">
        <v>45635</v>
      </c>
      <c r="C3935" s="1" t="n">
        <v>46046</v>
      </c>
      <c r="D3935" t="inlineStr">
        <is>
          <t>NORRBOTTENS LÄN</t>
        </is>
      </c>
      <c r="E3935" t="inlineStr">
        <is>
          <t>LULEÅ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3680-2024</t>
        </is>
      </c>
      <c r="B3936" s="1" t="n">
        <v>45321.38069444444</v>
      </c>
      <c r="C3936" s="1" t="n">
        <v>46046</v>
      </c>
      <c r="D3936" t="inlineStr">
        <is>
          <t>NORRBOTTENS LÄN</t>
        </is>
      </c>
      <c r="E3936" t="inlineStr">
        <is>
          <t>KALIX</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32175-2025</t>
        </is>
      </c>
      <c r="B3937" s="1" t="n">
        <v>45835.55673611111</v>
      </c>
      <c r="C3937" s="1" t="n">
        <v>46046</v>
      </c>
      <c r="D3937" t="inlineStr">
        <is>
          <t>NORRBOTTENS LÄN</t>
        </is>
      </c>
      <c r="E3937" t="inlineStr">
        <is>
          <t>ÖVERKALIX</t>
        </is>
      </c>
      <c r="F3937" t="inlineStr">
        <is>
          <t>Sveaskog</t>
        </is>
      </c>
      <c r="G3937" t="n">
        <v>19.6</v>
      </c>
      <c r="H3937" t="n">
        <v>0</v>
      </c>
      <c r="I3937" t="n">
        <v>0</v>
      </c>
      <c r="J3937" t="n">
        <v>0</v>
      </c>
      <c r="K3937" t="n">
        <v>0</v>
      </c>
      <c r="L3937" t="n">
        <v>0</v>
      </c>
      <c r="M3937" t="n">
        <v>0</v>
      </c>
      <c r="N3937" t="n">
        <v>0</v>
      </c>
      <c r="O3937" t="n">
        <v>0</v>
      </c>
      <c r="P3937" t="n">
        <v>0</v>
      </c>
      <c r="Q3937" t="n">
        <v>0</v>
      </c>
      <c r="R3937" s="2" t="inlineStr"/>
    </row>
    <row r="3938" ht="15" customHeight="1">
      <c r="A3938" t="inlineStr">
        <is>
          <t>A 31751-2025</t>
        </is>
      </c>
      <c r="B3938" s="1" t="n">
        <v>45834</v>
      </c>
      <c r="C3938" s="1" t="n">
        <v>46046</v>
      </c>
      <c r="D3938" t="inlineStr">
        <is>
          <t>NORRBOTTENS LÄN</t>
        </is>
      </c>
      <c r="E3938" t="inlineStr">
        <is>
          <t>ÖVERKALIX</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32264-2025</t>
        </is>
      </c>
      <c r="B3939" s="1" t="n">
        <v>45835.64934027778</v>
      </c>
      <c r="C3939" s="1" t="n">
        <v>46046</v>
      </c>
      <c r="D3939" t="inlineStr">
        <is>
          <t>NORRBOTTENS LÄN</t>
        </is>
      </c>
      <c r="E3939" t="inlineStr">
        <is>
          <t>LULEÅ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38755-2022</t>
        </is>
      </c>
      <c r="B3940" s="1" t="n">
        <v>44813</v>
      </c>
      <c r="C3940" s="1" t="n">
        <v>46046</v>
      </c>
      <c r="D3940" t="inlineStr">
        <is>
          <t>NORRBOTTENS LÄN</t>
        </is>
      </c>
      <c r="E3940" t="inlineStr">
        <is>
          <t>PITEÅ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26819-2024</t>
        </is>
      </c>
      <c r="B3941" s="1" t="n">
        <v>45470.55719907407</v>
      </c>
      <c r="C3941" s="1" t="n">
        <v>46046</v>
      </c>
      <c r="D3941" t="inlineStr">
        <is>
          <t>NORRBOTTENS LÄN</t>
        </is>
      </c>
      <c r="E3941" t="inlineStr">
        <is>
          <t>ARVIDSJAUR</t>
        </is>
      </c>
      <c r="F3941" t="inlineStr">
        <is>
          <t>Sveaskog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51457-2023</t>
        </is>
      </c>
      <c r="B3942" s="1" t="n">
        <v>45220</v>
      </c>
      <c r="C3942" s="1" t="n">
        <v>46046</v>
      </c>
      <c r="D3942" t="inlineStr">
        <is>
          <t>NORRBOTTENS LÄN</t>
        </is>
      </c>
      <c r="E3942" t="inlineStr">
        <is>
          <t>ÄLVSBYN</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49720-2024</t>
        </is>
      </c>
      <c r="B3943" s="1" t="n">
        <v>45596.72625</v>
      </c>
      <c r="C3943" s="1" t="n">
        <v>46046</v>
      </c>
      <c r="D3943" t="inlineStr">
        <is>
          <t>NORRBOTTENS LÄN</t>
        </is>
      </c>
      <c r="E3943" t="inlineStr">
        <is>
          <t>LULEÅ</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32033-2025</t>
        </is>
      </c>
      <c r="B3944" s="1" t="n">
        <v>45835.42211805555</v>
      </c>
      <c r="C3944" s="1" t="n">
        <v>46046</v>
      </c>
      <c r="D3944" t="inlineStr">
        <is>
          <t>NORRBOTTENS LÄN</t>
        </is>
      </c>
      <c r="E3944" t="inlineStr">
        <is>
          <t>HAPARANDA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32039-2025</t>
        </is>
      </c>
      <c r="B3945" s="1" t="n">
        <v>45835.42732638889</v>
      </c>
      <c r="C3945" s="1" t="n">
        <v>46046</v>
      </c>
      <c r="D3945" t="inlineStr">
        <is>
          <t>NORRBOTTENS LÄN</t>
        </is>
      </c>
      <c r="E3945" t="inlineStr">
        <is>
          <t>HAPARANDA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61795-2022</t>
        </is>
      </c>
      <c r="B3946" s="1" t="n">
        <v>44911</v>
      </c>
      <c r="C3946" s="1" t="n">
        <v>46046</v>
      </c>
      <c r="D3946" t="inlineStr">
        <is>
          <t>NORRBOTTENS LÄN</t>
        </is>
      </c>
      <c r="E3946" t="inlineStr">
        <is>
          <t>GÄLLIVARE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5131-2025</t>
        </is>
      </c>
      <c r="B3947" s="1" t="n">
        <v>45691.57331018519</v>
      </c>
      <c r="C3947" s="1" t="n">
        <v>46046</v>
      </c>
      <c r="D3947" t="inlineStr">
        <is>
          <t>NORRBOTTENS LÄN</t>
        </is>
      </c>
      <c r="E3947" t="inlineStr">
        <is>
          <t>LULEÅ</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11949-2025</t>
        </is>
      </c>
      <c r="B3948" s="1" t="n">
        <v>45728.55405092592</v>
      </c>
      <c r="C3948" s="1" t="n">
        <v>46046</v>
      </c>
      <c r="D3948" t="inlineStr">
        <is>
          <t>NORRBOTTENS LÄN</t>
        </is>
      </c>
      <c r="E3948" t="inlineStr">
        <is>
          <t>PITEÅ</t>
        </is>
      </c>
      <c r="F3948" t="inlineStr">
        <is>
          <t>Kommuner</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52459-2024</t>
        </is>
      </c>
      <c r="B3949" s="1" t="n">
        <v>45609.51568287037</v>
      </c>
      <c r="C3949" s="1" t="n">
        <v>46046</v>
      </c>
      <c r="D3949" t="inlineStr">
        <is>
          <t>NORRBOTTENS LÄN</t>
        </is>
      </c>
      <c r="E3949" t="inlineStr">
        <is>
          <t>KALIX</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5155-2025</t>
        </is>
      </c>
      <c r="B3950" s="1" t="n">
        <v>45691.60460648148</v>
      </c>
      <c r="C3950" s="1" t="n">
        <v>46046</v>
      </c>
      <c r="D3950" t="inlineStr">
        <is>
          <t>NORRBOTTENS LÄN</t>
        </is>
      </c>
      <c r="E3950" t="inlineStr">
        <is>
          <t>ÖVERTORNEÅ</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58643-2024</t>
        </is>
      </c>
      <c r="B3951" s="1" t="n">
        <v>45635.58863425926</v>
      </c>
      <c r="C3951" s="1" t="n">
        <v>46046</v>
      </c>
      <c r="D3951" t="inlineStr">
        <is>
          <t>NORRBOTTENS LÄN</t>
        </is>
      </c>
      <c r="E3951" t="inlineStr">
        <is>
          <t>PAJALA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5184-2025</t>
        </is>
      </c>
      <c r="B3952" s="1" t="n">
        <v>45691.64054398148</v>
      </c>
      <c r="C3952" s="1" t="n">
        <v>46046</v>
      </c>
      <c r="D3952" t="inlineStr">
        <is>
          <t>NORRBOTTENS LÄN</t>
        </is>
      </c>
      <c r="E3952" t="inlineStr">
        <is>
          <t>PITEÅ</t>
        </is>
      </c>
      <c r="F3952" t="inlineStr">
        <is>
          <t>Övriga Aktiebolag</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36681-2021</t>
        </is>
      </c>
      <c r="B3953" s="1" t="n">
        <v>44392</v>
      </c>
      <c r="C3953" s="1" t="n">
        <v>46046</v>
      </c>
      <c r="D3953" t="inlineStr">
        <is>
          <t>NORRBOTTENS LÄN</t>
        </is>
      </c>
      <c r="E3953" t="inlineStr">
        <is>
          <t>GÄLLIVARE</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58698-2024</t>
        </is>
      </c>
      <c r="B3954" s="1" t="n">
        <v>45635.63734953704</v>
      </c>
      <c r="C3954" s="1" t="n">
        <v>46046</v>
      </c>
      <c r="D3954" t="inlineStr">
        <is>
          <t>NORRBOTTENS LÄN</t>
        </is>
      </c>
      <c r="E3954" t="inlineStr">
        <is>
          <t>PITEÅ</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47634-2024</t>
        </is>
      </c>
      <c r="B3955" s="1" t="n">
        <v>45588.345625</v>
      </c>
      <c r="C3955" s="1" t="n">
        <v>46046</v>
      </c>
      <c r="D3955" t="inlineStr">
        <is>
          <t>NORRBOTTENS LÄN</t>
        </is>
      </c>
      <c r="E3955" t="inlineStr">
        <is>
          <t>KALIX</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29649-2024</t>
        </is>
      </c>
      <c r="B3956" s="1" t="n">
        <v>45484</v>
      </c>
      <c r="C3956" s="1" t="n">
        <v>46046</v>
      </c>
      <c r="D3956" t="inlineStr">
        <is>
          <t>NORRBOTTENS LÄN</t>
        </is>
      </c>
      <c r="E3956" t="inlineStr">
        <is>
          <t>ARJEPLOG</t>
        </is>
      </c>
      <c r="F3956" t="inlineStr">
        <is>
          <t>Allmännings- och besparingsskogar</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55329-2024</t>
        </is>
      </c>
      <c r="B3957" s="1" t="n">
        <v>45621.67932870371</v>
      </c>
      <c r="C3957" s="1" t="n">
        <v>46046</v>
      </c>
      <c r="D3957" t="inlineStr">
        <is>
          <t>NORRBOTTENS LÄN</t>
        </is>
      </c>
      <c r="E3957" t="inlineStr">
        <is>
          <t>ÖVERKALIX</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31645-2025</t>
        </is>
      </c>
      <c r="B3958" s="1" t="n">
        <v>45834.34546296296</v>
      </c>
      <c r="C3958" s="1" t="n">
        <v>46046</v>
      </c>
      <c r="D3958" t="inlineStr">
        <is>
          <t>NORRBOTTENS LÄN</t>
        </is>
      </c>
      <c r="E3958" t="inlineStr">
        <is>
          <t>ÖVERKALIX</t>
        </is>
      </c>
      <c r="F3958" t="inlineStr">
        <is>
          <t>SCA</t>
        </is>
      </c>
      <c r="G3958" t="n">
        <v>17.4</v>
      </c>
      <c r="H3958" t="n">
        <v>0</v>
      </c>
      <c r="I3958" t="n">
        <v>0</v>
      </c>
      <c r="J3958" t="n">
        <v>0</v>
      </c>
      <c r="K3958" t="n">
        <v>0</v>
      </c>
      <c r="L3958" t="n">
        <v>0</v>
      </c>
      <c r="M3958" t="n">
        <v>0</v>
      </c>
      <c r="N3958" t="n">
        <v>0</v>
      </c>
      <c r="O3958" t="n">
        <v>0</v>
      </c>
      <c r="P3958" t="n">
        <v>0</v>
      </c>
      <c r="Q3958" t="n">
        <v>0</v>
      </c>
      <c r="R3958" s="2" t="inlineStr"/>
    </row>
    <row r="3959" ht="15" customHeight="1">
      <c r="A3959" t="inlineStr">
        <is>
          <t>A 31652-2025</t>
        </is>
      </c>
      <c r="B3959" s="1" t="n">
        <v>45834</v>
      </c>
      <c r="C3959" s="1" t="n">
        <v>46046</v>
      </c>
      <c r="D3959" t="inlineStr">
        <is>
          <t>NORRBOTTENS LÄN</t>
        </is>
      </c>
      <c r="E3959" t="inlineStr">
        <is>
          <t>GÄLLIVARE</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510-2025</t>
        </is>
      </c>
      <c r="B3960" s="1" t="n">
        <v>45664.47244212963</v>
      </c>
      <c r="C3960" s="1" t="n">
        <v>46046</v>
      </c>
      <c r="D3960" t="inlineStr">
        <is>
          <t>NORRBOTTENS LÄN</t>
        </is>
      </c>
      <c r="E3960" t="inlineStr">
        <is>
          <t>PITEÅ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32241-2025</t>
        </is>
      </c>
      <c r="B3961" s="1" t="n">
        <v>45835.61546296296</v>
      </c>
      <c r="C3961" s="1" t="n">
        <v>46046</v>
      </c>
      <c r="D3961" t="inlineStr">
        <is>
          <t>NORRBOTTENS LÄN</t>
        </is>
      </c>
      <c r="E3961" t="inlineStr">
        <is>
          <t>KALIX</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32242-2025</t>
        </is>
      </c>
      <c r="B3962" s="1" t="n">
        <v>45835.61557870371</v>
      </c>
      <c r="C3962" s="1" t="n">
        <v>46046</v>
      </c>
      <c r="D3962" t="inlineStr">
        <is>
          <t>NORRBOTTENS LÄN</t>
        </is>
      </c>
      <c r="E3962" t="inlineStr">
        <is>
          <t>KALIX</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32253-2025</t>
        </is>
      </c>
      <c r="B3963" s="1" t="n">
        <v>45835.63008101852</v>
      </c>
      <c r="C3963" s="1" t="n">
        <v>46046</v>
      </c>
      <c r="D3963" t="inlineStr">
        <is>
          <t>NORRBOTTENS LÄN</t>
        </is>
      </c>
      <c r="E3963" t="inlineStr">
        <is>
          <t>LULEÅ</t>
        </is>
      </c>
      <c r="G3963" t="n">
        <v>7.4</v>
      </c>
      <c r="H3963" t="n">
        <v>0</v>
      </c>
      <c r="I3963" t="n">
        <v>0</v>
      </c>
      <c r="J3963" t="n">
        <v>0</v>
      </c>
      <c r="K3963" t="n">
        <v>0</v>
      </c>
      <c r="L3963" t="n">
        <v>0</v>
      </c>
      <c r="M3963" t="n">
        <v>0</v>
      </c>
      <c r="N3963" t="n">
        <v>0</v>
      </c>
      <c r="O3963" t="n">
        <v>0</v>
      </c>
      <c r="P3963" t="n">
        <v>0</v>
      </c>
      <c r="Q3963" t="n">
        <v>0</v>
      </c>
      <c r="R3963" s="2" t="inlineStr"/>
    </row>
    <row r="3964" ht="15" customHeight="1">
      <c r="A3964" t="inlineStr">
        <is>
          <t>A 31744-2025</t>
        </is>
      </c>
      <c r="B3964" s="1" t="n">
        <v>45834</v>
      </c>
      <c r="C3964" s="1" t="n">
        <v>46046</v>
      </c>
      <c r="D3964" t="inlineStr">
        <is>
          <t>NORRBOTTENS LÄN</t>
        </is>
      </c>
      <c r="E3964" t="inlineStr">
        <is>
          <t>ÖVERKALIX</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51243-2023</t>
        </is>
      </c>
      <c r="B3965" s="1" t="n">
        <v>45212</v>
      </c>
      <c r="C3965" s="1" t="n">
        <v>46046</v>
      </c>
      <c r="D3965" t="inlineStr">
        <is>
          <t>NORRBOTTENS LÄN</t>
        </is>
      </c>
      <c r="E3965" t="inlineStr">
        <is>
          <t>GÄLLIVARE</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53091-2023</t>
        </is>
      </c>
      <c r="B3966" s="1" t="n">
        <v>45227.71137731482</v>
      </c>
      <c r="C3966" s="1" t="n">
        <v>46046</v>
      </c>
      <c r="D3966" t="inlineStr">
        <is>
          <t>NORRBOTTENS LÄN</t>
        </is>
      </c>
      <c r="E3966" t="inlineStr">
        <is>
          <t>PAJALA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8422-2025</t>
        </is>
      </c>
      <c r="B3967" s="1" t="n">
        <v>45709.4059837963</v>
      </c>
      <c r="C3967" s="1" t="n">
        <v>46046</v>
      </c>
      <c r="D3967" t="inlineStr">
        <is>
          <t>NORRBOTTENS LÄN</t>
        </is>
      </c>
      <c r="E3967" t="inlineStr">
        <is>
          <t>ÖVERKALIX</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47239-2023</t>
        </is>
      </c>
      <c r="B3968" s="1" t="n">
        <v>45196</v>
      </c>
      <c r="C3968" s="1" t="n">
        <v>46046</v>
      </c>
      <c r="D3968" t="inlineStr">
        <is>
          <t>NORRBOTTENS LÄN</t>
        </is>
      </c>
      <c r="E3968" t="inlineStr">
        <is>
          <t>GÄLLIVARE</t>
        </is>
      </c>
      <c r="F3968" t="inlineStr">
        <is>
          <t>Övriga statliga verk och myndigheter</t>
        </is>
      </c>
      <c r="G3968" t="n">
        <v>65.40000000000001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47239-2023</t>
        </is>
      </c>
      <c r="B3969" s="1" t="n">
        <v>45196</v>
      </c>
      <c r="C3969" s="1" t="n">
        <v>46046</v>
      </c>
      <c r="D3969" t="inlineStr">
        <is>
          <t>NORRBOTTENS LÄN</t>
        </is>
      </c>
      <c r="E3969" t="inlineStr">
        <is>
          <t>GÄLLIVARE</t>
        </is>
      </c>
      <c r="F3969" t="inlineStr">
        <is>
          <t>Övriga statliga verk och myndigheter</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31918-2025</t>
        </is>
      </c>
      <c r="B3970" s="1" t="n">
        <v>45834</v>
      </c>
      <c r="C3970" s="1" t="n">
        <v>46046</v>
      </c>
      <c r="D3970" t="inlineStr">
        <is>
          <t>NORRBOTTENS LÄN</t>
        </is>
      </c>
      <c r="E3970" t="inlineStr">
        <is>
          <t>JOKKMOKK</t>
        </is>
      </c>
      <c r="G3970" t="n">
        <v>15.2</v>
      </c>
      <c r="H3970" t="n">
        <v>0</v>
      </c>
      <c r="I3970" t="n">
        <v>0</v>
      </c>
      <c r="J3970" t="n">
        <v>0</v>
      </c>
      <c r="K3970" t="n">
        <v>0</v>
      </c>
      <c r="L3970" t="n">
        <v>0</v>
      </c>
      <c r="M3970" t="n">
        <v>0</v>
      </c>
      <c r="N3970" t="n">
        <v>0</v>
      </c>
      <c r="O3970" t="n">
        <v>0</v>
      </c>
      <c r="P3970" t="n">
        <v>0</v>
      </c>
      <c r="Q3970" t="n">
        <v>0</v>
      </c>
      <c r="R3970" s="2" t="inlineStr"/>
    </row>
    <row r="3971" ht="15" customHeight="1">
      <c r="A3971" t="inlineStr">
        <is>
          <t>A 52154-2024</t>
        </is>
      </c>
      <c r="B3971" s="1" t="n">
        <v>45608</v>
      </c>
      <c r="C3971" s="1" t="n">
        <v>46046</v>
      </c>
      <c r="D3971" t="inlineStr">
        <is>
          <t>NORRBOTTENS LÄN</t>
        </is>
      </c>
      <c r="E3971" t="inlineStr">
        <is>
          <t>ÖVERKALIX</t>
        </is>
      </c>
      <c r="F3971" t="inlineStr">
        <is>
          <t>SCA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46442-2023</t>
        </is>
      </c>
      <c r="B3972" s="1" t="n">
        <v>45197.59248842593</v>
      </c>
      <c r="C3972" s="1" t="n">
        <v>46046</v>
      </c>
      <c r="D3972" t="inlineStr">
        <is>
          <t>NORRBOTTENS LÄN</t>
        </is>
      </c>
      <c r="E3972" t="inlineStr">
        <is>
          <t>JOKKMOKK</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31643-2025</t>
        </is>
      </c>
      <c r="B3973" s="1" t="n">
        <v>45834.34496527778</v>
      </c>
      <c r="C3973" s="1" t="n">
        <v>46046</v>
      </c>
      <c r="D3973" t="inlineStr">
        <is>
          <t>NORRBOTTENS LÄN</t>
        </is>
      </c>
      <c r="E3973" t="inlineStr">
        <is>
          <t>GÄLLIVARE</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31644-2025</t>
        </is>
      </c>
      <c r="B3974" s="1" t="n">
        <v>45834.34519675926</v>
      </c>
      <c r="C3974" s="1" t="n">
        <v>46046</v>
      </c>
      <c r="D3974" t="inlineStr">
        <is>
          <t>NORRBOTTENS LÄN</t>
        </is>
      </c>
      <c r="E3974" t="inlineStr">
        <is>
          <t>GÄLLIVARE</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29894-2022</t>
        </is>
      </c>
      <c r="B3975" s="1" t="n">
        <v>44756</v>
      </c>
      <c r="C3975" s="1" t="n">
        <v>46046</v>
      </c>
      <c r="D3975" t="inlineStr">
        <is>
          <t>NORRBOTTENS LÄN</t>
        </is>
      </c>
      <c r="E3975" t="inlineStr">
        <is>
          <t>PITEÅ</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31773-2025</t>
        </is>
      </c>
      <c r="B3976" s="1" t="n">
        <v>45834.51092592593</v>
      </c>
      <c r="C3976" s="1" t="n">
        <v>46046</v>
      </c>
      <c r="D3976" t="inlineStr">
        <is>
          <t>NORRBOTTENS LÄN</t>
        </is>
      </c>
      <c r="E3976" t="inlineStr">
        <is>
          <t>ÖVERTORNEÅ</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54863-2022</t>
        </is>
      </c>
      <c r="B3977" s="1" t="n">
        <v>44884</v>
      </c>
      <c r="C3977" s="1" t="n">
        <v>46046</v>
      </c>
      <c r="D3977" t="inlineStr">
        <is>
          <t>NORRBOTTENS LÄN</t>
        </is>
      </c>
      <c r="E3977" t="inlineStr">
        <is>
          <t>PAJALA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6348-2025</t>
        </is>
      </c>
      <c r="B3978" s="1" t="n">
        <v>45699.34594907407</v>
      </c>
      <c r="C3978" s="1" t="n">
        <v>46046</v>
      </c>
      <c r="D3978" t="inlineStr">
        <is>
          <t>NORRBOTTENS LÄN</t>
        </is>
      </c>
      <c r="E3978" t="inlineStr">
        <is>
          <t>KALIX</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32260-2025</t>
        </is>
      </c>
      <c r="B3979" s="1" t="n">
        <v>45835.64260416666</v>
      </c>
      <c r="C3979" s="1" t="n">
        <v>46046</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36881-2023</t>
        </is>
      </c>
      <c r="B3980" s="1" t="n">
        <v>45154</v>
      </c>
      <c r="C3980" s="1" t="n">
        <v>46046</v>
      </c>
      <c r="D3980" t="inlineStr">
        <is>
          <t>NORRBOTTENS LÄN</t>
        </is>
      </c>
      <c r="E3980" t="inlineStr">
        <is>
          <t>GÄLLIVARE</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31650-2025</t>
        </is>
      </c>
      <c r="B3981" s="1" t="n">
        <v>45834.3466087963</v>
      </c>
      <c r="C3981" s="1" t="n">
        <v>46046</v>
      </c>
      <c r="D3981" t="inlineStr">
        <is>
          <t>NORRBOTTENS LÄN</t>
        </is>
      </c>
      <c r="E3981" t="inlineStr">
        <is>
          <t>GÄLLIVARE</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31653-2025</t>
        </is>
      </c>
      <c r="B3982" s="1" t="n">
        <v>45834.34711805556</v>
      </c>
      <c r="C3982" s="1" t="n">
        <v>46046</v>
      </c>
      <c r="D3982" t="inlineStr">
        <is>
          <t>NORRBOTTENS LÄN</t>
        </is>
      </c>
      <c r="E3982" t="inlineStr">
        <is>
          <t>GÄLLIVARE</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26434-2024</t>
        </is>
      </c>
      <c r="B3983" s="1" t="n">
        <v>45468</v>
      </c>
      <c r="C3983" s="1" t="n">
        <v>46046</v>
      </c>
      <c r="D3983" t="inlineStr">
        <is>
          <t>NORRBOTTENS LÄN</t>
        </is>
      </c>
      <c r="E3983" t="inlineStr">
        <is>
          <t>PAJALA</t>
        </is>
      </c>
      <c r="G3983" t="n">
        <v>24.4</v>
      </c>
      <c r="H3983" t="n">
        <v>0</v>
      </c>
      <c r="I3983" t="n">
        <v>0</v>
      </c>
      <c r="J3983" t="n">
        <v>0</v>
      </c>
      <c r="K3983" t="n">
        <v>0</v>
      </c>
      <c r="L3983" t="n">
        <v>0</v>
      </c>
      <c r="M3983" t="n">
        <v>0</v>
      </c>
      <c r="N3983" t="n">
        <v>0</v>
      </c>
      <c r="O3983" t="n">
        <v>0</v>
      </c>
      <c r="P3983" t="n">
        <v>0</v>
      </c>
      <c r="Q3983" t="n">
        <v>0</v>
      </c>
      <c r="R3983" s="2" t="inlineStr"/>
    </row>
    <row r="3984" ht="15" customHeight="1">
      <c r="A3984" t="inlineStr">
        <is>
          <t>A 12832-2022</t>
        </is>
      </c>
      <c r="B3984" s="1" t="n">
        <v>44642</v>
      </c>
      <c r="C3984" s="1" t="n">
        <v>46046</v>
      </c>
      <c r="D3984" t="inlineStr">
        <is>
          <t>NORRBOTTENS LÄN</t>
        </is>
      </c>
      <c r="E3984" t="inlineStr">
        <is>
          <t>BODEN</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32067-2025</t>
        </is>
      </c>
      <c r="B3985" s="1" t="n">
        <v>45835.44841435185</v>
      </c>
      <c r="C3985" s="1" t="n">
        <v>46046</v>
      </c>
      <c r="D3985" t="inlineStr">
        <is>
          <t>NORRBOTTENS LÄN</t>
        </is>
      </c>
      <c r="E3985" t="inlineStr">
        <is>
          <t>ÖVERKALIX</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36954-2023</t>
        </is>
      </c>
      <c r="B3986" s="1" t="n">
        <v>45154</v>
      </c>
      <c r="C3986" s="1" t="n">
        <v>46046</v>
      </c>
      <c r="D3986" t="inlineStr">
        <is>
          <t>NORRBOTTENS LÄN</t>
        </is>
      </c>
      <c r="E3986" t="inlineStr">
        <is>
          <t>ARVIDSJAUR</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32936-2025</t>
        </is>
      </c>
      <c r="B3987" s="1" t="n">
        <v>45839</v>
      </c>
      <c r="C3987" s="1" t="n">
        <v>46046</v>
      </c>
      <c r="D3987" t="inlineStr">
        <is>
          <t>NORRBOTTENS LÄN</t>
        </is>
      </c>
      <c r="E3987" t="inlineStr">
        <is>
          <t>GÄLLIVARE</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74228-2021</t>
        </is>
      </c>
      <c r="B3988" s="1" t="n">
        <v>44553</v>
      </c>
      <c r="C3988" s="1" t="n">
        <v>46046</v>
      </c>
      <c r="D3988" t="inlineStr">
        <is>
          <t>NORRBOTTENS LÄN</t>
        </is>
      </c>
      <c r="E3988" t="inlineStr">
        <is>
          <t>ÖVERTORNEÅ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16112-2021</t>
        </is>
      </c>
      <c r="B3989" s="1" t="n">
        <v>44291</v>
      </c>
      <c r="C3989" s="1" t="n">
        <v>46046</v>
      </c>
      <c r="D3989" t="inlineStr">
        <is>
          <t>NORRBOTTENS LÄN</t>
        </is>
      </c>
      <c r="E3989" t="inlineStr">
        <is>
          <t>ÖVERTORNEÅ</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30343-2023</t>
        </is>
      </c>
      <c r="B3990" s="1" t="n">
        <v>45111</v>
      </c>
      <c r="C3990" s="1" t="n">
        <v>46046</v>
      </c>
      <c r="D3990" t="inlineStr">
        <is>
          <t>NORRBOTTENS LÄN</t>
        </is>
      </c>
      <c r="E3990" t="inlineStr">
        <is>
          <t>ARVIDSJAUR</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30358-2023</t>
        </is>
      </c>
      <c r="B3991" s="1" t="n">
        <v>45111</v>
      </c>
      <c r="C3991" s="1" t="n">
        <v>46046</v>
      </c>
      <c r="D3991" t="inlineStr">
        <is>
          <t>NORRBOTTENS LÄN</t>
        </is>
      </c>
      <c r="E3991" t="inlineStr">
        <is>
          <t>LULEÅ</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25506-2024</t>
        </is>
      </c>
      <c r="B3992" s="1" t="n">
        <v>45463</v>
      </c>
      <c r="C3992" s="1" t="n">
        <v>46046</v>
      </c>
      <c r="D3992" t="inlineStr">
        <is>
          <t>NORRBOTTENS LÄN</t>
        </is>
      </c>
      <c r="E3992" t="inlineStr">
        <is>
          <t>ÖVERKALIX</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38551-2023</t>
        </is>
      </c>
      <c r="B3993" s="1" t="n">
        <v>45160</v>
      </c>
      <c r="C3993" s="1" t="n">
        <v>46046</v>
      </c>
      <c r="D3993" t="inlineStr">
        <is>
          <t>NORRBOTTENS LÄN</t>
        </is>
      </c>
      <c r="E3993" t="inlineStr">
        <is>
          <t>LULEÅ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32892-2025</t>
        </is>
      </c>
      <c r="B3994" s="1" t="n">
        <v>45839.60887731481</v>
      </c>
      <c r="C3994" s="1" t="n">
        <v>46046</v>
      </c>
      <c r="D3994" t="inlineStr">
        <is>
          <t>NORRBOTTENS LÄN</t>
        </is>
      </c>
      <c r="E3994" t="inlineStr">
        <is>
          <t>ÖVERKALIX</t>
        </is>
      </c>
      <c r="F3994" t="inlineStr">
        <is>
          <t>Sveaskog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32195-2024</t>
        </is>
      </c>
      <c r="B3995" s="1" t="n">
        <v>45511</v>
      </c>
      <c r="C3995" s="1" t="n">
        <v>46046</v>
      </c>
      <c r="D3995" t="inlineStr">
        <is>
          <t>NORRBOTTENS LÄN</t>
        </is>
      </c>
      <c r="E3995" t="inlineStr">
        <is>
          <t>ÄLVSBYN</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25926-2025</t>
        </is>
      </c>
      <c r="B3996" s="1" t="n">
        <v>45803</v>
      </c>
      <c r="C3996" s="1" t="n">
        <v>46046</v>
      </c>
      <c r="D3996" t="inlineStr">
        <is>
          <t>NORRBOTTENS LÄN</t>
        </is>
      </c>
      <c r="E3996" t="inlineStr">
        <is>
          <t>BODEN</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32670-2025</t>
        </is>
      </c>
      <c r="B3997" s="1" t="n">
        <v>45838.70071759259</v>
      </c>
      <c r="C3997" s="1" t="n">
        <v>46046</v>
      </c>
      <c r="D3997" t="inlineStr">
        <is>
          <t>NORRBOTTENS LÄN</t>
        </is>
      </c>
      <c r="E3997" t="inlineStr">
        <is>
          <t>JOKKMOKK</t>
        </is>
      </c>
      <c r="F3997" t="inlineStr">
        <is>
          <t>Sveaskog</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32915-2024</t>
        </is>
      </c>
      <c r="B3998" s="1" t="n">
        <v>45516</v>
      </c>
      <c r="C3998" s="1" t="n">
        <v>46046</v>
      </c>
      <c r="D3998" t="inlineStr">
        <is>
          <t>NORRBOTTENS LÄN</t>
        </is>
      </c>
      <c r="E3998" t="inlineStr">
        <is>
          <t>JOKKMOKK</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31281-2024</t>
        </is>
      </c>
      <c r="B3999" s="1" t="n">
        <v>45504.41072916667</v>
      </c>
      <c r="C3999" s="1" t="n">
        <v>46046</v>
      </c>
      <c r="D3999" t="inlineStr">
        <is>
          <t>NORRBOTTENS LÄN</t>
        </is>
      </c>
      <c r="E3999" t="inlineStr">
        <is>
          <t>PITEÅ</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10845-2025</t>
        </is>
      </c>
      <c r="B4000" s="1" t="n">
        <v>45722</v>
      </c>
      <c r="C4000" s="1" t="n">
        <v>46046</v>
      </c>
      <c r="D4000" t="inlineStr">
        <is>
          <t>NORRBOTTENS LÄN</t>
        </is>
      </c>
      <c r="E4000" t="inlineStr">
        <is>
          <t>ARVIDSJAUR</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44079-2023</t>
        </is>
      </c>
      <c r="B4001" s="1" t="n">
        <v>45188</v>
      </c>
      <c r="C4001" s="1" t="n">
        <v>46046</v>
      </c>
      <c r="D4001" t="inlineStr">
        <is>
          <t>NORRBOTTENS LÄN</t>
        </is>
      </c>
      <c r="E4001" t="inlineStr">
        <is>
          <t>ÖVERTORNEÅ</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44096-2023</t>
        </is>
      </c>
      <c r="B4002" s="1" t="n">
        <v>45188.42984953704</v>
      </c>
      <c r="C4002" s="1" t="n">
        <v>46046</v>
      </c>
      <c r="D4002" t="inlineStr">
        <is>
          <t>NORRBOTTENS LÄN</t>
        </is>
      </c>
      <c r="E4002" t="inlineStr">
        <is>
          <t>ÖVERTORNEÅ</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32943-2025</t>
        </is>
      </c>
      <c r="B4003" s="1" t="n">
        <v>45839</v>
      </c>
      <c r="C4003" s="1" t="n">
        <v>46046</v>
      </c>
      <c r="D4003" t="inlineStr">
        <is>
          <t>NORRBOTTENS LÄN</t>
        </is>
      </c>
      <c r="E4003" t="inlineStr">
        <is>
          <t>GÄLLIVARE</t>
        </is>
      </c>
      <c r="G4003" t="n">
        <v>16.8</v>
      </c>
      <c r="H4003" t="n">
        <v>0</v>
      </c>
      <c r="I4003" t="n">
        <v>0</v>
      </c>
      <c r="J4003" t="n">
        <v>0</v>
      </c>
      <c r="K4003" t="n">
        <v>0</v>
      </c>
      <c r="L4003" t="n">
        <v>0</v>
      </c>
      <c r="M4003" t="n">
        <v>0</v>
      </c>
      <c r="N4003" t="n">
        <v>0</v>
      </c>
      <c r="O4003" t="n">
        <v>0</v>
      </c>
      <c r="P4003" t="n">
        <v>0</v>
      </c>
      <c r="Q4003" t="n">
        <v>0</v>
      </c>
      <c r="R4003" s="2" t="inlineStr"/>
    </row>
    <row r="4004" ht="15" customHeight="1">
      <c r="A4004" t="inlineStr">
        <is>
          <t>A 48642-2023</t>
        </is>
      </c>
      <c r="B4004" s="1" t="n">
        <v>45208</v>
      </c>
      <c r="C4004" s="1" t="n">
        <v>46046</v>
      </c>
      <c r="D4004" t="inlineStr">
        <is>
          <t>NORRBOTTENS LÄN</t>
        </is>
      </c>
      <c r="E4004" t="inlineStr">
        <is>
          <t>LULEÅ</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6241-2023</t>
        </is>
      </c>
      <c r="B4005" s="1" t="n">
        <v>44964.9440625</v>
      </c>
      <c r="C4005" s="1" t="n">
        <v>46046</v>
      </c>
      <c r="D4005" t="inlineStr">
        <is>
          <t>NORRBOTTENS LÄN</t>
        </is>
      </c>
      <c r="E4005" t="inlineStr">
        <is>
          <t>KALIX</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6244-2023</t>
        </is>
      </c>
      <c r="B4006" s="1" t="n">
        <v>44964.94435185185</v>
      </c>
      <c r="C4006" s="1" t="n">
        <v>46046</v>
      </c>
      <c r="D4006" t="inlineStr">
        <is>
          <t>NORRBOTTENS LÄN</t>
        </is>
      </c>
      <c r="E4006" t="inlineStr">
        <is>
          <t>BODEN</t>
        </is>
      </c>
      <c r="F4006" t="inlineStr">
        <is>
          <t>SCA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31326-2023</t>
        </is>
      </c>
      <c r="B4007" s="1" t="n">
        <v>45114</v>
      </c>
      <c r="C4007" s="1" t="n">
        <v>46046</v>
      </c>
      <c r="D4007" t="inlineStr">
        <is>
          <t>NORRBOTTENS LÄN</t>
        </is>
      </c>
      <c r="E4007" t="inlineStr">
        <is>
          <t>PAJALA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56523-2021</t>
        </is>
      </c>
      <c r="B4008" s="1" t="n">
        <v>44477</v>
      </c>
      <c r="C4008" s="1" t="n">
        <v>46046</v>
      </c>
      <c r="D4008" t="inlineStr">
        <is>
          <t>NORRBOTTENS LÄN</t>
        </is>
      </c>
      <c r="E4008" t="inlineStr">
        <is>
          <t>JOKKMOKK</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29238-2024</t>
        </is>
      </c>
      <c r="B4009" s="1" t="n">
        <v>45482.92740740741</v>
      </c>
      <c r="C4009" s="1" t="n">
        <v>46046</v>
      </c>
      <c r="D4009" t="inlineStr">
        <is>
          <t>NORRBOTTENS LÄN</t>
        </is>
      </c>
      <c r="E4009" t="inlineStr">
        <is>
          <t>PAJALA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29254-2024</t>
        </is>
      </c>
      <c r="B4010" s="1" t="n">
        <v>45482</v>
      </c>
      <c r="C4010" s="1" t="n">
        <v>46046</v>
      </c>
      <c r="D4010" t="inlineStr">
        <is>
          <t>NORRBOTTENS LÄN</t>
        </is>
      </c>
      <c r="E4010" t="inlineStr">
        <is>
          <t>GÄLLIVARE</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12865-2023</t>
        </is>
      </c>
      <c r="B4011" s="1" t="n">
        <v>45001</v>
      </c>
      <c r="C4011" s="1" t="n">
        <v>46046</v>
      </c>
      <c r="D4011" t="inlineStr">
        <is>
          <t>NORRBOTTENS LÄN</t>
        </is>
      </c>
      <c r="E4011" t="inlineStr">
        <is>
          <t>LULEÅ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33827-2024</t>
        </is>
      </c>
      <c r="B4012" s="1" t="n">
        <v>45520</v>
      </c>
      <c r="C4012" s="1" t="n">
        <v>46046</v>
      </c>
      <c r="D4012" t="inlineStr">
        <is>
          <t>NORRBOTTENS LÄN</t>
        </is>
      </c>
      <c r="E4012" t="inlineStr">
        <is>
          <t>JOKKMOKK</t>
        </is>
      </c>
      <c r="F4012" t="inlineStr">
        <is>
          <t>SCA</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11135-2025</t>
        </is>
      </c>
      <c r="B4013" s="1" t="n">
        <v>45723.65663194445</v>
      </c>
      <c r="C4013" s="1" t="n">
        <v>46046</v>
      </c>
      <c r="D4013" t="inlineStr">
        <is>
          <t>NORRBOTTENS LÄN</t>
        </is>
      </c>
      <c r="E4013" t="inlineStr">
        <is>
          <t>LULEÅ</t>
        </is>
      </c>
      <c r="G4013" t="n">
        <v>16.7</v>
      </c>
      <c r="H4013" t="n">
        <v>0</v>
      </c>
      <c r="I4013" t="n">
        <v>0</v>
      </c>
      <c r="J4013" t="n">
        <v>0</v>
      </c>
      <c r="K4013" t="n">
        <v>0</v>
      </c>
      <c r="L4013" t="n">
        <v>0</v>
      </c>
      <c r="M4013" t="n">
        <v>0</v>
      </c>
      <c r="N4013" t="n">
        <v>0</v>
      </c>
      <c r="O4013" t="n">
        <v>0</v>
      </c>
      <c r="P4013" t="n">
        <v>0</v>
      </c>
      <c r="Q4013" t="n">
        <v>0</v>
      </c>
      <c r="R4013" s="2" t="inlineStr"/>
    </row>
    <row r="4014" ht="15" customHeight="1">
      <c r="A4014" t="inlineStr">
        <is>
          <t>A 61750-2024</t>
        </is>
      </c>
      <c r="B4014" s="1" t="n">
        <v>45649.39115740741</v>
      </c>
      <c r="C4014" s="1" t="n">
        <v>46046</v>
      </c>
      <c r="D4014" t="inlineStr">
        <is>
          <t>NORRBOTTENS LÄN</t>
        </is>
      </c>
      <c r="E4014" t="inlineStr">
        <is>
          <t>BODEN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61756-2024</t>
        </is>
      </c>
      <c r="B4015" s="1" t="n">
        <v>45649.40401620371</v>
      </c>
      <c r="C4015" s="1" t="n">
        <v>46046</v>
      </c>
      <c r="D4015" t="inlineStr">
        <is>
          <t>NORRBOTTENS LÄN</t>
        </is>
      </c>
      <c r="E4015" t="inlineStr">
        <is>
          <t>BODEN</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45924-2023</t>
        </is>
      </c>
      <c r="B4016" s="1" t="n">
        <v>45189</v>
      </c>
      <c r="C4016" s="1" t="n">
        <v>46046</v>
      </c>
      <c r="D4016" t="inlineStr">
        <is>
          <t>NORRBOTTENS LÄN</t>
        </is>
      </c>
      <c r="E4016" t="inlineStr">
        <is>
          <t>ARJEPLOG</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23575-2023</t>
        </is>
      </c>
      <c r="B4017" s="1" t="n">
        <v>45077</v>
      </c>
      <c r="C4017" s="1" t="n">
        <v>46046</v>
      </c>
      <c r="D4017" t="inlineStr">
        <is>
          <t>NORRBOTTENS LÄN</t>
        </is>
      </c>
      <c r="E4017" t="inlineStr">
        <is>
          <t>BODEN</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32460-2025</t>
        </is>
      </c>
      <c r="B4018" s="1" t="n">
        <v>45838.41540509259</v>
      </c>
      <c r="C4018" s="1" t="n">
        <v>46046</v>
      </c>
      <c r="D4018" t="inlineStr">
        <is>
          <t>NORRBOTTENS LÄN</t>
        </is>
      </c>
      <c r="E4018" t="inlineStr">
        <is>
          <t>LULEÅ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32511-2025</t>
        </is>
      </c>
      <c r="B4019" s="1" t="n">
        <v>45838.4737962963</v>
      </c>
      <c r="C4019" s="1" t="n">
        <v>46046</v>
      </c>
      <c r="D4019" t="inlineStr">
        <is>
          <t>NORRBOTTENS LÄN</t>
        </is>
      </c>
      <c r="E4019" t="inlineStr">
        <is>
          <t>PAJALA</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61518-2023</t>
        </is>
      </c>
      <c r="B4020" s="1" t="n">
        <v>45265.33850694444</v>
      </c>
      <c r="C4020" s="1" t="n">
        <v>46046</v>
      </c>
      <c r="D4020" t="inlineStr">
        <is>
          <t>NORRBOTTENS LÄN</t>
        </is>
      </c>
      <c r="E4020" t="inlineStr">
        <is>
          <t>ÄLVSBYN</t>
        </is>
      </c>
      <c r="F4020" t="inlineStr">
        <is>
          <t>Sveaskog</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2888-2025</t>
        </is>
      </c>
      <c r="B4021" s="1" t="n">
        <v>45677.7190625</v>
      </c>
      <c r="C4021" s="1" t="n">
        <v>46046</v>
      </c>
      <c r="D4021" t="inlineStr">
        <is>
          <t>NORRBOTTENS LÄN</t>
        </is>
      </c>
      <c r="E4021" t="inlineStr">
        <is>
          <t>PITEÅ</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60954-2021</t>
        </is>
      </c>
      <c r="B4022" s="1" t="n">
        <v>44496</v>
      </c>
      <c r="C4022" s="1" t="n">
        <v>46046</v>
      </c>
      <c r="D4022" t="inlineStr">
        <is>
          <t>NORRBOTTENS LÄN</t>
        </is>
      </c>
      <c r="E4022" t="inlineStr">
        <is>
          <t>LULEÅ</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19624-2025</t>
        </is>
      </c>
      <c r="B4023" s="1" t="n">
        <v>45770.63423611111</v>
      </c>
      <c r="C4023" s="1" t="n">
        <v>46046</v>
      </c>
      <c r="D4023" t="inlineStr">
        <is>
          <t>NORRBOTTENS LÄN</t>
        </is>
      </c>
      <c r="E4023" t="inlineStr">
        <is>
          <t>BODEN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24738-2024</t>
        </is>
      </c>
      <c r="B4024" s="1" t="n">
        <v>45460</v>
      </c>
      <c r="C4024" s="1" t="n">
        <v>46046</v>
      </c>
      <c r="D4024" t="inlineStr">
        <is>
          <t>NORRBOTTENS LÄN</t>
        </is>
      </c>
      <c r="E4024" t="inlineStr">
        <is>
          <t>ÖVERKALIX</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10066-2023</t>
        </is>
      </c>
      <c r="B4025" s="1" t="n">
        <v>44985</v>
      </c>
      <c r="C4025" s="1" t="n">
        <v>46046</v>
      </c>
      <c r="D4025" t="inlineStr">
        <is>
          <t>NORRBOTTENS LÄN</t>
        </is>
      </c>
      <c r="E4025" t="inlineStr">
        <is>
          <t>ÄLVSBYN</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550-2023</t>
        </is>
      </c>
      <c r="B4026" s="1" t="n">
        <v>44930</v>
      </c>
      <c r="C4026" s="1" t="n">
        <v>46046</v>
      </c>
      <c r="D4026" t="inlineStr">
        <is>
          <t>NORRBOTTENS LÄN</t>
        </is>
      </c>
      <c r="E4026" t="inlineStr">
        <is>
          <t>ÖVERKALIX</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59893-2023</t>
        </is>
      </c>
      <c r="B4027" s="1" t="n">
        <v>45254</v>
      </c>
      <c r="C4027" s="1" t="n">
        <v>46046</v>
      </c>
      <c r="D4027" t="inlineStr">
        <is>
          <t>NORRBOTTENS LÄN</t>
        </is>
      </c>
      <c r="E4027" t="inlineStr">
        <is>
          <t>BODEN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53878-2024</t>
        </is>
      </c>
      <c r="B4028" s="1" t="n">
        <v>45614</v>
      </c>
      <c r="C4028" s="1" t="n">
        <v>46046</v>
      </c>
      <c r="D4028" t="inlineStr">
        <is>
          <t>NORRBOTTENS LÄN</t>
        </is>
      </c>
      <c r="E4028" t="inlineStr">
        <is>
          <t>ARVIDSJAUR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26234-2023</t>
        </is>
      </c>
      <c r="B4029" s="1" t="n">
        <v>45086</v>
      </c>
      <c r="C4029" s="1" t="n">
        <v>46046</v>
      </c>
      <c r="D4029" t="inlineStr">
        <is>
          <t>NORRBOTTENS LÄN</t>
        </is>
      </c>
      <c r="E4029" t="inlineStr">
        <is>
          <t>LULEÅ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32634-2025</t>
        </is>
      </c>
      <c r="B4030" s="1" t="n">
        <v>45838.65694444445</v>
      </c>
      <c r="C4030" s="1" t="n">
        <v>46046</v>
      </c>
      <c r="D4030" t="inlineStr">
        <is>
          <t>NORRBOTTENS LÄN</t>
        </is>
      </c>
      <c r="E4030" t="inlineStr">
        <is>
          <t>ÖVERKALIX</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32636-2025</t>
        </is>
      </c>
      <c r="B4031" s="1" t="n">
        <v>45838.65704861111</v>
      </c>
      <c r="C4031" s="1" t="n">
        <v>46046</v>
      </c>
      <c r="D4031" t="inlineStr">
        <is>
          <t>NORRBOTTENS LÄN</t>
        </is>
      </c>
      <c r="E4031" t="inlineStr">
        <is>
          <t>ÖVERKALIX</t>
        </is>
      </c>
      <c r="F4031" t="inlineStr">
        <is>
          <t>SCA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32544-2025</t>
        </is>
      </c>
      <c r="B4032" s="1" t="n">
        <v>45838.53458333333</v>
      </c>
      <c r="C4032" s="1" t="n">
        <v>46046</v>
      </c>
      <c r="D4032" t="inlineStr">
        <is>
          <t>NORRBOTTENS LÄN</t>
        </is>
      </c>
      <c r="E4032" t="inlineStr">
        <is>
          <t>PAJALA</t>
        </is>
      </c>
      <c r="F4032" t="inlineStr">
        <is>
          <t>Sveaskog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68438-2021</t>
        </is>
      </c>
      <c r="B4033" s="1" t="n">
        <v>44529</v>
      </c>
      <c r="C4033" s="1" t="n">
        <v>46046</v>
      </c>
      <c r="D4033" t="inlineStr">
        <is>
          <t>NORRBOTTENS LÄN</t>
        </is>
      </c>
      <c r="E4033" t="inlineStr">
        <is>
          <t>KALIX</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32462-2025</t>
        </is>
      </c>
      <c r="B4034" s="1" t="n">
        <v>45838.41660879629</v>
      </c>
      <c r="C4034" s="1" t="n">
        <v>46046</v>
      </c>
      <c r="D4034" t="inlineStr">
        <is>
          <t>NORRBOTTENS LÄN</t>
        </is>
      </c>
      <c r="E4034" t="inlineStr">
        <is>
          <t>LULEÅ</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32371-2025</t>
        </is>
      </c>
      <c r="B4035" s="1" t="n">
        <v>45837.68739583333</v>
      </c>
      <c r="C4035" s="1" t="n">
        <v>46046</v>
      </c>
      <c r="D4035" t="inlineStr">
        <is>
          <t>NORRBOTTENS LÄN</t>
        </is>
      </c>
      <c r="E4035" t="inlineStr">
        <is>
          <t>ÖVERKALIX</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37657-2023</t>
        </is>
      </c>
      <c r="B4036" s="1" t="n">
        <v>45159</v>
      </c>
      <c r="C4036" s="1" t="n">
        <v>46046</v>
      </c>
      <c r="D4036" t="inlineStr">
        <is>
          <t>NORRBOTTENS LÄN</t>
        </is>
      </c>
      <c r="E4036" t="inlineStr">
        <is>
          <t>KALIX</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1002-2025</t>
        </is>
      </c>
      <c r="B4037" s="1" t="n">
        <v>45665</v>
      </c>
      <c r="C4037" s="1" t="n">
        <v>46046</v>
      </c>
      <c r="D4037" t="inlineStr">
        <is>
          <t>NORRBOTTENS LÄN</t>
        </is>
      </c>
      <c r="E4037" t="inlineStr">
        <is>
          <t>LULEÅ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50702-2023</t>
        </is>
      </c>
      <c r="B4038" s="1" t="n">
        <v>45210</v>
      </c>
      <c r="C4038" s="1" t="n">
        <v>46046</v>
      </c>
      <c r="D4038" t="inlineStr">
        <is>
          <t>NORRBOTTENS LÄN</t>
        </is>
      </c>
      <c r="E4038" t="inlineStr">
        <is>
          <t>PAJALA</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43751-2022</t>
        </is>
      </c>
      <c r="B4039" s="1" t="n">
        <v>44837</v>
      </c>
      <c r="C4039" s="1" t="n">
        <v>46046</v>
      </c>
      <c r="D4039" t="inlineStr">
        <is>
          <t>NORRBOTTENS LÄN</t>
        </is>
      </c>
      <c r="E4039" t="inlineStr">
        <is>
          <t>PAJALA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59826-2024</t>
        </is>
      </c>
      <c r="B4040" s="1" t="n">
        <v>45639</v>
      </c>
      <c r="C4040" s="1" t="n">
        <v>46046</v>
      </c>
      <c r="D4040" t="inlineStr">
        <is>
          <t>NORRBOTTENS LÄN</t>
        </is>
      </c>
      <c r="E4040" t="inlineStr">
        <is>
          <t>ÄLVSBYN</t>
        </is>
      </c>
      <c r="F4040" t="inlineStr">
        <is>
          <t>Övriga Aktiebolag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59832-2024</t>
        </is>
      </c>
      <c r="B4041" s="1" t="n">
        <v>45639</v>
      </c>
      <c r="C4041" s="1" t="n">
        <v>46046</v>
      </c>
      <c r="D4041" t="inlineStr">
        <is>
          <t>NORRBOTTENS LÄN</t>
        </is>
      </c>
      <c r="E4041" t="inlineStr">
        <is>
          <t>ÖVERKALIX</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58201-2024</t>
        </is>
      </c>
      <c r="B4042" s="1" t="n">
        <v>45632</v>
      </c>
      <c r="C4042" s="1" t="n">
        <v>46046</v>
      </c>
      <c r="D4042" t="inlineStr">
        <is>
          <t>NORRBOTTENS LÄN</t>
        </is>
      </c>
      <c r="E4042" t="inlineStr">
        <is>
          <t>ÖVERTORNEÅ</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35040-2022</t>
        </is>
      </c>
      <c r="B4043" s="1" t="n">
        <v>44796</v>
      </c>
      <c r="C4043" s="1" t="n">
        <v>46046</v>
      </c>
      <c r="D4043" t="inlineStr">
        <is>
          <t>NORRBOTTENS LÄN</t>
        </is>
      </c>
      <c r="E4043" t="inlineStr">
        <is>
          <t>BODEN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32708-2025</t>
        </is>
      </c>
      <c r="B4044" s="1" t="n">
        <v>45839.36539351852</v>
      </c>
      <c r="C4044" s="1" t="n">
        <v>46046</v>
      </c>
      <c r="D4044" t="inlineStr">
        <is>
          <t>NORRBOTTENS LÄN</t>
        </is>
      </c>
      <c r="E4044" t="inlineStr">
        <is>
          <t>ÖVERKALIX</t>
        </is>
      </c>
      <c r="F4044" t="inlineStr">
        <is>
          <t>Sveaskog</t>
        </is>
      </c>
      <c r="G4044" t="n">
        <v>9.199999999999999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21589-2023</t>
        </is>
      </c>
      <c r="B4045" s="1" t="n">
        <v>45063</v>
      </c>
      <c r="C4045" s="1" t="n">
        <v>46046</v>
      </c>
      <c r="D4045" t="inlineStr">
        <is>
          <t>NORRBOTTENS LÄN</t>
        </is>
      </c>
      <c r="E4045" t="inlineStr">
        <is>
          <t>KALIX</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32535-2025</t>
        </is>
      </c>
      <c r="B4046" s="1" t="n">
        <v>45838.49375</v>
      </c>
      <c r="C4046" s="1" t="n">
        <v>46046</v>
      </c>
      <c r="D4046" t="inlineStr">
        <is>
          <t>NORRBOTTENS LÄN</t>
        </is>
      </c>
      <c r="E4046" t="inlineStr">
        <is>
          <t>ÖVERKALIX</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32715-2025</t>
        </is>
      </c>
      <c r="B4047" s="1" t="n">
        <v>45839.37099537037</v>
      </c>
      <c r="C4047" s="1" t="n">
        <v>46046</v>
      </c>
      <c r="D4047" t="inlineStr">
        <is>
          <t>NORRBOTTENS LÄN</t>
        </is>
      </c>
      <c r="E4047" t="inlineStr">
        <is>
          <t>ÖVERKALIX</t>
        </is>
      </c>
      <c r="F4047" t="inlineStr">
        <is>
          <t>Sveaskog</t>
        </is>
      </c>
      <c r="G4047" t="n">
        <v>24.5</v>
      </c>
      <c r="H4047" t="n">
        <v>0</v>
      </c>
      <c r="I4047" t="n">
        <v>0</v>
      </c>
      <c r="J4047" t="n">
        <v>0</v>
      </c>
      <c r="K4047" t="n">
        <v>0</v>
      </c>
      <c r="L4047" t="n">
        <v>0</v>
      </c>
      <c r="M4047" t="n">
        <v>0</v>
      </c>
      <c r="N4047" t="n">
        <v>0</v>
      </c>
      <c r="O4047" t="n">
        <v>0</v>
      </c>
      <c r="P4047" t="n">
        <v>0</v>
      </c>
      <c r="Q4047" t="n">
        <v>0</v>
      </c>
      <c r="R4047" s="2" t="inlineStr"/>
    </row>
    <row r="4048" ht="15" customHeight="1">
      <c r="A4048" t="inlineStr">
        <is>
          <t>A 4692-2025</t>
        </is>
      </c>
      <c r="B4048" s="1" t="n">
        <v>45688.35248842592</v>
      </c>
      <c r="C4048" s="1" t="n">
        <v>46046</v>
      </c>
      <c r="D4048" t="inlineStr">
        <is>
          <t>NORRBOTTENS LÄN</t>
        </is>
      </c>
      <c r="E4048" t="inlineStr">
        <is>
          <t>PITEÅ</t>
        </is>
      </c>
      <c r="F4048" t="inlineStr">
        <is>
          <t>Övriga Aktiebolag</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8549-2025</t>
        </is>
      </c>
      <c r="B4049" s="1" t="n">
        <v>45709</v>
      </c>
      <c r="C4049" s="1" t="n">
        <v>46046</v>
      </c>
      <c r="D4049" t="inlineStr">
        <is>
          <t>NORRBOTTENS LÄN</t>
        </is>
      </c>
      <c r="E4049" t="inlineStr">
        <is>
          <t>ÄLVSBYN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60537-2022</t>
        </is>
      </c>
      <c r="B4050" s="1" t="n">
        <v>44904</v>
      </c>
      <c r="C4050" s="1" t="n">
        <v>46046</v>
      </c>
      <c r="D4050" t="inlineStr">
        <is>
          <t>NORRBOTTENS LÄN</t>
        </is>
      </c>
      <c r="E4050" t="inlineStr">
        <is>
          <t>ÖVERTORNEÅ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32775-2025</t>
        </is>
      </c>
      <c r="B4051" s="1" t="n">
        <v>45839.46466435185</v>
      </c>
      <c r="C4051" s="1" t="n">
        <v>46046</v>
      </c>
      <c r="D4051" t="inlineStr">
        <is>
          <t>NORRBOTTENS LÄN</t>
        </is>
      </c>
      <c r="E4051" t="inlineStr">
        <is>
          <t>BODEN</t>
        </is>
      </c>
      <c r="G4051" t="n">
        <v>13.6</v>
      </c>
      <c r="H4051" t="n">
        <v>0</v>
      </c>
      <c r="I4051" t="n">
        <v>0</v>
      </c>
      <c r="J4051" t="n">
        <v>0</v>
      </c>
      <c r="K4051" t="n">
        <v>0</v>
      </c>
      <c r="L4051" t="n">
        <v>0</v>
      </c>
      <c r="M4051" t="n">
        <v>0</v>
      </c>
      <c r="N4051" t="n">
        <v>0</v>
      </c>
      <c r="O4051" t="n">
        <v>0</v>
      </c>
      <c r="P4051" t="n">
        <v>0</v>
      </c>
      <c r="Q4051" t="n">
        <v>0</v>
      </c>
      <c r="R4051" s="2" t="inlineStr"/>
    </row>
    <row r="4052" ht="15" customHeight="1">
      <c r="A4052" t="inlineStr">
        <is>
          <t>A 32370-2025</t>
        </is>
      </c>
      <c r="B4052" s="1" t="n">
        <v>45837.67564814815</v>
      </c>
      <c r="C4052" s="1" t="n">
        <v>46046</v>
      </c>
      <c r="D4052" t="inlineStr">
        <is>
          <t>NORRBOTTENS LÄN</t>
        </is>
      </c>
      <c r="E4052" t="inlineStr">
        <is>
          <t>ÖVERKALIX</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9207-2025</t>
        </is>
      </c>
      <c r="B4053" s="1" t="n">
        <v>45714.49681712963</v>
      </c>
      <c r="C4053" s="1" t="n">
        <v>46046</v>
      </c>
      <c r="D4053" t="inlineStr">
        <is>
          <t>NORRBOTTENS LÄN</t>
        </is>
      </c>
      <c r="E4053" t="inlineStr">
        <is>
          <t>KALIX</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73716-2021</t>
        </is>
      </c>
      <c r="B4054" s="1" t="n">
        <v>44552</v>
      </c>
      <c r="C4054" s="1" t="n">
        <v>46046</v>
      </c>
      <c r="D4054" t="inlineStr">
        <is>
          <t>NORRBOTTENS LÄN</t>
        </is>
      </c>
      <c r="E4054" t="inlineStr">
        <is>
          <t>PAJALA</t>
        </is>
      </c>
      <c r="F4054" t="inlineStr">
        <is>
          <t>Sveaskog</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32523-2025</t>
        </is>
      </c>
      <c r="B4055" s="1" t="n">
        <v>45838.48664351852</v>
      </c>
      <c r="C4055" s="1" t="n">
        <v>46046</v>
      </c>
      <c r="D4055" t="inlineStr">
        <is>
          <t>NORRBOTTENS LÄN</t>
        </is>
      </c>
      <c r="E4055" t="inlineStr">
        <is>
          <t>PAJALA</t>
        </is>
      </c>
      <c r="F4055" t="inlineStr">
        <is>
          <t>Sveaskog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10825-2025</t>
        </is>
      </c>
      <c r="B4056" s="1" t="n">
        <v>45722</v>
      </c>
      <c r="C4056" s="1" t="n">
        <v>46046</v>
      </c>
      <c r="D4056" t="inlineStr">
        <is>
          <t>NORRBOTTENS LÄN</t>
        </is>
      </c>
      <c r="E4056" t="inlineStr">
        <is>
          <t>ARJEPLOG</t>
        </is>
      </c>
      <c r="G4056" t="n">
        <v>14.1</v>
      </c>
      <c r="H4056" t="n">
        <v>0</v>
      </c>
      <c r="I4056" t="n">
        <v>0</v>
      </c>
      <c r="J4056" t="n">
        <v>0</v>
      </c>
      <c r="K4056" t="n">
        <v>0</v>
      </c>
      <c r="L4056" t="n">
        <v>0</v>
      </c>
      <c r="M4056" t="n">
        <v>0</v>
      </c>
      <c r="N4056" t="n">
        <v>0</v>
      </c>
      <c r="O4056" t="n">
        <v>0</v>
      </c>
      <c r="P4056" t="n">
        <v>0</v>
      </c>
      <c r="Q4056" t="n">
        <v>0</v>
      </c>
      <c r="R4056" s="2" t="inlineStr"/>
    </row>
    <row r="4057" ht="15" customHeight="1">
      <c r="A4057" t="inlineStr">
        <is>
          <t>A 41923-2021</t>
        </is>
      </c>
      <c r="B4057" s="1" t="n">
        <v>44425</v>
      </c>
      <c r="C4057" s="1" t="n">
        <v>46046</v>
      </c>
      <c r="D4057" t="inlineStr">
        <is>
          <t>NORRBOTTENS LÄN</t>
        </is>
      </c>
      <c r="E4057" t="inlineStr">
        <is>
          <t>JOKKMOKK</t>
        </is>
      </c>
      <c r="F4057" t="inlineStr">
        <is>
          <t>Övriga statliga verk och myndigheter</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32377-2025</t>
        </is>
      </c>
      <c r="B4058" s="1" t="n">
        <v>45837.7256712963</v>
      </c>
      <c r="C4058" s="1" t="n">
        <v>46046</v>
      </c>
      <c r="D4058" t="inlineStr">
        <is>
          <t>NORRBOTTENS LÄN</t>
        </is>
      </c>
      <c r="E4058" t="inlineStr">
        <is>
          <t>ÖVERKALIX</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7417-2021</t>
        </is>
      </c>
      <c r="B4059" s="1" t="n">
        <v>44239</v>
      </c>
      <c r="C4059" s="1" t="n">
        <v>46046</v>
      </c>
      <c r="D4059" t="inlineStr">
        <is>
          <t>NORRBOTTENS LÄN</t>
        </is>
      </c>
      <c r="E4059" t="inlineStr">
        <is>
          <t>LULEÅ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40836-2021</t>
        </is>
      </c>
      <c r="B4060" s="1" t="n">
        <v>44421</v>
      </c>
      <c r="C4060" s="1" t="n">
        <v>46046</v>
      </c>
      <c r="D4060" t="inlineStr">
        <is>
          <t>NORRBOTTENS LÄN</t>
        </is>
      </c>
      <c r="E4060" t="inlineStr">
        <is>
          <t>ARVIDSJAUR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20080-2024</t>
        </is>
      </c>
      <c r="B4061" s="1" t="n">
        <v>45434</v>
      </c>
      <c r="C4061" s="1" t="n">
        <v>46046</v>
      </c>
      <c r="D4061" t="inlineStr">
        <is>
          <t>NORRBOTTENS LÄN</t>
        </is>
      </c>
      <c r="E4061" t="inlineStr">
        <is>
          <t>PITEÅ</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32372-2025</t>
        </is>
      </c>
      <c r="B4062" s="1" t="n">
        <v>45837.69155092593</v>
      </c>
      <c r="C4062" s="1" t="n">
        <v>46046</v>
      </c>
      <c r="D4062" t="inlineStr">
        <is>
          <t>NORRBOTTENS LÄN</t>
        </is>
      </c>
      <c r="E4062" t="inlineStr">
        <is>
          <t>PITEÅ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57600-2021</t>
        </is>
      </c>
      <c r="B4063" s="1" t="n">
        <v>44484.36106481482</v>
      </c>
      <c r="C4063" s="1" t="n">
        <v>46046</v>
      </c>
      <c r="D4063" t="inlineStr">
        <is>
          <t>NORRBOTTENS LÄN</t>
        </is>
      </c>
      <c r="E4063" t="inlineStr">
        <is>
          <t>BODEN</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11092-2022</t>
        </is>
      </c>
      <c r="B4064" s="1" t="n">
        <v>44628</v>
      </c>
      <c r="C4064" s="1" t="n">
        <v>46046</v>
      </c>
      <c r="D4064" t="inlineStr">
        <is>
          <t>NORRBOTTENS LÄN</t>
        </is>
      </c>
      <c r="E4064" t="inlineStr">
        <is>
          <t>BODEN</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34911-2023</t>
        </is>
      </c>
      <c r="B4065" s="1" t="n">
        <v>45141</v>
      </c>
      <c r="C4065" s="1" t="n">
        <v>46046</v>
      </c>
      <c r="D4065" t="inlineStr">
        <is>
          <t>NORRBOTTENS LÄN</t>
        </is>
      </c>
      <c r="E4065" t="inlineStr">
        <is>
          <t>ÖVERKALIX</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32458-2025</t>
        </is>
      </c>
      <c r="B4066" s="1" t="n">
        <v>45838.41445601852</v>
      </c>
      <c r="C4066" s="1" t="n">
        <v>46046</v>
      </c>
      <c r="D4066" t="inlineStr">
        <is>
          <t>NORRBOTTENS LÄN</t>
        </is>
      </c>
      <c r="E4066" t="inlineStr">
        <is>
          <t>LULEÅ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32576-2025</t>
        </is>
      </c>
      <c r="B4067" s="1" t="n">
        <v>45838</v>
      </c>
      <c r="C4067" s="1" t="n">
        <v>46046</v>
      </c>
      <c r="D4067" t="inlineStr">
        <is>
          <t>NORRBOTTENS LÄN</t>
        </is>
      </c>
      <c r="E4067" t="inlineStr">
        <is>
          <t>ÖVERTORNEÅ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1084-2025</t>
        </is>
      </c>
      <c r="B4068" s="1" t="n">
        <v>45665</v>
      </c>
      <c r="C4068" s="1" t="n">
        <v>46046</v>
      </c>
      <c r="D4068" t="inlineStr">
        <is>
          <t>NORRBOTTENS LÄN</t>
        </is>
      </c>
      <c r="E4068" t="inlineStr">
        <is>
          <t>PAJALA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33504-2025</t>
        </is>
      </c>
      <c r="B4069" s="1" t="n">
        <v>45841.5124537037</v>
      </c>
      <c r="C4069" s="1" t="n">
        <v>46046</v>
      </c>
      <c r="D4069" t="inlineStr">
        <is>
          <t>NORRBOTTENS LÄN</t>
        </is>
      </c>
      <c r="E4069" t="inlineStr">
        <is>
          <t>BODEN</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64971-2023</t>
        </is>
      </c>
      <c r="B4070" s="1" t="n">
        <v>45285.40332175926</v>
      </c>
      <c r="C4070" s="1" t="n">
        <v>46046</v>
      </c>
      <c r="D4070" t="inlineStr">
        <is>
          <t>NORRBOTTENS LÄN</t>
        </is>
      </c>
      <c r="E4070" t="inlineStr">
        <is>
          <t>PITEÅ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33551-2025</t>
        </is>
      </c>
      <c r="B4071" s="1" t="n">
        <v>45841.57357638889</v>
      </c>
      <c r="C4071" s="1" t="n">
        <v>46046</v>
      </c>
      <c r="D4071" t="inlineStr">
        <is>
          <t>NORRBOTTENS LÄN</t>
        </is>
      </c>
      <c r="E4071" t="inlineStr">
        <is>
          <t>JOKKMOKK</t>
        </is>
      </c>
      <c r="F4071" t="inlineStr">
        <is>
          <t>SCA</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33185-2025</t>
        </is>
      </c>
      <c r="B4072" s="1" t="n">
        <v>45840.59425925926</v>
      </c>
      <c r="C4072" s="1" t="n">
        <v>46046</v>
      </c>
      <c r="D4072" t="inlineStr">
        <is>
          <t>NORRBOTTENS LÄN</t>
        </is>
      </c>
      <c r="E4072" t="inlineStr">
        <is>
          <t>PITEÅ</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33222-2025</t>
        </is>
      </c>
      <c r="B4073" s="1" t="n">
        <v>45840</v>
      </c>
      <c r="C4073" s="1" t="n">
        <v>46046</v>
      </c>
      <c r="D4073" t="inlineStr">
        <is>
          <t>NORRBOTTENS LÄN</t>
        </is>
      </c>
      <c r="E4073" t="inlineStr">
        <is>
          <t>ARVIDSJAUR</t>
        </is>
      </c>
      <c r="F4073" t="inlineStr">
        <is>
          <t>Sveaskog</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48036-2024</t>
        </is>
      </c>
      <c r="B4074" s="1" t="n">
        <v>45589.49344907407</v>
      </c>
      <c r="C4074" s="1" t="n">
        <v>46046</v>
      </c>
      <c r="D4074" t="inlineStr">
        <is>
          <t>NORRBOTTENS LÄN</t>
        </is>
      </c>
      <c r="E4074" t="inlineStr">
        <is>
          <t>ÖVERTORNEÅ</t>
        </is>
      </c>
      <c r="F4074" t="inlineStr">
        <is>
          <t>Kommuner</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33728-2024</t>
        </is>
      </c>
      <c r="B4075" s="1" t="n">
        <v>45520</v>
      </c>
      <c r="C4075" s="1" t="n">
        <v>46046</v>
      </c>
      <c r="D4075" t="inlineStr">
        <is>
          <t>NORRBOTTENS LÄN</t>
        </is>
      </c>
      <c r="E4075" t="inlineStr">
        <is>
          <t>HAPARANDA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33174-2025</t>
        </is>
      </c>
      <c r="B4076" s="1" t="n">
        <v>45840.585625</v>
      </c>
      <c r="C4076" s="1" t="n">
        <v>46046</v>
      </c>
      <c r="D4076" t="inlineStr">
        <is>
          <t>NORRBOTTENS LÄN</t>
        </is>
      </c>
      <c r="E4076" t="inlineStr">
        <is>
          <t>ARVIDSJAUR</t>
        </is>
      </c>
      <c r="F4076" t="inlineStr">
        <is>
          <t>Sveaskog</t>
        </is>
      </c>
      <c r="G4076" t="n">
        <v>26.3</v>
      </c>
      <c r="H4076" t="n">
        <v>0</v>
      </c>
      <c r="I4076" t="n">
        <v>0</v>
      </c>
      <c r="J4076" t="n">
        <v>0</v>
      </c>
      <c r="K4076" t="n">
        <v>0</v>
      </c>
      <c r="L4076" t="n">
        <v>0</v>
      </c>
      <c r="M4076" t="n">
        <v>0</v>
      </c>
      <c r="N4076" t="n">
        <v>0</v>
      </c>
      <c r="O4076" t="n">
        <v>0</v>
      </c>
      <c r="P4076" t="n">
        <v>0</v>
      </c>
      <c r="Q4076" t="n">
        <v>0</v>
      </c>
      <c r="R4076" s="2" t="inlineStr"/>
    </row>
    <row r="4077" ht="15" customHeight="1">
      <c r="A4077" t="inlineStr">
        <is>
          <t>A 1230-2025</t>
        </is>
      </c>
      <c r="B4077" s="1" t="n">
        <v>45667.44277777777</v>
      </c>
      <c r="C4077" s="1" t="n">
        <v>46046</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22893-2024</t>
        </is>
      </c>
      <c r="B4078" s="1" t="n">
        <v>45448</v>
      </c>
      <c r="C4078" s="1" t="n">
        <v>46046</v>
      </c>
      <c r="D4078" t="inlineStr">
        <is>
          <t>NORRBOTTENS LÄN</t>
        </is>
      </c>
      <c r="E4078" t="inlineStr">
        <is>
          <t>BODEN</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33692-2025</t>
        </is>
      </c>
      <c r="B4079" s="1" t="n">
        <v>45841.69819444444</v>
      </c>
      <c r="C4079" s="1" t="n">
        <v>46046</v>
      </c>
      <c r="D4079" t="inlineStr">
        <is>
          <t>NORRBOTTENS LÄN</t>
        </is>
      </c>
      <c r="E4079" t="inlineStr">
        <is>
          <t>LULEÅ</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33693-2025</t>
        </is>
      </c>
      <c r="B4080" s="1" t="n">
        <v>45841.69828703703</v>
      </c>
      <c r="C4080" s="1" t="n">
        <v>46046</v>
      </c>
      <c r="D4080" t="inlineStr">
        <is>
          <t>NORRBOTTENS LÄN</t>
        </is>
      </c>
      <c r="E4080" t="inlineStr">
        <is>
          <t>BODEN</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39060-2024</t>
        </is>
      </c>
      <c r="B4081" s="1" t="n">
        <v>45548</v>
      </c>
      <c r="C4081" s="1" t="n">
        <v>46046</v>
      </c>
      <c r="D4081" t="inlineStr">
        <is>
          <t>NORRBOTTENS LÄN</t>
        </is>
      </c>
      <c r="E4081" t="inlineStr">
        <is>
          <t>GÄLLIVARE</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22526-2024</t>
        </is>
      </c>
      <c r="B4082" s="1" t="n">
        <v>45447.4431712963</v>
      </c>
      <c r="C4082" s="1" t="n">
        <v>46046</v>
      </c>
      <c r="D4082" t="inlineStr">
        <is>
          <t>NORRBOTTENS LÄN</t>
        </is>
      </c>
      <c r="E4082" t="inlineStr">
        <is>
          <t>PAJALA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32991-2025</t>
        </is>
      </c>
      <c r="B4083" s="1" t="n">
        <v>45840</v>
      </c>
      <c r="C4083" s="1" t="n">
        <v>46046</v>
      </c>
      <c r="D4083" t="inlineStr">
        <is>
          <t>NORRBOTTENS LÄN</t>
        </is>
      </c>
      <c r="E4083" t="inlineStr">
        <is>
          <t>BODEN</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48586-2022</t>
        </is>
      </c>
      <c r="B4084" s="1" t="n">
        <v>44854</v>
      </c>
      <c r="C4084" s="1" t="n">
        <v>46046</v>
      </c>
      <c r="D4084" t="inlineStr">
        <is>
          <t>NORRBOTTENS LÄN</t>
        </is>
      </c>
      <c r="E4084" t="inlineStr">
        <is>
          <t>JOKKMOKK</t>
        </is>
      </c>
      <c r="F4084" t="inlineStr">
        <is>
          <t>Övriga statliga verk och myndigheter</t>
        </is>
      </c>
      <c r="G4084" t="n">
        <v>26.1</v>
      </c>
      <c r="H4084" t="n">
        <v>0</v>
      </c>
      <c r="I4084" t="n">
        <v>0</v>
      </c>
      <c r="J4084" t="n">
        <v>0</v>
      </c>
      <c r="K4084" t="n">
        <v>0</v>
      </c>
      <c r="L4084" t="n">
        <v>0</v>
      </c>
      <c r="M4084" t="n">
        <v>0</v>
      </c>
      <c r="N4084" t="n">
        <v>0</v>
      </c>
      <c r="O4084" t="n">
        <v>0</v>
      </c>
      <c r="P4084" t="n">
        <v>0</v>
      </c>
      <c r="Q4084" t="n">
        <v>0</v>
      </c>
      <c r="R4084" s="2" t="inlineStr"/>
    </row>
    <row r="4085" ht="15" customHeight="1">
      <c r="A4085" t="inlineStr">
        <is>
          <t>A 6386-2023</t>
        </is>
      </c>
      <c r="B4085" s="1" t="n">
        <v>44960</v>
      </c>
      <c r="C4085" s="1" t="n">
        <v>46046</v>
      </c>
      <c r="D4085" t="inlineStr">
        <is>
          <t>NORRBOTTENS LÄN</t>
        </is>
      </c>
      <c r="E4085" t="inlineStr">
        <is>
          <t>LULEÅ</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38371-2023</t>
        </is>
      </c>
      <c r="B4086" s="1" t="n">
        <v>45161</v>
      </c>
      <c r="C4086" s="1" t="n">
        <v>46046</v>
      </c>
      <c r="D4086" t="inlineStr">
        <is>
          <t>NORRBOTTENS LÄN</t>
        </is>
      </c>
      <c r="E4086" t="inlineStr">
        <is>
          <t>BODEN</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38372-2023</t>
        </is>
      </c>
      <c r="B4087" s="1" t="n">
        <v>45161</v>
      </c>
      <c r="C4087" s="1" t="n">
        <v>46046</v>
      </c>
      <c r="D4087" t="inlineStr">
        <is>
          <t>NORRBOTTENS LÄN</t>
        </is>
      </c>
      <c r="E4087" t="inlineStr">
        <is>
          <t>BODEN</t>
        </is>
      </c>
      <c r="F4087" t="inlineStr">
        <is>
          <t>SCA</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34609-2024</t>
        </is>
      </c>
      <c r="B4088" s="1" t="n">
        <v>45526</v>
      </c>
      <c r="C4088" s="1" t="n">
        <v>46046</v>
      </c>
      <c r="D4088" t="inlineStr">
        <is>
          <t>NORRBOTTENS LÄN</t>
        </is>
      </c>
      <c r="E4088" t="inlineStr">
        <is>
          <t>JOKKMOKK</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60862-2022</t>
        </is>
      </c>
      <c r="B4089" s="1" t="n">
        <v>44908</v>
      </c>
      <c r="C4089" s="1" t="n">
        <v>46046</v>
      </c>
      <c r="D4089" t="inlineStr">
        <is>
          <t>NORRBOTTENS LÄN</t>
        </is>
      </c>
      <c r="E4089" t="inlineStr">
        <is>
          <t>PAJALA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17105-2025</t>
        </is>
      </c>
      <c r="B4090" s="1" t="n">
        <v>45755</v>
      </c>
      <c r="C4090" s="1" t="n">
        <v>46046</v>
      </c>
      <c r="D4090" t="inlineStr">
        <is>
          <t>NORRBOTTENS LÄN</t>
        </is>
      </c>
      <c r="E4090" t="inlineStr">
        <is>
          <t>PAJALA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33130-2025</t>
        </is>
      </c>
      <c r="B4091" s="1" t="n">
        <v>45840.50157407407</v>
      </c>
      <c r="C4091" s="1" t="n">
        <v>46046</v>
      </c>
      <c r="D4091" t="inlineStr">
        <is>
          <t>NORRBOTTENS LÄN</t>
        </is>
      </c>
      <c r="E4091" t="inlineStr">
        <is>
          <t>BODEN</t>
        </is>
      </c>
      <c r="F4091" t="inlineStr">
        <is>
          <t>Sveaskog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36764-2024</t>
        </is>
      </c>
      <c r="B4092" s="1" t="n">
        <v>45538</v>
      </c>
      <c r="C4092" s="1" t="n">
        <v>46046</v>
      </c>
      <c r="D4092" t="inlineStr">
        <is>
          <t>NORRBOTTENS LÄN</t>
        </is>
      </c>
      <c r="E4092" t="inlineStr">
        <is>
          <t>ARVIDSJAUR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21250-2024</t>
        </is>
      </c>
      <c r="B4093" s="1" t="n">
        <v>45440</v>
      </c>
      <c r="C4093" s="1" t="n">
        <v>46046</v>
      </c>
      <c r="D4093" t="inlineStr">
        <is>
          <t>NORRBOTTENS LÄN</t>
        </is>
      </c>
      <c r="E4093" t="inlineStr">
        <is>
          <t>PAJALA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33511-2025</t>
        </is>
      </c>
      <c r="B4094" s="1" t="n">
        <v>45841.5196875</v>
      </c>
      <c r="C4094" s="1" t="n">
        <v>46046</v>
      </c>
      <c r="D4094" t="inlineStr">
        <is>
          <t>NORRBOTTENS LÄN</t>
        </is>
      </c>
      <c r="E4094" t="inlineStr">
        <is>
          <t>BODEN</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33241-2025</t>
        </is>
      </c>
      <c r="B4095" s="1" t="n">
        <v>45840</v>
      </c>
      <c r="C4095" s="1" t="n">
        <v>46046</v>
      </c>
      <c r="D4095" t="inlineStr">
        <is>
          <t>NORRBOTTENS LÄN</t>
        </is>
      </c>
      <c r="E4095" t="inlineStr">
        <is>
          <t>PAJALA</t>
        </is>
      </c>
      <c r="F4095" t="inlineStr">
        <is>
          <t>Allmännings- och besparingsskogar</t>
        </is>
      </c>
      <c r="G4095" t="n">
        <v>22.8</v>
      </c>
      <c r="H4095" t="n">
        <v>0</v>
      </c>
      <c r="I4095" t="n">
        <v>0</v>
      </c>
      <c r="J4095" t="n">
        <v>0</v>
      </c>
      <c r="K4095" t="n">
        <v>0</v>
      </c>
      <c r="L4095" t="n">
        <v>0</v>
      </c>
      <c r="M4095" t="n">
        <v>0</v>
      </c>
      <c r="N4095" t="n">
        <v>0</v>
      </c>
      <c r="O4095" t="n">
        <v>0</v>
      </c>
      <c r="P4095" t="n">
        <v>0</v>
      </c>
      <c r="Q4095" t="n">
        <v>0</v>
      </c>
      <c r="R4095" s="2" t="inlineStr"/>
    </row>
    <row r="4096" ht="15" customHeight="1">
      <c r="A4096" t="inlineStr">
        <is>
          <t>A 25559-2022</t>
        </is>
      </c>
      <c r="B4096" s="1" t="n">
        <v>44732</v>
      </c>
      <c r="C4096" s="1" t="n">
        <v>46046</v>
      </c>
      <c r="D4096" t="inlineStr">
        <is>
          <t>NORRBOTTENS LÄN</t>
        </is>
      </c>
      <c r="E4096" t="inlineStr">
        <is>
          <t>ARJEPLOG</t>
        </is>
      </c>
      <c r="F4096" t="inlineStr">
        <is>
          <t>Övriga statliga verk och myndigheter</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33515-2025</t>
        </is>
      </c>
      <c r="B4097" s="1" t="n">
        <v>45841.53164351852</v>
      </c>
      <c r="C4097" s="1" t="n">
        <v>46046</v>
      </c>
      <c r="D4097" t="inlineStr">
        <is>
          <t>NORRBOTTENS LÄN</t>
        </is>
      </c>
      <c r="E4097" t="inlineStr">
        <is>
          <t>JOKKMOKK</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33523-2025</t>
        </is>
      </c>
      <c r="B4098" s="1" t="n">
        <v>45841.54601851852</v>
      </c>
      <c r="C4098" s="1" t="n">
        <v>46046</v>
      </c>
      <c r="D4098" t="inlineStr">
        <is>
          <t>NORRBOTTENS LÄN</t>
        </is>
      </c>
      <c r="E4098" t="inlineStr">
        <is>
          <t>JOKKMOKK</t>
        </is>
      </c>
      <c r="F4098" t="inlineStr">
        <is>
          <t>Sveaskog</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44531-2023</t>
        </is>
      </c>
      <c r="B4099" s="1" t="n">
        <v>45183</v>
      </c>
      <c r="C4099" s="1" t="n">
        <v>46046</v>
      </c>
      <c r="D4099" t="inlineStr">
        <is>
          <t>NORRBOTTENS LÄN</t>
        </is>
      </c>
      <c r="E4099" t="inlineStr">
        <is>
          <t>LULEÅ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20063-2023</t>
        </is>
      </c>
      <c r="B4100" s="1" t="n">
        <v>45054</v>
      </c>
      <c r="C4100" s="1" t="n">
        <v>46046</v>
      </c>
      <c r="D4100" t="inlineStr">
        <is>
          <t>NORRBOTTENS LÄN</t>
        </is>
      </c>
      <c r="E4100" t="inlineStr">
        <is>
          <t>LULEÅ</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20083-2023</t>
        </is>
      </c>
      <c r="B4101" s="1" t="n">
        <v>45054.92533564815</v>
      </c>
      <c r="C4101" s="1" t="n">
        <v>46046</v>
      </c>
      <c r="D4101" t="inlineStr">
        <is>
          <t>NORRBOTTENS LÄN</t>
        </is>
      </c>
      <c r="E4101" t="inlineStr">
        <is>
          <t>KALIX</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20084-2023</t>
        </is>
      </c>
      <c r="B4102" s="1" t="n">
        <v>45054.92546296296</v>
      </c>
      <c r="C4102" s="1" t="n">
        <v>46046</v>
      </c>
      <c r="D4102" t="inlineStr">
        <is>
          <t>NORRBOTTENS LÄN</t>
        </is>
      </c>
      <c r="E4102" t="inlineStr">
        <is>
          <t>KALIX</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13480-2025</t>
        </is>
      </c>
      <c r="B4103" s="1" t="n">
        <v>45736</v>
      </c>
      <c r="C4103" s="1" t="n">
        <v>46046</v>
      </c>
      <c r="D4103" t="inlineStr">
        <is>
          <t>NORRBOTTENS LÄN</t>
        </is>
      </c>
      <c r="E4103" t="inlineStr">
        <is>
          <t>PAJALA</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25493-2024</t>
        </is>
      </c>
      <c r="B4104" s="1" t="n">
        <v>45463</v>
      </c>
      <c r="C4104" s="1" t="n">
        <v>46046</v>
      </c>
      <c r="D4104" t="inlineStr">
        <is>
          <t>NORRBOTTENS LÄN</t>
        </is>
      </c>
      <c r="E4104" t="inlineStr">
        <is>
          <t>GÄLLIVARE</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9940-2025</t>
        </is>
      </c>
      <c r="B4105" s="1" t="n">
        <v>45718.80024305556</v>
      </c>
      <c r="C4105" s="1" t="n">
        <v>46046</v>
      </c>
      <c r="D4105" t="inlineStr">
        <is>
          <t>NORRBOTTENS LÄN</t>
        </is>
      </c>
      <c r="E4105" t="inlineStr">
        <is>
          <t>BODEN</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33276-2025</t>
        </is>
      </c>
      <c r="B4106" s="1" t="n">
        <v>45840</v>
      </c>
      <c r="C4106" s="1" t="n">
        <v>46046</v>
      </c>
      <c r="D4106" t="inlineStr">
        <is>
          <t>NORRBOTTENS LÄN</t>
        </is>
      </c>
      <c r="E4106" t="inlineStr">
        <is>
          <t>BODEN</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33689-2025</t>
        </is>
      </c>
      <c r="B4107" s="1" t="n">
        <v>45841.69265046297</v>
      </c>
      <c r="C4107" s="1" t="n">
        <v>46046</v>
      </c>
      <c r="D4107" t="inlineStr">
        <is>
          <t>NORRBOTTENS LÄN</t>
        </is>
      </c>
      <c r="E4107" t="inlineStr">
        <is>
          <t>PAJALA</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24135-2023</t>
        </is>
      </c>
      <c r="B4108" s="1" t="n">
        <v>45079</v>
      </c>
      <c r="C4108" s="1" t="n">
        <v>46046</v>
      </c>
      <c r="D4108" t="inlineStr">
        <is>
          <t>NORRBOTTENS LÄN</t>
        </is>
      </c>
      <c r="E4108" t="inlineStr">
        <is>
          <t>KALIX</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33507-2025</t>
        </is>
      </c>
      <c r="B4109" s="1" t="n">
        <v>45841.51340277777</v>
      </c>
      <c r="C4109" s="1" t="n">
        <v>46046</v>
      </c>
      <c r="D4109" t="inlineStr">
        <is>
          <t>NORRBOTTENS LÄN</t>
        </is>
      </c>
      <c r="E4109" t="inlineStr">
        <is>
          <t>HAPARANDA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9474-2021</t>
        </is>
      </c>
      <c r="B4110" s="1" t="n">
        <v>44251</v>
      </c>
      <c r="C4110" s="1" t="n">
        <v>46046</v>
      </c>
      <c r="D4110" t="inlineStr">
        <is>
          <t>NORRBOTTENS LÄN</t>
        </is>
      </c>
      <c r="E4110" t="inlineStr">
        <is>
          <t>HAPARANDA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60786-2024</t>
        </is>
      </c>
      <c r="B4111" s="1" t="n">
        <v>45644</v>
      </c>
      <c r="C4111" s="1" t="n">
        <v>46046</v>
      </c>
      <c r="D4111" t="inlineStr">
        <is>
          <t>NORRBOTTENS LÄN</t>
        </is>
      </c>
      <c r="E4111" t="inlineStr">
        <is>
          <t>ÖVERKALIX</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61603-2024</t>
        </is>
      </c>
      <c r="B4112" s="1" t="n">
        <v>45646.64119212963</v>
      </c>
      <c r="C4112" s="1" t="n">
        <v>46046</v>
      </c>
      <c r="D4112" t="inlineStr">
        <is>
          <t>NORRBOTTENS LÄN</t>
        </is>
      </c>
      <c r="E4112" t="inlineStr">
        <is>
          <t>BODEN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1233-2024</t>
        </is>
      </c>
      <c r="B4113" s="1" t="n">
        <v>45302.70443287037</v>
      </c>
      <c r="C4113" s="1" t="n">
        <v>46046</v>
      </c>
      <c r="D4113" t="inlineStr">
        <is>
          <t>NORRBOTTENS LÄN</t>
        </is>
      </c>
      <c r="E4113" t="inlineStr">
        <is>
          <t>KALIX</t>
        </is>
      </c>
      <c r="G4113" t="n">
        <v>13.5</v>
      </c>
      <c r="H4113" t="n">
        <v>0</v>
      </c>
      <c r="I4113" t="n">
        <v>0</v>
      </c>
      <c r="J4113" t="n">
        <v>0</v>
      </c>
      <c r="K4113" t="n">
        <v>0</v>
      </c>
      <c r="L4113" t="n">
        <v>0</v>
      </c>
      <c r="M4113" t="n">
        <v>0</v>
      </c>
      <c r="N4113" t="n">
        <v>0</v>
      </c>
      <c r="O4113" t="n">
        <v>0</v>
      </c>
      <c r="P4113" t="n">
        <v>0</v>
      </c>
      <c r="Q4113" t="n">
        <v>0</v>
      </c>
      <c r="R4113" s="2" t="inlineStr"/>
    </row>
    <row r="4114" ht="15" customHeight="1">
      <c r="A4114" t="inlineStr">
        <is>
          <t>A 1238-2024</t>
        </is>
      </c>
      <c r="B4114" s="1" t="n">
        <v>45302</v>
      </c>
      <c r="C4114" s="1" t="n">
        <v>46046</v>
      </c>
      <c r="D4114" t="inlineStr">
        <is>
          <t>NORRBOTTENS LÄN</t>
        </is>
      </c>
      <c r="E4114" t="inlineStr">
        <is>
          <t>ÄLVSBYN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28090-2023</t>
        </is>
      </c>
      <c r="B4115" s="1" t="n">
        <v>45099</v>
      </c>
      <c r="C4115" s="1" t="n">
        <v>46046</v>
      </c>
      <c r="D4115" t="inlineStr">
        <is>
          <t>NORRBOTTENS LÄN</t>
        </is>
      </c>
      <c r="E4115" t="inlineStr">
        <is>
          <t>JOKKMOKK</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47207-2024</t>
        </is>
      </c>
      <c r="B4116" s="1" t="n">
        <v>45586.63935185185</v>
      </c>
      <c r="C4116" s="1" t="n">
        <v>46046</v>
      </c>
      <c r="D4116" t="inlineStr">
        <is>
          <t>NORRBOTTENS LÄN</t>
        </is>
      </c>
      <c r="E4116" t="inlineStr">
        <is>
          <t>PAJALA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57579-2023</t>
        </is>
      </c>
      <c r="B4117" s="1" t="n">
        <v>45246</v>
      </c>
      <c r="C4117" s="1" t="n">
        <v>46046</v>
      </c>
      <c r="D4117" t="inlineStr">
        <is>
          <t>NORRBOTTENS LÄN</t>
        </is>
      </c>
      <c r="E4117" t="inlineStr">
        <is>
          <t>BODEN</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14990-2024</t>
        </is>
      </c>
      <c r="B4118" s="1" t="n">
        <v>45399.36019675926</v>
      </c>
      <c r="C4118" s="1" t="n">
        <v>46046</v>
      </c>
      <c r="D4118" t="inlineStr">
        <is>
          <t>NORRBOTTENS LÄN</t>
        </is>
      </c>
      <c r="E4118" t="inlineStr">
        <is>
          <t>LULEÅ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58009-2024</t>
        </is>
      </c>
      <c r="B4119" s="1" t="n">
        <v>45631.65880787037</v>
      </c>
      <c r="C4119" s="1" t="n">
        <v>46046</v>
      </c>
      <c r="D4119" t="inlineStr">
        <is>
          <t>NORRBOTTENS LÄN</t>
        </is>
      </c>
      <c r="E4119" t="inlineStr">
        <is>
          <t>PITEÅ</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8476-2024</t>
        </is>
      </c>
      <c r="B4120" s="1" t="n">
        <v>45351</v>
      </c>
      <c r="C4120" s="1" t="n">
        <v>46046</v>
      </c>
      <c r="D4120" t="inlineStr">
        <is>
          <t>NORRBOTTENS LÄN</t>
        </is>
      </c>
      <c r="E4120" t="inlineStr">
        <is>
          <t>ÖVERTORNEÅ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47922-2024</t>
        </is>
      </c>
      <c r="B4121" s="1" t="n">
        <v>45589</v>
      </c>
      <c r="C4121" s="1" t="n">
        <v>46046</v>
      </c>
      <c r="D4121" t="inlineStr">
        <is>
          <t>NORRBOTTENS LÄN</t>
        </is>
      </c>
      <c r="E4121" t="inlineStr">
        <is>
          <t>BODEN</t>
        </is>
      </c>
      <c r="F4121" t="inlineStr">
        <is>
          <t>Naturvårdsverket</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47924-2024</t>
        </is>
      </c>
      <c r="B4122" s="1" t="n">
        <v>45589.34494212963</v>
      </c>
      <c r="C4122" s="1" t="n">
        <v>46046</v>
      </c>
      <c r="D4122" t="inlineStr">
        <is>
          <t>NORRBOTTENS LÄN</t>
        </is>
      </c>
      <c r="E4122" t="inlineStr">
        <is>
          <t>BODEN</t>
        </is>
      </c>
      <c r="F4122" t="inlineStr">
        <is>
          <t>SCA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47926-2024</t>
        </is>
      </c>
      <c r="B4123" s="1" t="n">
        <v>45589</v>
      </c>
      <c r="C4123" s="1" t="n">
        <v>46046</v>
      </c>
      <c r="D4123" t="inlineStr">
        <is>
          <t>NORRBOTTENS LÄN</t>
        </is>
      </c>
      <c r="E4123" t="inlineStr">
        <is>
          <t>BODEN</t>
        </is>
      </c>
      <c r="F4123" t="inlineStr">
        <is>
          <t>Naturvårdsverket</t>
        </is>
      </c>
      <c r="G4123" t="n">
        <v>11.9</v>
      </c>
      <c r="H4123" t="n">
        <v>0</v>
      </c>
      <c r="I4123" t="n">
        <v>0</v>
      </c>
      <c r="J4123" t="n">
        <v>0</v>
      </c>
      <c r="K4123" t="n">
        <v>0</v>
      </c>
      <c r="L4123" t="n">
        <v>0</v>
      </c>
      <c r="M4123" t="n">
        <v>0</v>
      </c>
      <c r="N4123" t="n">
        <v>0</v>
      </c>
      <c r="O4123" t="n">
        <v>0</v>
      </c>
      <c r="P4123" t="n">
        <v>0</v>
      </c>
      <c r="Q4123" t="n">
        <v>0</v>
      </c>
      <c r="R4123" s="2" t="inlineStr"/>
    </row>
    <row r="4124" ht="15" customHeight="1">
      <c r="A4124" t="inlineStr">
        <is>
          <t>A 33183-2025</t>
        </is>
      </c>
      <c r="B4124" s="1" t="n">
        <v>45840.59206018518</v>
      </c>
      <c r="C4124" s="1" t="n">
        <v>46046</v>
      </c>
      <c r="D4124" t="inlineStr">
        <is>
          <t>NORRBOTTENS LÄN</t>
        </is>
      </c>
      <c r="E4124" t="inlineStr">
        <is>
          <t>KIRUNA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48614-2024</t>
        </is>
      </c>
      <c r="B4125" s="1" t="n">
        <v>45593</v>
      </c>
      <c r="C4125" s="1" t="n">
        <v>46046</v>
      </c>
      <c r="D4125" t="inlineStr">
        <is>
          <t>NORRBOTTENS LÄN</t>
        </is>
      </c>
      <c r="E4125" t="inlineStr">
        <is>
          <t>ARVIDSJAUR</t>
        </is>
      </c>
      <c r="G4125" t="n">
        <v>13.4</v>
      </c>
      <c r="H4125" t="n">
        <v>0</v>
      </c>
      <c r="I4125" t="n">
        <v>0</v>
      </c>
      <c r="J4125" t="n">
        <v>0</v>
      </c>
      <c r="K4125" t="n">
        <v>0</v>
      </c>
      <c r="L4125" t="n">
        <v>0</v>
      </c>
      <c r="M4125" t="n">
        <v>0</v>
      </c>
      <c r="N4125" t="n">
        <v>0</v>
      </c>
      <c r="O4125" t="n">
        <v>0</v>
      </c>
      <c r="P4125" t="n">
        <v>0</v>
      </c>
      <c r="Q4125" t="n">
        <v>0</v>
      </c>
      <c r="R4125" s="2" t="inlineStr"/>
    </row>
    <row r="4126" ht="15" customHeight="1">
      <c r="A4126" t="inlineStr">
        <is>
          <t>A 57713-2024</t>
        </is>
      </c>
      <c r="B4126" s="1" t="n">
        <v>45630.69038194444</v>
      </c>
      <c r="C4126" s="1" t="n">
        <v>46046</v>
      </c>
      <c r="D4126" t="inlineStr">
        <is>
          <t>NORRBOTTENS LÄN</t>
        </is>
      </c>
      <c r="E4126" t="inlineStr">
        <is>
          <t>BODEN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7186-2023</t>
        </is>
      </c>
      <c r="B4127" s="1" t="n">
        <v>44970</v>
      </c>
      <c r="C4127" s="1" t="n">
        <v>46046</v>
      </c>
      <c r="D4127" t="inlineStr">
        <is>
          <t>NORRBOTTENS LÄN</t>
        </is>
      </c>
      <c r="E4127" t="inlineStr">
        <is>
          <t>KALIX</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40781-2021</t>
        </is>
      </c>
      <c r="B4128" s="1" t="n">
        <v>44421.25067129629</v>
      </c>
      <c r="C4128" s="1" t="n">
        <v>46046</v>
      </c>
      <c r="D4128" t="inlineStr">
        <is>
          <t>NORRBOTTENS LÄN</t>
        </is>
      </c>
      <c r="E4128" t="inlineStr">
        <is>
          <t>BODEN</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32990-2025</t>
        </is>
      </c>
      <c r="B4129" s="1" t="n">
        <v>45840.3191087963</v>
      </c>
      <c r="C4129" s="1" t="n">
        <v>46046</v>
      </c>
      <c r="D4129" t="inlineStr">
        <is>
          <t>NORRBOTTENS LÄN</t>
        </is>
      </c>
      <c r="E4129" t="inlineStr">
        <is>
          <t>ARVIDSJAUR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39559-2022</t>
        </is>
      </c>
      <c r="B4130" s="1" t="n">
        <v>44818</v>
      </c>
      <c r="C4130" s="1" t="n">
        <v>46046</v>
      </c>
      <c r="D4130" t="inlineStr">
        <is>
          <t>NORRBOTTENS LÄN</t>
        </is>
      </c>
      <c r="E4130" t="inlineStr">
        <is>
          <t>GÄLLIVARE</t>
        </is>
      </c>
      <c r="F4130" t="inlineStr">
        <is>
          <t>Sveaskog</t>
        </is>
      </c>
      <c r="G4130" t="n">
        <v>11.6</v>
      </c>
      <c r="H4130" t="n">
        <v>0</v>
      </c>
      <c r="I4130" t="n">
        <v>0</v>
      </c>
      <c r="J4130" t="n">
        <v>0</v>
      </c>
      <c r="K4130" t="n">
        <v>0</v>
      </c>
      <c r="L4130" t="n">
        <v>0</v>
      </c>
      <c r="M4130" t="n">
        <v>0</v>
      </c>
      <c r="N4130" t="n">
        <v>0</v>
      </c>
      <c r="O4130" t="n">
        <v>0</v>
      </c>
      <c r="P4130" t="n">
        <v>0</v>
      </c>
      <c r="Q4130" t="n">
        <v>0</v>
      </c>
      <c r="R4130" s="2" t="inlineStr"/>
    </row>
    <row r="4131" ht="15" customHeight="1">
      <c r="A4131" t="inlineStr">
        <is>
          <t>A 26253-2023</t>
        </is>
      </c>
      <c r="B4131" s="1" t="n">
        <v>45091</v>
      </c>
      <c r="C4131" s="1" t="n">
        <v>46046</v>
      </c>
      <c r="D4131" t="inlineStr">
        <is>
          <t>NORRBOTTENS LÄN</t>
        </is>
      </c>
      <c r="E4131" t="inlineStr">
        <is>
          <t>LULEÅ</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33038-2025</t>
        </is>
      </c>
      <c r="B4132" s="1" t="n">
        <v>45840.39805555555</v>
      </c>
      <c r="C4132" s="1" t="n">
        <v>46046</v>
      </c>
      <c r="D4132" t="inlineStr">
        <is>
          <t>NORRBOTTENS LÄN</t>
        </is>
      </c>
      <c r="E4132" t="inlineStr">
        <is>
          <t>BODEN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53828-2024</t>
        </is>
      </c>
      <c r="B4133" s="1" t="n">
        <v>45615.61438657407</v>
      </c>
      <c r="C4133" s="1" t="n">
        <v>46046</v>
      </c>
      <c r="D4133" t="inlineStr">
        <is>
          <t>NORRBOTTENS LÄN</t>
        </is>
      </c>
      <c r="E4133" t="inlineStr">
        <is>
          <t>GÄLLIVARE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33608-2025</t>
        </is>
      </c>
      <c r="B4134" s="1" t="n">
        <v>45841.61747685185</v>
      </c>
      <c r="C4134" s="1" t="n">
        <v>46046</v>
      </c>
      <c r="D4134" t="inlineStr">
        <is>
          <t>NORRBOTTENS LÄN</t>
        </is>
      </c>
      <c r="E4134" t="inlineStr">
        <is>
          <t>LULEÅ</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33619-2025</t>
        </is>
      </c>
      <c r="B4135" s="1" t="n">
        <v>45841</v>
      </c>
      <c r="C4135" s="1" t="n">
        <v>46046</v>
      </c>
      <c r="D4135" t="inlineStr">
        <is>
          <t>NORRBOTTENS LÄN</t>
        </is>
      </c>
      <c r="E4135" t="inlineStr">
        <is>
          <t>KALIX</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29729-2022</t>
        </is>
      </c>
      <c r="B4136" s="1" t="n">
        <v>44755</v>
      </c>
      <c r="C4136" s="1" t="n">
        <v>46046</v>
      </c>
      <c r="D4136" t="inlineStr">
        <is>
          <t>NORRBOTTENS LÄN</t>
        </is>
      </c>
      <c r="E4136" t="inlineStr">
        <is>
          <t>PAJALA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33023-2025</t>
        </is>
      </c>
      <c r="B4137" s="1" t="n">
        <v>45840.37375</v>
      </c>
      <c r="C4137" s="1" t="n">
        <v>46046</v>
      </c>
      <c r="D4137" t="inlineStr">
        <is>
          <t>NORRBOTTENS LÄN</t>
        </is>
      </c>
      <c r="E4137" t="inlineStr">
        <is>
          <t>BODEN</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33024-2025</t>
        </is>
      </c>
      <c r="B4138" s="1" t="n">
        <v>45840.37756944444</v>
      </c>
      <c r="C4138" s="1" t="n">
        <v>46046</v>
      </c>
      <c r="D4138" t="inlineStr">
        <is>
          <t>NORRBOTTENS LÄN</t>
        </is>
      </c>
      <c r="E4138" t="inlineStr">
        <is>
          <t>BODEN</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64403-2023</t>
        </is>
      </c>
      <c r="B4139" s="1" t="n">
        <v>45280.6125</v>
      </c>
      <c r="C4139" s="1" t="n">
        <v>46046</v>
      </c>
      <c r="D4139" t="inlineStr">
        <is>
          <t>NORRBOTTENS LÄN</t>
        </is>
      </c>
      <c r="E4139" t="inlineStr">
        <is>
          <t>ÄLVSBYN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4756-2023</t>
        </is>
      </c>
      <c r="B4140" s="1" t="n">
        <v>44953</v>
      </c>
      <c r="C4140" s="1" t="n">
        <v>46046</v>
      </c>
      <c r="D4140" t="inlineStr">
        <is>
          <t>NORRBOTTENS LÄN</t>
        </is>
      </c>
      <c r="E4140" t="inlineStr">
        <is>
          <t>GÄLLIVARE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3185-2025</t>
        </is>
      </c>
      <c r="B4141" s="1" t="n">
        <v>45679.40358796297</v>
      </c>
      <c r="C4141" s="1" t="n">
        <v>46046</v>
      </c>
      <c r="D4141" t="inlineStr">
        <is>
          <t>NORRBOTTENS LÄN</t>
        </is>
      </c>
      <c r="E4141" t="inlineStr">
        <is>
          <t>LULEÅ</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5723-2024</t>
        </is>
      </c>
      <c r="B4142" s="1" t="n">
        <v>45334</v>
      </c>
      <c r="C4142" s="1" t="n">
        <v>46046</v>
      </c>
      <c r="D4142" t="inlineStr">
        <is>
          <t>NORRBOTTENS LÄN</t>
        </is>
      </c>
      <c r="E4142" t="inlineStr">
        <is>
          <t>ÖVERKALIX</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4286-2025</t>
        </is>
      </c>
      <c r="B4143" s="1" t="n">
        <v>45685</v>
      </c>
      <c r="C4143" s="1" t="n">
        <v>46046</v>
      </c>
      <c r="D4143" t="inlineStr">
        <is>
          <t>NORRBOTTENS LÄN</t>
        </is>
      </c>
      <c r="E4143" t="inlineStr">
        <is>
          <t>LULEÅ</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15486-2025</t>
        </is>
      </c>
      <c r="B4144" s="1" t="n">
        <v>45747.57071759259</v>
      </c>
      <c r="C4144" s="1" t="n">
        <v>46046</v>
      </c>
      <c r="D4144" t="inlineStr">
        <is>
          <t>NORRBOTTENS LÄN</t>
        </is>
      </c>
      <c r="E4144" t="inlineStr">
        <is>
          <t>BODEN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51617-2024</t>
        </is>
      </c>
      <c r="B4145" s="1" t="n">
        <v>45604.71908564815</v>
      </c>
      <c r="C4145" s="1" t="n">
        <v>46046</v>
      </c>
      <c r="D4145" t="inlineStr">
        <is>
          <t>NORRBOTTENS LÄN</t>
        </is>
      </c>
      <c r="E4145" t="inlineStr">
        <is>
          <t>JOKKMOKK</t>
        </is>
      </c>
      <c r="F4145" t="inlineStr">
        <is>
          <t>SCA</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51642-2024</t>
        </is>
      </c>
      <c r="B4146" s="1" t="n">
        <v>45605.82144675926</v>
      </c>
      <c r="C4146" s="1" t="n">
        <v>46046</v>
      </c>
      <c r="D4146" t="inlineStr">
        <is>
          <t>NORRBOTTENS LÄN</t>
        </is>
      </c>
      <c r="E4146" t="inlineStr">
        <is>
          <t>PITEÅ</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62880-2023</t>
        </is>
      </c>
      <c r="B4147" s="1" t="n">
        <v>45272.3881712963</v>
      </c>
      <c r="C4147" s="1" t="n">
        <v>46046</v>
      </c>
      <c r="D4147" t="inlineStr">
        <is>
          <t>NORRBOTTENS LÄN</t>
        </is>
      </c>
      <c r="E4147" t="inlineStr">
        <is>
          <t>ÄLVSBYN</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33226-2025</t>
        </is>
      </c>
      <c r="B4148" s="1" t="n">
        <v>45840.63622685185</v>
      </c>
      <c r="C4148" s="1" t="n">
        <v>46046</v>
      </c>
      <c r="D4148" t="inlineStr">
        <is>
          <t>NORRBOTTENS LÄN</t>
        </is>
      </c>
      <c r="E4148" t="inlineStr">
        <is>
          <t>GÄLLIVARE</t>
        </is>
      </c>
      <c r="F4148" t="inlineStr">
        <is>
          <t>SCA</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33554-2025</t>
        </is>
      </c>
      <c r="B4149" s="1" t="n">
        <v>45841.57400462963</v>
      </c>
      <c r="C4149" s="1" t="n">
        <v>46046</v>
      </c>
      <c r="D4149" t="inlineStr">
        <is>
          <t>NORRBOTTENS LÄN</t>
        </is>
      </c>
      <c r="E4149" t="inlineStr">
        <is>
          <t>JOKKMOKK</t>
        </is>
      </c>
      <c r="F4149" t="inlineStr">
        <is>
          <t>SCA</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60515-2022</t>
        </is>
      </c>
      <c r="B4150" s="1" t="n">
        <v>44911.45668981481</v>
      </c>
      <c r="C4150" s="1" t="n">
        <v>46046</v>
      </c>
      <c r="D4150" t="inlineStr">
        <is>
          <t>NORRBOTTENS LÄN</t>
        </is>
      </c>
      <c r="E4150" t="inlineStr">
        <is>
          <t>ÖVERTORNEÅ</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33248-2025</t>
        </is>
      </c>
      <c r="B4151" s="1" t="n">
        <v>45840</v>
      </c>
      <c r="C4151" s="1" t="n">
        <v>46046</v>
      </c>
      <c r="D4151" t="inlineStr">
        <is>
          <t>NORRBOTTENS LÄN</t>
        </is>
      </c>
      <c r="E4151" t="inlineStr">
        <is>
          <t>PAJALA</t>
        </is>
      </c>
      <c r="F4151" t="inlineStr">
        <is>
          <t>Allmännings- och besparingsskogar</t>
        </is>
      </c>
      <c r="G4151" t="n">
        <v>24.2</v>
      </c>
      <c r="H4151" t="n">
        <v>0</v>
      </c>
      <c r="I4151" t="n">
        <v>0</v>
      </c>
      <c r="J4151" t="n">
        <v>0</v>
      </c>
      <c r="K4151" t="n">
        <v>0</v>
      </c>
      <c r="L4151" t="n">
        <v>0</v>
      </c>
      <c r="M4151" t="n">
        <v>0</v>
      </c>
      <c r="N4151" t="n">
        <v>0</v>
      </c>
      <c r="O4151" t="n">
        <v>0</v>
      </c>
      <c r="P4151" t="n">
        <v>0</v>
      </c>
      <c r="Q4151" t="n">
        <v>0</v>
      </c>
      <c r="R4151" s="2" t="inlineStr"/>
    </row>
    <row r="4152" ht="15" customHeight="1">
      <c r="A4152" t="inlineStr">
        <is>
          <t>A 53603-2024</t>
        </is>
      </c>
      <c r="B4152" s="1" t="n">
        <v>45614.69736111111</v>
      </c>
      <c r="C4152" s="1" t="n">
        <v>46046</v>
      </c>
      <c r="D4152" t="inlineStr">
        <is>
          <t>NORRBOTTENS LÄN</t>
        </is>
      </c>
      <c r="E4152" t="inlineStr">
        <is>
          <t>LULEÅ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4329-2025</t>
        </is>
      </c>
      <c r="B4153" s="1" t="n">
        <v>45685</v>
      </c>
      <c r="C4153" s="1" t="n">
        <v>46046</v>
      </c>
      <c r="D4153" t="inlineStr">
        <is>
          <t>NORRBOTTENS LÄN</t>
        </is>
      </c>
      <c r="E4153" t="inlineStr">
        <is>
          <t>PITEÅ</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5093-2025</t>
        </is>
      </c>
      <c r="B4154" s="1" t="n">
        <v>45691</v>
      </c>
      <c r="C4154" s="1" t="n">
        <v>46046</v>
      </c>
      <c r="D4154" t="inlineStr">
        <is>
          <t>NORRBOTTENS LÄN</t>
        </is>
      </c>
      <c r="E4154" t="inlineStr">
        <is>
          <t>ÖVERTORNEÅ</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33302-2025</t>
        </is>
      </c>
      <c r="B4155" s="1" t="n">
        <v>45841</v>
      </c>
      <c r="C4155" s="1" t="n">
        <v>46046</v>
      </c>
      <c r="D4155" t="inlineStr">
        <is>
          <t>NORRBOTTENS LÄN</t>
        </is>
      </c>
      <c r="E4155" t="inlineStr">
        <is>
          <t>ARVIDSJAUR</t>
        </is>
      </c>
      <c r="F4155" t="inlineStr">
        <is>
          <t>Sveaskog</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33266-2025</t>
        </is>
      </c>
      <c r="B4156" s="1" t="n">
        <v>45840.67837962963</v>
      </c>
      <c r="C4156" s="1" t="n">
        <v>46046</v>
      </c>
      <c r="D4156" t="inlineStr">
        <is>
          <t>NORRBOTTENS LÄN</t>
        </is>
      </c>
      <c r="E4156" t="inlineStr">
        <is>
          <t>ÖVERKALIX</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47927-2024</t>
        </is>
      </c>
      <c r="B4157" s="1" t="n">
        <v>45589.34527777778</v>
      </c>
      <c r="C4157" s="1" t="n">
        <v>46046</v>
      </c>
      <c r="D4157" t="inlineStr">
        <is>
          <t>NORRBOTTENS LÄN</t>
        </is>
      </c>
      <c r="E4157" t="inlineStr">
        <is>
          <t>BODEN</t>
        </is>
      </c>
      <c r="F4157" t="inlineStr">
        <is>
          <t>Naturvårdsverket</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47931-2024</t>
        </is>
      </c>
      <c r="B4158" s="1" t="n">
        <v>45589</v>
      </c>
      <c r="C4158" s="1" t="n">
        <v>46046</v>
      </c>
      <c r="D4158" t="inlineStr">
        <is>
          <t>NORRBOTTENS LÄN</t>
        </is>
      </c>
      <c r="E4158" t="inlineStr">
        <is>
          <t>LULEÅ</t>
        </is>
      </c>
      <c r="F4158" t="inlineStr">
        <is>
          <t>Naturvårdsverket</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55857-2024</t>
        </is>
      </c>
      <c r="B4159" s="1" t="n">
        <v>45622</v>
      </c>
      <c r="C4159" s="1" t="n">
        <v>46046</v>
      </c>
      <c r="D4159" t="inlineStr">
        <is>
          <t>NORRBOTTENS LÄN</t>
        </is>
      </c>
      <c r="E4159" t="inlineStr">
        <is>
          <t>ÖVERKALIX</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32957-2024</t>
        </is>
      </c>
      <c r="B4160" s="1" t="n">
        <v>45517.3762037037</v>
      </c>
      <c r="C4160" s="1" t="n">
        <v>46046</v>
      </c>
      <c r="D4160" t="inlineStr">
        <is>
          <t>NORRBOTTENS LÄN</t>
        </is>
      </c>
      <c r="E4160" t="inlineStr">
        <is>
          <t>JOKKMOKK</t>
        </is>
      </c>
      <c r="F4160" t="inlineStr">
        <is>
          <t>Sveaskog</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23136-2024</t>
        </is>
      </c>
      <c r="B4161" s="1" t="n">
        <v>45450</v>
      </c>
      <c r="C4161" s="1" t="n">
        <v>46046</v>
      </c>
      <c r="D4161" t="inlineStr">
        <is>
          <t>NORRBOTTENS LÄN</t>
        </is>
      </c>
      <c r="E4161" t="inlineStr">
        <is>
          <t>ÄLVSBYN</t>
        </is>
      </c>
      <c r="F4161" t="inlineStr">
        <is>
          <t>Sveaskog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64307-2023</t>
        </is>
      </c>
      <c r="B4162" s="1" t="n">
        <v>45279</v>
      </c>
      <c r="C4162" s="1" t="n">
        <v>46046</v>
      </c>
      <c r="D4162" t="inlineStr">
        <is>
          <t>NORRBOTTENS LÄN</t>
        </is>
      </c>
      <c r="E4162" t="inlineStr">
        <is>
          <t>PITEÅ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33114-2025</t>
        </is>
      </c>
      <c r="B4163" s="1" t="n">
        <v>45840</v>
      </c>
      <c r="C4163" s="1" t="n">
        <v>46046</v>
      </c>
      <c r="D4163" t="inlineStr">
        <is>
          <t>NORRBOTTENS LÄN</t>
        </is>
      </c>
      <c r="E4163" t="inlineStr">
        <is>
          <t>PITEÅ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33668-2025</t>
        </is>
      </c>
      <c r="B4164" s="1" t="n">
        <v>45841.67427083333</v>
      </c>
      <c r="C4164" s="1" t="n">
        <v>46046</v>
      </c>
      <c r="D4164" t="inlineStr">
        <is>
          <t>NORRBOTTENS LÄN</t>
        </is>
      </c>
      <c r="E4164" t="inlineStr">
        <is>
          <t>GÄLLIVARE</t>
        </is>
      </c>
      <c r="F4164" t="inlineStr">
        <is>
          <t>Sveaskog</t>
        </is>
      </c>
      <c r="G4164" t="n">
        <v>11.7</v>
      </c>
      <c r="H4164" t="n">
        <v>0</v>
      </c>
      <c r="I4164" t="n">
        <v>0</v>
      </c>
      <c r="J4164" t="n">
        <v>0</v>
      </c>
      <c r="K4164" t="n">
        <v>0</v>
      </c>
      <c r="L4164" t="n">
        <v>0</v>
      </c>
      <c r="M4164" t="n">
        <v>0</v>
      </c>
      <c r="N4164" t="n">
        <v>0</v>
      </c>
      <c r="O4164" t="n">
        <v>0</v>
      </c>
      <c r="P4164" t="n">
        <v>0</v>
      </c>
      <c r="Q4164" t="n">
        <v>0</v>
      </c>
      <c r="R4164" s="2" t="inlineStr"/>
    </row>
    <row r="4165" ht="15" customHeight="1">
      <c r="A4165" t="inlineStr">
        <is>
          <t>A 47446-2023</t>
        </is>
      </c>
      <c r="B4165" s="1" t="n">
        <v>45202.69947916667</v>
      </c>
      <c r="C4165" s="1" t="n">
        <v>46046</v>
      </c>
      <c r="D4165" t="inlineStr">
        <is>
          <t>NORRBOTTENS LÄN</t>
        </is>
      </c>
      <c r="E4165" t="inlineStr">
        <is>
          <t>PITEÅ</t>
        </is>
      </c>
      <c r="F4165" t="inlineStr">
        <is>
          <t>Övriga Aktiebolag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5792-2025</t>
        </is>
      </c>
      <c r="B4166" s="1" t="n">
        <v>45694.65678240741</v>
      </c>
      <c r="C4166" s="1" t="n">
        <v>46046</v>
      </c>
      <c r="D4166" t="inlineStr">
        <is>
          <t>NORRBOTTENS LÄN</t>
        </is>
      </c>
      <c r="E4166" t="inlineStr">
        <is>
          <t>BODEN</t>
        </is>
      </c>
      <c r="F4166" t="inlineStr">
        <is>
          <t>SCA</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49830-2023</t>
        </is>
      </c>
      <c r="B4167" s="1" t="n">
        <v>45212.71053240741</v>
      </c>
      <c r="C4167" s="1" t="n">
        <v>46046</v>
      </c>
      <c r="D4167" t="inlineStr">
        <is>
          <t>NORRBOTTENS LÄN</t>
        </is>
      </c>
      <c r="E4167" t="inlineStr">
        <is>
          <t>PAJALA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8782-2024</t>
        </is>
      </c>
      <c r="B4168" s="1" t="n">
        <v>45356</v>
      </c>
      <c r="C4168" s="1" t="n">
        <v>46046</v>
      </c>
      <c r="D4168" t="inlineStr">
        <is>
          <t>NORRBOTTENS LÄN</t>
        </is>
      </c>
      <c r="E4168" t="inlineStr">
        <is>
          <t>BODEN</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6593-2022</t>
        </is>
      </c>
      <c r="B4169" s="1" t="n">
        <v>44601</v>
      </c>
      <c r="C4169" s="1" t="n">
        <v>46046</v>
      </c>
      <c r="D4169" t="inlineStr">
        <is>
          <t>NORRBOTTENS LÄN</t>
        </is>
      </c>
      <c r="E4169" t="inlineStr">
        <is>
          <t>ÖVERTORNEÅ</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20201-2025</t>
        </is>
      </c>
      <c r="B4170" s="1" t="n">
        <v>45772.61418981481</v>
      </c>
      <c r="C4170" s="1" t="n">
        <v>46046</v>
      </c>
      <c r="D4170" t="inlineStr">
        <is>
          <t>NORRBOTTENS LÄN</t>
        </is>
      </c>
      <c r="E4170" t="inlineStr">
        <is>
          <t>PITEÅ</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20232-2025</t>
        </is>
      </c>
      <c r="B4171" s="1" t="n">
        <v>45772</v>
      </c>
      <c r="C4171" s="1" t="n">
        <v>46046</v>
      </c>
      <c r="D4171" t="inlineStr">
        <is>
          <t>NORRBOTTENS LÄN</t>
        </is>
      </c>
      <c r="E4171" t="inlineStr">
        <is>
          <t>KALIX</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54755-2024</t>
        </is>
      </c>
      <c r="B4172" s="1" t="n">
        <v>45618</v>
      </c>
      <c r="C4172" s="1" t="n">
        <v>46046</v>
      </c>
      <c r="D4172" t="inlineStr">
        <is>
          <t>NORRBOTTENS LÄN</t>
        </is>
      </c>
      <c r="E4172" t="inlineStr">
        <is>
          <t>PITEÅ</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54761-2024</t>
        </is>
      </c>
      <c r="B4173" s="1" t="n">
        <v>45618.46251157407</v>
      </c>
      <c r="C4173" s="1" t="n">
        <v>46046</v>
      </c>
      <c r="D4173" t="inlineStr">
        <is>
          <t>NORRBOTTENS LÄN</t>
        </is>
      </c>
      <c r="E4173" t="inlineStr">
        <is>
          <t>PITEÅ</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54848-2024</t>
        </is>
      </c>
      <c r="B4174" s="1" t="n">
        <v>45618</v>
      </c>
      <c r="C4174" s="1" t="n">
        <v>46046</v>
      </c>
      <c r="D4174" t="inlineStr">
        <is>
          <t>NORRBOTTENS LÄN</t>
        </is>
      </c>
      <c r="E4174" t="inlineStr">
        <is>
          <t>ÄLVSBYN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25309-2024</t>
        </is>
      </c>
      <c r="B4175" s="1" t="n">
        <v>45462</v>
      </c>
      <c r="C4175" s="1" t="n">
        <v>46046</v>
      </c>
      <c r="D4175" t="inlineStr">
        <is>
          <t>NORRBOTTENS LÄN</t>
        </is>
      </c>
      <c r="E4175" t="inlineStr">
        <is>
          <t>ÖVERTORNEÅ</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33224-2025</t>
        </is>
      </c>
      <c r="B4176" s="1" t="n">
        <v>45840.63581018519</v>
      </c>
      <c r="C4176" s="1" t="n">
        <v>46046</v>
      </c>
      <c r="D4176" t="inlineStr">
        <is>
          <t>NORRBOTTENS LÄN</t>
        </is>
      </c>
      <c r="E4176" t="inlineStr">
        <is>
          <t>ÖVERKALIX</t>
        </is>
      </c>
      <c r="F4176" t="inlineStr">
        <is>
          <t>SCA</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20270-2025</t>
        </is>
      </c>
      <c r="B4177" s="1" t="n">
        <v>45773.71444444444</v>
      </c>
      <c r="C4177" s="1" t="n">
        <v>46046</v>
      </c>
      <c r="D4177" t="inlineStr">
        <is>
          <t>NORRBOTTENS LÄN</t>
        </is>
      </c>
      <c r="E4177" t="inlineStr">
        <is>
          <t>JOKKMOKK</t>
        </is>
      </c>
      <c r="G4177" t="n">
        <v>90.09999999999999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33651-2025</t>
        </is>
      </c>
      <c r="B4178" s="1" t="n">
        <v>45841.65722222222</v>
      </c>
      <c r="C4178" s="1" t="n">
        <v>46046</v>
      </c>
      <c r="D4178" t="inlineStr">
        <is>
          <t>NORRBOTTENS LÄN</t>
        </is>
      </c>
      <c r="E4178" t="inlineStr">
        <is>
          <t>LULEÅ</t>
        </is>
      </c>
      <c r="G4178" t="n">
        <v>15.5</v>
      </c>
      <c r="H4178" t="n">
        <v>0</v>
      </c>
      <c r="I4178" t="n">
        <v>0</v>
      </c>
      <c r="J4178" t="n">
        <v>0</v>
      </c>
      <c r="K4178" t="n">
        <v>0</v>
      </c>
      <c r="L4178" t="n">
        <v>0</v>
      </c>
      <c r="M4178" t="n">
        <v>0</v>
      </c>
      <c r="N4178" t="n">
        <v>0</v>
      </c>
      <c r="O4178" t="n">
        <v>0</v>
      </c>
      <c r="P4178" t="n">
        <v>0</v>
      </c>
      <c r="Q4178" t="n">
        <v>0</v>
      </c>
      <c r="R4178" s="2" t="inlineStr"/>
    </row>
    <row r="4179" ht="15" customHeight="1">
      <c r="A4179" t="inlineStr">
        <is>
          <t>A 33654-2025</t>
        </is>
      </c>
      <c r="B4179" s="1" t="n">
        <v>45841.65853009259</v>
      </c>
      <c r="C4179" s="1" t="n">
        <v>46046</v>
      </c>
      <c r="D4179" t="inlineStr">
        <is>
          <t>NORRBOTTENS LÄN</t>
        </is>
      </c>
      <c r="E4179" t="inlineStr">
        <is>
          <t>GÄLLIVARE</t>
        </is>
      </c>
      <c r="F4179" t="inlineStr">
        <is>
          <t>Sveaskog</t>
        </is>
      </c>
      <c r="G4179" t="n">
        <v>10.9</v>
      </c>
      <c r="H4179" t="n">
        <v>0</v>
      </c>
      <c r="I4179" t="n">
        <v>0</v>
      </c>
      <c r="J4179" t="n">
        <v>0</v>
      </c>
      <c r="K4179" t="n">
        <v>0</v>
      </c>
      <c r="L4179" t="n">
        <v>0</v>
      </c>
      <c r="M4179" t="n">
        <v>0</v>
      </c>
      <c r="N4179" t="n">
        <v>0</v>
      </c>
      <c r="O4179" t="n">
        <v>0</v>
      </c>
      <c r="P4179" t="n">
        <v>0</v>
      </c>
      <c r="Q4179" t="n">
        <v>0</v>
      </c>
      <c r="R4179" s="2" t="inlineStr"/>
    </row>
    <row r="4180" ht="15" customHeight="1">
      <c r="A4180" t="inlineStr">
        <is>
          <t>A 49857-2023</t>
        </is>
      </c>
      <c r="B4180" s="1" t="n">
        <v>45212</v>
      </c>
      <c r="C4180" s="1" t="n">
        <v>46046</v>
      </c>
      <c r="D4180" t="inlineStr">
        <is>
          <t>NORRBOTTENS LÄN</t>
        </is>
      </c>
      <c r="E4180" t="inlineStr">
        <is>
          <t>LULEÅ</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49858-2023</t>
        </is>
      </c>
      <c r="B4181" s="1" t="n">
        <v>45212.95483796296</v>
      </c>
      <c r="C4181" s="1" t="n">
        <v>46046</v>
      </c>
      <c r="D4181" t="inlineStr">
        <is>
          <t>NORRBOTTENS LÄN</t>
        </is>
      </c>
      <c r="E4181" t="inlineStr">
        <is>
          <t>LULEÅ</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17597-2021</t>
        </is>
      </c>
      <c r="B4182" s="1" t="n">
        <v>44299</v>
      </c>
      <c r="C4182" s="1" t="n">
        <v>46046</v>
      </c>
      <c r="D4182" t="inlineStr">
        <is>
          <t>NORRBOTTENS LÄN</t>
        </is>
      </c>
      <c r="E4182" t="inlineStr">
        <is>
          <t>BODEN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33307-2025</t>
        </is>
      </c>
      <c r="B4183" s="1" t="n">
        <v>45841.31274305555</v>
      </c>
      <c r="C4183" s="1" t="n">
        <v>46046</v>
      </c>
      <c r="D4183" t="inlineStr">
        <is>
          <t>NORRBOTTENS LÄN</t>
        </is>
      </c>
      <c r="E4183" t="inlineStr">
        <is>
          <t>GÄLLIVARE</t>
        </is>
      </c>
      <c r="F4183" t="inlineStr">
        <is>
          <t>Sveaskog</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33349-2025</t>
        </is>
      </c>
      <c r="B4184" s="1" t="n">
        <v>45841.3704050926</v>
      </c>
      <c r="C4184" s="1" t="n">
        <v>46046</v>
      </c>
      <c r="D4184" t="inlineStr">
        <is>
          <t>NORRBOTTENS LÄN</t>
        </is>
      </c>
      <c r="E4184" t="inlineStr">
        <is>
          <t>JOKKMOKK</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2037-2025</t>
        </is>
      </c>
      <c r="B4185" s="1" t="n">
        <v>45671</v>
      </c>
      <c r="C4185" s="1" t="n">
        <v>46046</v>
      </c>
      <c r="D4185" t="inlineStr">
        <is>
          <t>NORRBOTTENS LÄN</t>
        </is>
      </c>
      <c r="E4185" t="inlineStr">
        <is>
          <t>JOKKMOKK</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27615-2025</t>
        </is>
      </c>
      <c r="B4186" s="1" t="n">
        <v>45813.54255787037</v>
      </c>
      <c r="C4186" s="1" t="n">
        <v>46046</v>
      </c>
      <c r="D4186" t="inlineStr">
        <is>
          <t>NORRBOTTENS LÄN</t>
        </is>
      </c>
      <c r="E4186" t="inlineStr">
        <is>
          <t>KALIX</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58172-2024</t>
        </is>
      </c>
      <c r="B4187" s="1" t="n">
        <v>45632</v>
      </c>
      <c r="C4187" s="1" t="n">
        <v>46046</v>
      </c>
      <c r="D4187" t="inlineStr">
        <is>
          <t>NORRBOTTENS LÄN</t>
        </is>
      </c>
      <c r="E4187" t="inlineStr">
        <is>
          <t>ÖVERTORNEÅ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58178-2024</t>
        </is>
      </c>
      <c r="B4188" s="1" t="n">
        <v>45632.46892361111</v>
      </c>
      <c r="C4188" s="1" t="n">
        <v>46046</v>
      </c>
      <c r="D4188" t="inlineStr">
        <is>
          <t>NORRBOTTENS LÄN</t>
        </is>
      </c>
      <c r="E4188" t="inlineStr">
        <is>
          <t>ÖVERTORNEÅ</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58182-2024</t>
        </is>
      </c>
      <c r="B4189" s="1" t="n">
        <v>45632.47152777778</v>
      </c>
      <c r="C4189" s="1" t="n">
        <v>46046</v>
      </c>
      <c r="D4189" t="inlineStr">
        <is>
          <t>NORRBOTTENS LÄN</t>
        </is>
      </c>
      <c r="E4189" t="inlineStr">
        <is>
          <t>KALIX</t>
        </is>
      </c>
      <c r="G4189" t="n">
        <v>17.4</v>
      </c>
      <c r="H4189" t="n">
        <v>0</v>
      </c>
      <c r="I4189" t="n">
        <v>0</v>
      </c>
      <c r="J4189" t="n">
        <v>0</v>
      </c>
      <c r="K4189" t="n">
        <v>0</v>
      </c>
      <c r="L4189" t="n">
        <v>0</v>
      </c>
      <c r="M4189" t="n">
        <v>0</v>
      </c>
      <c r="N4189" t="n">
        <v>0</v>
      </c>
      <c r="O4189" t="n">
        <v>0</v>
      </c>
      <c r="P4189" t="n">
        <v>0</v>
      </c>
      <c r="Q4189" t="n">
        <v>0</v>
      </c>
      <c r="R4189" s="2" t="inlineStr"/>
    </row>
    <row r="4190" ht="15" customHeight="1">
      <c r="A4190" t="inlineStr">
        <is>
          <t>A 57331-2022</t>
        </is>
      </c>
      <c r="B4190" s="1" t="n">
        <v>44889</v>
      </c>
      <c r="C4190" s="1" t="n">
        <v>46046</v>
      </c>
      <c r="D4190" t="inlineStr">
        <is>
          <t>NORRBOTTENS LÄN</t>
        </is>
      </c>
      <c r="E4190" t="inlineStr">
        <is>
          <t>PAJALA</t>
        </is>
      </c>
      <c r="G4190" t="n">
        <v>11.7</v>
      </c>
      <c r="H4190" t="n">
        <v>0</v>
      </c>
      <c r="I4190" t="n">
        <v>0</v>
      </c>
      <c r="J4190" t="n">
        <v>0</v>
      </c>
      <c r="K4190" t="n">
        <v>0</v>
      </c>
      <c r="L4190" t="n">
        <v>0</v>
      </c>
      <c r="M4190" t="n">
        <v>0</v>
      </c>
      <c r="N4190" t="n">
        <v>0</v>
      </c>
      <c r="O4190" t="n">
        <v>0</v>
      </c>
      <c r="P4190" t="n">
        <v>0</v>
      </c>
      <c r="Q4190" t="n">
        <v>0</v>
      </c>
      <c r="R4190" s="2" t="inlineStr"/>
    </row>
    <row r="4191" ht="15" customHeight="1">
      <c r="A4191" t="inlineStr">
        <is>
          <t>A 33981-2025</t>
        </is>
      </c>
      <c r="B4191" s="1" t="n">
        <v>45843.34435185185</v>
      </c>
      <c r="C4191" s="1" t="n">
        <v>46046</v>
      </c>
      <c r="D4191" t="inlineStr">
        <is>
          <t>NORRBOTTENS LÄN</t>
        </is>
      </c>
      <c r="E4191" t="inlineStr">
        <is>
          <t>BODEN</t>
        </is>
      </c>
      <c r="F4191" t="inlineStr">
        <is>
          <t>SCA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56734-2024</t>
        </is>
      </c>
      <c r="B4192" s="1" t="n">
        <v>45628</v>
      </c>
      <c r="C4192" s="1" t="n">
        <v>46046</v>
      </c>
      <c r="D4192" t="inlineStr">
        <is>
          <t>NORRBOTTENS LÄN</t>
        </is>
      </c>
      <c r="E4192" t="inlineStr">
        <is>
          <t>ÖVERTORNEÅ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32153-2023</t>
        </is>
      </c>
      <c r="B4193" s="1" t="n">
        <v>45119.70763888889</v>
      </c>
      <c r="C4193" s="1" t="n">
        <v>46046</v>
      </c>
      <c r="D4193" t="inlineStr">
        <is>
          <t>NORRBOTTENS LÄN</t>
        </is>
      </c>
      <c r="E4193" t="inlineStr">
        <is>
          <t>PITEÅ</t>
        </is>
      </c>
      <c r="F4193" t="inlineStr">
        <is>
          <t>Sveaskog</t>
        </is>
      </c>
      <c r="G4193" t="n">
        <v>18.5</v>
      </c>
      <c r="H4193" t="n">
        <v>0</v>
      </c>
      <c r="I4193" t="n">
        <v>0</v>
      </c>
      <c r="J4193" t="n">
        <v>0</v>
      </c>
      <c r="K4193" t="n">
        <v>0</v>
      </c>
      <c r="L4193" t="n">
        <v>0</v>
      </c>
      <c r="M4193" t="n">
        <v>0</v>
      </c>
      <c r="N4193" t="n">
        <v>0</v>
      </c>
      <c r="O4193" t="n">
        <v>0</v>
      </c>
      <c r="P4193" t="n">
        <v>0</v>
      </c>
      <c r="Q4193" t="n">
        <v>0</v>
      </c>
      <c r="R4193" s="2" t="inlineStr"/>
    </row>
    <row r="4194" ht="15" customHeight="1">
      <c r="A4194" t="inlineStr">
        <is>
          <t>A 64471-2023</t>
        </is>
      </c>
      <c r="B4194" s="1" t="n">
        <v>45280.81618055556</v>
      </c>
      <c r="C4194" s="1" t="n">
        <v>46046</v>
      </c>
      <c r="D4194" t="inlineStr">
        <is>
          <t>NORRBOTTENS LÄN</t>
        </is>
      </c>
      <c r="E4194" t="inlineStr">
        <is>
          <t>ÄLVSBYN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34092-2025</t>
        </is>
      </c>
      <c r="B4195" s="1" t="n">
        <v>45845.47767361111</v>
      </c>
      <c r="C4195" s="1" t="n">
        <v>46046</v>
      </c>
      <c r="D4195" t="inlineStr">
        <is>
          <t>NORRBOTTENS LÄN</t>
        </is>
      </c>
      <c r="E4195" t="inlineStr">
        <is>
          <t>PAJALA</t>
        </is>
      </c>
      <c r="F4195" t="inlineStr">
        <is>
          <t>Sveaskog</t>
        </is>
      </c>
      <c r="G4195" t="n">
        <v>19.2</v>
      </c>
      <c r="H4195" t="n">
        <v>0</v>
      </c>
      <c r="I4195" t="n">
        <v>0</v>
      </c>
      <c r="J4195" t="n">
        <v>0</v>
      </c>
      <c r="K4195" t="n">
        <v>0</v>
      </c>
      <c r="L4195" t="n">
        <v>0</v>
      </c>
      <c r="M4195" t="n">
        <v>0</v>
      </c>
      <c r="N4195" t="n">
        <v>0</v>
      </c>
      <c r="O4195" t="n">
        <v>0</v>
      </c>
      <c r="P4195" t="n">
        <v>0</v>
      </c>
      <c r="Q4195" t="n">
        <v>0</v>
      </c>
      <c r="R4195" s="2" t="inlineStr"/>
    </row>
    <row r="4196" ht="15" customHeight="1">
      <c r="A4196" t="inlineStr">
        <is>
          <t>A 8567-2024</t>
        </is>
      </c>
      <c r="B4196" s="1" t="n">
        <v>45355.59298611111</v>
      </c>
      <c r="C4196" s="1" t="n">
        <v>46046</v>
      </c>
      <c r="D4196" t="inlineStr">
        <is>
          <t>NORRBOTTENS LÄN</t>
        </is>
      </c>
      <c r="E4196" t="inlineStr">
        <is>
          <t>KALIX</t>
        </is>
      </c>
      <c r="G4196" t="n">
        <v>9.1</v>
      </c>
      <c r="H4196" t="n">
        <v>0</v>
      </c>
      <c r="I4196" t="n">
        <v>0</v>
      </c>
      <c r="J4196" t="n">
        <v>0</v>
      </c>
      <c r="K4196" t="n">
        <v>0</v>
      </c>
      <c r="L4196" t="n">
        <v>0</v>
      </c>
      <c r="M4196" t="n">
        <v>0</v>
      </c>
      <c r="N4196" t="n">
        <v>0</v>
      </c>
      <c r="O4196" t="n">
        <v>0</v>
      </c>
      <c r="P4196" t="n">
        <v>0</v>
      </c>
      <c r="Q4196" t="n">
        <v>0</v>
      </c>
      <c r="R4196" s="2" t="inlineStr"/>
    </row>
    <row r="4197" ht="15" customHeight="1">
      <c r="A4197" t="inlineStr">
        <is>
          <t>A 9322-2024</t>
        </is>
      </c>
      <c r="B4197" s="1" t="n">
        <v>45358</v>
      </c>
      <c r="C4197" s="1" t="n">
        <v>46046</v>
      </c>
      <c r="D4197" t="inlineStr">
        <is>
          <t>NORRBOTTENS LÄN</t>
        </is>
      </c>
      <c r="E4197" t="inlineStr">
        <is>
          <t>BODEN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57764-2022</t>
        </is>
      </c>
      <c r="B4198" s="1" t="n">
        <v>44890</v>
      </c>
      <c r="C4198" s="1" t="n">
        <v>46046</v>
      </c>
      <c r="D4198" t="inlineStr">
        <is>
          <t>NORRBOTTENS LÄN</t>
        </is>
      </c>
      <c r="E4198" t="inlineStr">
        <is>
          <t>LULEÅ</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58031-2024</t>
        </is>
      </c>
      <c r="B4199" s="1" t="n">
        <v>45631.70746527778</v>
      </c>
      <c r="C4199" s="1" t="n">
        <v>46046</v>
      </c>
      <c r="D4199" t="inlineStr">
        <is>
          <t>NORRBOTTENS LÄN</t>
        </is>
      </c>
      <c r="E4199" t="inlineStr">
        <is>
          <t>PAJALA</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31051-2023</t>
        </is>
      </c>
      <c r="B4200" s="1" t="n">
        <v>45113</v>
      </c>
      <c r="C4200" s="1" t="n">
        <v>46046</v>
      </c>
      <c r="D4200" t="inlineStr">
        <is>
          <t>NORRBOTTENS LÄN</t>
        </is>
      </c>
      <c r="E4200" t="inlineStr">
        <is>
          <t>ÄLVSBYN</t>
        </is>
      </c>
      <c r="F4200" t="inlineStr">
        <is>
          <t>Övriga Aktiebolag</t>
        </is>
      </c>
      <c r="G4200" t="n">
        <v>24.7</v>
      </c>
      <c r="H4200" t="n">
        <v>0</v>
      </c>
      <c r="I4200" t="n">
        <v>0</v>
      </c>
      <c r="J4200" t="n">
        <v>0</v>
      </c>
      <c r="K4200" t="n">
        <v>0</v>
      </c>
      <c r="L4200" t="n">
        <v>0</v>
      </c>
      <c r="M4200" t="n">
        <v>0</v>
      </c>
      <c r="N4200" t="n">
        <v>0</v>
      </c>
      <c r="O4200" t="n">
        <v>0</v>
      </c>
      <c r="P4200" t="n">
        <v>0</v>
      </c>
      <c r="Q4200" t="n">
        <v>0</v>
      </c>
      <c r="R4200" s="2" t="inlineStr"/>
    </row>
    <row r="4201" ht="15" customHeight="1">
      <c r="A4201" t="inlineStr">
        <is>
          <t>A 4128-2023</t>
        </is>
      </c>
      <c r="B4201" s="1" t="n">
        <v>44952</v>
      </c>
      <c r="C4201" s="1" t="n">
        <v>46046</v>
      </c>
      <c r="D4201" t="inlineStr">
        <is>
          <t>NORRBOTTENS LÄN</t>
        </is>
      </c>
      <c r="E4201" t="inlineStr">
        <is>
          <t>ÄLVSBYN</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33863-2025</t>
        </is>
      </c>
      <c r="B4202" s="1" t="n">
        <v>45842</v>
      </c>
      <c r="C4202" s="1" t="n">
        <v>46046</v>
      </c>
      <c r="D4202" t="inlineStr">
        <is>
          <t>NORRBOTTENS LÄN</t>
        </is>
      </c>
      <c r="E4202" t="inlineStr">
        <is>
          <t>PITEÅ</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40601-2024</t>
        </is>
      </c>
      <c r="B4203" s="1" t="n">
        <v>45556.40655092592</v>
      </c>
      <c r="C4203" s="1" t="n">
        <v>46046</v>
      </c>
      <c r="D4203" t="inlineStr">
        <is>
          <t>NORRBOTTENS LÄN</t>
        </is>
      </c>
      <c r="E4203" t="inlineStr">
        <is>
          <t>PITEÅ</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45127-2021</t>
        </is>
      </c>
      <c r="B4204" s="1" t="n">
        <v>44439</v>
      </c>
      <c r="C4204" s="1" t="n">
        <v>46046</v>
      </c>
      <c r="D4204" t="inlineStr">
        <is>
          <t>NORRBOTTENS LÄN</t>
        </is>
      </c>
      <c r="E4204" t="inlineStr">
        <is>
          <t>ARVIDSJAUR</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8862-2024</t>
        </is>
      </c>
      <c r="B4205" s="1" t="n">
        <v>45356.96326388889</v>
      </c>
      <c r="C4205" s="1" t="n">
        <v>46046</v>
      </c>
      <c r="D4205" t="inlineStr">
        <is>
          <t>NORRBOTTENS LÄN</t>
        </is>
      </c>
      <c r="E4205" t="inlineStr">
        <is>
          <t>LULEÅ</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33807-2025</t>
        </is>
      </c>
      <c r="B4206" s="1" t="n">
        <v>45842.44878472222</v>
      </c>
      <c r="C4206" s="1" t="n">
        <v>46046</v>
      </c>
      <c r="D4206" t="inlineStr">
        <is>
          <t>NORRBOTTENS LÄN</t>
        </is>
      </c>
      <c r="E4206" t="inlineStr">
        <is>
          <t>KALIX</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44328-2024</t>
        </is>
      </c>
      <c r="B4207" s="1" t="n">
        <v>45573</v>
      </c>
      <c r="C4207" s="1" t="n">
        <v>46046</v>
      </c>
      <c r="D4207" t="inlineStr">
        <is>
          <t>NORRBOTTENS LÄN</t>
        </is>
      </c>
      <c r="E4207" t="inlineStr">
        <is>
          <t>GÄLLIVARE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44330-2024</t>
        </is>
      </c>
      <c r="B4208" s="1" t="n">
        <v>45573.60027777778</v>
      </c>
      <c r="C4208" s="1" t="n">
        <v>46046</v>
      </c>
      <c r="D4208" t="inlineStr">
        <is>
          <t>NORRBOTTENS LÄN</t>
        </is>
      </c>
      <c r="E4208" t="inlineStr">
        <is>
          <t>LULEÅ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40589-2024</t>
        </is>
      </c>
      <c r="B4209" s="1" t="n">
        <v>45555.80734953703</v>
      </c>
      <c r="C4209" s="1" t="n">
        <v>46046</v>
      </c>
      <c r="D4209" t="inlineStr">
        <is>
          <t>NORRBOTTENS LÄN</t>
        </is>
      </c>
      <c r="E4209" t="inlineStr">
        <is>
          <t>ÖVERTORNEÅ</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42103-2024</t>
        </is>
      </c>
      <c r="B4210" s="1" t="n">
        <v>45562</v>
      </c>
      <c r="C4210" s="1" t="n">
        <v>46046</v>
      </c>
      <c r="D4210" t="inlineStr">
        <is>
          <t>NORRBOTTENS LÄN</t>
        </is>
      </c>
      <c r="E4210" t="inlineStr">
        <is>
          <t>LULEÅ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55227-2024</t>
        </is>
      </c>
      <c r="B4211" s="1" t="n">
        <v>45621</v>
      </c>
      <c r="C4211" s="1" t="n">
        <v>46046</v>
      </c>
      <c r="D4211" t="inlineStr">
        <is>
          <t>NORRBOTTENS LÄN</t>
        </is>
      </c>
      <c r="E4211" t="inlineStr">
        <is>
          <t>ÖVERKALIX</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49830-2024</t>
        </is>
      </c>
      <c r="B4212" s="1" t="n">
        <v>45597.42755787037</v>
      </c>
      <c r="C4212" s="1" t="n">
        <v>46046</v>
      </c>
      <c r="D4212" t="inlineStr">
        <is>
          <t>NORRBOTTENS LÄN</t>
        </is>
      </c>
      <c r="E4212" t="inlineStr">
        <is>
          <t>PAJALA</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10269-2025</t>
        </is>
      </c>
      <c r="B4213" s="1" t="n">
        <v>45720</v>
      </c>
      <c r="C4213" s="1" t="n">
        <v>46046</v>
      </c>
      <c r="D4213" t="inlineStr">
        <is>
          <t>NORRBOTTENS LÄN</t>
        </is>
      </c>
      <c r="E4213" t="inlineStr">
        <is>
          <t>ÄLVSBYN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42721-2023</t>
        </is>
      </c>
      <c r="B4214" s="1" t="n">
        <v>45181</v>
      </c>
      <c r="C4214" s="1" t="n">
        <v>46046</v>
      </c>
      <c r="D4214" t="inlineStr">
        <is>
          <t>NORRBOTTENS LÄN</t>
        </is>
      </c>
      <c r="E4214" t="inlineStr">
        <is>
          <t>ÖVERKALIX</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28444-2023</t>
        </is>
      </c>
      <c r="B4215" s="1" t="n">
        <v>45102.92748842593</v>
      </c>
      <c r="C4215" s="1" t="n">
        <v>46046</v>
      </c>
      <c r="D4215" t="inlineStr">
        <is>
          <t>NORRBOTTENS LÄN</t>
        </is>
      </c>
      <c r="E4215" t="inlineStr">
        <is>
          <t>BODEN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21139-2023</t>
        </is>
      </c>
      <c r="B4216" s="1" t="n">
        <v>45062.36662037037</v>
      </c>
      <c r="C4216" s="1" t="n">
        <v>46046</v>
      </c>
      <c r="D4216" t="inlineStr">
        <is>
          <t>NORRBOTTENS LÄN</t>
        </is>
      </c>
      <c r="E4216" t="inlineStr">
        <is>
          <t>PAJALA</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17176-2024</t>
        </is>
      </c>
      <c r="B4217" s="1" t="n">
        <v>45412</v>
      </c>
      <c r="C4217" s="1" t="n">
        <v>46046</v>
      </c>
      <c r="D4217" t="inlineStr">
        <is>
          <t>NORRBOTTENS LÄN</t>
        </is>
      </c>
      <c r="E4217" t="inlineStr">
        <is>
          <t>LULEÅ</t>
        </is>
      </c>
      <c r="F4217" t="inlineStr">
        <is>
          <t>SCA</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33915-2024</t>
        </is>
      </c>
      <c r="B4218" s="1" t="n">
        <v>45523.38938657408</v>
      </c>
      <c r="C4218" s="1" t="n">
        <v>46046</v>
      </c>
      <c r="D4218" t="inlineStr">
        <is>
          <t>NORRBOTTENS LÄN</t>
        </is>
      </c>
      <c r="E4218" t="inlineStr">
        <is>
          <t>BODEN</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55076-2024</t>
        </is>
      </c>
      <c r="B4219" s="1" t="n">
        <v>45621.42574074074</v>
      </c>
      <c r="C4219" s="1" t="n">
        <v>46046</v>
      </c>
      <c r="D4219" t="inlineStr">
        <is>
          <t>NORRBOTTENS LÄN</t>
        </is>
      </c>
      <c r="E4219" t="inlineStr">
        <is>
          <t>LULEÅ</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3242-2025</t>
        </is>
      </c>
      <c r="B4220" s="1" t="n">
        <v>45679.50635416667</v>
      </c>
      <c r="C4220" s="1" t="n">
        <v>46046</v>
      </c>
      <c r="D4220" t="inlineStr">
        <is>
          <t>NORRBOTTENS LÄN</t>
        </is>
      </c>
      <c r="E4220" t="inlineStr">
        <is>
          <t>ÖVERKALIX</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53232-2024</t>
        </is>
      </c>
      <c r="B4221" s="1" t="n">
        <v>45613.67967592592</v>
      </c>
      <c r="C4221" s="1" t="n">
        <v>46046</v>
      </c>
      <c r="D4221" t="inlineStr">
        <is>
          <t>NORRBOTTENS LÄN</t>
        </is>
      </c>
      <c r="E4221" t="inlineStr">
        <is>
          <t>JOKKMOKK</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24836-2024</t>
        </is>
      </c>
      <c r="B4222" s="1" t="n">
        <v>45461</v>
      </c>
      <c r="C4222" s="1" t="n">
        <v>46046</v>
      </c>
      <c r="D4222" t="inlineStr">
        <is>
          <t>NORRBOTTENS LÄN</t>
        </is>
      </c>
      <c r="E4222" t="inlineStr">
        <is>
          <t>ARVIDSJAUR</t>
        </is>
      </c>
      <c r="F4222" t="inlineStr">
        <is>
          <t>Allmännings- och besparingsskogar</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28134-2024</t>
        </is>
      </c>
      <c r="B4223" s="1" t="n">
        <v>45476.69083333333</v>
      </c>
      <c r="C4223" s="1" t="n">
        <v>46046</v>
      </c>
      <c r="D4223" t="inlineStr">
        <is>
          <t>NORRBOTTENS LÄN</t>
        </is>
      </c>
      <c r="E4223" t="inlineStr">
        <is>
          <t>BODEN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53052-2024</t>
        </is>
      </c>
      <c r="B4224" s="1" t="n">
        <v>45611.45568287037</v>
      </c>
      <c r="C4224" s="1" t="n">
        <v>46046</v>
      </c>
      <c r="D4224" t="inlineStr">
        <is>
          <t>NORRBOTTENS LÄN</t>
        </is>
      </c>
      <c r="E4224" t="inlineStr">
        <is>
          <t>PAJALA</t>
        </is>
      </c>
      <c r="G4224" t="n">
        <v>9.5</v>
      </c>
      <c r="H4224" t="n">
        <v>0</v>
      </c>
      <c r="I4224" t="n">
        <v>0</v>
      </c>
      <c r="J4224" t="n">
        <v>0</v>
      </c>
      <c r="K4224" t="n">
        <v>0</v>
      </c>
      <c r="L4224" t="n">
        <v>0</v>
      </c>
      <c r="M4224" t="n">
        <v>0</v>
      </c>
      <c r="N4224" t="n">
        <v>0</v>
      </c>
      <c r="O4224" t="n">
        <v>0</v>
      </c>
      <c r="P4224" t="n">
        <v>0</v>
      </c>
      <c r="Q4224" t="n">
        <v>0</v>
      </c>
      <c r="R4224" s="2" t="inlineStr"/>
    </row>
    <row r="4225" ht="15" customHeight="1">
      <c r="A4225" t="inlineStr">
        <is>
          <t>A 16474-2024</t>
        </is>
      </c>
      <c r="B4225" s="1" t="n">
        <v>45408.05193287037</v>
      </c>
      <c r="C4225" s="1" t="n">
        <v>46046</v>
      </c>
      <c r="D4225" t="inlineStr">
        <is>
          <t>NORRBOTTENS LÄN</t>
        </is>
      </c>
      <c r="E4225" t="inlineStr">
        <is>
          <t>PAJALA</t>
        </is>
      </c>
      <c r="F4225" t="inlineStr">
        <is>
          <t>SCA</t>
        </is>
      </c>
      <c r="G4225" t="n">
        <v>30.1</v>
      </c>
      <c r="H4225" t="n">
        <v>0</v>
      </c>
      <c r="I4225" t="n">
        <v>0</v>
      </c>
      <c r="J4225" t="n">
        <v>0</v>
      </c>
      <c r="K4225" t="n">
        <v>0</v>
      </c>
      <c r="L4225" t="n">
        <v>0</v>
      </c>
      <c r="M4225" t="n">
        <v>0</v>
      </c>
      <c r="N4225" t="n">
        <v>0</v>
      </c>
      <c r="O4225" t="n">
        <v>0</v>
      </c>
      <c r="P4225" t="n">
        <v>0</v>
      </c>
      <c r="Q4225" t="n">
        <v>0</v>
      </c>
      <c r="R4225" s="2" t="inlineStr"/>
    </row>
    <row r="4226" ht="15" customHeight="1">
      <c r="A4226" t="inlineStr">
        <is>
          <t>A 12409-2025</t>
        </is>
      </c>
      <c r="B4226" s="1" t="n">
        <v>45730.43366898148</v>
      </c>
      <c r="C4226" s="1" t="n">
        <v>46046</v>
      </c>
      <c r="D4226" t="inlineStr">
        <is>
          <t>NORRBOTTENS LÄN</t>
        </is>
      </c>
      <c r="E4226" t="inlineStr">
        <is>
          <t>ARJEPLOG</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23278-2024</t>
        </is>
      </c>
      <c r="B4227" s="1" t="n">
        <v>45449</v>
      </c>
      <c r="C4227" s="1" t="n">
        <v>46046</v>
      </c>
      <c r="D4227" t="inlineStr">
        <is>
          <t>NORRBOTTENS LÄN</t>
        </is>
      </c>
      <c r="E4227" t="inlineStr">
        <is>
          <t>PAJALA</t>
        </is>
      </c>
      <c r="G4227" t="n">
        <v>13.6</v>
      </c>
      <c r="H4227" t="n">
        <v>0</v>
      </c>
      <c r="I4227" t="n">
        <v>0</v>
      </c>
      <c r="J4227" t="n">
        <v>0</v>
      </c>
      <c r="K4227" t="n">
        <v>0</v>
      </c>
      <c r="L4227" t="n">
        <v>0</v>
      </c>
      <c r="M4227" t="n">
        <v>0</v>
      </c>
      <c r="N4227" t="n">
        <v>0</v>
      </c>
      <c r="O4227" t="n">
        <v>0</v>
      </c>
      <c r="P4227" t="n">
        <v>0</v>
      </c>
      <c r="Q4227" t="n">
        <v>0</v>
      </c>
      <c r="R4227" s="2" t="inlineStr"/>
    </row>
    <row r="4228" ht="15" customHeight="1">
      <c r="A4228" t="inlineStr">
        <is>
          <t>A 49143-2024</t>
        </is>
      </c>
      <c r="B4228" s="1" t="n">
        <v>45594.71903935185</v>
      </c>
      <c r="C4228" s="1" t="n">
        <v>46046</v>
      </c>
      <c r="D4228" t="inlineStr">
        <is>
          <t>NORRBOTTENS LÄN</t>
        </is>
      </c>
      <c r="E4228" t="inlineStr">
        <is>
          <t>KALIX</t>
        </is>
      </c>
      <c r="F4228" t="inlineStr">
        <is>
          <t>SCA</t>
        </is>
      </c>
      <c r="G4228" t="n">
        <v>12.2</v>
      </c>
      <c r="H4228" t="n">
        <v>0</v>
      </c>
      <c r="I4228" t="n">
        <v>0</v>
      </c>
      <c r="J4228" t="n">
        <v>0</v>
      </c>
      <c r="K4228" t="n">
        <v>0</v>
      </c>
      <c r="L4228" t="n">
        <v>0</v>
      </c>
      <c r="M4228" t="n">
        <v>0</v>
      </c>
      <c r="N4228" t="n">
        <v>0</v>
      </c>
      <c r="O4228" t="n">
        <v>0</v>
      </c>
      <c r="P4228" t="n">
        <v>0</v>
      </c>
      <c r="Q4228" t="n">
        <v>0</v>
      </c>
      <c r="R4228" s="2" t="inlineStr"/>
    </row>
    <row r="4229" ht="15" customHeight="1">
      <c r="A4229" t="inlineStr">
        <is>
          <t>A 19642-2025</t>
        </is>
      </c>
      <c r="B4229" s="1" t="n">
        <v>45770.65853009259</v>
      </c>
      <c r="C4229" s="1" t="n">
        <v>46046</v>
      </c>
      <c r="D4229" t="inlineStr">
        <is>
          <t>NORRBOTTENS LÄN</t>
        </is>
      </c>
      <c r="E4229" t="inlineStr">
        <is>
          <t>KALIX</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41173-2024</t>
        </is>
      </c>
      <c r="B4230" s="1" t="n">
        <v>45559.4872337963</v>
      </c>
      <c r="C4230" s="1" t="n">
        <v>46046</v>
      </c>
      <c r="D4230" t="inlineStr">
        <is>
          <t>NORRBOTTENS LÄN</t>
        </is>
      </c>
      <c r="E4230" t="inlineStr">
        <is>
          <t>PITEÅ</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34128-2025</t>
        </is>
      </c>
      <c r="B4231" s="1" t="n">
        <v>45845.53149305555</v>
      </c>
      <c r="C4231" s="1" t="n">
        <v>46046</v>
      </c>
      <c r="D4231" t="inlineStr">
        <is>
          <t>NORRBOTTENS LÄN</t>
        </is>
      </c>
      <c r="E4231" t="inlineStr">
        <is>
          <t>ÖVERKALIX</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13725-2024</t>
        </is>
      </c>
      <c r="B4232" s="1" t="n">
        <v>45387</v>
      </c>
      <c r="C4232" s="1" t="n">
        <v>46046</v>
      </c>
      <c r="D4232" t="inlineStr">
        <is>
          <t>NORRBOTTENS LÄN</t>
        </is>
      </c>
      <c r="E4232" t="inlineStr">
        <is>
          <t>PAJALA</t>
        </is>
      </c>
      <c r="F4232" t="inlineStr">
        <is>
          <t>Allmännings- och besparingsskogar</t>
        </is>
      </c>
      <c r="G4232" t="n">
        <v>19.5</v>
      </c>
      <c r="H4232" t="n">
        <v>0</v>
      </c>
      <c r="I4232" t="n">
        <v>0</v>
      </c>
      <c r="J4232" t="n">
        <v>0</v>
      </c>
      <c r="K4232" t="n">
        <v>0</v>
      </c>
      <c r="L4232" t="n">
        <v>0</v>
      </c>
      <c r="M4232" t="n">
        <v>0</v>
      </c>
      <c r="N4232" t="n">
        <v>0</v>
      </c>
      <c r="O4232" t="n">
        <v>0</v>
      </c>
      <c r="P4232" t="n">
        <v>0</v>
      </c>
      <c r="Q4232" t="n">
        <v>0</v>
      </c>
      <c r="R4232" s="2" t="inlineStr"/>
    </row>
    <row r="4233" ht="15" customHeight="1">
      <c r="A4233" t="inlineStr">
        <is>
          <t>A 24647-2024</t>
        </is>
      </c>
      <c r="B4233" s="1" t="n">
        <v>45460</v>
      </c>
      <c r="C4233" s="1" t="n">
        <v>46046</v>
      </c>
      <c r="D4233" t="inlineStr">
        <is>
          <t>NORRBOTTENS LÄN</t>
        </is>
      </c>
      <c r="E4233" t="inlineStr">
        <is>
          <t>ÖVERTORNEÅ</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24666-2024</t>
        </is>
      </c>
      <c r="B4234" s="1" t="n">
        <v>45460</v>
      </c>
      <c r="C4234" s="1" t="n">
        <v>46046</v>
      </c>
      <c r="D4234" t="inlineStr">
        <is>
          <t>NORRBOTTENS LÄN</t>
        </is>
      </c>
      <c r="E4234" t="inlineStr">
        <is>
          <t>ÖVERTORNEÅ</t>
        </is>
      </c>
      <c r="F4234" t="inlineStr">
        <is>
          <t>Sveaskog</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36112-2023</t>
        </is>
      </c>
      <c r="B4235" s="1" t="n">
        <v>45149</v>
      </c>
      <c r="C4235" s="1" t="n">
        <v>46046</v>
      </c>
      <c r="D4235" t="inlineStr">
        <is>
          <t>NORRBOTTENS LÄN</t>
        </is>
      </c>
      <c r="E4235" t="inlineStr">
        <is>
          <t>BODEN</t>
        </is>
      </c>
      <c r="G4235" t="n">
        <v>16.1</v>
      </c>
      <c r="H4235" t="n">
        <v>0</v>
      </c>
      <c r="I4235" t="n">
        <v>0</v>
      </c>
      <c r="J4235" t="n">
        <v>0</v>
      </c>
      <c r="K4235" t="n">
        <v>0</v>
      </c>
      <c r="L4235" t="n">
        <v>0</v>
      </c>
      <c r="M4235" t="n">
        <v>0</v>
      </c>
      <c r="N4235" t="n">
        <v>0</v>
      </c>
      <c r="O4235" t="n">
        <v>0</v>
      </c>
      <c r="P4235" t="n">
        <v>0</v>
      </c>
      <c r="Q4235" t="n">
        <v>0</v>
      </c>
      <c r="R4235" s="2" t="inlineStr"/>
    </row>
    <row r="4236" ht="15" customHeight="1">
      <c r="A4236" t="inlineStr">
        <is>
          <t>A 695-2025</t>
        </is>
      </c>
      <c r="B4236" s="1" t="n">
        <v>45663</v>
      </c>
      <c r="C4236" s="1" t="n">
        <v>46046</v>
      </c>
      <c r="D4236" t="inlineStr">
        <is>
          <t>NORRBOTTENS LÄN</t>
        </is>
      </c>
      <c r="E4236" t="inlineStr">
        <is>
          <t>LULEÅ</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3146-2024</t>
        </is>
      </c>
      <c r="B4237" s="1" t="n">
        <v>45316</v>
      </c>
      <c r="C4237" s="1" t="n">
        <v>46046</v>
      </c>
      <c r="D4237" t="inlineStr">
        <is>
          <t>NORRBOTTENS LÄN</t>
        </is>
      </c>
      <c r="E4237" t="inlineStr">
        <is>
          <t>BODEN</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3165-2024</t>
        </is>
      </c>
      <c r="B4238" s="1" t="n">
        <v>45316</v>
      </c>
      <c r="C4238" s="1" t="n">
        <v>46046</v>
      </c>
      <c r="D4238" t="inlineStr">
        <is>
          <t>NORRBOTTENS LÄN</t>
        </is>
      </c>
      <c r="E4238" t="inlineStr">
        <is>
          <t>ARVIDSJAUR</t>
        </is>
      </c>
      <c r="F4238" t="inlineStr">
        <is>
          <t>Allmännings- och besparingsskogar</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20505-2023</t>
        </is>
      </c>
      <c r="B4239" s="1" t="n">
        <v>45054</v>
      </c>
      <c r="C4239" s="1" t="n">
        <v>46046</v>
      </c>
      <c r="D4239" t="inlineStr">
        <is>
          <t>NORRBOTTENS LÄN</t>
        </is>
      </c>
      <c r="E4239" t="inlineStr">
        <is>
          <t>BODEN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18227-2024</t>
        </is>
      </c>
      <c r="B4240" s="1" t="n">
        <v>45420.96472222222</v>
      </c>
      <c r="C4240" s="1" t="n">
        <v>46046</v>
      </c>
      <c r="D4240" t="inlineStr">
        <is>
          <t>NORRBOTTENS LÄN</t>
        </is>
      </c>
      <c r="E4240" t="inlineStr">
        <is>
          <t>KALIX</t>
        </is>
      </c>
      <c r="F4240" t="inlineStr">
        <is>
          <t>SCA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21329-2024</t>
        </is>
      </c>
      <c r="B4241" s="1" t="n">
        <v>45440.84460648148</v>
      </c>
      <c r="C4241" s="1" t="n">
        <v>46046</v>
      </c>
      <c r="D4241" t="inlineStr">
        <is>
          <t>NORRBOTTENS LÄN</t>
        </is>
      </c>
      <c r="E4241" t="inlineStr">
        <is>
          <t>BODEN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21335-2024</t>
        </is>
      </c>
      <c r="B4242" s="1" t="n">
        <v>45429</v>
      </c>
      <c r="C4242" s="1" t="n">
        <v>46046</v>
      </c>
      <c r="D4242" t="inlineStr">
        <is>
          <t>NORRBOTTENS LÄN</t>
        </is>
      </c>
      <c r="E4242" t="inlineStr">
        <is>
          <t>BODEN</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9069-2023</t>
        </is>
      </c>
      <c r="B4243" s="1" t="n">
        <v>44979</v>
      </c>
      <c r="C4243" s="1" t="n">
        <v>46046</v>
      </c>
      <c r="D4243" t="inlineStr">
        <is>
          <t>NORRBOTTENS LÄN</t>
        </is>
      </c>
      <c r="E4243" t="inlineStr">
        <is>
          <t>KIRUNA</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31721-2022</t>
        </is>
      </c>
      <c r="B4244" s="1" t="n">
        <v>44776.46675925926</v>
      </c>
      <c r="C4244" s="1" t="n">
        <v>46046</v>
      </c>
      <c r="D4244" t="inlineStr">
        <is>
          <t>NORRBOTTENS LÄN</t>
        </is>
      </c>
      <c r="E4244" t="inlineStr">
        <is>
          <t>KALIX</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3043-2025</t>
        </is>
      </c>
      <c r="B4245" s="1" t="n">
        <v>45678.60608796297</v>
      </c>
      <c r="C4245" s="1" t="n">
        <v>46046</v>
      </c>
      <c r="D4245" t="inlineStr">
        <is>
          <t>NORRBOTTENS LÄN</t>
        </is>
      </c>
      <c r="E4245" t="inlineStr">
        <is>
          <t>KALIX</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3055-2025</t>
        </is>
      </c>
      <c r="B4246" s="1" t="n">
        <v>45678.61530092593</v>
      </c>
      <c r="C4246" s="1" t="n">
        <v>46046</v>
      </c>
      <c r="D4246" t="inlineStr">
        <is>
          <t>NORRBOTTENS LÄN</t>
        </is>
      </c>
      <c r="E4246" t="inlineStr">
        <is>
          <t>JOKKMOKK</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34042-2024</t>
        </is>
      </c>
      <c r="B4247" s="1" t="n">
        <v>45523</v>
      </c>
      <c r="C4247" s="1" t="n">
        <v>46046</v>
      </c>
      <c r="D4247" t="inlineStr">
        <is>
          <t>NORRBOTTENS LÄN</t>
        </is>
      </c>
      <c r="E4247" t="inlineStr">
        <is>
          <t>PAJALA</t>
        </is>
      </c>
      <c r="G4247" t="n">
        <v>12.5</v>
      </c>
      <c r="H4247" t="n">
        <v>0</v>
      </c>
      <c r="I4247" t="n">
        <v>0</v>
      </c>
      <c r="J4247" t="n">
        <v>0</v>
      </c>
      <c r="K4247" t="n">
        <v>0</v>
      </c>
      <c r="L4247" t="n">
        <v>0</v>
      </c>
      <c r="M4247" t="n">
        <v>0</v>
      </c>
      <c r="N4247" t="n">
        <v>0</v>
      </c>
      <c r="O4247" t="n">
        <v>0</v>
      </c>
      <c r="P4247" t="n">
        <v>0</v>
      </c>
      <c r="Q4247" t="n">
        <v>0</v>
      </c>
      <c r="R4247" s="2" t="inlineStr"/>
    </row>
    <row r="4248" ht="15" customHeight="1">
      <c r="A4248" t="inlineStr">
        <is>
          <t>A 34127-2025</t>
        </is>
      </c>
      <c r="B4248" s="1" t="n">
        <v>45845.53070601852</v>
      </c>
      <c r="C4248" s="1" t="n">
        <v>46046</v>
      </c>
      <c r="D4248" t="inlineStr">
        <is>
          <t>NORRBOTTENS LÄN</t>
        </is>
      </c>
      <c r="E4248" t="inlineStr">
        <is>
          <t>GÄLLIVARE</t>
        </is>
      </c>
      <c r="F4248" t="inlineStr">
        <is>
          <t>Sveaskog</t>
        </is>
      </c>
      <c r="G4248" t="n">
        <v>20.4</v>
      </c>
      <c r="H4248" t="n">
        <v>0</v>
      </c>
      <c r="I4248" t="n">
        <v>0</v>
      </c>
      <c r="J4248" t="n">
        <v>0</v>
      </c>
      <c r="K4248" t="n">
        <v>0</v>
      </c>
      <c r="L4248" t="n">
        <v>0</v>
      </c>
      <c r="M4248" t="n">
        <v>0</v>
      </c>
      <c r="N4248" t="n">
        <v>0</v>
      </c>
      <c r="O4248" t="n">
        <v>0</v>
      </c>
      <c r="P4248" t="n">
        <v>0</v>
      </c>
      <c r="Q4248" t="n">
        <v>0</v>
      </c>
      <c r="R4248" s="2" t="inlineStr"/>
    </row>
    <row r="4249" ht="15" customHeight="1">
      <c r="A4249" t="inlineStr">
        <is>
          <t>A 58823-2024</t>
        </is>
      </c>
      <c r="B4249" s="1" t="n">
        <v>45635</v>
      </c>
      <c r="C4249" s="1" t="n">
        <v>46046</v>
      </c>
      <c r="D4249" t="inlineStr">
        <is>
          <t>NORRBOTTENS LÄN</t>
        </is>
      </c>
      <c r="E4249" t="inlineStr">
        <is>
          <t>LULEÅ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21516-2024</t>
        </is>
      </c>
      <c r="B4250" s="1" t="n">
        <v>45441</v>
      </c>
      <c r="C4250" s="1" t="n">
        <v>46046</v>
      </c>
      <c r="D4250" t="inlineStr">
        <is>
          <t>NORRBOTTENS LÄN</t>
        </is>
      </c>
      <c r="E4250" t="inlineStr">
        <is>
          <t>ÖVERTORNEÅ</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40500-2022</t>
        </is>
      </c>
      <c r="B4251" s="1" t="n">
        <v>44819</v>
      </c>
      <c r="C4251" s="1" t="n">
        <v>46046</v>
      </c>
      <c r="D4251" t="inlineStr">
        <is>
          <t>NORRBOTTENS LÄN</t>
        </is>
      </c>
      <c r="E4251" t="inlineStr">
        <is>
          <t>ARVIDSJAUR</t>
        </is>
      </c>
      <c r="F4251" t="inlineStr">
        <is>
          <t>Allmännings- och besparingsskogar</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31050-2024</t>
        </is>
      </c>
      <c r="B4252" s="1" t="n">
        <v>45502.33652777778</v>
      </c>
      <c r="C4252" s="1" t="n">
        <v>46046</v>
      </c>
      <c r="D4252" t="inlineStr">
        <is>
          <t>NORRBOTTENS LÄN</t>
        </is>
      </c>
      <c r="E4252" t="inlineStr">
        <is>
          <t>ARVIDSJAUR</t>
        </is>
      </c>
      <c r="G4252" t="n">
        <v>0</v>
      </c>
      <c r="H4252" t="n">
        <v>0</v>
      </c>
      <c r="I4252" t="n">
        <v>0</v>
      </c>
      <c r="J4252" t="n">
        <v>0</v>
      </c>
      <c r="K4252" t="n">
        <v>0</v>
      </c>
      <c r="L4252" t="n">
        <v>0</v>
      </c>
      <c r="M4252" t="n">
        <v>0</v>
      </c>
      <c r="N4252" t="n">
        <v>0</v>
      </c>
      <c r="O4252" t="n">
        <v>0</v>
      </c>
      <c r="P4252" t="n">
        <v>0</v>
      </c>
      <c r="Q4252" t="n">
        <v>0</v>
      </c>
      <c r="R4252" s="2" t="inlineStr"/>
    </row>
    <row r="4253" ht="15" customHeight="1">
      <c r="A4253" t="inlineStr">
        <is>
          <t>A 47066-2024</t>
        </is>
      </c>
      <c r="B4253" s="1" t="n">
        <v>45586.47526620371</v>
      </c>
      <c r="C4253" s="1" t="n">
        <v>46046</v>
      </c>
      <c r="D4253" t="inlineStr">
        <is>
          <t>NORRBOTTENS LÄN</t>
        </is>
      </c>
      <c r="E4253" t="inlineStr">
        <is>
          <t>KALIX</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33741-2025</t>
        </is>
      </c>
      <c r="B4254" s="1" t="n">
        <v>45842.3446875</v>
      </c>
      <c r="C4254" s="1" t="n">
        <v>46046</v>
      </c>
      <c r="D4254" t="inlineStr">
        <is>
          <t>NORRBOTTENS LÄN</t>
        </is>
      </c>
      <c r="E4254" t="inlineStr">
        <is>
          <t>JOKKMOKK</t>
        </is>
      </c>
      <c r="F4254" t="inlineStr">
        <is>
          <t>SCA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48364-2024</t>
        </is>
      </c>
      <c r="B4255" s="1" t="n">
        <v>45590.57606481481</v>
      </c>
      <c r="C4255" s="1" t="n">
        <v>46046</v>
      </c>
      <c r="D4255" t="inlineStr">
        <is>
          <t>NORRBOTTENS LÄN</t>
        </is>
      </c>
      <c r="E4255" t="inlineStr">
        <is>
          <t>ARVIDSJAUR</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31238-2023</t>
        </is>
      </c>
      <c r="B4256" s="1" t="n">
        <v>45103</v>
      </c>
      <c r="C4256" s="1" t="n">
        <v>46046</v>
      </c>
      <c r="D4256" t="inlineStr">
        <is>
          <t>NORRBOTTENS LÄN</t>
        </is>
      </c>
      <c r="E4256" t="inlineStr">
        <is>
          <t>HAPARANDA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40937-2024</t>
        </is>
      </c>
      <c r="B4257" s="1" t="n">
        <v>45558.6424537037</v>
      </c>
      <c r="C4257" s="1" t="n">
        <v>46046</v>
      </c>
      <c r="D4257" t="inlineStr">
        <is>
          <t>NORRBOTTENS LÄN</t>
        </is>
      </c>
      <c r="E4257" t="inlineStr">
        <is>
          <t>ARVIDSJAUR</t>
        </is>
      </c>
      <c r="F4257" t="inlineStr">
        <is>
          <t>Sveaskog</t>
        </is>
      </c>
      <c r="G4257" t="n">
        <v>22.6</v>
      </c>
      <c r="H4257" t="n">
        <v>0</v>
      </c>
      <c r="I4257" t="n">
        <v>0</v>
      </c>
      <c r="J4257" t="n">
        <v>0</v>
      </c>
      <c r="K4257" t="n">
        <v>0</v>
      </c>
      <c r="L4257" t="n">
        <v>0</v>
      </c>
      <c r="M4257" t="n">
        <v>0</v>
      </c>
      <c r="N4257" t="n">
        <v>0</v>
      </c>
      <c r="O4257" t="n">
        <v>0</v>
      </c>
      <c r="P4257" t="n">
        <v>0</v>
      </c>
      <c r="Q4257" t="n">
        <v>0</v>
      </c>
      <c r="R4257" s="2" t="inlineStr"/>
    </row>
    <row r="4258" ht="15" customHeight="1">
      <c r="A4258" t="inlineStr">
        <is>
          <t>A 40974-2024</t>
        </is>
      </c>
      <c r="B4258" s="1" t="n">
        <v>45558.6815162037</v>
      </c>
      <c r="C4258" s="1" t="n">
        <v>46046</v>
      </c>
      <c r="D4258" t="inlineStr">
        <is>
          <t>NORRBOTTENS LÄN</t>
        </is>
      </c>
      <c r="E4258" t="inlineStr">
        <is>
          <t>LULEÅ</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26560-2024</t>
        </is>
      </c>
      <c r="B4259" s="1" t="n">
        <v>45469.63549768519</v>
      </c>
      <c r="C4259" s="1" t="n">
        <v>46046</v>
      </c>
      <c r="D4259" t="inlineStr">
        <is>
          <t>NORRBOTTENS LÄN</t>
        </is>
      </c>
      <c r="E4259" t="inlineStr">
        <is>
          <t>GÄLLIVARE</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26587-2024</t>
        </is>
      </c>
      <c r="B4260" s="1" t="n">
        <v>45469.67459490741</v>
      </c>
      <c r="C4260" s="1" t="n">
        <v>46046</v>
      </c>
      <c r="D4260" t="inlineStr">
        <is>
          <t>NORRBOTTENS LÄN</t>
        </is>
      </c>
      <c r="E4260" t="inlineStr">
        <is>
          <t>LULEÅ</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19590-2025</t>
        </is>
      </c>
      <c r="B4261" s="1" t="n">
        <v>45770</v>
      </c>
      <c r="C4261" s="1" t="n">
        <v>46046</v>
      </c>
      <c r="D4261" t="inlineStr">
        <is>
          <t>NORRBOTTENS LÄN</t>
        </is>
      </c>
      <c r="E4261" t="inlineStr">
        <is>
          <t>BODEN</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33791-2025</t>
        </is>
      </c>
      <c r="B4262" s="1" t="n">
        <v>45842.42744212963</v>
      </c>
      <c r="C4262" s="1" t="n">
        <v>46046</v>
      </c>
      <c r="D4262" t="inlineStr">
        <is>
          <t>NORRBOTTENS LÄN</t>
        </is>
      </c>
      <c r="E4262" t="inlineStr">
        <is>
          <t>KALIX</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33792-2025</t>
        </is>
      </c>
      <c r="B4263" s="1" t="n">
        <v>45842.42745370371</v>
      </c>
      <c r="C4263" s="1" t="n">
        <v>46046</v>
      </c>
      <c r="D4263" t="inlineStr">
        <is>
          <t>NORRBOTTENS LÄN</t>
        </is>
      </c>
      <c r="E4263" t="inlineStr">
        <is>
          <t>KALIX</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48608-2024</t>
        </is>
      </c>
      <c r="B4264" s="1" t="n">
        <v>45593.45075231481</v>
      </c>
      <c r="C4264" s="1" t="n">
        <v>46046</v>
      </c>
      <c r="D4264" t="inlineStr">
        <is>
          <t>NORRBOTTENS LÄN</t>
        </is>
      </c>
      <c r="E4264" t="inlineStr">
        <is>
          <t>ARVIDSJAUR</t>
        </is>
      </c>
      <c r="F4264" t="inlineStr">
        <is>
          <t>Sveaskog</t>
        </is>
      </c>
      <c r="G4264" t="n">
        <v>16.6</v>
      </c>
      <c r="H4264" t="n">
        <v>0</v>
      </c>
      <c r="I4264" t="n">
        <v>0</v>
      </c>
      <c r="J4264" t="n">
        <v>0</v>
      </c>
      <c r="K4264" t="n">
        <v>0</v>
      </c>
      <c r="L4264" t="n">
        <v>0</v>
      </c>
      <c r="M4264" t="n">
        <v>0</v>
      </c>
      <c r="N4264" t="n">
        <v>0</v>
      </c>
      <c r="O4264" t="n">
        <v>0</v>
      </c>
      <c r="P4264" t="n">
        <v>0</v>
      </c>
      <c r="Q4264" t="n">
        <v>0</v>
      </c>
      <c r="R4264" s="2" t="inlineStr"/>
    </row>
    <row r="4265" ht="15" customHeight="1">
      <c r="A4265" t="inlineStr">
        <is>
          <t>A 34130-2025</t>
        </is>
      </c>
      <c r="B4265" s="1" t="n">
        <v>45845.53159722222</v>
      </c>
      <c r="C4265" s="1" t="n">
        <v>46046</v>
      </c>
      <c r="D4265" t="inlineStr">
        <is>
          <t>NORRBOTTENS LÄN</t>
        </is>
      </c>
      <c r="E4265" t="inlineStr">
        <is>
          <t>GÄLLIVARE</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47853-2023</t>
        </is>
      </c>
      <c r="B4266" s="1" t="n">
        <v>45204.41158564815</v>
      </c>
      <c r="C4266" s="1" t="n">
        <v>46046</v>
      </c>
      <c r="D4266" t="inlineStr">
        <is>
          <t>NORRBOTTENS LÄN</t>
        </is>
      </c>
      <c r="E4266" t="inlineStr">
        <is>
          <t>KALIX</t>
        </is>
      </c>
      <c r="G4266" t="n">
        <v>8.9</v>
      </c>
      <c r="H4266" t="n">
        <v>0</v>
      </c>
      <c r="I4266" t="n">
        <v>0</v>
      </c>
      <c r="J4266" t="n">
        <v>0</v>
      </c>
      <c r="K4266" t="n">
        <v>0</v>
      </c>
      <c r="L4266" t="n">
        <v>0</v>
      </c>
      <c r="M4266" t="n">
        <v>0</v>
      </c>
      <c r="N4266" t="n">
        <v>0</v>
      </c>
      <c r="O4266" t="n">
        <v>0</v>
      </c>
      <c r="P4266" t="n">
        <v>0</v>
      </c>
      <c r="Q4266" t="n">
        <v>0</v>
      </c>
      <c r="R4266" s="2" t="inlineStr"/>
    </row>
    <row r="4267" ht="15" customHeight="1">
      <c r="A4267" t="inlineStr">
        <is>
          <t>A 33862-2025</t>
        </is>
      </c>
      <c r="B4267" s="1" t="n">
        <v>45842</v>
      </c>
      <c r="C4267" s="1" t="n">
        <v>46046</v>
      </c>
      <c r="D4267" t="inlineStr">
        <is>
          <t>NORRBOTTENS LÄN</t>
        </is>
      </c>
      <c r="E4267" t="inlineStr">
        <is>
          <t>PITEÅ</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25720-2023</t>
        </is>
      </c>
      <c r="B4268" s="1" t="n">
        <v>45090</v>
      </c>
      <c r="C4268" s="1" t="n">
        <v>46046</v>
      </c>
      <c r="D4268" t="inlineStr">
        <is>
          <t>NORRBOTTENS LÄN</t>
        </is>
      </c>
      <c r="E4268" t="inlineStr">
        <is>
          <t>JOKKMOKK</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61068-2024</t>
        </is>
      </c>
      <c r="B4269" s="1" t="n">
        <v>45645.50035879629</v>
      </c>
      <c r="C4269" s="1" t="n">
        <v>46046</v>
      </c>
      <c r="D4269" t="inlineStr">
        <is>
          <t>NORRBOTTENS LÄN</t>
        </is>
      </c>
      <c r="E4269" t="inlineStr">
        <is>
          <t>HAPARANDA</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33980-2025</t>
        </is>
      </c>
      <c r="B4270" s="1" t="n">
        <v>45843.34418981482</v>
      </c>
      <c r="C4270" s="1" t="n">
        <v>46046</v>
      </c>
      <c r="D4270" t="inlineStr">
        <is>
          <t>NORRBOTTENS LÄN</t>
        </is>
      </c>
      <c r="E4270" t="inlineStr">
        <is>
          <t>GÄLLIVARE</t>
        </is>
      </c>
      <c r="F4270" t="inlineStr">
        <is>
          <t>SCA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39668-2024</t>
        </is>
      </c>
      <c r="B4271" s="1" t="n">
        <v>45552</v>
      </c>
      <c r="C4271" s="1" t="n">
        <v>46046</v>
      </c>
      <c r="D4271" t="inlineStr">
        <is>
          <t>NORRBOTTENS LÄN</t>
        </is>
      </c>
      <c r="E4271" t="inlineStr">
        <is>
          <t>ÄLVSBYN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48770-2021</t>
        </is>
      </c>
      <c r="B4272" s="1" t="n">
        <v>44452</v>
      </c>
      <c r="C4272" s="1" t="n">
        <v>46046</v>
      </c>
      <c r="D4272" t="inlineStr">
        <is>
          <t>NORRBOTTENS LÄN</t>
        </is>
      </c>
      <c r="E4272" t="inlineStr">
        <is>
          <t>ÖVERTORNEÅ</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34129-2025</t>
        </is>
      </c>
      <c r="B4273" s="1" t="n">
        <v>45845</v>
      </c>
      <c r="C4273" s="1" t="n">
        <v>46046</v>
      </c>
      <c r="D4273" t="inlineStr">
        <is>
          <t>NORRBOTTENS LÄN</t>
        </is>
      </c>
      <c r="E4273" t="inlineStr">
        <is>
          <t>GÄLLIVARE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25916-2023</t>
        </is>
      </c>
      <c r="B4274" s="1" t="n">
        <v>45085</v>
      </c>
      <c r="C4274" s="1" t="n">
        <v>46046</v>
      </c>
      <c r="D4274" t="inlineStr">
        <is>
          <t>NORRBOTTENS LÄN</t>
        </is>
      </c>
      <c r="E4274" t="inlineStr">
        <is>
          <t>BODEN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68611-2021</t>
        </is>
      </c>
      <c r="B4275" s="1" t="n">
        <v>44529</v>
      </c>
      <c r="C4275" s="1" t="n">
        <v>46046</v>
      </c>
      <c r="D4275" t="inlineStr">
        <is>
          <t>NORRBOTTENS LÄN</t>
        </is>
      </c>
      <c r="E4275" t="inlineStr">
        <is>
          <t>BODEN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52280-2021</t>
        </is>
      </c>
      <c r="B4276" s="1" t="n">
        <v>44462</v>
      </c>
      <c r="C4276" s="1" t="n">
        <v>46046</v>
      </c>
      <c r="D4276" t="inlineStr">
        <is>
          <t>NORRBOTTENS LÄN</t>
        </is>
      </c>
      <c r="E4276" t="inlineStr">
        <is>
          <t>JOKKMOKK</t>
        </is>
      </c>
      <c r="F4276" t="inlineStr">
        <is>
          <t>Övriga statliga verk och myndigheter</t>
        </is>
      </c>
      <c r="G4276" t="n">
        <v>25.9</v>
      </c>
      <c r="H4276" t="n">
        <v>0</v>
      </c>
      <c r="I4276" t="n">
        <v>0</v>
      </c>
      <c r="J4276" t="n">
        <v>0</v>
      </c>
      <c r="K4276" t="n">
        <v>0</v>
      </c>
      <c r="L4276" t="n">
        <v>0</v>
      </c>
      <c r="M4276" t="n">
        <v>0</v>
      </c>
      <c r="N4276" t="n">
        <v>0</v>
      </c>
      <c r="O4276" t="n">
        <v>0</v>
      </c>
      <c r="P4276" t="n">
        <v>0</v>
      </c>
      <c r="Q4276" t="n">
        <v>0</v>
      </c>
      <c r="R4276" s="2" t="inlineStr"/>
    </row>
    <row r="4277" ht="15" customHeight="1">
      <c r="A4277" t="inlineStr">
        <is>
          <t>A 40036-2024</t>
        </is>
      </c>
      <c r="B4277" s="1" t="n">
        <v>45553.70454861111</v>
      </c>
      <c r="C4277" s="1" t="n">
        <v>46046</v>
      </c>
      <c r="D4277" t="inlineStr">
        <is>
          <t>NORRBOTTENS LÄN</t>
        </is>
      </c>
      <c r="E4277" t="inlineStr">
        <is>
          <t>KALIX</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28275-2022</t>
        </is>
      </c>
      <c r="B4278" s="1" t="n">
        <v>44746</v>
      </c>
      <c r="C4278" s="1" t="n">
        <v>46046</v>
      </c>
      <c r="D4278" t="inlineStr">
        <is>
          <t>NORRBOTTENS LÄN</t>
        </is>
      </c>
      <c r="E4278" t="inlineStr">
        <is>
          <t>LULEÅ</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19068-2024</t>
        </is>
      </c>
      <c r="B4279" s="1" t="n">
        <v>45427.93548611111</v>
      </c>
      <c r="C4279" s="1" t="n">
        <v>46046</v>
      </c>
      <c r="D4279" t="inlineStr">
        <is>
          <t>NORRBOTTENS LÄN</t>
        </is>
      </c>
      <c r="E4279" t="inlineStr">
        <is>
          <t>BODEN</t>
        </is>
      </c>
      <c r="G4279" t="n">
        <v>22.1</v>
      </c>
      <c r="H4279" t="n">
        <v>0</v>
      </c>
      <c r="I4279" t="n">
        <v>0</v>
      </c>
      <c r="J4279" t="n">
        <v>0</v>
      </c>
      <c r="K4279" t="n">
        <v>0</v>
      </c>
      <c r="L4279" t="n">
        <v>0</v>
      </c>
      <c r="M4279" t="n">
        <v>0</v>
      </c>
      <c r="N4279" t="n">
        <v>0</v>
      </c>
      <c r="O4279" t="n">
        <v>0</v>
      </c>
      <c r="P4279" t="n">
        <v>0</v>
      </c>
      <c r="Q4279" t="n">
        <v>0</v>
      </c>
      <c r="R4279" s="2" t="inlineStr"/>
    </row>
    <row r="4280" ht="15" customHeight="1">
      <c r="A4280" t="inlineStr">
        <is>
          <t>A 16452-2024</t>
        </is>
      </c>
      <c r="B4280" s="1" t="n">
        <v>45407.97059027778</v>
      </c>
      <c r="C4280" s="1" t="n">
        <v>46046</v>
      </c>
      <c r="D4280" t="inlineStr">
        <is>
          <t>NORRBOTTENS LÄN</t>
        </is>
      </c>
      <c r="E4280" t="inlineStr">
        <is>
          <t>ÖVERTORNEÅ</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62970-2023</t>
        </is>
      </c>
      <c r="B4281" s="1" t="n">
        <v>45272.57488425926</v>
      </c>
      <c r="C4281" s="1" t="n">
        <v>46046</v>
      </c>
      <c r="D4281" t="inlineStr">
        <is>
          <t>NORRBOTTENS LÄN</t>
        </is>
      </c>
      <c r="E4281" t="inlineStr">
        <is>
          <t>KALIX</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59183-2024</t>
        </is>
      </c>
      <c r="B4282" s="1" t="n">
        <v>45637.52493055556</v>
      </c>
      <c r="C4282" s="1" t="n">
        <v>46046</v>
      </c>
      <c r="D4282" t="inlineStr">
        <is>
          <t>NORRBOTTENS LÄN</t>
        </is>
      </c>
      <c r="E4282" t="inlineStr">
        <is>
          <t>ÖVERKALIX</t>
        </is>
      </c>
      <c r="G4282" t="n">
        <v>16.9</v>
      </c>
      <c r="H4282" t="n">
        <v>0</v>
      </c>
      <c r="I4282" t="n">
        <v>0</v>
      </c>
      <c r="J4282" t="n">
        <v>0</v>
      </c>
      <c r="K4282" t="n">
        <v>0</v>
      </c>
      <c r="L4282" t="n">
        <v>0</v>
      </c>
      <c r="M4282" t="n">
        <v>0</v>
      </c>
      <c r="N4282" t="n">
        <v>0</v>
      </c>
      <c r="O4282" t="n">
        <v>0</v>
      </c>
      <c r="P4282" t="n">
        <v>0</v>
      </c>
      <c r="Q4282" t="n">
        <v>0</v>
      </c>
      <c r="R4282" s="2" t="inlineStr"/>
    </row>
    <row r="4283" ht="15" customHeight="1">
      <c r="A4283" t="inlineStr">
        <is>
          <t>A 34320-2025</t>
        </is>
      </c>
      <c r="B4283" s="1" t="n">
        <v>45846.42490740741</v>
      </c>
      <c r="C4283" s="1" t="n">
        <v>46046</v>
      </c>
      <c r="D4283" t="inlineStr">
        <is>
          <t>NORRBOTTENS LÄN</t>
        </is>
      </c>
      <c r="E4283" t="inlineStr">
        <is>
          <t>ÄLVSBYN</t>
        </is>
      </c>
      <c r="F4283" t="inlineStr">
        <is>
          <t>Sveaskog</t>
        </is>
      </c>
      <c r="G4283" t="n">
        <v>15.2</v>
      </c>
      <c r="H4283" t="n">
        <v>0</v>
      </c>
      <c r="I4283" t="n">
        <v>0</v>
      </c>
      <c r="J4283" t="n">
        <v>0</v>
      </c>
      <c r="K4283" t="n">
        <v>0</v>
      </c>
      <c r="L4283" t="n">
        <v>0</v>
      </c>
      <c r="M4283" t="n">
        <v>0</v>
      </c>
      <c r="N4283" t="n">
        <v>0</v>
      </c>
      <c r="O4283" t="n">
        <v>0</v>
      </c>
      <c r="P4283" t="n">
        <v>0</v>
      </c>
      <c r="Q4283" t="n">
        <v>0</v>
      </c>
      <c r="R4283" s="2" t="inlineStr"/>
    </row>
    <row r="4284" ht="15" customHeight="1">
      <c r="A4284" t="inlineStr">
        <is>
          <t>A 56994-2022</t>
        </is>
      </c>
      <c r="B4284" s="1" t="n">
        <v>44894</v>
      </c>
      <c r="C4284" s="1" t="n">
        <v>46046</v>
      </c>
      <c r="D4284" t="inlineStr">
        <is>
          <t>NORRBOTTENS LÄN</t>
        </is>
      </c>
      <c r="E4284" t="inlineStr">
        <is>
          <t>PAJALA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72756-2021</t>
        </is>
      </c>
      <c r="B4285" s="1" t="n">
        <v>44546.92277777778</v>
      </c>
      <c r="C4285" s="1" t="n">
        <v>46046</v>
      </c>
      <c r="D4285" t="inlineStr">
        <is>
          <t>NORRBOTTENS LÄN</t>
        </is>
      </c>
      <c r="E4285" t="inlineStr">
        <is>
          <t>LULEÅ</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61376-2023</t>
        </is>
      </c>
      <c r="B4286" s="1" t="n">
        <v>45264</v>
      </c>
      <c r="C4286" s="1" t="n">
        <v>46046</v>
      </c>
      <c r="D4286" t="inlineStr">
        <is>
          <t>NORRBOTTENS LÄN</t>
        </is>
      </c>
      <c r="E4286" t="inlineStr">
        <is>
          <t>PITEÅ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69078-2021</t>
        </is>
      </c>
      <c r="B4287" s="1" t="n">
        <v>44529</v>
      </c>
      <c r="C4287" s="1" t="n">
        <v>46046</v>
      </c>
      <c r="D4287" t="inlineStr">
        <is>
          <t>NORRBOTTENS LÄN</t>
        </is>
      </c>
      <c r="E4287" t="inlineStr">
        <is>
          <t>PITEÅ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61613-2022</t>
        </is>
      </c>
      <c r="B4288" s="1" t="n">
        <v>44916</v>
      </c>
      <c r="C4288" s="1" t="n">
        <v>46046</v>
      </c>
      <c r="D4288" t="inlineStr">
        <is>
          <t>NORRBOTTENS LÄN</t>
        </is>
      </c>
      <c r="E4288" t="inlineStr">
        <is>
          <t>PAJALA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3792-2025</t>
        </is>
      </c>
      <c r="B4289" s="1" t="n">
        <v>45681.6428125</v>
      </c>
      <c r="C4289" s="1" t="n">
        <v>46046</v>
      </c>
      <c r="D4289" t="inlineStr">
        <is>
          <t>NORRBOTTENS LÄN</t>
        </is>
      </c>
      <c r="E4289" t="inlineStr">
        <is>
          <t>KALIX</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3797-2025</t>
        </is>
      </c>
      <c r="B4290" s="1" t="n">
        <v>45681.65133101852</v>
      </c>
      <c r="C4290" s="1" t="n">
        <v>46046</v>
      </c>
      <c r="D4290" t="inlineStr">
        <is>
          <t>NORRBOTTENS LÄN</t>
        </is>
      </c>
      <c r="E4290" t="inlineStr">
        <is>
          <t>KALIX</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21702-2023</t>
        </is>
      </c>
      <c r="B4291" s="1" t="n">
        <v>45064</v>
      </c>
      <c r="C4291" s="1" t="n">
        <v>46046</v>
      </c>
      <c r="D4291" t="inlineStr">
        <is>
          <t>NORRBOTTENS LÄN</t>
        </is>
      </c>
      <c r="E4291" t="inlineStr">
        <is>
          <t>PAJALA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34655-2025</t>
        </is>
      </c>
      <c r="B4292" s="1" t="n">
        <v>45847</v>
      </c>
      <c r="C4292" s="1" t="n">
        <v>46046</v>
      </c>
      <c r="D4292" t="inlineStr">
        <is>
          <t>NORRBOTTENS LÄN</t>
        </is>
      </c>
      <c r="E4292" t="inlineStr">
        <is>
          <t>LULEÅ</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30598-2024</t>
        </is>
      </c>
      <c r="B4293" s="1" t="n">
        <v>45493.43340277778</v>
      </c>
      <c r="C4293" s="1" t="n">
        <v>46046</v>
      </c>
      <c r="D4293" t="inlineStr">
        <is>
          <t>NORRBOTTENS LÄN</t>
        </is>
      </c>
      <c r="E4293" t="inlineStr">
        <is>
          <t>ÖVERKALIX</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3801-2025</t>
        </is>
      </c>
      <c r="B4294" s="1" t="n">
        <v>45681.66283564815</v>
      </c>
      <c r="C4294" s="1" t="n">
        <v>46046</v>
      </c>
      <c r="D4294" t="inlineStr">
        <is>
          <t>NORRBOTTENS LÄN</t>
        </is>
      </c>
      <c r="E4294" t="inlineStr">
        <is>
          <t>KALIX</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52240-2023</t>
        </is>
      </c>
      <c r="B4295" s="1" t="n">
        <v>45224</v>
      </c>
      <c r="C4295" s="1" t="n">
        <v>46046</v>
      </c>
      <c r="D4295" t="inlineStr">
        <is>
          <t>NORRBOTTENS LÄN</t>
        </is>
      </c>
      <c r="E4295" t="inlineStr">
        <is>
          <t>LULEÅ</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56168-2022</t>
        </is>
      </c>
      <c r="B4296" s="1" t="n">
        <v>44889</v>
      </c>
      <c r="C4296" s="1" t="n">
        <v>46046</v>
      </c>
      <c r="D4296" t="inlineStr">
        <is>
          <t>NORRBOTTENS LÄN</t>
        </is>
      </c>
      <c r="E4296" t="inlineStr">
        <is>
          <t>JOKKMOKK</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29944-2024</t>
        </is>
      </c>
      <c r="B4297" s="1" t="n">
        <v>45488.42760416667</v>
      </c>
      <c r="C4297" s="1" t="n">
        <v>46046</v>
      </c>
      <c r="D4297" t="inlineStr">
        <is>
          <t>NORRBOTTENS LÄN</t>
        </is>
      </c>
      <c r="E4297" t="inlineStr">
        <is>
          <t>PITEÅ</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19976-2025</t>
        </is>
      </c>
      <c r="B4298" s="1" t="n">
        <v>45771</v>
      </c>
      <c r="C4298" s="1" t="n">
        <v>46046</v>
      </c>
      <c r="D4298" t="inlineStr">
        <is>
          <t>NORRBOTTENS LÄN</t>
        </is>
      </c>
      <c r="E4298" t="inlineStr">
        <is>
          <t>KALIX</t>
        </is>
      </c>
      <c r="F4298" t="inlineStr">
        <is>
          <t>SCA</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20029-2025</t>
        </is>
      </c>
      <c r="B4299" s="1" t="n">
        <v>45772.35642361111</v>
      </c>
      <c r="C4299" s="1" t="n">
        <v>46046</v>
      </c>
      <c r="D4299" t="inlineStr">
        <is>
          <t>NORRBOTTENS LÄN</t>
        </is>
      </c>
      <c r="E4299" t="inlineStr">
        <is>
          <t>BODEN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51981-2022</t>
        </is>
      </c>
      <c r="B4300" s="1" t="n">
        <v>44872</v>
      </c>
      <c r="C4300" s="1" t="n">
        <v>46046</v>
      </c>
      <c r="D4300" t="inlineStr">
        <is>
          <t>NORRBOTTENS LÄN</t>
        </is>
      </c>
      <c r="E4300" t="inlineStr">
        <is>
          <t>ÄLVSBYN</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55584-2023</t>
        </is>
      </c>
      <c r="B4301" s="1" t="n">
        <v>45238</v>
      </c>
      <c r="C4301" s="1" t="n">
        <v>46046</v>
      </c>
      <c r="D4301" t="inlineStr">
        <is>
          <t>NORRBOTTENS LÄN</t>
        </is>
      </c>
      <c r="E4301" t="inlineStr">
        <is>
          <t>GÄLLIVARE</t>
        </is>
      </c>
      <c r="G4301" t="n">
        <v>8.199999999999999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34386-2025</t>
        </is>
      </c>
      <c r="B4302" s="1" t="n">
        <v>45846</v>
      </c>
      <c r="C4302" s="1" t="n">
        <v>46046</v>
      </c>
      <c r="D4302" t="inlineStr">
        <is>
          <t>NORRBOTTENS LÄN</t>
        </is>
      </c>
      <c r="E4302" t="inlineStr">
        <is>
          <t>GÄLLIVARE</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28282-2021</t>
        </is>
      </c>
      <c r="B4303" s="1" t="n">
        <v>44355</v>
      </c>
      <c r="C4303" s="1" t="n">
        <v>46046</v>
      </c>
      <c r="D4303" t="inlineStr">
        <is>
          <t>NORRBOTTENS LÄN</t>
        </is>
      </c>
      <c r="E4303" t="inlineStr">
        <is>
          <t>PITEÅ</t>
        </is>
      </c>
      <c r="F4303" t="inlineStr">
        <is>
          <t>SCA</t>
        </is>
      </c>
      <c r="G4303" t="n">
        <v>13.6</v>
      </c>
      <c r="H4303" t="n">
        <v>0</v>
      </c>
      <c r="I4303" t="n">
        <v>0</v>
      </c>
      <c r="J4303" t="n">
        <v>0</v>
      </c>
      <c r="K4303" t="n">
        <v>0</v>
      </c>
      <c r="L4303" t="n">
        <v>0</v>
      </c>
      <c r="M4303" t="n">
        <v>0</v>
      </c>
      <c r="N4303" t="n">
        <v>0</v>
      </c>
      <c r="O4303" t="n">
        <v>0</v>
      </c>
      <c r="P4303" t="n">
        <v>0</v>
      </c>
      <c r="Q4303" t="n">
        <v>0</v>
      </c>
      <c r="R4303" s="2" t="inlineStr"/>
    </row>
    <row r="4304" ht="15" customHeight="1">
      <c r="A4304" t="inlineStr">
        <is>
          <t>A 13754-2024</t>
        </is>
      </c>
      <c r="B4304" s="1" t="n">
        <v>45390</v>
      </c>
      <c r="C4304" s="1" t="n">
        <v>46046</v>
      </c>
      <c r="D4304" t="inlineStr">
        <is>
          <t>NORRBOTTENS LÄN</t>
        </is>
      </c>
      <c r="E4304" t="inlineStr">
        <is>
          <t>ÖVERTORNEÅ</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32720-2022</t>
        </is>
      </c>
      <c r="B4305" s="1" t="n">
        <v>44783</v>
      </c>
      <c r="C4305" s="1" t="n">
        <v>46046</v>
      </c>
      <c r="D4305" t="inlineStr">
        <is>
          <t>NORRBOTTENS LÄN</t>
        </is>
      </c>
      <c r="E4305" t="inlineStr">
        <is>
          <t>GÄLLIVARE</t>
        </is>
      </c>
      <c r="F4305" t="inlineStr">
        <is>
          <t>Sveaskog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39560-2023</t>
        </is>
      </c>
      <c r="B4306" s="1" t="n">
        <v>45167.39181712963</v>
      </c>
      <c r="C4306" s="1" t="n">
        <v>46046</v>
      </c>
      <c r="D4306" t="inlineStr">
        <is>
          <t>NORRBOTTENS LÄN</t>
        </is>
      </c>
      <c r="E4306" t="inlineStr">
        <is>
          <t>PITEÅ</t>
        </is>
      </c>
      <c r="F4306" t="inlineStr">
        <is>
          <t>Sveaskog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18855-2023</t>
        </is>
      </c>
      <c r="B4307" s="1" t="n">
        <v>45044</v>
      </c>
      <c r="C4307" s="1" t="n">
        <v>46046</v>
      </c>
      <c r="D4307" t="inlineStr">
        <is>
          <t>NORRBOTTENS LÄN</t>
        </is>
      </c>
      <c r="E4307" t="inlineStr">
        <is>
          <t>HAPARANDA</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13556-2022</t>
        </is>
      </c>
      <c r="B4308" s="1" t="n">
        <v>44648</v>
      </c>
      <c r="C4308" s="1" t="n">
        <v>46046</v>
      </c>
      <c r="D4308" t="inlineStr">
        <is>
          <t>NORRBOTTENS LÄN</t>
        </is>
      </c>
      <c r="E4308" t="inlineStr">
        <is>
          <t>BODEN</t>
        </is>
      </c>
      <c r="F4308" t="inlineStr">
        <is>
          <t>Sveaskog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27300-2022</t>
        </is>
      </c>
      <c r="B4309" s="1" t="n">
        <v>44741.95179398148</v>
      </c>
      <c r="C4309" s="1" t="n">
        <v>46046</v>
      </c>
      <c r="D4309" t="inlineStr">
        <is>
          <t>NORRBOTTENS LÄN</t>
        </is>
      </c>
      <c r="E4309" t="inlineStr">
        <is>
          <t>ÖVERTORNEÅ</t>
        </is>
      </c>
      <c r="F4309" t="inlineStr">
        <is>
          <t>Sveaskog</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53683-2024</t>
        </is>
      </c>
      <c r="B4310" s="1" t="n">
        <v>45612</v>
      </c>
      <c r="C4310" s="1" t="n">
        <v>46046</v>
      </c>
      <c r="D4310" t="inlineStr">
        <is>
          <t>NORRBOTTENS LÄN</t>
        </is>
      </c>
      <c r="E4310" t="inlineStr">
        <is>
          <t>ARVIDSJAUR</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18784-2025</t>
        </is>
      </c>
      <c r="B4311" s="1" t="n">
        <v>45764.33820601852</v>
      </c>
      <c r="C4311" s="1" t="n">
        <v>46046</v>
      </c>
      <c r="D4311" t="inlineStr">
        <is>
          <t>NORRBOTTENS LÄN</t>
        </is>
      </c>
      <c r="E4311" t="inlineStr">
        <is>
          <t>PAJALA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5693-2023</t>
        </is>
      </c>
      <c r="B4312" s="1" t="n">
        <v>44960.94096064815</v>
      </c>
      <c r="C4312" s="1" t="n">
        <v>46046</v>
      </c>
      <c r="D4312" t="inlineStr">
        <is>
          <t>NORRBOTTENS LÄN</t>
        </is>
      </c>
      <c r="E4312" t="inlineStr">
        <is>
          <t>PAJALA</t>
        </is>
      </c>
      <c r="F4312" t="inlineStr">
        <is>
          <t>SCA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5526-2025</t>
        </is>
      </c>
      <c r="B4313" s="1" t="n">
        <v>45693.42834490741</v>
      </c>
      <c r="C4313" s="1" t="n">
        <v>46046</v>
      </c>
      <c r="D4313" t="inlineStr">
        <is>
          <t>NORRBOTTENS LÄN</t>
        </is>
      </c>
      <c r="E4313" t="inlineStr">
        <is>
          <t>ÖVERKALIX</t>
        </is>
      </c>
      <c r="F4313" t="inlineStr">
        <is>
          <t>SCA</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5535-2025</t>
        </is>
      </c>
      <c r="B4314" s="1" t="n">
        <v>45693.44825231482</v>
      </c>
      <c r="C4314" s="1" t="n">
        <v>46046</v>
      </c>
      <c r="D4314" t="inlineStr">
        <is>
          <t>NORRBOTTENS LÄN</t>
        </is>
      </c>
      <c r="E4314" t="inlineStr">
        <is>
          <t>PAJALA</t>
        </is>
      </c>
      <c r="F4314" t="inlineStr">
        <is>
          <t>SCA</t>
        </is>
      </c>
      <c r="G4314" t="n">
        <v>20.4</v>
      </c>
      <c r="H4314" t="n">
        <v>0</v>
      </c>
      <c r="I4314" t="n">
        <v>0</v>
      </c>
      <c r="J4314" t="n">
        <v>0</v>
      </c>
      <c r="K4314" t="n">
        <v>0</v>
      </c>
      <c r="L4314" t="n">
        <v>0</v>
      </c>
      <c r="M4314" t="n">
        <v>0</v>
      </c>
      <c r="N4314" t="n">
        <v>0</v>
      </c>
      <c r="O4314" t="n">
        <v>0</v>
      </c>
      <c r="P4314" t="n">
        <v>0</v>
      </c>
      <c r="Q4314" t="n">
        <v>0</v>
      </c>
      <c r="R4314" s="2" t="inlineStr"/>
    </row>
    <row r="4315" ht="15" customHeight="1">
      <c r="A4315" t="inlineStr">
        <is>
          <t>A 6552-2024</t>
        </is>
      </c>
      <c r="B4315" s="1" t="n">
        <v>45341</v>
      </c>
      <c r="C4315" s="1" t="n">
        <v>46046</v>
      </c>
      <c r="D4315" t="inlineStr">
        <is>
          <t>NORRBOTTENS LÄN</t>
        </is>
      </c>
      <c r="E4315" t="inlineStr">
        <is>
          <t>LULEÅ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22364-2021</t>
        </is>
      </c>
      <c r="B4316" s="1" t="n">
        <v>44322</v>
      </c>
      <c r="C4316" s="1" t="n">
        <v>46046</v>
      </c>
      <c r="D4316" t="inlineStr">
        <is>
          <t>NORRBOTTENS LÄN</t>
        </is>
      </c>
      <c r="E4316" t="inlineStr">
        <is>
          <t>LULEÅ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1870-2025</t>
        </is>
      </c>
      <c r="B4317" s="1" t="n">
        <v>45671</v>
      </c>
      <c r="C4317" s="1" t="n">
        <v>46046</v>
      </c>
      <c r="D4317" t="inlineStr">
        <is>
          <t>NORRBOTTENS LÄN</t>
        </is>
      </c>
      <c r="E4317" t="inlineStr">
        <is>
          <t>HAPARANDA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51569-2023</t>
        </is>
      </c>
      <c r="B4318" s="1" t="n">
        <v>45215</v>
      </c>
      <c r="C4318" s="1" t="n">
        <v>46046</v>
      </c>
      <c r="D4318" t="inlineStr">
        <is>
          <t>NORRBOTTENS LÄN</t>
        </is>
      </c>
      <c r="E4318" t="inlineStr">
        <is>
          <t>PITEÅ</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7689-2025</t>
        </is>
      </c>
      <c r="B4319" s="1" t="n">
        <v>45706</v>
      </c>
      <c r="C4319" s="1" t="n">
        <v>46046</v>
      </c>
      <c r="D4319" t="inlineStr">
        <is>
          <t>NORRBOTTENS LÄN</t>
        </is>
      </c>
      <c r="E4319" t="inlineStr">
        <is>
          <t>LULEÅ</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34565-2025</t>
        </is>
      </c>
      <c r="B4320" s="1" t="n">
        <v>45847</v>
      </c>
      <c r="C4320" s="1" t="n">
        <v>46046</v>
      </c>
      <c r="D4320" t="inlineStr">
        <is>
          <t>NORRBOTTENS LÄN</t>
        </is>
      </c>
      <c r="E4320" t="inlineStr">
        <is>
          <t>LULEÅ</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36610-2023</t>
        </is>
      </c>
      <c r="B4321" s="1" t="n">
        <v>45152</v>
      </c>
      <c r="C4321" s="1" t="n">
        <v>46046</v>
      </c>
      <c r="D4321" t="inlineStr">
        <is>
          <t>NORRBOTTENS LÄN</t>
        </is>
      </c>
      <c r="E4321" t="inlineStr">
        <is>
          <t>BODEN</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7711-2025</t>
        </is>
      </c>
      <c r="B4322" s="1" t="n">
        <v>45706</v>
      </c>
      <c r="C4322" s="1" t="n">
        <v>46046</v>
      </c>
      <c r="D4322" t="inlineStr">
        <is>
          <t>NORRBOTTENS LÄN</t>
        </is>
      </c>
      <c r="E4322" t="inlineStr">
        <is>
          <t>KALIX</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7712-2025</t>
        </is>
      </c>
      <c r="B4323" s="1" t="n">
        <v>45706.42756944444</v>
      </c>
      <c r="C4323" s="1" t="n">
        <v>46046</v>
      </c>
      <c r="D4323" t="inlineStr">
        <is>
          <t>NORRBOTTENS LÄN</t>
        </is>
      </c>
      <c r="E4323" t="inlineStr">
        <is>
          <t>KALIX</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7769-2025</t>
        </is>
      </c>
      <c r="B4324" s="1" t="n">
        <v>45706.56214120371</v>
      </c>
      <c r="C4324" s="1" t="n">
        <v>46046</v>
      </c>
      <c r="D4324" t="inlineStr">
        <is>
          <t>NORRBOTTENS LÄN</t>
        </is>
      </c>
      <c r="E4324" t="inlineStr">
        <is>
          <t>PITEÅ</t>
        </is>
      </c>
      <c r="F4324" t="inlineStr">
        <is>
          <t>Övriga Aktiebolag</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48792-2021</t>
        </is>
      </c>
      <c r="B4325" s="1" t="n">
        <v>44452</v>
      </c>
      <c r="C4325" s="1" t="n">
        <v>46046</v>
      </c>
      <c r="D4325" t="inlineStr">
        <is>
          <t>NORRBOTTENS LÄN</t>
        </is>
      </c>
      <c r="E4325" t="inlineStr">
        <is>
          <t>ÖVERTORNEÅ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34539-2025</t>
        </is>
      </c>
      <c r="B4326" s="1" t="n">
        <v>45847.53157407408</v>
      </c>
      <c r="C4326" s="1" t="n">
        <v>46046</v>
      </c>
      <c r="D4326" t="inlineStr">
        <is>
          <t>NORRBOTTENS LÄN</t>
        </is>
      </c>
      <c r="E4326" t="inlineStr">
        <is>
          <t>ÖVERTORNEÅ</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46301-2023</t>
        </is>
      </c>
      <c r="B4327" s="1" t="n">
        <v>45197</v>
      </c>
      <c r="C4327" s="1" t="n">
        <v>46046</v>
      </c>
      <c r="D4327" t="inlineStr">
        <is>
          <t>NORRBOTTENS LÄN</t>
        </is>
      </c>
      <c r="E4327" t="inlineStr">
        <is>
          <t>HAPARANDA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34880-2025</t>
        </is>
      </c>
      <c r="B4328" s="1" t="n">
        <v>45849.46875</v>
      </c>
      <c r="C4328" s="1" t="n">
        <v>46046</v>
      </c>
      <c r="D4328" t="inlineStr">
        <is>
          <t>NORRBOTTENS LÄN</t>
        </is>
      </c>
      <c r="E4328" t="inlineStr">
        <is>
          <t>PITEÅ</t>
        </is>
      </c>
      <c r="G4328" t="n">
        <v>9.800000000000001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60516-2022</t>
        </is>
      </c>
      <c r="B4329" s="1" t="n">
        <v>44911</v>
      </c>
      <c r="C4329" s="1" t="n">
        <v>46046</v>
      </c>
      <c r="D4329" t="inlineStr">
        <is>
          <t>NORRBOTTENS LÄN</t>
        </is>
      </c>
      <c r="E4329" t="inlineStr">
        <is>
          <t>ARVIDSJAUR</t>
        </is>
      </c>
      <c r="F4329" t="inlineStr">
        <is>
          <t>Sveaskog</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54142-2023</t>
        </is>
      </c>
      <c r="B4330" s="1" t="n">
        <v>45232.44363425926</v>
      </c>
      <c r="C4330" s="1" t="n">
        <v>46046</v>
      </c>
      <c r="D4330" t="inlineStr">
        <is>
          <t>NORRBOTTENS LÄN</t>
        </is>
      </c>
      <c r="E4330" t="inlineStr">
        <is>
          <t>BODEN</t>
        </is>
      </c>
      <c r="F4330" t="inlineStr">
        <is>
          <t>Sveaskog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34733-2025</t>
        </is>
      </c>
      <c r="B4331" s="1" t="n">
        <v>45848.59751157407</v>
      </c>
      <c r="C4331" s="1" t="n">
        <v>46046</v>
      </c>
      <c r="D4331" t="inlineStr">
        <is>
          <t>NORRBOTTENS LÄN</t>
        </is>
      </c>
      <c r="E4331" t="inlineStr">
        <is>
          <t>PITEÅ</t>
        </is>
      </c>
      <c r="F4331" t="inlineStr">
        <is>
          <t>Sveaskog</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34663-2025</t>
        </is>
      </c>
      <c r="B4332" s="1" t="n">
        <v>45848.37454861111</v>
      </c>
      <c r="C4332" s="1" t="n">
        <v>46046</v>
      </c>
      <c r="D4332" t="inlineStr">
        <is>
          <t>NORRBOTTENS LÄN</t>
        </is>
      </c>
      <c r="E4332" t="inlineStr">
        <is>
          <t>KIRUNA</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55050-2023</t>
        </is>
      </c>
      <c r="B4333" s="1" t="n">
        <v>45237</v>
      </c>
      <c r="C4333" s="1" t="n">
        <v>46046</v>
      </c>
      <c r="D4333" t="inlineStr">
        <is>
          <t>NORRBOTTENS LÄN</t>
        </is>
      </c>
      <c r="E4333" t="inlineStr">
        <is>
          <t>GÄLLIVARE</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54589-2021</t>
        </is>
      </c>
      <c r="B4334" s="1" t="n">
        <v>44473</v>
      </c>
      <c r="C4334" s="1" t="n">
        <v>46046</v>
      </c>
      <c r="D4334" t="inlineStr">
        <is>
          <t>NORRBOTTENS LÄN</t>
        </is>
      </c>
      <c r="E4334" t="inlineStr">
        <is>
          <t>ARJEPLOG</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18904-2024</t>
        </is>
      </c>
      <c r="B4335" s="1" t="n">
        <v>45427.36417824074</v>
      </c>
      <c r="C4335" s="1" t="n">
        <v>46046</v>
      </c>
      <c r="D4335" t="inlineStr">
        <is>
          <t>NORRBOTTENS LÄN</t>
        </is>
      </c>
      <c r="E4335" t="inlineStr">
        <is>
          <t>PITEÅ</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27650-2024</t>
        </is>
      </c>
      <c r="B4336" s="1" t="n">
        <v>45474.94802083333</v>
      </c>
      <c r="C4336" s="1" t="n">
        <v>46046</v>
      </c>
      <c r="D4336" t="inlineStr">
        <is>
          <t>NORRBOTTENS LÄN</t>
        </is>
      </c>
      <c r="E4336" t="inlineStr">
        <is>
          <t>JOKKMOKK</t>
        </is>
      </c>
      <c r="F4336" t="inlineStr">
        <is>
          <t>SCA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27651-2024</t>
        </is>
      </c>
      <c r="B4337" s="1" t="n">
        <v>45474</v>
      </c>
      <c r="C4337" s="1" t="n">
        <v>46046</v>
      </c>
      <c r="D4337" t="inlineStr">
        <is>
          <t>NORRBOTTENS LÄN</t>
        </is>
      </c>
      <c r="E4337" t="inlineStr">
        <is>
          <t>JOKKMOKK</t>
        </is>
      </c>
      <c r="F4337" t="inlineStr">
        <is>
          <t>SCA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34853-2025</t>
        </is>
      </c>
      <c r="B4338" s="1" t="n">
        <v>45849.42799768518</v>
      </c>
      <c r="C4338" s="1" t="n">
        <v>46046</v>
      </c>
      <c r="D4338" t="inlineStr">
        <is>
          <t>NORRBOTTENS LÄN</t>
        </is>
      </c>
      <c r="E4338" t="inlineStr">
        <is>
          <t>PAJALA</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58321-2024</t>
        </is>
      </c>
      <c r="B4339" s="1" t="n">
        <v>45632</v>
      </c>
      <c r="C4339" s="1" t="n">
        <v>46046</v>
      </c>
      <c r="D4339" t="inlineStr">
        <is>
          <t>NORRBOTTENS LÄN</t>
        </is>
      </c>
      <c r="E4339" t="inlineStr">
        <is>
          <t>ÄLVSBYN</t>
        </is>
      </c>
      <c r="G4339" t="n">
        <v>22.1</v>
      </c>
      <c r="H4339" t="n">
        <v>0</v>
      </c>
      <c r="I4339" t="n">
        <v>0</v>
      </c>
      <c r="J4339" t="n">
        <v>0</v>
      </c>
      <c r="K4339" t="n">
        <v>0</v>
      </c>
      <c r="L4339" t="n">
        <v>0</v>
      </c>
      <c r="M4339" t="n">
        <v>0</v>
      </c>
      <c r="N4339" t="n">
        <v>0</v>
      </c>
      <c r="O4339" t="n">
        <v>0</v>
      </c>
      <c r="P4339" t="n">
        <v>0</v>
      </c>
      <c r="Q4339" t="n">
        <v>0</v>
      </c>
      <c r="R4339" s="2" t="inlineStr"/>
    </row>
    <row r="4340" ht="15" customHeight="1">
      <c r="A4340" t="inlineStr">
        <is>
          <t>A 51193-2023</t>
        </is>
      </c>
      <c r="B4340" s="1" t="n">
        <v>45212</v>
      </c>
      <c r="C4340" s="1" t="n">
        <v>46046</v>
      </c>
      <c r="D4340" t="inlineStr">
        <is>
          <t>NORRBOTTENS LÄN</t>
        </is>
      </c>
      <c r="E4340" t="inlineStr">
        <is>
          <t>BODEN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43297-2021</t>
        </is>
      </c>
      <c r="B4341" s="1" t="n">
        <v>44432</v>
      </c>
      <c r="C4341" s="1" t="n">
        <v>46046</v>
      </c>
      <c r="D4341" t="inlineStr">
        <is>
          <t>NORRBOTTENS LÄN</t>
        </is>
      </c>
      <c r="E4341" t="inlineStr">
        <is>
          <t>PITEÅ</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20558-2025</t>
        </is>
      </c>
      <c r="B4342" s="1" t="n">
        <v>45775</v>
      </c>
      <c r="C4342" s="1" t="n">
        <v>46046</v>
      </c>
      <c r="D4342" t="inlineStr">
        <is>
          <t>NORRBOTTENS LÄN</t>
        </is>
      </c>
      <c r="E4342" t="inlineStr">
        <is>
          <t>KIRUNA</t>
        </is>
      </c>
      <c r="G4342" t="n">
        <v>23.3</v>
      </c>
      <c r="H4342" t="n">
        <v>0</v>
      </c>
      <c r="I4342" t="n">
        <v>0</v>
      </c>
      <c r="J4342" t="n">
        <v>0</v>
      </c>
      <c r="K4342" t="n">
        <v>0</v>
      </c>
      <c r="L4342" t="n">
        <v>0</v>
      </c>
      <c r="M4342" t="n">
        <v>0</v>
      </c>
      <c r="N4342" t="n">
        <v>0</v>
      </c>
      <c r="O4342" t="n">
        <v>0</v>
      </c>
      <c r="P4342" t="n">
        <v>0</v>
      </c>
      <c r="Q4342" t="n">
        <v>0</v>
      </c>
      <c r="R4342" s="2" t="inlineStr"/>
    </row>
    <row r="4343" ht="15" customHeight="1">
      <c r="A4343" t="inlineStr">
        <is>
          <t>A 34798-2025</t>
        </is>
      </c>
      <c r="B4343" s="1" t="n">
        <v>45848</v>
      </c>
      <c r="C4343" s="1" t="n">
        <v>46046</v>
      </c>
      <c r="D4343" t="inlineStr">
        <is>
          <t>NORRBOTTENS LÄN</t>
        </is>
      </c>
      <c r="E4343" t="inlineStr">
        <is>
          <t>ÖVERTORNEÅ</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34799-2025</t>
        </is>
      </c>
      <c r="B4344" s="1" t="n">
        <v>45848.90603009259</v>
      </c>
      <c r="C4344" s="1" t="n">
        <v>46046</v>
      </c>
      <c r="D4344" t="inlineStr">
        <is>
          <t>NORRBOTTENS LÄN</t>
        </is>
      </c>
      <c r="E4344" t="inlineStr">
        <is>
          <t>ÖVERTORNEÅ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14556-2025</t>
        </is>
      </c>
      <c r="B4345" s="1" t="n">
        <v>45741.74234953704</v>
      </c>
      <c r="C4345" s="1" t="n">
        <v>46046</v>
      </c>
      <c r="D4345" t="inlineStr">
        <is>
          <t>NORRBOTTENS LÄN</t>
        </is>
      </c>
      <c r="E4345" t="inlineStr">
        <is>
          <t>PITEÅ</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73128-2021</t>
        </is>
      </c>
      <c r="B4346" s="1" t="n">
        <v>44547</v>
      </c>
      <c r="C4346" s="1" t="n">
        <v>46046</v>
      </c>
      <c r="D4346" t="inlineStr">
        <is>
          <t>NORRBOTTENS LÄN</t>
        </is>
      </c>
      <c r="E4346" t="inlineStr">
        <is>
          <t>PAJALA</t>
        </is>
      </c>
      <c r="G4346" t="n">
        <v>10.6</v>
      </c>
      <c r="H4346" t="n">
        <v>0</v>
      </c>
      <c r="I4346" t="n">
        <v>0</v>
      </c>
      <c r="J4346" t="n">
        <v>0</v>
      </c>
      <c r="K4346" t="n">
        <v>0</v>
      </c>
      <c r="L4346" t="n">
        <v>0</v>
      </c>
      <c r="M4346" t="n">
        <v>0</v>
      </c>
      <c r="N4346" t="n">
        <v>0</v>
      </c>
      <c r="O4346" t="n">
        <v>0</v>
      </c>
      <c r="P4346" t="n">
        <v>0</v>
      </c>
      <c r="Q4346" t="n">
        <v>0</v>
      </c>
      <c r="R4346" s="2" t="inlineStr"/>
    </row>
    <row r="4347" ht="15" customHeight="1">
      <c r="A4347" t="inlineStr">
        <is>
          <t>A 64554-2023</t>
        </is>
      </c>
      <c r="B4347" s="1" t="n">
        <v>45281.40275462963</v>
      </c>
      <c r="C4347" s="1" t="n">
        <v>46046</v>
      </c>
      <c r="D4347" t="inlineStr">
        <is>
          <t>NORRBOTTENS LÄN</t>
        </is>
      </c>
      <c r="E4347" t="inlineStr">
        <is>
          <t>ÖVERTORNEÅ</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5524-2024</t>
        </is>
      </c>
      <c r="B4348" s="1" t="n">
        <v>45334.3878125</v>
      </c>
      <c r="C4348" s="1" t="n">
        <v>46046</v>
      </c>
      <c r="D4348" t="inlineStr">
        <is>
          <t>NORRBOTTENS LÄN</t>
        </is>
      </c>
      <c r="E4348" t="inlineStr">
        <is>
          <t>PITEÅ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5533-2024</t>
        </is>
      </c>
      <c r="B4349" s="1" t="n">
        <v>45334</v>
      </c>
      <c r="C4349" s="1" t="n">
        <v>46046</v>
      </c>
      <c r="D4349" t="inlineStr">
        <is>
          <t>NORRBOTTENS LÄN</t>
        </is>
      </c>
      <c r="E4349" t="inlineStr">
        <is>
          <t>KIRUNA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18053-2024</t>
        </is>
      </c>
      <c r="B4350" s="1" t="n">
        <v>45420</v>
      </c>
      <c r="C4350" s="1" t="n">
        <v>46046</v>
      </c>
      <c r="D4350" t="inlineStr">
        <is>
          <t>NORRBOTTENS LÄN</t>
        </is>
      </c>
      <c r="E4350" t="inlineStr">
        <is>
          <t>LULEÅ</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48417-2023</t>
        </is>
      </c>
      <c r="B4351" s="1" t="n">
        <v>45205</v>
      </c>
      <c r="C4351" s="1" t="n">
        <v>46046</v>
      </c>
      <c r="D4351" t="inlineStr">
        <is>
          <t>NORRBOTTENS LÄN</t>
        </is>
      </c>
      <c r="E4351" t="inlineStr">
        <is>
          <t>BODEN</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49474-2024</t>
        </is>
      </c>
      <c r="B4352" s="1" t="n">
        <v>45596.34523148148</v>
      </c>
      <c r="C4352" s="1" t="n">
        <v>46046</v>
      </c>
      <c r="D4352" t="inlineStr">
        <is>
          <t>NORRBOTTENS LÄN</t>
        </is>
      </c>
      <c r="E4352" t="inlineStr">
        <is>
          <t>JOKKMOKK</t>
        </is>
      </c>
      <c r="F4352" t="inlineStr">
        <is>
          <t>SCA</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45512-2022</t>
        </is>
      </c>
      <c r="B4353" s="1" t="n">
        <v>44841</v>
      </c>
      <c r="C4353" s="1" t="n">
        <v>46046</v>
      </c>
      <c r="D4353" t="inlineStr">
        <is>
          <t>NORRBOTTENS LÄN</t>
        </is>
      </c>
      <c r="E4353" t="inlineStr">
        <is>
          <t>JOKKMOKK</t>
        </is>
      </c>
      <c r="F4353" t="inlineStr">
        <is>
          <t>Övriga Aktiebolag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9605-2024</t>
        </is>
      </c>
      <c r="B4354" s="1" t="n">
        <v>45361.44230324074</v>
      </c>
      <c r="C4354" s="1" t="n">
        <v>46046</v>
      </c>
      <c r="D4354" t="inlineStr">
        <is>
          <t>NORRBOTTENS LÄN</t>
        </is>
      </c>
      <c r="E4354" t="inlineStr">
        <is>
          <t>KIRUNA</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34664-2025</t>
        </is>
      </c>
      <c r="B4355" s="1" t="n">
        <v>45848.37857638889</v>
      </c>
      <c r="C4355" s="1" t="n">
        <v>46046</v>
      </c>
      <c r="D4355" t="inlineStr">
        <is>
          <t>NORRBOTTENS LÄN</t>
        </is>
      </c>
      <c r="E4355" t="inlineStr">
        <is>
          <t>KIRUNA</t>
        </is>
      </c>
      <c r="G4355" t="n">
        <v>8.4</v>
      </c>
      <c r="H4355" t="n">
        <v>0</v>
      </c>
      <c r="I4355" t="n">
        <v>0</v>
      </c>
      <c r="J4355" t="n">
        <v>0</v>
      </c>
      <c r="K4355" t="n">
        <v>0</v>
      </c>
      <c r="L4355" t="n">
        <v>0</v>
      </c>
      <c r="M4355" t="n">
        <v>0</v>
      </c>
      <c r="N4355" t="n">
        <v>0</v>
      </c>
      <c r="O4355" t="n">
        <v>0</v>
      </c>
      <c r="P4355" t="n">
        <v>0</v>
      </c>
      <c r="Q4355" t="n">
        <v>0</v>
      </c>
      <c r="R4355" s="2" t="inlineStr"/>
    </row>
    <row r="4356" ht="15" customHeight="1">
      <c r="A4356" t="inlineStr">
        <is>
          <t>A 34677-2025</t>
        </is>
      </c>
      <c r="B4356" s="1" t="n">
        <v>45848</v>
      </c>
      <c r="C4356" s="1" t="n">
        <v>46046</v>
      </c>
      <c r="D4356" t="inlineStr">
        <is>
          <t>NORRBOTTENS LÄN</t>
        </is>
      </c>
      <c r="E4356" t="inlineStr">
        <is>
          <t>PITEÅ</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34675-2025</t>
        </is>
      </c>
      <c r="B4357" s="1" t="n">
        <v>45848.41678240741</v>
      </c>
      <c r="C4357" s="1" t="n">
        <v>46046</v>
      </c>
      <c r="D4357" t="inlineStr">
        <is>
          <t>NORRBOTTENS LÄN</t>
        </is>
      </c>
      <c r="E4357" t="inlineStr">
        <is>
          <t>PITEÅ</t>
        </is>
      </c>
      <c r="F4357" t="inlineStr">
        <is>
          <t>Sveaskog</t>
        </is>
      </c>
      <c r="G4357" t="n">
        <v>14.1</v>
      </c>
      <c r="H4357" t="n">
        <v>0</v>
      </c>
      <c r="I4357" t="n">
        <v>0</v>
      </c>
      <c r="J4357" t="n">
        <v>0</v>
      </c>
      <c r="K4357" t="n">
        <v>0</v>
      </c>
      <c r="L4357" t="n">
        <v>0</v>
      </c>
      <c r="M4357" t="n">
        <v>0</v>
      </c>
      <c r="N4357" t="n">
        <v>0</v>
      </c>
      <c r="O4357" t="n">
        <v>0</v>
      </c>
      <c r="P4357" t="n">
        <v>0</v>
      </c>
      <c r="Q4357" t="n">
        <v>0</v>
      </c>
      <c r="R4357" s="2" t="inlineStr"/>
    </row>
    <row r="4358" ht="15" customHeight="1">
      <c r="A4358" t="inlineStr">
        <is>
          <t>A 34796-2025</t>
        </is>
      </c>
      <c r="B4358" s="1" t="n">
        <v>45848.79878472222</v>
      </c>
      <c r="C4358" s="1" t="n">
        <v>46046</v>
      </c>
      <c r="D4358" t="inlineStr">
        <is>
          <t>NORRBOTTENS LÄN</t>
        </is>
      </c>
      <c r="E4358" t="inlineStr">
        <is>
          <t>PITEÅ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34809-2025</t>
        </is>
      </c>
      <c r="B4359" s="1" t="n">
        <v>45849.34408564815</v>
      </c>
      <c r="C4359" s="1" t="n">
        <v>46046</v>
      </c>
      <c r="D4359" t="inlineStr">
        <is>
          <t>NORRBOTTENS LÄN</t>
        </is>
      </c>
      <c r="E4359" t="inlineStr">
        <is>
          <t>PITEÅ</t>
        </is>
      </c>
      <c r="F4359" t="inlineStr">
        <is>
          <t>Sveaskog</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25467-2024</t>
        </is>
      </c>
      <c r="B4360" s="1" t="n">
        <v>45463</v>
      </c>
      <c r="C4360" s="1" t="n">
        <v>46046</v>
      </c>
      <c r="D4360" t="inlineStr">
        <is>
          <t>NORRBOTTENS LÄN</t>
        </is>
      </c>
      <c r="E4360" t="inlineStr">
        <is>
          <t>GÄLLIVARE</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34910-2025</t>
        </is>
      </c>
      <c r="B4361" s="1" t="n">
        <v>45849.53162037037</v>
      </c>
      <c r="C4361" s="1" t="n">
        <v>46046</v>
      </c>
      <c r="D4361" t="inlineStr">
        <is>
          <t>NORRBOTTENS LÄN</t>
        </is>
      </c>
      <c r="E4361" t="inlineStr">
        <is>
          <t>PAJALA</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50746-2021</t>
        </is>
      </c>
      <c r="B4362" s="1" t="n">
        <v>44460</v>
      </c>
      <c r="C4362" s="1" t="n">
        <v>46046</v>
      </c>
      <c r="D4362" t="inlineStr">
        <is>
          <t>NORRBOTTENS LÄN</t>
        </is>
      </c>
      <c r="E4362" t="inlineStr">
        <is>
          <t>ÄLVSBYN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34639-2024</t>
        </is>
      </c>
      <c r="B4363" s="1" t="n">
        <v>45526.47293981481</v>
      </c>
      <c r="C4363" s="1" t="n">
        <v>46046</v>
      </c>
      <c r="D4363" t="inlineStr">
        <is>
          <t>NORRBOTTENS LÄN</t>
        </is>
      </c>
      <c r="E4363" t="inlineStr">
        <is>
          <t>JOKKMOKK</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57052-2023</t>
        </is>
      </c>
      <c r="B4364" s="1" t="n">
        <v>45244</v>
      </c>
      <c r="C4364" s="1" t="n">
        <v>46046</v>
      </c>
      <c r="D4364" t="inlineStr">
        <is>
          <t>NORRBOTTENS LÄN</t>
        </is>
      </c>
      <c r="E4364" t="inlineStr">
        <is>
          <t>PITEÅ</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57054-2023</t>
        </is>
      </c>
      <c r="B4365" s="1" t="n">
        <v>45244</v>
      </c>
      <c r="C4365" s="1" t="n">
        <v>46046</v>
      </c>
      <c r="D4365" t="inlineStr">
        <is>
          <t>NORRBOTTENS LÄN</t>
        </is>
      </c>
      <c r="E4365" t="inlineStr">
        <is>
          <t>PITEÅ</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34801-2025</t>
        </is>
      </c>
      <c r="B4366" s="1" t="n">
        <v>45848.91371527778</v>
      </c>
      <c r="C4366" s="1" t="n">
        <v>46046</v>
      </c>
      <c r="D4366" t="inlineStr">
        <is>
          <t>NORRBOTTENS LÄN</t>
        </is>
      </c>
      <c r="E4366" t="inlineStr">
        <is>
          <t>ÖVERTORNEÅ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64649-2023</t>
        </is>
      </c>
      <c r="B4367" s="1" t="n">
        <v>45281.57570601852</v>
      </c>
      <c r="C4367" s="1" t="n">
        <v>46046</v>
      </c>
      <c r="D4367" t="inlineStr">
        <is>
          <t>NORRBOTTENS LÄN</t>
        </is>
      </c>
      <c r="E4367" t="inlineStr">
        <is>
          <t>BODEN</t>
        </is>
      </c>
      <c r="F4367" t="inlineStr">
        <is>
          <t>Sveaskog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34842-2025</t>
        </is>
      </c>
      <c r="B4368" s="1" t="n">
        <v>45849.40664351852</v>
      </c>
      <c r="C4368" s="1" t="n">
        <v>46046</v>
      </c>
      <c r="D4368" t="inlineStr">
        <is>
          <t>NORRBOTTENS LÄN</t>
        </is>
      </c>
      <c r="E4368" t="inlineStr">
        <is>
          <t>ÖVERTORNEÅ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39080-2024</t>
        </is>
      </c>
      <c r="B4369" s="1" t="n">
        <v>45548.5446875</v>
      </c>
      <c r="C4369" s="1" t="n">
        <v>46046</v>
      </c>
      <c r="D4369" t="inlineStr">
        <is>
          <t>NORRBOTTENS LÄN</t>
        </is>
      </c>
      <c r="E4369" t="inlineStr">
        <is>
          <t>PAJALA</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34797-2025</t>
        </is>
      </c>
      <c r="B4370" s="1" t="n">
        <v>45848.80690972223</v>
      </c>
      <c r="C4370" s="1" t="n">
        <v>46046</v>
      </c>
      <c r="D4370" t="inlineStr">
        <is>
          <t>NORRBOTTENS LÄN</t>
        </is>
      </c>
      <c r="E4370" t="inlineStr">
        <is>
          <t>PITEÅ</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29555-2024</t>
        </is>
      </c>
      <c r="B4371" s="1" t="n">
        <v>45484</v>
      </c>
      <c r="C4371" s="1" t="n">
        <v>46046</v>
      </c>
      <c r="D4371" t="inlineStr">
        <is>
          <t>NORRBOTTENS LÄN</t>
        </is>
      </c>
      <c r="E4371" t="inlineStr">
        <is>
          <t>LULEÅ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44772-2022</t>
        </is>
      </c>
      <c r="B4372" s="1" t="n">
        <v>44841.2909375</v>
      </c>
      <c r="C4372" s="1" t="n">
        <v>46046</v>
      </c>
      <c r="D4372" t="inlineStr">
        <is>
          <t>NORRBOTTENS LÄN</t>
        </is>
      </c>
      <c r="E4372" t="inlineStr">
        <is>
          <t>PAJALA</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26142-2024</t>
        </is>
      </c>
      <c r="B4373" s="1" t="n">
        <v>45467</v>
      </c>
      <c r="C4373" s="1" t="n">
        <v>46046</v>
      </c>
      <c r="D4373" t="inlineStr">
        <is>
          <t>NORRBOTTENS LÄN</t>
        </is>
      </c>
      <c r="E4373" t="inlineStr">
        <is>
          <t>ÖVERTORNEÅ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472-2023</t>
        </is>
      </c>
      <c r="B4374" s="1" t="n">
        <v>44929.92539351852</v>
      </c>
      <c r="C4374" s="1" t="n">
        <v>46046</v>
      </c>
      <c r="D4374" t="inlineStr">
        <is>
          <t>NORRBOTTENS LÄN</t>
        </is>
      </c>
      <c r="E4374" t="inlineStr">
        <is>
          <t>PITEÅ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473-2023</t>
        </is>
      </c>
      <c r="B4375" s="1" t="n">
        <v>44929.92534722222</v>
      </c>
      <c r="C4375" s="1" t="n">
        <v>46046</v>
      </c>
      <c r="D4375" t="inlineStr">
        <is>
          <t>NORRBOTTENS LÄN</t>
        </is>
      </c>
      <c r="E4375" t="inlineStr">
        <is>
          <t>PITEÅ</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35040-2025</t>
        </is>
      </c>
      <c r="B4376" s="1" t="n">
        <v>45852.34420138889</v>
      </c>
      <c r="C4376" s="1" t="n">
        <v>46046</v>
      </c>
      <c r="D4376" t="inlineStr">
        <is>
          <t>NORRBOTTENS LÄN</t>
        </is>
      </c>
      <c r="E4376" t="inlineStr">
        <is>
          <t>JOKKMOKK</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36515-2024</t>
        </is>
      </c>
      <c r="B4377" s="1" t="n">
        <v>45537</v>
      </c>
      <c r="C4377" s="1" t="n">
        <v>46046</v>
      </c>
      <c r="D4377" t="inlineStr">
        <is>
          <t>NORRBOTTENS LÄN</t>
        </is>
      </c>
      <c r="E4377" t="inlineStr">
        <is>
          <t>PITEÅ</t>
        </is>
      </c>
      <c r="F4377" t="inlineStr">
        <is>
          <t>Sveaskog</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57870-2022</t>
        </is>
      </c>
      <c r="B4378" s="1" t="n">
        <v>44899</v>
      </c>
      <c r="C4378" s="1" t="n">
        <v>46046</v>
      </c>
      <c r="D4378" t="inlineStr">
        <is>
          <t>NORRBOTTENS LÄN</t>
        </is>
      </c>
      <c r="E4378" t="inlineStr">
        <is>
          <t>ÖVERKALIX</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8417-2025</t>
        </is>
      </c>
      <c r="B4379" s="1" t="n">
        <v>45709.39804398148</v>
      </c>
      <c r="C4379" s="1" t="n">
        <v>46046</v>
      </c>
      <c r="D4379" t="inlineStr">
        <is>
          <t>NORRBOTTENS LÄN</t>
        </is>
      </c>
      <c r="E4379" t="inlineStr">
        <is>
          <t>ÖVERKALIX</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60721-2024</t>
        </is>
      </c>
      <c r="B4380" s="1" t="n">
        <v>45644</v>
      </c>
      <c r="C4380" s="1" t="n">
        <v>46046</v>
      </c>
      <c r="D4380" t="inlineStr">
        <is>
          <t>NORRBOTTENS LÄN</t>
        </is>
      </c>
      <c r="E4380" t="inlineStr">
        <is>
          <t>LULEÅ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60739-2024</t>
        </is>
      </c>
      <c r="B4381" s="1" t="n">
        <v>45644.54944444444</v>
      </c>
      <c r="C4381" s="1" t="n">
        <v>46046</v>
      </c>
      <c r="D4381" t="inlineStr">
        <is>
          <t>NORRBOTTENS LÄN</t>
        </is>
      </c>
      <c r="E4381" t="inlineStr">
        <is>
          <t>PITEÅ</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60772-2024</t>
        </is>
      </c>
      <c r="B4382" s="1" t="n">
        <v>45644</v>
      </c>
      <c r="C4382" s="1" t="n">
        <v>46046</v>
      </c>
      <c r="D4382" t="inlineStr">
        <is>
          <t>NORRBOTTENS LÄN</t>
        </is>
      </c>
      <c r="E4382" t="inlineStr">
        <is>
          <t>ÖVERKALIX</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334-2025</t>
        </is>
      </c>
      <c r="B4383" s="1" t="n">
        <v>45660.67420138889</v>
      </c>
      <c r="C4383" s="1" t="n">
        <v>46046</v>
      </c>
      <c r="D4383" t="inlineStr">
        <is>
          <t>NORRBOTTENS LÄN</t>
        </is>
      </c>
      <c r="E4383" t="inlineStr">
        <is>
          <t>PAJALA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338-2025</t>
        </is>
      </c>
      <c r="B4384" s="1" t="n">
        <v>45660</v>
      </c>
      <c r="C4384" s="1" t="n">
        <v>46046</v>
      </c>
      <c r="D4384" t="inlineStr">
        <is>
          <t>NORRBOTTENS LÄN</t>
        </is>
      </c>
      <c r="E4384" t="inlineStr">
        <is>
          <t>PAJALA</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29078-2024</t>
        </is>
      </c>
      <c r="B4385" s="1" t="n">
        <v>45481</v>
      </c>
      <c r="C4385" s="1" t="n">
        <v>46046</v>
      </c>
      <c r="D4385" t="inlineStr">
        <is>
          <t>NORRBOTTENS LÄN</t>
        </is>
      </c>
      <c r="E4385" t="inlineStr">
        <is>
          <t>PAJALA</t>
        </is>
      </c>
      <c r="G4385" t="n">
        <v>21.3</v>
      </c>
      <c r="H4385" t="n">
        <v>0</v>
      </c>
      <c r="I4385" t="n">
        <v>0</v>
      </c>
      <c r="J4385" t="n">
        <v>0</v>
      </c>
      <c r="K4385" t="n">
        <v>0</v>
      </c>
      <c r="L4385" t="n">
        <v>0</v>
      </c>
      <c r="M4385" t="n">
        <v>0</v>
      </c>
      <c r="N4385" t="n">
        <v>0</v>
      </c>
      <c r="O4385" t="n">
        <v>0</v>
      </c>
      <c r="P4385" t="n">
        <v>0</v>
      </c>
      <c r="Q4385" t="n">
        <v>0</v>
      </c>
      <c r="R4385" s="2" t="inlineStr"/>
    </row>
    <row r="4386" ht="15" customHeight="1">
      <c r="A4386" t="inlineStr">
        <is>
          <t>A 20362-2023</t>
        </is>
      </c>
      <c r="B4386" s="1" t="n">
        <v>45054</v>
      </c>
      <c r="C4386" s="1" t="n">
        <v>46046</v>
      </c>
      <c r="D4386" t="inlineStr">
        <is>
          <t>NORRBOTTENS LÄN</t>
        </is>
      </c>
      <c r="E4386" t="inlineStr">
        <is>
          <t>KALIX</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29781-2024</t>
        </is>
      </c>
      <c r="B4387" s="1" t="n">
        <v>45485.45442129629</v>
      </c>
      <c r="C4387" s="1" t="n">
        <v>46046</v>
      </c>
      <c r="D4387" t="inlineStr">
        <is>
          <t>NORRBOTTENS LÄN</t>
        </is>
      </c>
      <c r="E4387" t="inlineStr">
        <is>
          <t>GÄLLIVARE</t>
        </is>
      </c>
      <c r="F4387" t="inlineStr">
        <is>
          <t>Sveaskog</t>
        </is>
      </c>
      <c r="G4387" t="n">
        <v>23.4</v>
      </c>
      <c r="H4387" t="n">
        <v>0</v>
      </c>
      <c r="I4387" t="n">
        <v>0</v>
      </c>
      <c r="J4387" t="n">
        <v>0</v>
      </c>
      <c r="K4387" t="n">
        <v>0</v>
      </c>
      <c r="L4387" t="n">
        <v>0</v>
      </c>
      <c r="M4387" t="n">
        <v>0</v>
      </c>
      <c r="N4387" t="n">
        <v>0</v>
      </c>
      <c r="O4387" t="n">
        <v>0</v>
      </c>
      <c r="P4387" t="n">
        <v>0</v>
      </c>
      <c r="Q4387" t="n">
        <v>0</v>
      </c>
      <c r="R4387" s="2" t="inlineStr"/>
    </row>
    <row r="4388" ht="15" customHeight="1">
      <c r="A4388" t="inlineStr">
        <is>
          <t>A 20690-2024</t>
        </is>
      </c>
      <c r="B4388" s="1" t="n">
        <v>45436</v>
      </c>
      <c r="C4388" s="1" t="n">
        <v>46046</v>
      </c>
      <c r="D4388" t="inlineStr">
        <is>
          <t>NORRBOTTENS LÄN</t>
        </is>
      </c>
      <c r="E4388" t="inlineStr">
        <is>
          <t>LULEÅ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40771-2023</t>
        </is>
      </c>
      <c r="B4389" s="1" t="n">
        <v>45170.95657407407</v>
      </c>
      <c r="C4389" s="1" t="n">
        <v>46046</v>
      </c>
      <c r="D4389" t="inlineStr">
        <is>
          <t>NORRBOTTENS LÄN</t>
        </is>
      </c>
      <c r="E4389" t="inlineStr">
        <is>
          <t>JOKKMOKK</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28079-2024</t>
        </is>
      </c>
      <c r="B4390" s="1" t="n">
        <v>45476.58649305555</v>
      </c>
      <c r="C4390" s="1" t="n">
        <v>46046</v>
      </c>
      <c r="D4390" t="inlineStr">
        <is>
          <t>NORRBOTTENS LÄN</t>
        </is>
      </c>
      <c r="E4390" t="inlineStr">
        <is>
          <t>BODEN</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11915-2023</t>
        </is>
      </c>
      <c r="B4391" s="1" t="n">
        <v>44993</v>
      </c>
      <c r="C4391" s="1" t="n">
        <v>46046</v>
      </c>
      <c r="D4391" t="inlineStr">
        <is>
          <t>NORRBOTTENS LÄN</t>
        </is>
      </c>
      <c r="E4391" t="inlineStr">
        <is>
          <t>ÖVERKALIX</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4347-2025</t>
        </is>
      </c>
      <c r="B4392" s="1" t="n">
        <v>45685.92931712963</v>
      </c>
      <c r="C4392" s="1" t="n">
        <v>46046</v>
      </c>
      <c r="D4392" t="inlineStr">
        <is>
          <t>NORRBOTTENS LÄN</t>
        </is>
      </c>
      <c r="E4392" t="inlineStr">
        <is>
          <t>LULEÅ</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58392-2021</t>
        </is>
      </c>
      <c r="B4393" s="1" t="n">
        <v>44488</v>
      </c>
      <c r="C4393" s="1" t="n">
        <v>46046</v>
      </c>
      <c r="D4393" t="inlineStr">
        <is>
          <t>NORRBOTTENS LÄN</t>
        </is>
      </c>
      <c r="E4393" t="inlineStr">
        <is>
          <t>KALIX</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4396-2025</t>
        </is>
      </c>
      <c r="B4394" s="1" t="n">
        <v>45686.42653935185</v>
      </c>
      <c r="C4394" s="1" t="n">
        <v>46046</v>
      </c>
      <c r="D4394" t="inlineStr">
        <is>
          <t>NORRBOTTENS LÄN</t>
        </is>
      </c>
      <c r="E4394" t="inlineStr">
        <is>
          <t>BODEN</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6778-2023</t>
        </is>
      </c>
      <c r="B4395" s="1" t="n">
        <v>44966</v>
      </c>
      <c r="C4395" s="1" t="n">
        <v>46046</v>
      </c>
      <c r="D4395" t="inlineStr">
        <is>
          <t>NORRBOTTENS LÄN</t>
        </is>
      </c>
      <c r="E4395" t="inlineStr">
        <is>
          <t>JOKKMOKK</t>
        </is>
      </c>
      <c r="F4395" t="inlineStr">
        <is>
          <t>SCA</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6781-2023</t>
        </is>
      </c>
      <c r="B4396" s="1" t="n">
        <v>44966</v>
      </c>
      <c r="C4396" s="1" t="n">
        <v>46046</v>
      </c>
      <c r="D4396" t="inlineStr">
        <is>
          <t>NORRBOTTENS LÄN</t>
        </is>
      </c>
      <c r="E4396" t="inlineStr">
        <is>
          <t>GÄLLIVARE</t>
        </is>
      </c>
      <c r="F4396" t="inlineStr">
        <is>
          <t>SCA</t>
        </is>
      </c>
      <c r="G4396" t="n">
        <v>14.1</v>
      </c>
      <c r="H4396" t="n">
        <v>0</v>
      </c>
      <c r="I4396" t="n">
        <v>0</v>
      </c>
      <c r="J4396" t="n">
        <v>0</v>
      </c>
      <c r="K4396" t="n">
        <v>0</v>
      </c>
      <c r="L4396" t="n">
        <v>0</v>
      </c>
      <c r="M4396" t="n">
        <v>0</v>
      </c>
      <c r="N4396" t="n">
        <v>0</v>
      </c>
      <c r="O4396" t="n">
        <v>0</v>
      </c>
      <c r="P4396" t="n">
        <v>0</v>
      </c>
      <c r="Q4396" t="n">
        <v>0</v>
      </c>
      <c r="R4396" s="2" t="inlineStr"/>
    </row>
    <row r="4397" ht="15" customHeight="1">
      <c r="A4397" t="inlineStr">
        <is>
          <t>A 53821-2024</t>
        </is>
      </c>
      <c r="B4397" s="1" t="n">
        <v>45615</v>
      </c>
      <c r="C4397" s="1" t="n">
        <v>46046</v>
      </c>
      <c r="D4397" t="inlineStr">
        <is>
          <t>NORRBOTTENS LÄN</t>
        </is>
      </c>
      <c r="E4397" t="inlineStr">
        <is>
          <t>GÄLLIVARE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4237-2025</t>
        </is>
      </c>
      <c r="B4398" s="1" t="n">
        <v>45685</v>
      </c>
      <c r="C4398" s="1" t="n">
        <v>46046</v>
      </c>
      <c r="D4398" t="inlineStr">
        <is>
          <t>NORRBOTTENS LÄN</t>
        </is>
      </c>
      <c r="E4398" t="inlineStr">
        <is>
          <t>LULEÅ</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35173-2025</t>
        </is>
      </c>
      <c r="B4399" s="1" t="n">
        <v>45852.89065972222</v>
      </c>
      <c r="C4399" s="1" t="n">
        <v>46046</v>
      </c>
      <c r="D4399" t="inlineStr">
        <is>
          <t>NORRBOTTENS LÄN</t>
        </is>
      </c>
      <c r="E4399" t="inlineStr">
        <is>
          <t>PAJALA</t>
        </is>
      </c>
      <c r="F4399" t="inlineStr">
        <is>
          <t>Sveaskog</t>
        </is>
      </c>
      <c r="G4399" t="n">
        <v>39.6</v>
      </c>
      <c r="H4399" t="n">
        <v>0</v>
      </c>
      <c r="I4399" t="n">
        <v>0</v>
      </c>
      <c r="J4399" t="n">
        <v>0</v>
      </c>
      <c r="K4399" t="n">
        <v>0</v>
      </c>
      <c r="L4399" t="n">
        <v>0</v>
      </c>
      <c r="M4399" t="n">
        <v>0</v>
      </c>
      <c r="N4399" t="n">
        <v>0</v>
      </c>
      <c r="O4399" t="n">
        <v>0</v>
      </c>
      <c r="P4399" t="n">
        <v>0</v>
      </c>
      <c r="Q4399" t="n">
        <v>0</v>
      </c>
      <c r="R4399" s="2" t="inlineStr"/>
    </row>
    <row r="4400" ht="15" customHeight="1">
      <c r="A4400" t="inlineStr">
        <is>
          <t>A 6825-2023</t>
        </is>
      </c>
      <c r="B4400" s="1" t="n">
        <v>44967.40280092593</v>
      </c>
      <c r="C4400" s="1" t="n">
        <v>46046</v>
      </c>
      <c r="D4400" t="inlineStr">
        <is>
          <t>NORRBOTTENS LÄN</t>
        </is>
      </c>
      <c r="E4400" t="inlineStr">
        <is>
          <t>ÄLVSBYN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15483-2025</t>
        </is>
      </c>
      <c r="B4401" s="1" t="n">
        <v>45747.56618055556</v>
      </c>
      <c r="C4401" s="1" t="n">
        <v>46046</v>
      </c>
      <c r="D4401" t="inlineStr">
        <is>
          <t>NORRBOTTENS LÄN</t>
        </is>
      </c>
      <c r="E4401" t="inlineStr">
        <is>
          <t>BODEN</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15818-2025</t>
        </is>
      </c>
      <c r="B4402" s="1" t="n">
        <v>45748.68107638889</v>
      </c>
      <c r="C4402" s="1" t="n">
        <v>46046</v>
      </c>
      <c r="D4402" t="inlineStr">
        <is>
          <t>NORRBOTTENS LÄN</t>
        </is>
      </c>
      <c r="E4402" t="inlineStr">
        <is>
          <t>KALIX</t>
        </is>
      </c>
      <c r="F4402" t="inlineStr">
        <is>
          <t>SCA</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49641-2024</t>
        </is>
      </c>
      <c r="B4403" s="1" t="n">
        <v>45596</v>
      </c>
      <c r="C4403" s="1" t="n">
        <v>46046</v>
      </c>
      <c r="D4403" t="inlineStr">
        <is>
          <t>NORRBOTTENS LÄN</t>
        </is>
      </c>
      <c r="E4403" t="inlineStr">
        <is>
          <t>LULEÅ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24744-2024</t>
        </is>
      </c>
      <c r="B4404" s="1" t="n">
        <v>45460</v>
      </c>
      <c r="C4404" s="1" t="n">
        <v>46046</v>
      </c>
      <c r="D4404" t="inlineStr">
        <is>
          <t>NORRBOTTENS LÄN</t>
        </is>
      </c>
      <c r="E4404" t="inlineStr">
        <is>
          <t>BODEN</t>
        </is>
      </c>
      <c r="F4404" t="inlineStr">
        <is>
          <t>Övriga Aktiebolag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13842-2024</t>
        </is>
      </c>
      <c r="B4405" s="1" t="n">
        <v>45390</v>
      </c>
      <c r="C4405" s="1" t="n">
        <v>46046</v>
      </c>
      <c r="D4405" t="inlineStr">
        <is>
          <t>NORRBOTTENS LÄN</t>
        </is>
      </c>
      <c r="E4405" t="inlineStr">
        <is>
          <t>ÖVERTORNEÅ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57233-2022</t>
        </is>
      </c>
      <c r="B4406" s="1" t="n">
        <v>44895.67405092593</v>
      </c>
      <c r="C4406" s="1" t="n">
        <v>46046</v>
      </c>
      <c r="D4406" t="inlineStr">
        <is>
          <t>NORRBOTTENS LÄN</t>
        </is>
      </c>
      <c r="E4406" t="inlineStr">
        <is>
          <t>ÄLVSBYN</t>
        </is>
      </c>
      <c r="F4406" t="inlineStr">
        <is>
          <t>Övriga Aktiebolag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16473-2025</t>
        </is>
      </c>
      <c r="B4407" s="1" t="n">
        <v>45751.55675925926</v>
      </c>
      <c r="C4407" s="1" t="n">
        <v>46046</v>
      </c>
      <c r="D4407" t="inlineStr">
        <is>
          <t>NORRBOTTENS LÄN</t>
        </is>
      </c>
      <c r="E4407" t="inlineStr">
        <is>
          <t>ÄLVSBYN</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32902-2021</t>
        </is>
      </c>
      <c r="B4408" s="1" t="n">
        <v>44375.91929398148</v>
      </c>
      <c r="C4408" s="1" t="n">
        <v>46046</v>
      </c>
      <c r="D4408" t="inlineStr">
        <is>
          <t>NORRBOTTENS LÄN</t>
        </is>
      </c>
      <c r="E4408" t="inlineStr">
        <is>
          <t>ÖVERTORNEÅ</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34984-2025</t>
        </is>
      </c>
      <c r="B4409" s="1" t="n">
        <v>45849.75715277778</v>
      </c>
      <c r="C4409" s="1" t="n">
        <v>46046</v>
      </c>
      <c r="D4409" t="inlineStr">
        <is>
          <t>NORRBOTTENS LÄN</t>
        </is>
      </c>
      <c r="E4409" t="inlineStr">
        <is>
          <t>PAJALA</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51280-2024</t>
        </is>
      </c>
      <c r="B4410" s="1" t="n">
        <v>45603.75905092592</v>
      </c>
      <c r="C4410" s="1" t="n">
        <v>46046</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37429-2024</t>
        </is>
      </c>
      <c r="B4411" s="1" t="n">
        <v>45540</v>
      </c>
      <c r="C4411" s="1" t="n">
        <v>46046</v>
      </c>
      <c r="D4411" t="inlineStr">
        <is>
          <t>NORRBOTTENS LÄN</t>
        </is>
      </c>
      <c r="E4411" t="inlineStr">
        <is>
          <t>ÖVERKALIX</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35019-2025</t>
        </is>
      </c>
      <c r="B4412" s="1" t="n">
        <v>45851.86467592593</v>
      </c>
      <c r="C4412" s="1" t="n">
        <v>46046</v>
      </c>
      <c r="D4412" t="inlineStr">
        <is>
          <t>NORRBOTTENS LÄN</t>
        </is>
      </c>
      <c r="E4412" t="inlineStr">
        <is>
          <t>KALIX</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10838-2025</t>
        </is>
      </c>
      <c r="B4413" s="1" t="n">
        <v>45722</v>
      </c>
      <c r="C4413" s="1" t="n">
        <v>46046</v>
      </c>
      <c r="D4413" t="inlineStr">
        <is>
          <t>NORRBOTTENS LÄN</t>
        </is>
      </c>
      <c r="E4413" t="inlineStr">
        <is>
          <t>ARVIDSJAUR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59115-2021</t>
        </is>
      </c>
      <c r="B4414" s="1" t="n">
        <v>44490.43877314815</v>
      </c>
      <c r="C4414" s="1" t="n">
        <v>46046</v>
      </c>
      <c r="D4414" t="inlineStr">
        <is>
          <t>NORRBOTTENS LÄN</t>
        </is>
      </c>
      <c r="E4414" t="inlineStr">
        <is>
          <t>LULEÅ</t>
        </is>
      </c>
      <c r="F4414" t="inlineStr">
        <is>
          <t>Kommuner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54935-2021</t>
        </is>
      </c>
      <c r="B4415" s="1" t="n">
        <v>44474</v>
      </c>
      <c r="C4415" s="1" t="n">
        <v>46046</v>
      </c>
      <c r="D4415" t="inlineStr">
        <is>
          <t>NORRBOTTENS LÄN</t>
        </is>
      </c>
      <c r="E4415" t="inlineStr">
        <is>
          <t>BODEN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674-2022</t>
        </is>
      </c>
      <c r="B4416" s="1" t="n">
        <v>44568</v>
      </c>
      <c r="C4416" s="1" t="n">
        <v>46046</v>
      </c>
      <c r="D4416" t="inlineStr">
        <is>
          <t>NORRBOTTENS LÄN</t>
        </is>
      </c>
      <c r="E4416" t="inlineStr">
        <is>
          <t>PAJALA</t>
        </is>
      </c>
      <c r="G4416" t="n">
        <v>19.5</v>
      </c>
      <c r="H4416" t="n">
        <v>0</v>
      </c>
      <c r="I4416" t="n">
        <v>0</v>
      </c>
      <c r="J4416" t="n">
        <v>0</v>
      </c>
      <c r="K4416" t="n">
        <v>0</v>
      </c>
      <c r="L4416" t="n">
        <v>0</v>
      </c>
      <c r="M4416" t="n">
        <v>0</v>
      </c>
      <c r="N4416" t="n">
        <v>0</v>
      </c>
      <c r="O4416" t="n">
        <v>0</v>
      </c>
      <c r="P4416" t="n">
        <v>0</v>
      </c>
      <c r="Q4416" t="n">
        <v>0</v>
      </c>
      <c r="R4416" s="2" t="inlineStr"/>
    </row>
    <row r="4417" ht="15" customHeight="1">
      <c r="A4417" t="inlineStr">
        <is>
          <t>A 708-2022</t>
        </is>
      </c>
      <c r="B4417" s="1" t="n">
        <v>44566</v>
      </c>
      <c r="C4417" s="1" t="n">
        <v>46046</v>
      </c>
      <c r="D4417" t="inlineStr">
        <is>
          <t>NORRBOTTENS LÄN</t>
        </is>
      </c>
      <c r="E4417" t="inlineStr">
        <is>
          <t>BODEN</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6790-2025</t>
        </is>
      </c>
      <c r="B4418" s="1" t="n">
        <v>45700.6628587963</v>
      </c>
      <c r="C4418" s="1" t="n">
        <v>46046</v>
      </c>
      <c r="D4418" t="inlineStr">
        <is>
          <t>NORRBOTTENS LÄN</t>
        </is>
      </c>
      <c r="E4418" t="inlineStr">
        <is>
          <t>ÖVERTORNEÅ</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35402-2025</t>
        </is>
      </c>
      <c r="B4419" s="1" t="n">
        <v>45855.34423611111</v>
      </c>
      <c r="C4419" s="1" t="n">
        <v>46046</v>
      </c>
      <c r="D4419" t="inlineStr">
        <is>
          <t>NORRBOTTENS LÄN</t>
        </is>
      </c>
      <c r="E4419" t="inlineStr">
        <is>
          <t>PITEÅ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64524-2023</t>
        </is>
      </c>
      <c r="B4420" s="1" t="n">
        <v>45281</v>
      </c>
      <c r="C4420" s="1" t="n">
        <v>46046</v>
      </c>
      <c r="D4420" t="inlineStr">
        <is>
          <t>NORRBOTTENS LÄN</t>
        </is>
      </c>
      <c r="E4420" t="inlineStr">
        <is>
          <t>ÖVERKALIX</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41659-2024</t>
        </is>
      </c>
      <c r="B4421" s="1" t="n">
        <v>45560</v>
      </c>
      <c r="C4421" s="1" t="n">
        <v>46046</v>
      </c>
      <c r="D4421" t="inlineStr">
        <is>
          <t>NORRBOTTENS LÄN</t>
        </is>
      </c>
      <c r="E4421" t="inlineStr">
        <is>
          <t>ARVIDSJAUR</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15513-2021</t>
        </is>
      </c>
      <c r="B4422" s="1" t="n">
        <v>44285</v>
      </c>
      <c r="C4422" s="1" t="n">
        <v>46046</v>
      </c>
      <c r="D4422" t="inlineStr">
        <is>
          <t>NORRBOTTENS LÄN</t>
        </is>
      </c>
      <c r="E4422" t="inlineStr">
        <is>
          <t>PITEÅ</t>
        </is>
      </c>
      <c r="F4422" t="inlineStr">
        <is>
          <t>Sveaskog</t>
        </is>
      </c>
      <c r="G4422" t="n">
        <v>40.1</v>
      </c>
      <c r="H4422" t="n">
        <v>0</v>
      </c>
      <c r="I4422" t="n">
        <v>0</v>
      </c>
      <c r="J4422" t="n">
        <v>0</v>
      </c>
      <c r="K4422" t="n">
        <v>0</v>
      </c>
      <c r="L4422" t="n">
        <v>0</v>
      </c>
      <c r="M4422" t="n">
        <v>0</v>
      </c>
      <c r="N4422" t="n">
        <v>0</v>
      </c>
      <c r="O4422" t="n">
        <v>0</v>
      </c>
      <c r="P4422" t="n">
        <v>0</v>
      </c>
      <c r="Q4422" t="n">
        <v>0</v>
      </c>
      <c r="R4422" s="2" t="inlineStr"/>
    </row>
    <row r="4423" ht="15" customHeight="1">
      <c r="A4423" t="inlineStr">
        <is>
          <t>A 46072-2021</t>
        </is>
      </c>
      <c r="B4423" s="1" t="n">
        <v>44442</v>
      </c>
      <c r="C4423" s="1" t="n">
        <v>46046</v>
      </c>
      <c r="D4423" t="inlineStr">
        <is>
          <t>NORRBOTTENS LÄN</t>
        </is>
      </c>
      <c r="E4423" t="inlineStr">
        <is>
          <t>ARVIDSJAUR</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48914-2023</t>
        </is>
      </c>
      <c r="B4424" s="1" t="n">
        <v>45204</v>
      </c>
      <c r="C4424" s="1" t="n">
        <v>46046</v>
      </c>
      <c r="D4424" t="inlineStr">
        <is>
          <t>NORRBOTTENS LÄN</t>
        </is>
      </c>
      <c r="E4424" t="inlineStr">
        <is>
          <t>PAJALA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4412-2023</t>
        </is>
      </c>
      <c r="B4425" s="1" t="n">
        <v>44956.38069444444</v>
      </c>
      <c r="C4425" s="1" t="n">
        <v>46046</v>
      </c>
      <c r="D4425" t="inlineStr">
        <is>
          <t>NORRBOTTENS LÄN</t>
        </is>
      </c>
      <c r="E4425" t="inlineStr">
        <is>
          <t>KALIX</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2309-2023</t>
        </is>
      </c>
      <c r="B4426" s="1" t="n">
        <v>44942</v>
      </c>
      <c r="C4426" s="1" t="n">
        <v>46046</v>
      </c>
      <c r="D4426" t="inlineStr">
        <is>
          <t>NORRBOTTENS LÄN</t>
        </is>
      </c>
      <c r="E4426" t="inlineStr">
        <is>
          <t>ARVIDSJAUR</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27666-2024</t>
        </is>
      </c>
      <c r="B4427" s="1" t="n">
        <v>45474</v>
      </c>
      <c r="C4427" s="1" t="n">
        <v>46046</v>
      </c>
      <c r="D4427" t="inlineStr">
        <is>
          <t>NORRBOTTENS LÄN</t>
        </is>
      </c>
      <c r="E4427" t="inlineStr">
        <is>
          <t>GÄLLIVARE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39272-2024</t>
        </is>
      </c>
      <c r="B4428" s="1" t="n">
        <v>45551.34525462963</v>
      </c>
      <c r="C4428" s="1" t="n">
        <v>46046</v>
      </c>
      <c r="D4428" t="inlineStr">
        <is>
          <t>NORRBOTTENS LÄN</t>
        </is>
      </c>
      <c r="E4428" t="inlineStr">
        <is>
          <t>BODEN</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51689-2023</t>
        </is>
      </c>
      <c r="B4429" s="1" t="n">
        <v>45215</v>
      </c>
      <c r="C4429" s="1" t="n">
        <v>46046</v>
      </c>
      <c r="D4429" t="inlineStr">
        <is>
          <t>NORRBOTTENS LÄN</t>
        </is>
      </c>
      <c r="E4429" t="inlineStr">
        <is>
          <t>PAJALA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19259-2024</t>
        </is>
      </c>
      <c r="B4430" s="1" t="n">
        <v>45428</v>
      </c>
      <c r="C4430" s="1" t="n">
        <v>46046</v>
      </c>
      <c r="D4430" t="inlineStr">
        <is>
          <t>NORRBOTTENS LÄN</t>
        </is>
      </c>
      <c r="E4430" t="inlineStr">
        <is>
          <t>ÖVERKALIX</t>
        </is>
      </c>
      <c r="F4430" t="inlineStr">
        <is>
          <t>Sveaskog</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35474-2025</t>
        </is>
      </c>
      <c r="B4431" s="1" t="n">
        <v>45855</v>
      </c>
      <c r="C4431" s="1" t="n">
        <v>46046</v>
      </c>
      <c r="D4431" t="inlineStr">
        <is>
          <t>NORRBOTTENS LÄN</t>
        </is>
      </c>
      <c r="E4431" t="inlineStr">
        <is>
          <t>GÄLLIVARE</t>
        </is>
      </c>
      <c r="F4431" t="inlineStr">
        <is>
          <t>Allmännings- och besparingsskogar</t>
        </is>
      </c>
      <c r="G4431" t="n">
        <v>28.5</v>
      </c>
      <c r="H4431" t="n">
        <v>0</v>
      </c>
      <c r="I4431" t="n">
        <v>0</v>
      </c>
      <c r="J4431" t="n">
        <v>0</v>
      </c>
      <c r="K4431" t="n">
        <v>0</v>
      </c>
      <c r="L4431" t="n">
        <v>0</v>
      </c>
      <c r="M4431" t="n">
        <v>0</v>
      </c>
      <c r="N4431" t="n">
        <v>0</v>
      </c>
      <c r="O4431" t="n">
        <v>0</v>
      </c>
      <c r="P4431" t="n">
        <v>0</v>
      </c>
      <c r="Q4431" t="n">
        <v>0</v>
      </c>
      <c r="R4431" s="2" t="inlineStr"/>
    </row>
    <row r="4432" ht="15" customHeight="1">
      <c r="A4432" t="inlineStr">
        <is>
          <t>A 59722-2024</t>
        </is>
      </c>
      <c r="B4432" s="1" t="n">
        <v>45639</v>
      </c>
      <c r="C4432" s="1" t="n">
        <v>46046</v>
      </c>
      <c r="D4432" t="inlineStr">
        <is>
          <t>NORRBOTTENS LÄN</t>
        </is>
      </c>
      <c r="E4432" t="inlineStr">
        <is>
          <t>BODEN</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37304-2024</t>
        </is>
      </c>
      <c r="B4433" s="1" t="n">
        <v>45540</v>
      </c>
      <c r="C4433" s="1" t="n">
        <v>46046</v>
      </c>
      <c r="D4433" t="inlineStr">
        <is>
          <t>NORRBOTTENS LÄN</t>
        </is>
      </c>
      <c r="E4433" t="inlineStr">
        <is>
          <t>LULEÅ</t>
        </is>
      </c>
      <c r="F4433" t="inlineStr">
        <is>
          <t>SCA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46900-2024</t>
        </is>
      </c>
      <c r="B4434" s="1" t="n">
        <v>45583</v>
      </c>
      <c r="C4434" s="1" t="n">
        <v>46046</v>
      </c>
      <c r="D4434" t="inlineStr">
        <is>
          <t>NORRBOTTENS LÄN</t>
        </is>
      </c>
      <c r="E4434" t="inlineStr">
        <is>
          <t>BODEN</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46903-2024</t>
        </is>
      </c>
      <c r="B4435" s="1" t="n">
        <v>45583.69863425926</v>
      </c>
      <c r="C4435" s="1" t="n">
        <v>46046</v>
      </c>
      <c r="D4435" t="inlineStr">
        <is>
          <t>NORRBOTTENS LÄN</t>
        </is>
      </c>
      <c r="E4435" t="inlineStr">
        <is>
          <t>BODEN</t>
        </is>
      </c>
      <c r="F4435" t="inlineStr">
        <is>
          <t>SCA</t>
        </is>
      </c>
      <c r="G4435" t="n">
        <v>21.2</v>
      </c>
      <c r="H4435" t="n">
        <v>0</v>
      </c>
      <c r="I4435" t="n">
        <v>0</v>
      </c>
      <c r="J4435" t="n">
        <v>0</v>
      </c>
      <c r="K4435" t="n">
        <v>0</v>
      </c>
      <c r="L4435" t="n">
        <v>0</v>
      </c>
      <c r="M4435" t="n">
        <v>0</v>
      </c>
      <c r="N4435" t="n">
        <v>0</v>
      </c>
      <c r="O4435" t="n">
        <v>0</v>
      </c>
      <c r="P4435" t="n">
        <v>0</v>
      </c>
      <c r="Q4435" t="n">
        <v>0</v>
      </c>
      <c r="R4435" s="2" t="inlineStr"/>
    </row>
    <row r="4436" ht="15" customHeight="1">
      <c r="A4436" t="inlineStr">
        <is>
          <t>A 36797-2023</t>
        </is>
      </c>
      <c r="B4436" s="1" t="n">
        <v>45154.39217592592</v>
      </c>
      <c r="C4436" s="1" t="n">
        <v>46046</v>
      </c>
      <c r="D4436" t="inlineStr">
        <is>
          <t>NORRBOTTENS LÄN</t>
        </is>
      </c>
      <c r="E4436" t="inlineStr">
        <is>
          <t>ÖVERKALIX</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46931-2024</t>
        </is>
      </c>
      <c r="B4437" s="1" t="n">
        <v>45584.99240740741</v>
      </c>
      <c r="C4437" s="1" t="n">
        <v>46046</v>
      </c>
      <c r="D4437" t="inlineStr">
        <is>
          <t>NORRBOTTENS LÄN</t>
        </is>
      </c>
      <c r="E4437" t="inlineStr">
        <is>
          <t>PITEÅ</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46932-2024</t>
        </is>
      </c>
      <c r="B4438" s="1" t="n">
        <v>45585.00625</v>
      </c>
      <c r="C4438" s="1" t="n">
        <v>46046</v>
      </c>
      <c r="D4438" t="inlineStr">
        <is>
          <t>NORRBOTTENS LÄN</t>
        </is>
      </c>
      <c r="E4438" t="inlineStr">
        <is>
          <t>PITEÅ</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47017-2024</t>
        </is>
      </c>
      <c r="B4439" s="1" t="n">
        <v>45586.39534722222</v>
      </c>
      <c r="C4439" s="1" t="n">
        <v>46046</v>
      </c>
      <c r="D4439" t="inlineStr">
        <is>
          <t>NORRBOTTENS LÄN</t>
        </is>
      </c>
      <c r="E4439" t="inlineStr">
        <is>
          <t>PITEÅ</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35471-2025</t>
        </is>
      </c>
      <c r="B4440" s="1" t="n">
        <v>45855</v>
      </c>
      <c r="C4440" s="1" t="n">
        <v>46046</v>
      </c>
      <c r="D4440" t="inlineStr">
        <is>
          <t>NORRBOTTENS LÄN</t>
        </is>
      </c>
      <c r="E4440" t="inlineStr">
        <is>
          <t>GÄLLIVARE</t>
        </is>
      </c>
      <c r="F4440" t="inlineStr">
        <is>
          <t>Allmännings- och besparingsskogar</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48594-2024</t>
        </is>
      </c>
      <c r="B4441" s="1" t="n">
        <v>45593</v>
      </c>
      <c r="C4441" s="1" t="n">
        <v>46046</v>
      </c>
      <c r="D4441" t="inlineStr">
        <is>
          <t>NORRBOTTENS LÄN</t>
        </is>
      </c>
      <c r="E4441" t="inlineStr">
        <is>
          <t>PITEÅ</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48616-2024</t>
        </is>
      </c>
      <c r="B4442" s="1" t="n">
        <v>45593.45395833333</v>
      </c>
      <c r="C4442" s="1" t="n">
        <v>46046</v>
      </c>
      <c r="D4442" t="inlineStr">
        <is>
          <t>NORRBOTTENS LÄN</t>
        </is>
      </c>
      <c r="E4442" t="inlineStr">
        <is>
          <t>ARVIDSJAUR</t>
        </is>
      </c>
      <c r="F4442" t="inlineStr">
        <is>
          <t>Sveaskog</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23880-2022</t>
        </is>
      </c>
      <c r="B4443" s="1" t="n">
        <v>44722.56501157407</v>
      </c>
      <c r="C4443" s="1" t="n">
        <v>46046</v>
      </c>
      <c r="D4443" t="inlineStr">
        <is>
          <t>NORRBOTTENS LÄN</t>
        </is>
      </c>
      <c r="E4443" t="inlineStr">
        <is>
          <t>PITEÅ</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5411-2024</t>
        </is>
      </c>
      <c r="B4444" s="1" t="n">
        <v>45331</v>
      </c>
      <c r="C4444" s="1" t="n">
        <v>46046</v>
      </c>
      <c r="D4444" t="inlineStr">
        <is>
          <t>NORRBOTTENS LÄN</t>
        </is>
      </c>
      <c r="E4444" t="inlineStr">
        <is>
          <t>KIRUNA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35421-2025</t>
        </is>
      </c>
      <c r="B4445" s="1" t="n">
        <v>45855.41163194444</v>
      </c>
      <c r="C4445" s="1" t="n">
        <v>46046</v>
      </c>
      <c r="D4445" t="inlineStr">
        <is>
          <t>NORRBOTTENS LÄN</t>
        </is>
      </c>
      <c r="E4445" t="inlineStr">
        <is>
          <t>PAJALA</t>
        </is>
      </c>
      <c r="F4445" t="inlineStr">
        <is>
          <t>Sveaskog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35470-2025</t>
        </is>
      </c>
      <c r="B4446" s="1" t="n">
        <v>45855</v>
      </c>
      <c r="C4446" s="1" t="n">
        <v>46046</v>
      </c>
      <c r="D4446" t="inlineStr">
        <is>
          <t>NORRBOTTENS LÄN</t>
        </is>
      </c>
      <c r="E4446" t="inlineStr">
        <is>
          <t>GÄLLIVARE</t>
        </is>
      </c>
      <c r="F4446" t="inlineStr">
        <is>
          <t>Allmännings- och besparingsskogar</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18208-2023</t>
        </is>
      </c>
      <c r="B4447" s="1" t="n">
        <v>45040</v>
      </c>
      <c r="C4447" s="1" t="n">
        <v>46046</v>
      </c>
      <c r="D4447" t="inlineStr">
        <is>
          <t>NORRBOTTENS LÄN</t>
        </is>
      </c>
      <c r="E4447" t="inlineStr">
        <is>
          <t>LULEÅ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35472-2025</t>
        </is>
      </c>
      <c r="B4448" s="1" t="n">
        <v>45855</v>
      </c>
      <c r="C4448" s="1" t="n">
        <v>46046</v>
      </c>
      <c r="D4448" t="inlineStr">
        <is>
          <t>NORRBOTTENS LÄN</t>
        </is>
      </c>
      <c r="E4448" t="inlineStr">
        <is>
          <t>GÄLLIVARE</t>
        </is>
      </c>
      <c r="F4448" t="inlineStr">
        <is>
          <t>Allmännings- och besparingsskogar</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62801-2023</t>
        </is>
      </c>
      <c r="B4449" s="1" t="n">
        <v>45268</v>
      </c>
      <c r="C4449" s="1" t="n">
        <v>46046</v>
      </c>
      <c r="D4449" t="inlineStr">
        <is>
          <t>NORRBOTTENS LÄN</t>
        </is>
      </c>
      <c r="E4449" t="inlineStr">
        <is>
          <t>ARJEPLOG</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62829-2023</t>
        </is>
      </c>
      <c r="B4450" s="1" t="n">
        <v>45271.92707175926</v>
      </c>
      <c r="C4450" s="1" t="n">
        <v>46046</v>
      </c>
      <c r="D4450" t="inlineStr">
        <is>
          <t>NORRBOTTENS LÄN</t>
        </is>
      </c>
      <c r="E4450" t="inlineStr">
        <is>
          <t>PAJALA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26925-2024</t>
        </is>
      </c>
      <c r="B4451" s="1" t="n">
        <v>45470.93118055556</v>
      </c>
      <c r="C4451" s="1" t="n">
        <v>46046</v>
      </c>
      <c r="D4451" t="inlineStr">
        <is>
          <t>NORRBOTTENS LÄN</t>
        </is>
      </c>
      <c r="E4451" t="inlineStr">
        <is>
          <t>LULEÅ</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40620-2024</t>
        </is>
      </c>
      <c r="B4452" s="1" t="n">
        <v>45557.55927083334</v>
      </c>
      <c r="C4452" s="1" t="n">
        <v>46046</v>
      </c>
      <c r="D4452" t="inlineStr">
        <is>
          <t>NORRBOTTENS LÄN</t>
        </is>
      </c>
      <c r="E4452" t="inlineStr">
        <is>
          <t>PAJALA</t>
        </is>
      </c>
      <c r="G4452" t="n">
        <v>27.7</v>
      </c>
      <c r="H4452" t="n">
        <v>0</v>
      </c>
      <c r="I4452" t="n">
        <v>0</v>
      </c>
      <c r="J4452" t="n">
        <v>0</v>
      </c>
      <c r="K4452" t="n">
        <v>0</v>
      </c>
      <c r="L4452" t="n">
        <v>0</v>
      </c>
      <c r="M4452" t="n">
        <v>0</v>
      </c>
      <c r="N4452" t="n">
        <v>0</v>
      </c>
      <c r="O4452" t="n">
        <v>0</v>
      </c>
      <c r="P4452" t="n">
        <v>0</v>
      </c>
      <c r="Q4452" t="n">
        <v>0</v>
      </c>
      <c r="R4452" s="2" t="inlineStr"/>
    </row>
    <row r="4453" ht="15" customHeight="1">
      <c r="A4453" t="inlineStr">
        <is>
          <t>A 35588-2025</t>
        </is>
      </c>
      <c r="B4453" s="1" t="n">
        <v>45857.60824074074</v>
      </c>
      <c r="C4453" s="1" t="n">
        <v>46046</v>
      </c>
      <c r="D4453" t="inlineStr">
        <is>
          <t>NORRBOTTENS LÄN</t>
        </is>
      </c>
      <c r="E4453" t="inlineStr">
        <is>
          <t>ÖVERTORNEÅ</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35590-2025</t>
        </is>
      </c>
      <c r="B4454" s="1" t="n">
        <v>45857.62436342592</v>
      </c>
      <c r="C4454" s="1" t="n">
        <v>46046</v>
      </c>
      <c r="D4454" t="inlineStr">
        <is>
          <t>NORRBOTTENS LÄN</t>
        </is>
      </c>
      <c r="E4454" t="inlineStr">
        <is>
          <t>ÖVERTORNEÅ</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35594-2025</t>
        </is>
      </c>
      <c r="B4455" s="1" t="n">
        <v>45857.77271990741</v>
      </c>
      <c r="C4455" s="1" t="n">
        <v>46046</v>
      </c>
      <c r="D4455" t="inlineStr">
        <is>
          <t>NORRBOTTENS LÄN</t>
        </is>
      </c>
      <c r="E4455" t="inlineStr">
        <is>
          <t>ÖVERTORNEÅ</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7929-2025</t>
        </is>
      </c>
      <c r="B4456" s="1" t="n">
        <v>45707.37032407407</v>
      </c>
      <c r="C4456" s="1" t="n">
        <v>46046</v>
      </c>
      <c r="D4456" t="inlineStr">
        <is>
          <t>NORRBOTTENS LÄN</t>
        </is>
      </c>
      <c r="E4456" t="inlineStr">
        <is>
          <t>PAJALA</t>
        </is>
      </c>
      <c r="G4456" t="n">
        <v>8.699999999999999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59026-2022</t>
        </is>
      </c>
      <c r="B4457" s="1" t="n">
        <v>44903.91303240741</v>
      </c>
      <c r="C4457" s="1" t="n">
        <v>46046</v>
      </c>
      <c r="D4457" t="inlineStr">
        <is>
          <t>NORRBOTTENS LÄN</t>
        </is>
      </c>
      <c r="E4457" t="inlineStr">
        <is>
          <t>KALIX</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59028-2022</t>
        </is>
      </c>
      <c r="B4458" s="1" t="n">
        <v>44903.92694444444</v>
      </c>
      <c r="C4458" s="1" t="n">
        <v>46046</v>
      </c>
      <c r="D4458" t="inlineStr">
        <is>
          <t>NORRBOTTENS LÄN</t>
        </is>
      </c>
      <c r="E4458" t="inlineStr">
        <is>
          <t>BODEN</t>
        </is>
      </c>
      <c r="G4458" t="n">
        <v>16.1</v>
      </c>
      <c r="H4458" t="n">
        <v>0</v>
      </c>
      <c r="I4458" t="n">
        <v>0</v>
      </c>
      <c r="J4458" t="n">
        <v>0</v>
      </c>
      <c r="K4458" t="n">
        <v>0</v>
      </c>
      <c r="L4458" t="n">
        <v>0</v>
      </c>
      <c r="M4458" t="n">
        <v>0</v>
      </c>
      <c r="N4458" t="n">
        <v>0</v>
      </c>
      <c r="O4458" t="n">
        <v>0</v>
      </c>
      <c r="P4458" t="n">
        <v>0</v>
      </c>
      <c r="Q4458" t="n">
        <v>0</v>
      </c>
      <c r="R4458" s="2" t="inlineStr"/>
    </row>
    <row r="4459" ht="15" customHeight="1">
      <c r="A4459" t="inlineStr">
        <is>
          <t>A 8008-2025</t>
        </is>
      </c>
      <c r="B4459" s="1" t="n">
        <v>45707.53890046296</v>
      </c>
      <c r="C4459" s="1" t="n">
        <v>46046</v>
      </c>
      <c r="D4459" t="inlineStr">
        <is>
          <t>NORRBOTTENS LÄN</t>
        </is>
      </c>
      <c r="E4459" t="inlineStr">
        <is>
          <t>BODEN</t>
        </is>
      </c>
      <c r="G4459" t="n">
        <v>11.3</v>
      </c>
      <c r="H4459" t="n">
        <v>0</v>
      </c>
      <c r="I4459" t="n">
        <v>0</v>
      </c>
      <c r="J4459" t="n">
        <v>0</v>
      </c>
      <c r="K4459" t="n">
        <v>0</v>
      </c>
      <c r="L4459" t="n">
        <v>0</v>
      </c>
      <c r="M4459" t="n">
        <v>0</v>
      </c>
      <c r="N4459" t="n">
        <v>0</v>
      </c>
      <c r="O4459" t="n">
        <v>0</v>
      </c>
      <c r="P4459" t="n">
        <v>0</v>
      </c>
      <c r="Q4459" t="n">
        <v>0</v>
      </c>
      <c r="R4459" s="2" t="inlineStr"/>
    </row>
    <row r="4460" ht="15" customHeight="1">
      <c r="A4460" t="inlineStr">
        <is>
          <t>A 35561-2025</t>
        </is>
      </c>
      <c r="B4460" s="1" t="n">
        <v>45856.53160879629</v>
      </c>
      <c r="C4460" s="1" t="n">
        <v>46046</v>
      </c>
      <c r="D4460" t="inlineStr">
        <is>
          <t>NORRBOTTENS LÄN</t>
        </is>
      </c>
      <c r="E4460" t="inlineStr">
        <is>
          <t>BODEN</t>
        </is>
      </c>
      <c r="F4460" t="inlineStr">
        <is>
          <t>SCA</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26287-2025</t>
        </is>
      </c>
      <c r="B4461" s="1" t="n">
        <v>45805.62303240741</v>
      </c>
      <c r="C4461" s="1" t="n">
        <v>46046</v>
      </c>
      <c r="D4461" t="inlineStr">
        <is>
          <t>NORRBOTTENS LÄN</t>
        </is>
      </c>
      <c r="E4461" t="inlineStr">
        <is>
          <t>KALIX</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55642-2023</t>
        </is>
      </c>
      <c r="B4462" s="1" t="n">
        <v>45238.92782407408</v>
      </c>
      <c r="C4462" s="1" t="n">
        <v>46046</v>
      </c>
      <c r="D4462" t="inlineStr">
        <is>
          <t>NORRBOTTENS LÄN</t>
        </is>
      </c>
      <c r="E4462" t="inlineStr">
        <is>
          <t>ÖVERKALIX</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14513-2021</t>
        </is>
      </c>
      <c r="B4463" s="1" t="n">
        <v>44279</v>
      </c>
      <c r="C4463" s="1" t="n">
        <v>46046</v>
      </c>
      <c r="D4463" t="inlineStr">
        <is>
          <t>NORRBOTTENS LÄN</t>
        </is>
      </c>
      <c r="E4463" t="inlineStr">
        <is>
          <t>PAJALA</t>
        </is>
      </c>
      <c r="G4463" t="n">
        <v>25.5</v>
      </c>
      <c r="H4463" t="n">
        <v>0</v>
      </c>
      <c r="I4463" t="n">
        <v>0</v>
      </c>
      <c r="J4463" t="n">
        <v>0</v>
      </c>
      <c r="K4463" t="n">
        <v>0</v>
      </c>
      <c r="L4463" t="n">
        <v>0</v>
      </c>
      <c r="M4463" t="n">
        <v>0</v>
      </c>
      <c r="N4463" t="n">
        <v>0</v>
      </c>
      <c r="O4463" t="n">
        <v>0</v>
      </c>
      <c r="P4463" t="n">
        <v>0</v>
      </c>
      <c r="Q4463" t="n">
        <v>0</v>
      </c>
      <c r="R4463" s="2" t="inlineStr"/>
    </row>
    <row r="4464" ht="15" customHeight="1">
      <c r="A4464" t="inlineStr">
        <is>
          <t>A 8016-2025</t>
        </is>
      </c>
      <c r="B4464" s="1" t="n">
        <v>45707.5637037037</v>
      </c>
      <c r="C4464" s="1" t="n">
        <v>46046</v>
      </c>
      <c r="D4464" t="inlineStr">
        <is>
          <t>NORRBOTTENS LÄN</t>
        </is>
      </c>
      <c r="E4464" t="inlineStr">
        <is>
          <t>BODEN</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60462-2024</t>
        </is>
      </c>
      <c r="B4465" s="1" t="n">
        <v>45643</v>
      </c>
      <c r="C4465" s="1" t="n">
        <v>46046</v>
      </c>
      <c r="D4465" t="inlineStr">
        <is>
          <t>NORRBOTTENS LÄN</t>
        </is>
      </c>
      <c r="E4465" t="inlineStr">
        <is>
          <t>ÖVERTORNEÅ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60463-2024</t>
        </is>
      </c>
      <c r="B4466" s="1" t="n">
        <v>45643.61626157408</v>
      </c>
      <c r="C4466" s="1" t="n">
        <v>46046</v>
      </c>
      <c r="D4466" t="inlineStr">
        <is>
          <t>NORRBOTTENS LÄN</t>
        </is>
      </c>
      <c r="E4466" t="inlineStr">
        <is>
          <t>ÖVERKALIX</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24989-2025</t>
        </is>
      </c>
      <c r="B4467" s="1" t="n">
        <v>45799.60884259259</v>
      </c>
      <c r="C4467" s="1" t="n">
        <v>46046</v>
      </c>
      <c r="D4467" t="inlineStr">
        <is>
          <t>NORRBOTTENS LÄN</t>
        </is>
      </c>
      <c r="E4467" t="inlineStr">
        <is>
          <t>PITEÅ</t>
        </is>
      </c>
      <c r="G4467" t="n">
        <v>11.7</v>
      </c>
      <c r="H4467" t="n">
        <v>0</v>
      </c>
      <c r="I4467" t="n">
        <v>0</v>
      </c>
      <c r="J4467" t="n">
        <v>0</v>
      </c>
      <c r="K4467" t="n">
        <v>0</v>
      </c>
      <c r="L4467" t="n">
        <v>0</v>
      </c>
      <c r="M4467" t="n">
        <v>0</v>
      </c>
      <c r="N4467" t="n">
        <v>0</v>
      </c>
      <c r="O4467" t="n">
        <v>0</v>
      </c>
      <c r="P4467" t="n">
        <v>0</v>
      </c>
      <c r="Q4467" t="n">
        <v>0</v>
      </c>
      <c r="R4467" s="2" t="inlineStr"/>
    </row>
    <row r="4468" ht="15" customHeight="1">
      <c r="A4468" t="inlineStr">
        <is>
          <t>A 31900-2024</t>
        </is>
      </c>
      <c r="B4468" s="1" t="n">
        <v>45510.31917824074</v>
      </c>
      <c r="C4468" s="1" t="n">
        <v>46046</v>
      </c>
      <c r="D4468" t="inlineStr">
        <is>
          <t>NORRBOTTENS LÄN</t>
        </is>
      </c>
      <c r="E4468" t="inlineStr">
        <is>
          <t>ÄLVSBYN</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35682-2025</t>
        </is>
      </c>
      <c r="B4469" s="1" t="n">
        <v>45859</v>
      </c>
      <c r="C4469" s="1" t="n">
        <v>46046</v>
      </c>
      <c r="D4469" t="inlineStr">
        <is>
          <t>NORRBOTTENS LÄN</t>
        </is>
      </c>
      <c r="E4469" t="inlineStr">
        <is>
          <t>LULEÅ</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35673-2025</t>
        </is>
      </c>
      <c r="B4470" s="1" t="n">
        <v>45859.62895833333</v>
      </c>
      <c r="C4470" s="1" t="n">
        <v>46046</v>
      </c>
      <c r="D4470" t="inlineStr">
        <is>
          <t>NORRBOTTENS LÄN</t>
        </is>
      </c>
      <c r="E4470" t="inlineStr">
        <is>
          <t>KALIX</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30477-2025</t>
        </is>
      </c>
      <c r="B4471" s="1" t="n">
        <v>45828.40693287037</v>
      </c>
      <c r="C4471" s="1" t="n">
        <v>46046</v>
      </c>
      <c r="D4471" t="inlineStr">
        <is>
          <t>NORRBOTTENS LÄN</t>
        </is>
      </c>
      <c r="E4471" t="inlineStr">
        <is>
          <t>PITEÅ</t>
        </is>
      </c>
      <c r="F4471" t="inlineStr">
        <is>
          <t>SCA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24644-2024</t>
        </is>
      </c>
      <c r="B4472" s="1" t="n">
        <v>45460</v>
      </c>
      <c r="C4472" s="1" t="n">
        <v>46046</v>
      </c>
      <c r="D4472" t="inlineStr">
        <is>
          <t>NORRBOTTENS LÄN</t>
        </is>
      </c>
      <c r="E4472" t="inlineStr">
        <is>
          <t>ÖVERTORNEÅ</t>
        </is>
      </c>
      <c r="F4472" t="inlineStr">
        <is>
          <t>Sveaskog</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35672-2025</t>
        </is>
      </c>
      <c r="B4473" s="1" t="n">
        <v>45859.62603009259</v>
      </c>
      <c r="C4473" s="1" t="n">
        <v>46046</v>
      </c>
      <c r="D4473" t="inlineStr">
        <is>
          <t>NORRBOTTENS LÄN</t>
        </is>
      </c>
      <c r="E4473" t="inlineStr">
        <is>
          <t>KALIX</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31729-2023</t>
        </is>
      </c>
      <c r="B4474" s="1" t="n">
        <v>45117.95149305555</v>
      </c>
      <c r="C4474" s="1" t="n">
        <v>46046</v>
      </c>
      <c r="D4474" t="inlineStr">
        <is>
          <t>NORRBOTTENS LÄN</t>
        </is>
      </c>
      <c r="E4474" t="inlineStr">
        <is>
          <t>PITEÅ</t>
        </is>
      </c>
      <c r="F4474" t="inlineStr">
        <is>
          <t>SCA</t>
        </is>
      </c>
      <c r="G4474" t="n">
        <v>33.7</v>
      </c>
      <c r="H4474" t="n">
        <v>0</v>
      </c>
      <c r="I4474" t="n">
        <v>0</v>
      </c>
      <c r="J4474" t="n">
        <v>0</v>
      </c>
      <c r="K4474" t="n">
        <v>0</v>
      </c>
      <c r="L4474" t="n">
        <v>0</v>
      </c>
      <c r="M4474" t="n">
        <v>0</v>
      </c>
      <c r="N4474" t="n">
        <v>0</v>
      </c>
      <c r="O4474" t="n">
        <v>0</v>
      </c>
      <c r="P4474" t="n">
        <v>0</v>
      </c>
      <c r="Q4474" t="n">
        <v>0</v>
      </c>
      <c r="R4474" s="2" t="inlineStr"/>
    </row>
    <row r="4475" ht="15" customHeight="1">
      <c r="A4475" t="inlineStr">
        <is>
          <t>A 44401-2024</t>
        </is>
      </c>
      <c r="B4475" s="1" t="n">
        <v>45573.70684027778</v>
      </c>
      <c r="C4475" s="1" t="n">
        <v>46046</v>
      </c>
      <c r="D4475" t="inlineStr">
        <is>
          <t>NORRBOTTENS LÄN</t>
        </is>
      </c>
      <c r="E4475" t="inlineStr">
        <is>
          <t>PITEÅ</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37765-2021</t>
        </is>
      </c>
      <c r="B4476" s="1" t="n">
        <v>44400</v>
      </c>
      <c r="C4476" s="1" t="n">
        <v>46046</v>
      </c>
      <c r="D4476" t="inlineStr">
        <is>
          <t>NORRBOTTENS LÄN</t>
        </is>
      </c>
      <c r="E4476" t="inlineStr">
        <is>
          <t>LULEÅ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31164-2021</t>
        </is>
      </c>
      <c r="B4477" s="1" t="n">
        <v>44368</v>
      </c>
      <c r="C4477" s="1" t="n">
        <v>46046</v>
      </c>
      <c r="D4477" t="inlineStr">
        <is>
          <t>NORRBOTTENS LÄN</t>
        </is>
      </c>
      <c r="E4477" t="inlineStr">
        <is>
          <t>PITEÅ</t>
        </is>
      </c>
      <c r="F4477" t="inlineStr">
        <is>
          <t>Sveaskog</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35511-2025</t>
        </is>
      </c>
      <c r="B4478" s="1" t="n">
        <v>45856.36497685185</v>
      </c>
      <c r="C4478" s="1" t="n">
        <v>46046</v>
      </c>
      <c r="D4478" t="inlineStr">
        <is>
          <t>NORRBOTTENS LÄN</t>
        </is>
      </c>
      <c r="E4478" t="inlineStr">
        <is>
          <t>JOKKMOKK</t>
        </is>
      </c>
      <c r="F4478" t="inlineStr">
        <is>
          <t>SCA</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35539-2025</t>
        </is>
      </c>
      <c r="B4479" s="1" t="n">
        <v>45856.46564814815</v>
      </c>
      <c r="C4479" s="1" t="n">
        <v>46046</v>
      </c>
      <c r="D4479" t="inlineStr">
        <is>
          <t>NORRBOTTENS LÄN</t>
        </is>
      </c>
      <c r="E4479" t="inlineStr">
        <is>
          <t>PAJALA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42119-2024</t>
        </is>
      </c>
      <c r="B4480" s="1" t="n">
        <v>45562.3905787037</v>
      </c>
      <c r="C4480" s="1" t="n">
        <v>46046</v>
      </c>
      <c r="D4480" t="inlineStr">
        <is>
          <t>NORRBOTTENS LÄN</t>
        </is>
      </c>
      <c r="E4480" t="inlineStr">
        <is>
          <t>ÖVERKALIX</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6453-2025</t>
        </is>
      </c>
      <c r="B4481" s="1" t="n">
        <v>45699.55245370371</v>
      </c>
      <c r="C4481" s="1" t="n">
        <v>46046</v>
      </c>
      <c r="D4481" t="inlineStr">
        <is>
          <t>NORRBOTTENS LÄN</t>
        </is>
      </c>
      <c r="E4481" t="inlineStr">
        <is>
          <t>ÖVERKALIX</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17624-2025</t>
        </is>
      </c>
      <c r="B4482" s="1" t="n">
        <v>45757.92195601852</v>
      </c>
      <c r="C4482" s="1" t="n">
        <v>46046</v>
      </c>
      <c r="D4482" t="inlineStr">
        <is>
          <t>NORRBOTTENS LÄN</t>
        </is>
      </c>
      <c r="E4482" t="inlineStr">
        <is>
          <t>ÖVERTORNEÅ</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57549-2024</t>
        </is>
      </c>
      <c r="B4483" s="1" t="n">
        <v>45630</v>
      </c>
      <c r="C4483" s="1" t="n">
        <v>46046</v>
      </c>
      <c r="D4483" t="inlineStr">
        <is>
          <t>NORRBOTTENS LÄN</t>
        </is>
      </c>
      <c r="E4483" t="inlineStr">
        <is>
          <t>PAJALA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19541-2024</t>
        </is>
      </c>
      <c r="B4484" s="1" t="n">
        <v>45429</v>
      </c>
      <c r="C4484" s="1" t="n">
        <v>46046</v>
      </c>
      <c r="D4484" t="inlineStr">
        <is>
          <t>NORRBOTTENS LÄN</t>
        </is>
      </c>
      <c r="E4484" t="inlineStr">
        <is>
          <t>ÖVERKALIX</t>
        </is>
      </c>
      <c r="F4484" t="inlineStr">
        <is>
          <t>Sveaskog</t>
        </is>
      </c>
      <c r="G4484" t="n">
        <v>22.7</v>
      </c>
      <c r="H4484" t="n">
        <v>0</v>
      </c>
      <c r="I4484" t="n">
        <v>0</v>
      </c>
      <c r="J4484" t="n">
        <v>0</v>
      </c>
      <c r="K4484" t="n">
        <v>0</v>
      </c>
      <c r="L4484" t="n">
        <v>0</v>
      </c>
      <c r="M4484" t="n">
        <v>0</v>
      </c>
      <c r="N4484" t="n">
        <v>0</v>
      </c>
      <c r="O4484" t="n">
        <v>0</v>
      </c>
      <c r="P4484" t="n">
        <v>0</v>
      </c>
      <c r="Q4484" t="n">
        <v>0</v>
      </c>
      <c r="R4484" s="2" t="inlineStr"/>
    </row>
    <row r="4485" ht="15" customHeight="1">
      <c r="A4485" t="inlineStr">
        <is>
          <t>A 35587-2025</t>
        </is>
      </c>
      <c r="B4485" s="1" t="n">
        <v>45857.59552083333</v>
      </c>
      <c r="C4485" s="1" t="n">
        <v>46046</v>
      </c>
      <c r="D4485" t="inlineStr">
        <is>
          <t>NORRBOTTENS LÄN</t>
        </is>
      </c>
      <c r="E4485" t="inlineStr">
        <is>
          <t>ÖVERTORNEÅ</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35589-2025</t>
        </is>
      </c>
      <c r="B4486" s="1" t="n">
        <v>45857.61952546296</v>
      </c>
      <c r="C4486" s="1" t="n">
        <v>46046</v>
      </c>
      <c r="D4486" t="inlineStr">
        <is>
          <t>NORRBOTTENS LÄN</t>
        </is>
      </c>
      <c r="E4486" t="inlineStr">
        <is>
          <t>ÖVERTORNEÅ</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35591-2025</t>
        </is>
      </c>
      <c r="B4487" s="1" t="n">
        <v>45857.62631944445</v>
      </c>
      <c r="C4487" s="1" t="n">
        <v>46046</v>
      </c>
      <c r="D4487" t="inlineStr">
        <is>
          <t>NORRBOTTENS LÄN</t>
        </is>
      </c>
      <c r="E4487" t="inlineStr">
        <is>
          <t>ÖVERTORNEÅ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35593-2025</t>
        </is>
      </c>
      <c r="B4488" s="1" t="n">
        <v>45857.7615625</v>
      </c>
      <c r="C4488" s="1" t="n">
        <v>46046</v>
      </c>
      <c r="D4488" t="inlineStr">
        <is>
          <t>NORRBOTTENS LÄN</t>
        </is>
      </c>
      <c r="E4488" t="inlineStr">
        <is>
          <t>ÖVERTORNEÅ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38088-2023</t>
        </is>
      </c>
      <c r="B4489" s="1" t="n">
        <v>45160.96331018519</v>
      </c>
      <c r="C4489" s="1" t="n">
        <v>46046</v>
      </c>
      <c r="D4489" t="inlineStr">
        <is>
          <t>NORRBOTTENS LÄN</t>
        </is>
      </c>
      <c r="E4489" t="inlineStr">
        <is>
          <t>ÖVERKALIX</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42505-2024</t>
        </is>
      </c>
      <c r="B4490" s="1" t="n">
        <v>45565</v>
      </c>
      <c r="C4490" s="1" t="n">
        <v>46046</v>
      </c>
      <c r="D4490" t="inlineStr">
        <is>
          <t>NORRBOTTENS LÄN</t>
        </is>
      </c>
      <c r="E4490" t="inlineStr">
        <is>
          <t>ÄLVSBYN</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45156-2023</t>
        </is>
      </c>
      <c r="B4491" s="1" t="n">
        <v>45191</v>
      </c>
      <c r="C4491" s="1" t="n">
        <v>46046</v>
      </c>
      <c r="D4491" t="inlineStr">
        <is>
          <t>NORRBOTTENS LÄN</t>
        </is>
      </c>
      <c r="E4491" t="inlineStr">
        <is>
          <t>PAJALA</t>
        </is>
      </c>
      <c r="F4491" t="inlineStr">
        <is>
          <t>Sveaskog</t>
        </is>
      </c>
      <c r="G4491" t="n">
        <v>12.3</v>
      </c>
      <c r="H4491" t="n">
        <v>0</v>
      </c>
      <c r="I4491" t="n">
        <v>0</v>
      </c>
      <c r="J4491" t="n">
        <v>0</v>
      </c>
      <c r="K4491" t="n">
        <v>0</v>
      </c>
      <c r="L4491" t="n">
        <v>0</v>
      </c>
      <c r="M4491" t="n">
        <v>0</v>
      </c>
      <c r="N4491" t="n">
        <v>0</v>
      </c>
      <c r="O4491" t="n">
        <v>0</v>
      </c>
      <c r="P4491" t="n">
        <v>0</v>
      </c>
      <c r="Q4491" t="n">
        <v>0</v>
      </c>
      <c r="R4491" s="2" t="inlineStr"/>
    </row>
    <row r="4492" ht="15" customHeight="1">
      <c r="A4492" t="inlineStr">
        <is>
          <t>A 54331-2024</t>
        </is>
      </c>
      <c r="B4492" s="1" t="n">
        <v>45617.37787037037</v>
      </c>
      <c r="C4492" s="1" t="n">
        <v>46046</v>
      </c>
      <c r="D4492" t="inlineStr">
        <is>
          <t>NORRBOTTENS LÄN</t>
        </is>
      </c>
      <c r="E4492" t="inlineStr">
        <is>
          <t>PITEÅ</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35620-2025</t>
        </is>
      </c>
      <c r="B4493" s="1" t="n">
        <v>45859.41423611111</v>
      </c>
      <c r="C4493" s="1" t="n">
        <v>46046</v>
      </c>
      <c r="D4493" t="inlineStr">
        <is>
          <t>NORRBOTTENS LÄN</t>
        </is>
      </c>
      <c r="E4493" t="inlineStr">
        <is>
          <t>ÖVERKALIX</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35408-2024</t>
        </is>
      </c>
      <c r="B4494" s="1" t="n">
        <v>45531.40653935185</v>
      </c>
      <c r="C4494" s="1" t="n">
        <v>46046</v>
      </c>
      <c r="D4494" t="inlineStr">
        <is>
          <t>NORRBOTTENS LÄN</t>
        </is>
      </c>
      <c r="E4494" t="inlineStr">
        <is>
          <t>PITEÅ</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34724-2024</t>
        </is>
      </c>
      <c r="B4495" s="1" t="n">
        <v>45526.5687962963</v>
      </c>
      <c r="C4495" s="1" t="n">
        <v>46046</v>
      </c>
      <c r="D4495" t="inlineStr">
        <is>
          <t>NORRBOTTENS LÄN</t>
        </is>
      </c>
      <c r="E4495" t="inlineStr">
        <is>
          <t>PITEÅ</t>
        </is>
      </c>
      <c r="F4495" t="inlineStr">
        <is>
          <t>SCA</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44712-2024</t>
        </is>
      </c>
      <c r="B4496" s="1" t="n">
        <v>45574.57420138889</v>
      </c>
      <c r="C4496" s="1" t="n">
        <v>46046</v>
      </c>
      <c r="D4496" t="inlineStr">
        <is>
          <t>NORRBOTTENS LÄN</t>
        </is>
      </c>
      <c r="E4496" t="inlineStr">
        <is>
          <t>PITEÅ</t>
        </is>
      </c>
      <c r="F4496" t="inlineStr">
        <is>
          <t>SCA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44716-2024</t>
        </is>
      </c>
      <c r="B4497" s="1" t="n">
        <v>45574.57457175926</v>
      </c>
      <c r="C4497" s="1" t="n">
        <v>46046</v>
      </c>
      <c r="D4497" t="inlineStr">
        <is>
          <t>NORRBOTTENS LÄN</t>
        </is>
      </c>
      <c r="E4497" t="inlineStr">
        <is>
          <t>PITEÅ</t>
        </is>
      </c>
      <c r="F4497" t="inlineStr">
        <is>
          <t>SCA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5702-2024</t>
        </is>
      </c>
      <c r="B4498" s="1" t="n">
        <v>45334</v>
      </c>
      <c r="C4498" s="1" t="n">
        <v>46046</v>
      </c>
      <c r="D4498" t="inlineStr">
        <is>
          <t>NORRBOTTENS LÄN</t>
        </is>
      </c>
      <c r="E4498" t="inlineStr">
        <is>
          <t>ARVIDSJAUR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35670-2025</t>
        </is>
      </c>
      <c r="B4499" s="1" t="n">
        <v>45859.61556712963</v>
      </c>
      <c r="C4499" s="1" t="n">
        <v>46046</v>
      </c>
      <c r="D4499" t="inlineStr">
        <is>
          <t>NORRBOTTENS LÄN</t>
        </is>
      </c>
      <c r="E4499" t="inlineStr">
        <is>
          <t>ARVIDSJAUR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36607-2021</t>
        </is>
      </c>
      <c r="B4500" s="1" t="n">
        <v>44391</v>
      </c>
      <c r="C4500" s="1" t="n">
        <v>46046</v>
      </c>
      <c r="D4500" t="inlineStr">
        <is>
          <t>NORRBOTTENS LÄN</t>
        </is>
      </c>
      <c r="E4500" t="inlineStr">
        <is>
          <t>JOKKMOKK</t>
        </is>
      </c>
      <c r="F4500" t="inlineStr">
        <is>
          <t>Allmännings- och besparingsskogar</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50559-2024</t>
        </is>
      </c>
      <c r="B4501" s="1" t="n">
        <v>45601.59634259259</v>
      </c>
      <c r="C4501" s="1" t="n">
        <v>46046</v>
      </c>
      <c r="D4501" t="inlineStr">
        <is>
          <t>NORRBOTTENS LÄN</t>
        </is>
      </c>
      <c r="E4501" t="inlineStr">
        <is>
          <t>PITEÅ</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24058-2025</t>
        </is>
      </c>
      <c r="B4502" s="1" t="n">
        <v>45796.51097222222</v>
      </c>
      <c r="C4502" s="1" t="n">
        <v>46046</v>
      </c>
      <c r="D4502" t="inlineStr">
        <is>
          <t>NORRBOTTENS LÄN</t>
        </is>
      </c>
      <c r="E4502" t="inlineStr">
        <is>
          <t>BODEN</t>
        </is>
      </c>
      <c r="F4502" t="inlineStr">
        <is>
          <t>SCA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8741-2025</t>
        </is>
      </c>
      <c r="B4503" s="1" t="n">
        <v>45712.55256944444</v>
      </c>
      <c r="C4503" s="1" t="n">
        <v>46046</v>
      </c>
      <c r="D4503" t="inlineStr">
        <is>
          <t>NORRBOTTENS LÄN</t>
        </is>
      </c>
      <c r="E4503" t="inlineStr">
        <is>
          <t>ÄLVSBYN</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8742-2025</t>
        </is>
      </c>
      <c r="B4504" s="1" t="n">
        <v>45712.55259259259</v>
      </c>
      <c r="C4504" s="1" t="n">
        <v>46046</v>
      </c>
      <c r="D4504" t="inlineStr">
        <is>
          <t>NORRBOTTENS LÄN</t>
        </is>
      </c>
      <c r="E4504" t="inlineStr">
        <is>
          <t>ÄLVSBYN</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6187-2025</t>
        </is>
      </c>
      <c r="B4505" s="1" t="n">
        <v>45698.45962962963</v>
      </c>
      <c r="C4505" s="1" t="n">
        <v>46046</v>
      </c>
      <c r="D4505" t="inlineStr">
        <is>
          <t>NORRBOTTENS LÄN</t>
        </is>
      </c>
      <c r="E4505" t="inlineStr">
        <is>
          <t>KALIX</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2601-2025</t>
        </is>
      </c>
      <c r="B4506" s="1" t="n">
        <v>45674</v>
      </c>
      <c r="C4506" s="1" t="n">
        <v>46046</v>
      </c>
      <c r="D4506" t="inlineStr">
        <is>
          <t>NORRBOTTENS LÄN</t>
        </is>
      </c>
      <c r="E4506" t="inlineStr">
        <is>
          <t>BODEN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29804-2024</t>
        </is>
      </c>
      <c r="B4507" s="1" t="n">
        <v>45485.52054398148</v>
      </c>
      <c r="C4507" s="1" t="n">
        <v>46046</v>
      </c>
      <c r="D4507" t="inlineStr">
        <is>
          <t>NORRBOTTENS LÄN</t>
        </is>
      </c>
      <c r="E4507" t="inlineStr">
        <is>
          <t>PAJALA</t>
        </is>
      </c>
      <c r="F4507" t="inlineStr">
        <is>
          <t>Sveaskog</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35054-2021</t>
        </is>
      </c>
      <c r="B4508" s="1" t="n">
        <v>44383</v>
      </c>
      <c r="C4508" s="1" t="n">
        <v>46046</v>
      </c>
      <c r="D4508" t="inlineStr">
        <is>
          <t>NORRBOTTENS LÄN</t>
        </is>
      </c>
      <c r="E4508" t="inlineStr">
        <is>
          <t>PITEÅ</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5906-2022</t>
        </is>
      </c>
      <c r="B4509" s="1" t="n">
        <v>44596.92112268518</v>
      </c>
      <c r="C4509" s="1" t="n">
        <v>46046</v>
      </c>
      <c r="D4509" t="inlineStr">
        <is>
          <t>NORRBOTTENS LÄN</t>
        </is>
      </c>
      <c r="E4509" t="inlineStr">
        <is>
          <t>PITEÅ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10544-2022</t>
        </is>
      </c>
      <c r="B4510" s="1" t="n">
        <v>44623</v>
      </c>
      <c r="C4510" s="1" t="n">
        <v>46046</v>
      </c>
      <c r="D4510" t="inlineStr">
        <is>
          <t>NORRBOTTENS LÄN</t>
        </is>
      </c>
      <c r="E4510" t="inlineStr">
        <is>
          <t>PITEÅ</t>
        </is>
      </c>
      <c r="G4510" t="n">
        <v>21.9</v>
      </c>
      <c r="H4510" t="n">
        <v>0</v>
      </c>
      <c r="I4510" t="n">
        <v>0</v>
      </c>
      <c r="J4510" t="n">
        <v>0</v>
      </c>
      <c r="K4510" t="n">
        <v>0</v>
      </c>
      <c r="L4510" t="n">
        <v>0</v>
      </c>
      <c r="M4510" t="n">
        <v>0</v>
      </c>
      <c r="N4510" t="n">
        <v>0</v>
      </c>
      <c r="O4510" t="n">
        <v>0</v>
      </c>
      <c r="P4510" t="n">
        <v>0</v>
      </c>
      <c r="Q4510" t="n">
        <v>0</v>
      </c>
      <c r="R4510" s="2" t="inlineStr"/>
    </row>
    <row r="4511" ht="15" customHeight="1">
      <c r="A4511" t="inlineStr">
        <is>
          <t>A 41485-2024</t>
        </is>
      </c>
      <c r="B4511" s="1" t="n">
        <v>45560.44894675926</v>
      </c>
      <c r="C4511" s="1" t="n">
        <v>46046</v>
      </c>
      <c r="D4511" t="inlineStr">
        <is>
          <t>NORRBOTTENS LÄN</t>
        </is>
      </c>
      <c r="E4511" t="inlineStr">
        <is>
          <t>BODEN</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32387-2022</t>
        </is>
      </c>
      <c r="B4512" s="1" t="n">
        <v>44782</v>
      </c>
      <c r="C4512" s="1" t="n">
        <v>46046</v>
      </c>
      <c r="D4512" t="inlineStr">
        <is>
          <t>NORRBOTTENS LÄN</t>
        </is>
      </c>
      <c r="E4512" t="inlineStr">
        <is>
          <t>PITEÅ</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4330-2022</t>
        </is>
      </c>
      <c r="B4513" s="1" t="n">
        <v>44588</v>
      </c>
      <c r="C4513" s="1" t="n">
        <v>46046</v>
      </c>
      <c r="D4513" t="inlineStr">
        <is>
          <t>NORRBOTTENS LÄN</t>
        </is>
      </c>
      <c r="E4513" t="inlineStr">
        <is>
          <t>PITEÅ</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48048-2022</t>
        </is>
      </c>
      <c r="B4514" s="1" t="n">
        <v>44855</v>
      </c>
      <c r="C4514" s="1" t="n">
        <v>46046</v>
      </c>
      <c r="D4514" t="inlineStr">
        <is>
          <t>NORRBOTTENS LÄN</t>
        </is>
      </c>
      <c r="E4514" t="inlineStr">
        <is>
          <t>ARVIDSJAUR</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53632-2022</t>
        </is>
      </c>
      <c r="B4515" s="1" t="n">
        <v>44879</v>
      </c>
      <c r="C4515" s="1" t="n">
        <v>46046</v>
      </c>
      <c r="D4515" t="inlineStr">
        <is>
          <t>NORRBOTTENS LÄN</t>
        </is>
      </c>
      <c r="E4515" t="inlineStr">
        <is>
          <t>PITEÅ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35837-2025</t>
        </is>
      </c>
      <c r="B4516" s="1" t="n">
        <v>45861</v>
      </c>
      <c r="C4516" s="1" t="n">
        <v>46046</v>
      </c>
      <c r="D4516" t="inlineStr">
        <is>
          <t>NORRBOTTENS LÄN</t>
        </is>
      </c>
      <c r="E4516" t="inlineStr">
        <is>
          <t>ÖVERTORNEÅ</t>
        </is>
      </c>
      <c r="G4516" t="n">
        <v>16.4</v>
      </c>
      <c r="H4516" t="n">
        <v>0</v>
      </c>
      <c r="I4516" t="n">
        <v>0</v>
      </c>
      <c r="J4516" t="n">
        <v>0</v>
      </c>
      <c r="K4516" t="n">
        <v>0</v>
      </c>
      <c r="L4516" t="n">
        <v>0</v>
      </c>
      <c r="M4516" t="n">
        <v>0</v>
      </c>
      <c r="N4516" t="n">
        <v>0</v>
      </c>
      <c r="O4516" t="n">
        <v>0</v>
      </c>
      <c r="P4516" t="n">
        <v>0</v>
      </c>
      <c r="Q4516" t="n">
        <v>0</v>
      </c>
      <c r="R4516" s="2" t="inlineStr"/>
    </row>
    <row r="4517" ht="15" customHeight="1">
      <c r="A4517" t="inlineStr">
        <is>
          <t>A 35858-2025</t>
        </is>
      </c>
      <c r="B4517" s="1" t="n">
        <v>45861.63548611111</v>
      </c>
      <c r="C4517" s="1" t="n">
        <v>46046</v>
      </c>
      <c r="D4517" t="inlineStr">
        <is>
          <t>NORRBOTTENS LÄN</t>
        </is>
      </c>
      <c r="E4517" t="inlineStr">
        <is>
          <t>PAJALA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35859-2025</t>
        </is>
      </c>
      <c r="B4518" s="1" t="n">
        <v>45861.6377199074</v>
      </c>
      <c r="C4518" s="1" t="n">
        <v>46046</v>
      </c>
      <c r="D4518" t="inlineStr">
        <is>
          <t>NORRBOTTENS LÄN</t>
        </is>
      </c>
      <c r="E4518" t="inlineStr">
        <is>
          <t>PAJALA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51912-2021</t>
        </is>
      </c>
      <c r="B4519" s="1" t="n">
        <v>44462</v>
      </c>
      <c r="C4519" s="1" t="n">
        <v>46046</v>
      </c>
      <c r="D4519" t="inlineStr">
        <is>
          <t>NORRBOTTENS LÄN</t>
        </is>
      </c>
      <c r="E4519" t="inlineStr">
        <is>
          <t>ÄLVSBYN</t>
        </is>
      </c>
      <c r="G4519" t="n">
        <v>26.5</v>
      </c>
      <c r="H4519" t="n">
        <v>0</v>
      </c>
      <c r="I4519" t="n">
        <v>0</v>
      </c>
      <c r="J4519" t="n">
        <v>0</v>
      </c>
      <c r="K4519" t="n">
        <v>0</v>
      </c>
      <c r="L4519" t="n">
        <v>0</v>
      </c>
      <c r="M4519" t="n">
        <v>0</v>
      </c>
      <c r="N4519" t="n">
        <v>0</v>
      </c>
      <c r="O4519" t="n">
        <v>0</v>
      </c>
      <c r="P4519" t="n">
        <v>0</v>
      </c>
      <c r="Q4519" t="n">
        <v>0</v>
      </c>
      <c r="R4519" s="2" t="inlineStr"/>
    </row>
    <row r="4520" ht="15" customHeight="1">
      <c r="A4520" t="inlineStr">
        <is>
          <t>A 35803-2025</t>
        </is>
      </c>
      <c r="B4520" s="1" t="n">
        <v>45861</v>
      </c>
      <c r="C4520" s="1" t="n">
        <v>46046</v>
      </c>
      <c r="D4520" t="inlineStr">
        <is>
          <t>NORRBOTTENS LÄN</t>
        </is>
      </c>
      <c r="E4520" t="inlineStr">
        <is>
          <t>ÄLVSBYN</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35876-2022</t>
        </is>
      </c>
      <c r="B4521" s="1" t="n">
        <v>44802</v>
      </c>
      <c r="C4521" s="1" t="n">
        <v>46046</v>
      </c>
      <c r="D4521" t="inlineStr">
        <is>
          <t>NORRBOTTENS LÄN</t>
        </is>
      </c>
      <c r="E4521" t="inlineStr">
        <is>
          <t>JOKKMOKK</t>
        </is>
      </c>
      <c r="G4521" t="n">
        <v>9.5</v>
      </c>
      <c r="H4521" t="n">
        <v>0</v>
      </c>
      <c r="I4521" t="n">
        <v>0</v>
      </c>
      <c r="J4521" t="n">
        <v>0</v>
      </c>
      <c r="K4521" t="n">
        <v>0</v>
      </c>
      <c r="L4521" t="n">
        <v>0</v>
      </c>
      <c r="M4521" t="n">
        <v>0</v>
      </c>
      <c r="N4521" t="n">
        <v>0</v>
      </c>
      <c r="O4521" t="n">
        <v>0</v>
      </c>
      <c r="P4521" t="n">
        <v>0</v>
      </c>
      <c r="Q4521" t="n">
        <v>0</v>
      </c>
      <c r="R4521" s="2" t="inlineStr"/>
    </row>
    <row r="4522" ht="15" customHeight="1">
      <c r="A4522" t="inlineStr">
        <is>
          <t>A 35805-2025</t>
        </is>
      </c>
      <c r="B4522" s="1" t="n">
        <v>45861.4019212963</v>
      </c>
      <c r="C4522" s="1" t="n">
        <v>46046</v>
      </c>
      <c r="D4522" t="inlineStr">
        <is>
          <t>NORRBOTTENS LÄN</t>
        </is>
      </c>
      <c r="E4522" t="inlineStr">
        <is>
          <t>JOKKMOKK</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5038-2025</t>
        </is>
      </c>
      <c r="B4523" s="1" t="n">
        <v>45691.42896990741</v>
      </c>
      <c r="C4523" s="1" t="n">
        <v>46046</v>
      </c>
      <c r="D4523" t="inlineStr">
        <is>
          <t>NORRBOTTENS LÄN</t>
        </is>
      </c>
      <c r="E4523" t="inlineStr">
        <is>
          <t>LULEÅ</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26773-2022</t>
        </is>
      </c>
      <c r="B4524" s="1" t="n">
        <v>44732</v>
      </c>
      <c r="C4524" s="1" t="n">
        <v>46046</v>
      </c>
      <c r="D4524" t="inlineStr">
        <is>
          <t>NORRBOTTENS LÄN</t>
        </is>
      </c>
      <c r="E4524" t="inlineStr">
        <is>
          <t>ARJEPLOG</t>
        </is>
      </c>
      <c r="F4524" t="inlineStr">
        <is>
          <t>Övriga statliga verk och myndigheter</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5051-2025</t>
        </is>
      </c>
      <c r="B4525" s="1" t="n">
        <v>45691.45101851852</v>
      </c>
      <c r="C4525" s="1" t="n">
        <v>46046</v>
      </c>
      <c r="D4525" t="inlineStr">
        <is>
          <t>NORRBOTTENS LÄN</t>
        </is>
      </c>
      <c r="E4525" t="inlineStr">
        <is>
          <t>LULEÅ</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9618-2022</t>
        </is>
      </c>
      <c r="B4526" s="1" t="n">
        <v>44617</v>
      </c>
      <c r="C4526" s="1" t="n">
        <v>46046</v>
      </c>
      <c r="D4526" t="inlineStr">
        <is>
          <t>NORRBOTTENS LÄN</t>
        </is>
      </c>
      <c r="E4526" t="inlineStr">
        <is>
          <t>ÄLVSBYN</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30753-2025</t>
        </is>
      </c>
      <c r="B4527" s="1" t="n">
        <v>45831</v>
      </c>
      <c r="C4527" s="1" t="n">
        <v>46046</v>
      </c>
      <c r="D4527" t="inlineStr">
        <is>
          <t>NORRBOTTENS LÄN</t>
        </is>
      </c>
      <c r="E4527" t="inlineStr">
        <is>
          <t>ÄLVSBYN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65769-2021</t>
        </is>
      </c>
      <c r="B4528" s="1" t="n">
        <v>44516</v>
      </c>
      <c r="C4528" s="1" t="n">
        <v>46046</v>
      </c>
      <c r="D4528" t="inlineStr">
        <is>
          <t>NORRBOTTENS LÄN</t>
        </is>
      </c>
      <c r="E4528" t="inlineStr">
        <is>
          <t>PITEÅ</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26092-2021</t>
        </is>
      </c>
      <c r="B4529" s="1" t="n">
        <v>44344</v>
      </c>
      <c r="C4529" s="1" t="n">
        <v>46046</v>
      </c>
      <c r="D4529" t="inlineStr">
        <is>
          <t>NORRBOTTENS LÄN</t>
        </is>
      </c>
      <c r="E4529" t="inlineStr">
        <is>
          <t>PITEÅ</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35050-2021</t>
        </is>
      </c>
      <c r="B4530" s="1" t="n">
        <v>44383</v>
      </c>
      <c r="C4530" s="1" t="n">
        <v>46046</v>
      </c>
      <c r="D4530" t="inlineStr">
        <is>
          <t>NORRBOTTENS LÄN</t>
        </is>
      </c>
      <c r="E4530" t="inlineStr">
        <is>
          <t>PITEÅ</t>
        </is>
      </c>
      <c r="G4530" t="n">
        <v>15.4</v>
      </c>
      <c r="H4530" t="n">
        <v>0</v>
      </c>
      <c r="I4530" t="n">
        <v>0</v>
      </c>
      <c r="J4530" t="n">
        <v>0</v>
      </c>
      <c r="K4530" t="n">
        <v>0</v>
      </c>
      <c r="L4530" t="n">
        <v>0</v>
      </c>
      <c r="M4530" t="n">
        <v>0</v>
      </c>
      <c r="N4530" t="n">
        <v>0</v>
      </c>
      <c r="O4530" t="n">
        <v>0</v>
      </c>
      <c r="P4530" t="n">
        <v>0</v>
      </c>
      <c r="Q4530" t="n">
        <v>0</v>
      </c>
      <c r="R4530" s="2" t="inlineStr"/>
    </row>
    <row r="4531" ht="15" customHeight="1">
      <c r="A4531" t="inlineStr">
        <is>
          <t>A 35051-2021</t>
        </is>
      </c>
      <c r="B4531" s="1" t="n">
        <v>44383</v>
      </c>
      <c r="C4531" s="1" t="n">
        <v>46046</v>
      </c>
      <c r="D4531" t="inlineStr">
        <is>
          <t>NORRBOTTENS LÄN</t>
        </is>
      </c>
      <c r="E4531" t="inlineStr">
        <is>
          <t>PITEÅ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35056-2021</t>
        </is>
      </c>
      <c r="B4532" s="1" t="n">
        <v>44383</v>
      </c>
      <c r="C4532" s="1" t="n">
        <v>46046</v>
      </c>
      <c r="D4532" t="inlineStr">
        <is>
          <t>NORRBOTTENS LÄN</t>
        </is>
      </c>
      <c r="E4532" t="inlineStr">
        <is>
          <t>PITEÅ</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35053-2021</t>
        </is>
      </c>
      <c r="B4533" s="1" t="n">
        <v>44383</v>
      </c>
      <c r="C4533" s="1" t="n">
        <v>46046</v>
      </c>
      <c r="D4533" t="inlineStr">
        <is>
          <t>NORRBOTTENS LÄN</t>
        </is>
      </c>
      <c r="E4533" t="inlineStr">
        <is>
          <t>PITEÅ</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35057-2021</t>
        </is>
      </c>
      <c r="B4534" s="1" t="n">
        <v>44383</v>
      </c>
      <c r="C4534" s="1" t="n">
        <v>46046</v>
      </c>
      <c r="D4534" t="inlineStr">
        <is>
          <t>NORRBOTTENS LÄN</t>
        </is>
      </c>
      <c r="E4534" t="inlineStr">
        <is>
          <t>PITEÅ</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35836-2025</t>
        </is>
      </c>
      <c r="B4535" s="1" t="n">
        <v>45861</v>
      </c>
      <c r="C4535" s="1" t="n">
        <v>46046</v>
      </c>
      <c r="D4535" t="inlineStr">
        <is>
          <t>NORRBOTTENS LÄN</t>
        </is>
      </c>
      <c r="E4535" t="inlineStr">
        <is>
          <t>ÄLVSBYN</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39006-2023</t>
        </is>
      </c>
      <c r="B4536" s="1" t="n">
        <v>45162</v>
      </c>
      <c r="C4536" s="1" t="n">
        <v>46046</v>
      </c>
      <c r="D4536" t="inlineStr">
        <is>
          <t>NORRBOTTENS LÄN</t>
        </is>
      </c>
      <c r="E4536" t="inlineStr">
        <is>
          <t>KIRUNA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12881-2024</t>
        </is>
      </c>
      <c r="B4537" s="1" t="n">
        <v>45385.33399305555</v>
      </c>
      <c r="C4537" s="1" t="n">
        <v>46046</v>
      </c>
      <c r="D4537" t="inlineStr">
        <is>
          <t>NORRBOTTENS LÄN</t>
        </is>
      </c>
      <c r="E4537" t="inlineStr">
        <is>
          <t>PAJALA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64809-2023</t>
        </is>
      </c>
      <c r="B4538" s="1" t="n">
        <v>45281</v>
      </c>
      <c r="C4538" s="1" t="n">
        <v>46046</v>
      </c>
      <c r="D4538" t="inlineStr">
        <is>
          <t>NORRBOTTENS LÄN</t>
        </is>
      </c>
      <c r="E4538" t="inlineStr">
        <is>
          <t>ARJEPLOG</t>
        </is>
      </c>
      <c r="G4538" t="n">
        <v>17.8</v>
      </c>
      <c r="H4538" t="n">
        <v>0</v>
      </c>
      <c r="I4538" t="n">
        <v>0</v>
      </c>
      <c r="J4538" t="n">
        <v>0</v>
      </c>
      <c r="K4538" t="n">
        <v>0</v>
      </c>
      <c r="L4538" t="n">
        <v>0</v>
      </c>
      <c r="M4538" t="n">
        <v>0</v>
      </c>
      <c r="N4538" t="n">
        <v>0</v>
      </c>
      <c r="O4538" t="n">
        <v>0</v>
      </c>
      <c r="P4538" t="n">
        <v>0</v>
      </c>
      <c r="Q4538" t="n">
        <v>0</v>
      </c>
      <c r="R4538" s="2" t="inlineStr"/>
    </row>
    <row r="4539" ht="15" customHeight="1">
      <c r="A4539" t="inlineStr">
        <is>
          <t>A 64826-2023</t>
        </is>
      </c>
      <c r="B4539" s="1" t="n">
        <v>45281</v>
      </c>
      <c r="C4539" s="1" t="n">
        <v>46046</v>
      </c>
      <c r="D4539" t="inlineStr">
        <is>
          <t>NORRBOTTENS LÄN</t>
        </is>
      </c>
      <c r="E4539" t="inlineStr">
        <is>
          <t>ARJEPLOG</t>
        </is>
      </c>
      <c r="F4539" t="inlineStr">
        <is>
          <t>Sveaskog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25342-2024</t>
        </is>
      </c>
      <c r="B4540" s="1" t="n">
        <v>45462</v>
      </c>
      <c r="C4540" s="1" t="n">
        <v>46046</v>
      </c>
      <c r="D4540" t="inlineStr">
        <is>
          <t>NORRBOTTENS LÄN</t>
        </is>
      </c>
      <c r="E4540" t="inlineStr">
        <is>
          <t>PITEÅ</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59698-2024</t>
        </is>
      </c>
      <c r="B4541" s="1" t="n">
        <v>45639</v>
      </c>
      <c r="C4541" s="1" t="n">
        <v>46046</v>
      </c>
      <c r="D4541" t="inlineStr">
        <is>
          <t>NORRBOTTENS LÄN</t>
        </is>
      </c>
      <c r="E4541" t="inlineStr">
        <is>
          <t>GÄLLIVARE</t>
        </is>
      </c>
      <c r="F4541" t="inlineStr">
        <is>
          <t>Sveaskog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47695-2021</t>
        </is>
      </c>
      <c r="B4542" s="1" t="n">
        <v>44448</v>
      </c>
      <c r="C4542" s="1" t="n">
        <v>46046</v>
      </c>
      <c r="D4542" t="inlineStr">
        <is>
          <t>NORRBOTTENS LÄN</t>
        </is>
      </c>
      <c r="E4542" t="inlineStr">
        <is>
          <t>ÄLVSBYN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49127-2023</t>
        </is>
      </c>
      <c r="B4543" s="1" t="n">
        <v>45210</v>
      </c>
      <c r="C4543" s="1" t="n">
        <v>46046</v>
      </c>
      <c r="D4543" t="inlineStr">
        <is>
          <t>NORRBOTTENS LÄN</t>
        </is>
      </c>
      <c r="E4543" t="inlineStr">
        <is>
          <t>BODEN</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53633-2022</t>
        </is>
      </c>
      <c r="B4544" s="1" t="n">
        <v>44879.9275</v>
      </c>
      <c r="C4544" s="1" t="n">
        <v>46046</v>
      </c>
      <c r="D4544" t="inlineStr">
        <is>
          <t>NORRBOTTENS LÄN</t>
        </is>
      </c>
      <c r="E4544" t="inlineStr">
        <is>
          <t>PITEÅ</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49216-2023</t>
        </is>
      </c>
      <c r="B4545" s="1" t="n">
        <v>45210.61107638889</v>
      </c>
      <c r="C4545" s="1" t="n">
        <v>46046</v>
      </c>
      <c r="D4545" t="inlineStr">
        <is>
          <t>NORRBOTTENS LÄN</t>
        </is>
      </c>
      <c r="E4545" t="inlineStr">
        <is>
          <t>KALIX</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35773-2025</t>
        </is>
      </c>
      <c r="B4546" s="1" t="n">
        <v>45860.67740740741</v>
      </c>
      <c r="C4546" s="1" t="n">
        <v>46046</v>
      </c>
      <c r="D4546" t="inlineStr">
        <is>
          <t>NORRBOTTENS LÄN</t>
        </is>
      </c>
      <c r="E4546" t="inlineStr">
        <is>
          <t>BODEN</t>
        </is>
      </c>
      <c r="F4546" t="inlineStr">
        <is>
          <t>SCA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31635-2022</t>
        </is>
      </c>
      <c r="B4547" s="1" t="n">
        <v>44775.92741898148</v>
      </c>
      <c r="C4547" s="1" t="n">
        <v>46046</v>
      </c>
      <c r="D4547" t="inlineStr">
        <is>
          <t>NORRBOTTENS LÄN</t>
        </is>
      </c>
      <c r="E4547" t="inlineStr">
        <is>
          <t>PITEÅ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27268-2022</t>
        </is>
      </c>
      <c r="B4548" s="1" t="n">
        <v>44741</v>
      </c>
      <c r="C4548" s="1" t="n">
        <v>46046</v>
      </c>
      <c r="D4548" t="inlineStr">
        <is>
          <t>NORRBOTTENS LÄN</t>
        </is>
      </c>
      <c r="E4548" t="inlineStr">
        <is>
          <t>PITEÅ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25125-2025</t>
        </is>
      </c>
      <c r="B4549" s="1" t="n">
        <v>45798</v>
      </c>
      <c r="C4549" s="1" t="n">
        <v>46046</v>
      </c>
      <c r="D4549" t="inlineStr">
        <is>
          <t>NORRBOTTENS LÄN</t>
        </is>
      </c>
      <c r="E4549" t="inlineStr">
        <is>
          <t>PAJALA</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32519-2023</t>
        </is>
      </c>
      <c r="B4550" s="1" t="n">
        <v>45121.36568287037</v>
      </c>
      <c r="C4550" s="1" t="n">
        <v>46046</v>
      </c>
      <c r="D4550" t="inlineStr">
        <is>
          <t>NORRBOTTENS LÄN</t>
        </is>
      </c>
      <c r="E4550" t="inlineStr">
        <is>
          <t>PAJALA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35802-2025</t>
        </is>
      </c>
      <c r="B4551" s="1" t="n">
        <v>45861.38800925926</v>
      </c>
      <c r="C4551" s="1" t="n">
        <v>46046</v>
      </c>
      <c r="D4551" t="inlineStr">
        <is>
          <t>NORRBOTTENS LÄN</t>
        </is>
      </c>
      <c r="E4551" t="inlineStr">
        <is>
          <t>ÄLVSBYN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2778-2023</t>
        </is>
      </c>
      <c r="B4552" s="1" t="n">
        <v>44944</v>
      </c>
      <c r="C4552" s="1" t="n">
        <v>46046</v>
      </c>
      <c r="D4552" t="inlineStr">
        <is>
          <t>NORRBOTTENS LÄN</t>
        </is>
      </c>
      <c r="E4552" t="inlineStr">
        <is>
          <t>ARVIDSJAUR</t>
        </is>
      </c>
      <c r="F4552" t="inlineStr">
        <is>
          <t>Sveaskog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35603-2025</t>
        </is>
      </c>
      <c r="B4553" s="1" t="n">
        <v>45859.31001157407</v>
      </c>
      <c r="C4553" s="1" t="n">
        <v>46046</v>
      </c>
      <c r="D4553" t="inlineStr">
        <is>
          <t>NORRBOTTENS LÄN</t>
        </is>
      </c>
      <c r="E4553" t="inlineStr">
        <is>
          <t>ÖVERTORNEÅ</t>
        </is>
      </c>
      <c r="F4553" t="inlineStr">
        <is>
          <t>Sveaskog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50820-2024</t>
        </is>
      </c>
      <c r="B4554" s="1" t="n">
        <v>45602</v>
      </c>
      <c r="C4554" s="1" t="n">
        <v>46046</v>
      </c>
      <c r="D4554" t="inlineStr">
        <is>
          <t>NORRBOTTENS LÄN</t>
        </is>
      </c>
      <c r="E4554" t="inlineStr">
        <is>
          <t>JOKKMOKK</t>
        </is>
      </c>
      <c r="F4554" t="inlineStr">
        <is>
          <t>Allmännings- och besparingsskogar</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18976-2024</t>
        </is>
      </c>
      <c r="B4555" s="1" t="n">
        <v>45427.5741550926</v>
      </c>
      <c r="C4555" s="1" t="n">
        <v>46046</v>
      </c>
      <c r="D4555" t="inlineStr">
        <is>
          <t>NORRBOTTENS LÄN</t>
        </is>
      </c>
      <c r="E4555" t="inlineStr">
        <is>
          <t>ÖVERKALIX</t>
        </is>
      </c>
      <c r="F4555" t="inlineStr">
        <is>
          <t>Sveaskog</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56043-2021</t>
        </is>
      </c>
      <c r="B4556" s="1" t="n">
        <v>44477</v>
      </c>
      <c r="C4556" s="1" t="n">
        <v>46046</v>
      </c>
      <c r="D4556" t="inlineStr">
        <is>
          <t>NORRBOTTENS LÄN</t>
        </is>
      </c>
      <c r="E4556" t="inlineStr">
        <is>
          <t>LULEÅ</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56057-2021</t>
        </is>
      </c>
      <c r="B4557" s="1" t="n">
        <v>44477</v>
      </c>
      <c r="C4557" s="1" t="n">
        <v>46046</v>
      </c>
      <c r="D4557" t="inlineStr">
        <is>
          <t>NORRBOTTENS LÄN</t>
        </is>
      </c>
      <c r="E4557" t="inlineStr">
        <is>
          <t>LULEÅ</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56111-2021</t>
        </is>
      </c>
      <c r="B4558" s="1" t="n">
        <v>44477</v>
      </c>
      <c r="C4558" s="1" t="n">
        <v>46046</v>
      </c>
      <c r="D4558" t="inlineStr">
        <is>
          <t>NORRBOTTENS LÄN</t>
        </is>
      </c>
      <c r="E4558" t="inlineStr">
        <is>
          <t>BODEN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27270-2022</t>
        </is>
      </c>
      <c r="B4559" s="1" t="n">
        <v>44741</v>
      </c>
      <c r="C4559" s="1" t="n">
        <v>46046</v>
      </c>
      <c r="D4559" t="inlineStr">
        <is>
          <t>NORRBOTTENS LÄN</t>
        </is>
      </c>
      <c r="E4559" t="inlineStr">
        <is>
          <t>PITEÅ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27277-2022</t>
        </is>
      </c>
      <c r="B4560" s="1" t="n">
        <v>44741.92667824074</v>
      </c>
      <c r="C4560" s="1" t="n">
        <v>46046</v>
      </c>
      <c r="D4560" t="inlineStr">
        <is>
          <t>NORRBOTTENS LÄN</t>
        </is>
      </c>
      <c r="E4560" t="inlineStr">
        <is>
          <t>ÄLVSBYN</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41706-2021</t>
        </is>
      </c>
      <c r="B4561" s="1" t="n">
        <v>44424</v>
      </c>
      <c r="C4561" s="1" t="n">
        <v>46046</v>
      </c>
      <c r="D4561" t="inlineStr">
        <is>
          <t>NORRBOTTENS LÄN</t>
        </is>
      </c>
      <c r="E4561" t="inlineStr">
        <is>
          <t>ÖVERKALIX</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9748-2025</t>
        </is>
      </c>
      <c r="B4562" s="1" t="n">
        <v>45716.45487268519</v>
      </c>
      <c r="C4562" s="1" t="n">
        <v>46046</v>
      </c>
      <c r="D4562" t="inlineStr">
        <is>
          <t>NORRBOTTENS LÄN</t>
        </is>
      </c>
      <c r="E4562" t="inlineStr">
        <is>
          <t>HAPARANDA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59553-2021</t>
        </is>
      </c>
      <c r="B4563" s="1" t="n">
        <v>44491</v>
      </c>
      <c r="C4563" s="1" t="n">
        <v>46046</v>
      </c>
      <c r="D4563" t="inlineStr">
        <is>
          <t>NORRBOTTENS LÄN</t>
        </is>
      </c>
      <c r="E4563" t="inlineStr">
        <is>
          <t>ÄLVSBYN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11080-2024</t>
        </is>
      </c>
      <c r="B4564" s="1" t="n">
        <v>45370</v>
      </c>
      <c r="C4564" s="1" t="n">
        <v>46046</v>
      </c>
      <c r="D4564" t="inlineStr">
        <is>
          <t>NORRBOTTENS LÄN</t>
        </is>
      </c>
      <c r="E4564" t="inlineStr">
        <is>
          <t>PAJALA</t>
        </is>
      </c>
      <c r="G4564" t="n">
        <v>14.6</v>
      </c>
      <c r="H4564" t="n">
        <v>0</v>
      </c>
      <c r="I4564" t="n">
        <v>0</v>
      </c>
      <c r="J4564" t="n">
        <v>0</v>
      </c>
      <c r="K4564" t="n">
        <v>0</v>
      </c>
      <c r="L4564" t="n">
        <v>0</v>
      </c>
      <c r="M4564" t="n">
        <v>0</v>
      </c>
      <c r="N4564" t="n">
        <v>0</v>
      </c>
      <c r="O4564" t="n">
        <v>0</v>
      </c>
      <c r="P4564" t="n">
        <v>0</v>
      </c>
      <c r="Q4564" t="n">
        <v>0</v>
      </c>
      <c r="R4564" s="2" t="inlineStr"/>
    </row>
    <row r="4565" ht="15" customHeight="1">
      <c r="A4565" t="inlineStr">
        <is>
          <t>A 49728-2024</t>
        </is>
      </c>
      <c r="B4565" s="1" t="n">
        <v>45596.7612962963</v>
      </c>
      <c r="C4565" s="1" t="n">
        <v>46046</v>
      </c>
      <c r="D4565" t="inlineStr">
        <is>
          <t>NORRBOTTENS LÄN</t>
        </is>
      </c>
      <c r="E4565" t="inlineStr">
        <is>
          <t>BODEN</t>
        </is>
      </c>
      <c r="G4565" t="n">
        <v>22.7</v>
      </c>
      <c r="H4565" t="n">
        <v>0</v>
      </c>
      <c r="I4565" t="n">
        <v>0</v>
      </c>
      <c r="J4565" t="n">
        <v>0</v>
      </c>
      <c r="K4565" t="n">
        <v>0</v>
      </c>
      <c r="L4565" t="n">
        <v>0</v>
      </c>
      <c r="M4565" t="n">
        <v>0</v>
      </c>
      <c r="N4565" t="n">
        <v>0</v>
      </c>
      <c r="O4565" t="n">
        <v>0</v>
      </c>
      <c r="P4565" t="n">
        <v>0</v>
      </c>
      <c r="Q4565" t="n">
        <v>0</v>
      </c>
      <c r="R4565" s="2" t="inlineStr"/>
    </row>
    <row r="4566" ht="15" customHeight="1">
      <c r="A4566" t="inlineStr">
        <is>
          <t>A 27305-2022</t>
        </is>
      </c>
      <c r="B4566" s="1" t="n">
        <v>44741</v>
      </c>
      <c r="C4566" s="1" t="n">
        <v>46046</v>
      </c>
      <c r="D4566" t="inlineStr">
        <is>
          <t>NORRBOTTENS LÄN</t>
        </is>
      </c>
      <c r="E4566" t="inlineStr">
        <is>
          <t>LULEÅ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35755-2025</t>
        </is>
      </c>
      <c r="B4567" s="1" t="n">
        <v>45860.59417824074</v>
      </c>
      <c r="C4567" s="1" t="n">
        <v>46046</v>
      </c>
      <c r="D4567" t="inlineStr">
        <is>
          <t>NORRBOTTENS LÄN</t>
        </is>
      </c>
      <c r="E4567" t="inlineStr">
        <is>
          <t>BODEN</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704-2025</t>
        </is>
      </c>
      <c r="B4568" s="1" t="n">
        <v>45663</v>
      </c>
      <c r="C4568" s="1" t="n">
        <v>46046</v>
      </c>
      <c r="D4568" t="inlineStr">
        <is>
          <t>NORRBOTTENS LÄN</t>
        </is>
      </c>
      <c r="E4568" t="inlineStr">
        <is>
          <t>LULEÅ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18740-2022</t>
        </is>
      </c>
      <c r="B4569" s="1" t="n">
        <v>44687</v>
      </c>
      <c r="C4569" s="1" t="n">
        <v>46046</v>
      </c>
      <c r="D4569" t="inlineStr">
        <is>
          <t>NORRBOTTENS LÄN</t>
        </is>
      </c>
      <c r="E4569" t="inlineStr">
        <is>
          <t>PITEÅ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731-2025</t>
        </is>
      </c>
      <c r="B4570" s="1" t="n">
        <v>45664</v>
      </c>
      <c r="C4570" s="1" t="n">
        <v>46046</v>
      </c>
      <c r="D4570" t="inlineStr">
        <is>
          <t>NORRBOTTENS LÄN</t>
        </is>
      </c>
      <c r="E4570" t="inlineStr">
        <is>
          <t>LULEÅ</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8028-2024</t>
        </is>
      </c>
      <c r="B4571" s="1" t="n">
        <v>45350</v>
      </c>
      <c r="C4571" s="1" t="n">
        <v>46046</v>
      </c>
      <c r="D4571" t="inlineStr">
        <is>
          <t>NORRBOTTENS LÄN</t>
        </is>
      </c>
      <c r="E4571" t="inlineStr">
        <is>
          <t>BODEN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42379-2024</t>
        </is>
      </c>
      <c r="B4572" s="1" t="n">
        <v>45564</v>
      </c>
      <c r="C4572" s="1" t="n">
        <v>46046</v>
      </c>
      <c r="D4572" t="inlineStr">
        <is>
          <t>NORRBOTTENS LÄN</t>
        </is>
      </c>
      <c r="E4572" t="inlineStr">
        <is>
          <t>PITEÅ</t>
        </is>
      </c>
      <c r="G4572" t="n">
        <v>21.6</v>
      </c>
      <c r="H4572" t="n">
        <v>0</v>
      </c>
      <c r="I4572" t="n">
        <v>0</v>
      </c>
      <c r="J4572" t="n">
        <v>0</v>
      </c>
      <c r="K4572" t="n">
        <v>0</v>
      </c>
      <c r="L4572" t="n">
        <v>0</v>
      </c>
      <c r="M4572" t="n">
        <v>0</v>
      </c>
      <c r="N4572" t="n">
        <v>0</v>
      </c>
      <c r="O4572" t="n">
        <v>0</v>
      </c>
      <c r="P4572" t="n">
        <v>0</v>
      </c>
      <c r="Q4572" t="n">
        <v>0</v>
      </c>
      <c r="R4572" s="2" t="inlineStr"/>
    </row>
    <row r="4573" ht="15" customHeight="1">
      <c r="A4573" t="inlineStr">
        <is>
          <t>A 67376-2021</t>
        </is>
      </c>
      <c r="B4573" s="1" t="n">
        <v>44523</v>
      </c>
      <c r="C4573" s="1" t="n">
        <v>46046</v>
      </c>
      <c r="D4573" t="inlineStr">
        <is>
          <t>NORRBOTTENS LÄN</t>
        </is>
      </c>
      <c r="E4573" t="inlineStr">
        <is>
          <t>PITEÅ</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35949-2025</t>
        </is>
      </c>
      <c r="B4574" s="1" t="n">
        <v>45862</v>
      </c>
      <c r="C4574" s="1" t="n">
        <v>46046</v>
      </c>
      <c r="D4574" t="inlineStr">
        <is>
          <t>NORRBOTTENS LÄN</t>
        </is>
      </c>
      <c r="E4574" t="inlineStr">
        <is>
          <t>GÄLLIVARE</t>
        </is>
      </c>
      <c r="F4574" t="inlineStr">
        <is>
          <t>Sveaskog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4678-2025</t>
        </is>
      </c>
      <c r="B4575" s="1" t="n">
        <v>45687.83862268519</v>
      </c>
      <c r="C4575" s="1" t="n">
        <v>46046</v>
      </c>
      <c r="D4575" t="inlineStr">
        <is>
          <t>NORRBOTTENS LÄN</t>
        </is>
      </c>
      <c r="E4575" t="inlineStr">
        <is>
          <t>PITEÅ</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35977-2025</t>
        </is>
      </c>
      <c r="B4576" s="1" t="n">
        <v>45863.44518518518</v>
      </c>
      <c r="C4576" s="1" t="n">
        <v>46046</v>
      </c>
      <c r="D4576" t="inlineStr">
        <is>
          <t>NORRBOTTENS LÄN</t>
        </is>
      </c>
      <c r="E4576" t="inlineStr">
        <is>
          <t>PAJALA</t>
        </is>
      </c>
      <c r="F4576" t="inlineStr">
        <is>
          <t>Sveaskog</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19872-2024</t>
        </is>
      </c>
      <c r="B4577" s="1" t="n">
        <v>45433.45890046296</v>
      </c>
      <c r="C4577" s="1" t="n">
        <v>46046</v>
      </c>
      <c r="D4577" t="inlineStr">
        <is>
          <t>NORRBOTTENS LÄN</t>
        </is>
      </c>
      <c r="E4577" t="inlineStr">
        <is>
          <t>LULEÅ</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56312-2022</t>
        </is>
      </c>
      <c r="B4578" s="1" t="n">
        <v>44890</v>
      </c>
      <c r="C4578" s="1" t="n">
        <v>46046</v>
      </c>
      <c r="D4578" t="inlineStr">
        <is>
          <t>NORRBOTTENS LÄN</t>
        </is>
      </c>
      <c r="E4578" t="inlineStr">
        <is>
          <t>PITEÅ</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30617-2025</t>
        </is>
      </c>
      <c r="B4579" s="1" t="n">
        <v>45831</v>
      </c>
      <c r="C4579" s="1" t="n">
        <v>46046</v>
      </c>
      <c r="D4579" t="inlineStr">
        <is>
          <t>NORRBOTTENS LÄN</t>
        </is>
      </c>
      <c r="E4579" t="inlineStr">
        <is>
          <t>ARJEPLOG</t>
        </is>
      </c>
      <c r="F4579" t="inlineStr">
        <is>
          <t>Allmännings- och besparingsskogar</t>
        </is>
      </c>
      <c r="G4579" t="n">
        <v>39.8</v>
      </c>
      <c r="H4579" t="n">
        <v>0</v>
      </c>
      <c r="I4579" t="n">
        <v>0</v>
      </c>
      <c r="J4579" t="n">
        <v>0</v>
      </c>
      <c r="K4579" t="n">
        <v>0</v>
      </c>
      <c r="L4579" t="n">
        <v>0</v>
      </c>
      <c r="M4579" t="n">
        <v>0</v>
      </c>
      <c r="N4579" t="n">
        <v>0</v>
      </c>
      <c r="O4579" t="n">
        <v>0</v>
      </c>
      <c r="P4579" t="n">
        <v>0</v>
      </c>
      <c r="Q4579" t="n">
        <v>0</v>
      </c>
      <c r="R4579" s="2" t="inlineStr"/>
    </row>
    <row r="4580" ht="15" customHeight="1">
      <c r="A4580" t="inlineStr">
        <is>
          <t>A 47208-2022</t>
        </is>
      </c>
      <c r="B4580" s="1" t="n">
        <v>44851</v>
      </c>
      <c r="C4580" s="1" t="n">
        <v>46046</v>
      </c>
      <c r="D4580" t="inlineStr">
        <is>
          <t>NORRBOTTENS LÄN</t>
        </is>
      </c>
      <c r="E4580" t="inlineStr">
        <is>
          <t>JOKKMOKK</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47246-2022</t>
        </is>
      </c>
      <c r="B4581" s="1" t="n">
        <v>44852</v>
      </c>
      <c r="C4581" s="1" t="n">
        <v>46046</v>
      </c>
      <c r="D4581" t="inlineStr">
        <is>
          <t>NORRBOTTENS LÄN</t>
        </is>
      </c>
      <c r="E4581" t="inlineStr">
        <is>
          <t>LULEÅ</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30595-2025</t>
        </is>
      </c>
      <c r="B4582" s="1" t="n">
        <v>45831</v>
      </c>
      <c r="C4582" s="1" t="n">
        <v>46046</v>
      </c>
      <c r="D4582" t="inlineStr">
        <is>
          <t>NORRBOTTENS LÄN</t>
        </is>
      </c>
      <c r="E4582" t="inlineStr">
        <is>
          <t>ARJEPLOG</t>
        </is>
      </c>
      <c r="G4582" t="n">
        <v>15.6</v>
      </c>
      <c r="H4582" t="n">
        <v>0</v>
      </c>
      <c r="I4582" t="n">
        <v>0</v>
      </c>
      <c r="J4582" t="n">
        <v>0</v>
      </c>
      <c r="K4582" t="n">
        <v>0</v>
      </c>
      <c r="L4582" t="n">
        <v>0</v>
      </c>
      <c r="M4582" t="n">
        <v>0</v>
      </c>
      <c r="N4582" t="n">
        <v>0</v>
      </c>
      <c r="O4582" t="n">
        <v>0</v>
      </c>
      <c r="P4582" t="n">
        <v>0</v>
      </c>
      <c r="Q4582" t="n">
        <v>0</v>
      </c>
      <c r="R4582" s="2" t="inlineStr"/>
    </row>
    <row r="4583" ht="15" customHeight="1">
      <c r="A4583" t="inlineStr">
        <is>
          <t>A 33697-2023</t>
        </is>
      </c>
      <c r="B4583" s="1" t="n">
        <v>45132</v>
      </c>
      <c r="C4583" s="1" t="n">
        <v>46046</v>
      </c>
      <c r="D4583" t="inlineStr">
        <is>
          <t>NORRBOTTENS LÄN</t>
        </is>
      </c>
      <c r="E4583" t="inlineStr">
        <is>
          <t>BODEN</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13624-2025</t>
        </is>
      </c>
      <c r="B4584" s="1" t="n">
        <v>45736</v>
      </c>
      <c r="C4584" s="1" t="n">
        <v>46046</v>
      </c>
      <c r="D4584" t="inlineStr">
        <is>
          <t>NORRBOTTENS LÄN</t>
        </is>
      </c>
      <c r="E4584" t="inlineStr">
        <is>
          <t>PITEÅ</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43007-2022</t>
        </is>
      </c>
      <c r="B4585" s="1" t="n">
        <v>44833</v>
      </c>
      <c r="C4585" s="1" t="n">
        <v>46046</v>
      </c>
      <c r="D4585" t="inlineStr">
        <is>
          <t>NORRBOTTENS LÄN</t>
        </is>
      </c>
      <c r="E4585" t="inlineStr">
        <is>
          <t>BODEN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55857-2024</t>
        </is>
      </c>
      <c r="B4586" s="1" t="n">
        <v>45622</v>
      </c>
      <c r="C4586" s="1" t="n">
        <v>46046</v>
      </c>
      <c r="D4586" t="inlineStr">
        <is>
          <t>NORRBOTTENS LÄN</t>
        </is>
      </c>
      <c r="E4586" t="inlineStr">
        <is>
          <t>ÖVERKALIX</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30606-2025</t>
        </is>
      </c>
      <c r="B4587" s="1" t="n">
        <v>45831</v>
      </c>
      <c r="C4587" s="1" t="n">
        <v>46046</v>
      </c>
      <c r="D4587" t="inlineStr">
        <is>
          <t>NORRBOTTENS LÄN</t>
        </is>
      </c>
      <c r="E4587" t="inlineStr">
        <is>
          <t>ARJEPLOG</t>
        </is>
      </c>
      <c r="F4587" t="inlineStr">
        <is>
          <t>Allmännings- och besparingsskogar</t>
        </is>
      </c>
      <c r="G4587" t="n">
        <v>70.40000000000001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36006-2025</t>
        </is>
      </c>
      <c r="B4588" s="1" t="n">
        <v>45863.56016203704</v>
      </c>
      <c r="C4588" s="1" t="n">
        <v>46046</v>
      </c>
      <c r="D4588" t="inlineStr">
        <is>
          <t>NORRBOTTENS LÄN</t>
        </is>
      </c>
      <c r="E4588" t="inlineStr">
        <is>
          <t>BODEN</t>
        </is>
      </c>
      <c r="F4588" t="inlineStr">
        <is>
          <t>Sveaskog</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6591-2023</t>
        </is>
      </c>
      <c r="B4589" s="1" t="n">
        <v>44966.50604166667</v>
      </c>
      <c r="C4589" s="1" t="n">
        <v>46046</v>
      </c>
      <c r="D4589" t="inlineStr">
        <is>
          <t>NORRBOTTENS LÄN</t>
        </is>
      </c>
      <c r="E4589" t="inlineStr">
        <is>
          <t>ÖVERKALIX</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35974-2025</t>
        </is>
      </c>
      <c r="B4590" s="1" t="n">
        <v>45863.42761574074</v>
      </c>
      <c r="C4590" s="1" t="n">
        <v>46046</v>
      </c>
      <c r="D4590" t="inlineStr">
        <is>
          <t>NORRBOTTENS LÄN</t>
        </is>
      </c>
      <c r="E4590" t="inlineStr">
        <is>
          <t>PITEÅ</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32098-2021</t>
        </is>
      </c>
      <c r="B4591" s="1" t="n">
        <v>44370</v>
      </c>
      <c r="C4591" s="1" t="n">
        <v>46046</v>
      </c>
      <c r="D4591" t="inlineStr">
        <is>
          <t>NORRBOTTENS LÄN</t>
        </is>
      </c>
      <c r="E4591" t="inlineStr">
        <is>
          <t>PITEÅ</t>
        </is>
      </c>
      <c r="F4591" t="inlineStr">
        <is>
          <t>SCA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35944-2025</t>
        </is>
      </c>
      <c r="B4592" s="1" t="n">
        <v>45862</v>
      </c>
      <c r="C4592" s="1" t="n">
        <v>46046</v>
      </c>
      <c r="D4592" t="inlineStr">
        <is>
          <t>NORRBOTTENS LÄN</t>
        </is>
      </c>
      <c r="E4592" t="inlineStr">
        <is>
          <t>PAJALA</t>
        </is>
      </c>
      <c r="F4592" t="inlineStr">
        <is>
          <t>Sveaskog</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28707-2022</t>
        </is>
      </c>
      <c r="B4593" s="1" t="n">
        <v>44748</v>
      </c>
      <c r="C4593" s="1" t="n">
        <v>46046</v>
      </c>
      <c r="D4593" t="inlineStr">
        <is>
          <t>NORRBOTTENS LÄN</t>
        </is>
      </c>
      <c r="E4593" t="inlineStr">
        <is>
          <t>KIRUNA</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35945-2025</t>
        </is>
      </c>
      <c r="B4594" s="1" t="n">
        <v>45862</v>
      </c>
      <c r="C4594" s="1" t="n">
        <v>46046</v>
      </c>
      <c r="D4594" t="inlineStr">
        <is>
          <t>NORRBOTTENS LÄN</t>
        </is>
      </c>
      <c r="E4594" t="inlineStr">
        <is>
          <t>PAJALA</t>
        </is>
      </c>
      <c r="F4594" t="inlineStr">
        <is>
          <t>Sveaskog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35967-2025</t>
        </is>
      </c>
      <c r="B4595" s="1" t="n">
        <v>45863.4059837963</v>
      </c>
      <c r="C4595" s="1" t="n">
        <v>46046</v>
      </c>
      <c r="D4595" t="inlineStr">
        <is>
          <t>NORRBOTTENS LÄN</t>
        </is>
      </c>
      <c r="E4595" t="inlineStr">
        <is>
          <t>PAJALA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11-2025</t>
        </is>
      </c>
      <c r="B4596" s="1" t="n">
        <v>45658.64216435186</v>
      </c>
      <c r="C4596" s="1" t="n">
        <v>46046</v>
      </c>
      <c r="D4596" t="inlineStr">
        <is>
          <t>NORRBOTTENS LÄN</t>
        </is>
      </c>
      <c r="E4596" t="inlineStr">
        <is>
          <t>KALIX</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35943-2025</t>
        </is>
      </c>
      <c r="B4597" s="1" t="n">
        <v>45862</v>
      </c>
      <c r="C4597" s="1" t="n">
        <v>46046</v>
      </c>
      <c r="D4597" t="inlineStr">
        <is>
          <t>NORRBOTTENS LÄN</t>
        </is>
      </c>
      <c r="E4597" t="inlineStr">
        <is>
          <t>PAJALA</t>
        </is>
      </c>
      <c r="F4597" t="inlineStr">
        <is>
          <t>Sveaskog</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49157-2022</t>
        </is>
      </c>
      <c r="B4598" s="1" t="n">
        <v>44860</v>
      </c>
      <c r="C4598" s="1" t="n">
        <v>46046</v>
      </c>
      <c r="D4598" t="inlineStr">
        <is>
          <t>NORRBOTTENS LÄN</t>
        </is>
      </c>
      <c r="E4598" t="inlineStr">
        <is>
          <t>ÖVERTORNEÅ</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29674-2025</t>
        </is>
      </c>
      <c r="B4599" s="1" t="n">
        <v>45825</v>
      </c>
      <c r="C4599" s="1" t="n">
        <v>46046</v>
      </c>
      <c r="D4599" t="inlineStr">
        <is>
          <t>NORRBOTTENS LÄN</t>
        </is>
      </c>
      <c r="E4599" t="inlineStr">
        <is>
          <t>ARJEPLOG</t>
        </is>
      </c>
      <c r="F4599" t="inlineStr">
        <is>
          <t>Allmännings- och besparingsskogar</t>
        </is>
      </c>
      <c r="G4599" t="n">
        <v>25.1</v>
      </c>
      <c r="H4599" t="n">
        <v>0</v>
      </c>
      <c r="I4599" t="n">
        <v>0</v>
      </c>
      <c r="J4599" t="n">
        <v>0</v>
      </c>
      <c r="K4599" t="n">
        <v>0</v>
      </c>
      <c r="L4599" t="n">
        <v>0</v>
      </c>
      <c r="M4599" t="n">
        <v>0</v>
      </c>
      <c r="N4599" t="n">
        <v>0</v>
      </c>
      <c r="O4599" t="n">
        <v>0</v>
      </c>
      <c r="P4599" t="n">
        <v>0</v>
      </c>
      <c r="Q4599" t="n">
        <v>0</v>
      </c>
      <c r="R4599" s="2" t="inlineStr"/>
    </row>
    <row r="4600" ht="15" customHeight="1">
      <c r="A4600" t="inlineStr">
        <is>
          <t>A 36014-2025</t>
        </is>
      </c>
      <c r="B4600" s="1" t="n">
        <v>45863.6125</v>
      </c>
      <c r="C4600" s="1" t="n">
        <v>46046</v>
      </c>
      <c r="D4600" t="inlineStr">
        <is>
          <t>NORRBOTTENS LÄN</t>
        </is>
      </c>
      <c r="E4600" t="inlineStr">
        <is>
          <t>BODEN</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36019-2025</t>
        </is>
      </c>
      <c r="B4601" s="1" t="n">
        <v>45863.67741898148</v>
      </c>
      <c r="C4601" s="1" t="n">
        <v>46046</v>
      </c>
      <c r="D4601" t="inlineStr">
        <is>
          <t>NORRBOTTENS LÄN</t>
        </is>
      </c>
      <c r="E4601" t="inlineStr">
        <is>
          <t>BODEN</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29662-2025</t>
        </is>
      </c>
      <c r="B4602" s="1" t="n">
        <v>45825</v>
      </c>
      <c r="C4602" s="1" t="n">
        <v>46046</v>
      </c>
      <c r="D4602" t="inlineStr">
        <is>
          <t>NORRBOTTENS LÄN</t>
        </is>
      </c>
      <c r="E4602" t="inlineStr">
        <is>
          <t>ARJEPLOG</t>
        </is>
      </c>
      <c r="F4602" t="inlineStr">
        <is>
          <t>Allmännings- och besparingsskogar</t>
        </is>
      </c>
      <c r="G4602" t="n">
        <v>23.7</v>
      </c>
      <c r="H4602" t="n">
        <v>0</v>
      </c>
      <c r="I4602" t="n">
        <v>0</v>
      </c>
      <c r="J4602" t="n">
        <v>0</v>
      </c>
      <c r="K4602" t="n">
        <v>0</v>
      </c>
      <c r="L4602" t="n">
        <v>0</v>
      </c>
      <c r="M4602" t="n">
        <v>0</v>
      </c>
      <c r="N4602" t="n">
        <v>0</v>
      </c>
      <c r="O4602" t="n">
        <v>0</v>
      </c>
      <c r="P4602" t="n">
        <v>0</v>
      </c>
      <c r="Q4602" t="n">
        <v>0</v>
      </c>
      <c r="R4602" s="2" t="inlineStr"/>
    </row>
    <row r="4603" ht="15" customHeight="1">
      <c r="A4603" t="inlineStr">
        <is>
          <t>A 54341-2024</t>
        </is>
      </c>
      <c r="B4603" s="1" t="n">
        <v>45617</v>
      </c>
      <c r="C4603" s="1" t="n">
        <v>46046</v>
      </c>
      <c r="D4603" t="inlineStr">
        <is>
          <t>NORRBOTTENS LÄN</t>
        </is>
      </c>
      <c r="E4603" t="inlineStr">
        <is>
          <t>ARVIDSJAUR</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35917-2025</t>
        </is>
      </c>
      <c r="B4604" s="1" t="n">
        <v>45862.554375</v>
      </c>
      <c r="C4604" s="1" t="n">
        <v>46046</v>
      </c>
      <c r="D4604" t="inlineStr">
        <is>
          <t>NORRBOTTENS LÄN</t>
        </is>
      </c>
      <c r="E4604" t="inlineStr">
        <is>
          <t>PITEÅ</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38160-2024</t>
        </is>
      </c>
      <c r="B4605" s="1" t="n">
        <v>45545.44503472222</v>
      </c>
      <c r="C4605" s="1" t="n">
        <v>46046</v>
      </c>
      <c r="D4605" t="inlineStr">
        <is>
          <t>NORRBOTTENS LÄN</t>
        </is>
      </c>
      <c r="E4605" t="inlineStr">
        <is>
          <t>PAJALA</t>
        </is>
      </c>
      <c r="F4605" t="inlineStr">
        <is>
          <t>Sveaskog</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38161-2024</t>
        </is>
      </c>
      <c r="B4606" s="1" t="n">
        <v>45545</v>
      </c>
      <c r="C4606" s="1" t="n">
        <v>46046</v>
      </c>
      <c r="D4606" t="inlineStr">
        <is>
          <t>NORRBOTTENS LÄN</t>
        </is>
      </c>
      <c r="E4606" t="inlineStr">
        <is>
          <t>PAJALA</t>
        </is>
      </c>
      <c r="F4606" t="inlineStr">
        <is>
          <t>Sveaskog</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11413-2025</t>
        </is>
      </c>
      <c r="B4607" s="1" t="n">
        <v>45726.5940625</v>
      </c>
      <c r="C4607" s="1" t="n">
        <v>46046</v>
      </c>
      <c r="D4607" t="inlineStr">
        <is>
          <t>NORRBOTTENS LÄN</t>
        </is>
      </c>
      <c r="E4607" t="inlineStr">
        <is>
          <t>PITEÅ</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61748-2024</t>
        </is>
      </c>
      <c r="B4608" s="1" t="n">
        <v>45649.38905092593</v>
      </c>
      <c r="C4608" s="1" t="n">
        <v>46046</v>
      </c>
      <c r="D4608" t="inlineStr">
        <is>
          <t>NORRBOTTENS LÄN</t>
        </is>
      </c>
      <c r="E4608" t="inlineStr">
        <is>
          <t>BODEN</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61757-2024</t>
        </is>
      </c>
      <c r="B4609" s="1" t="n">
        <v>45649.4091550926</v>
      </c>
      <c r="C4609" s="1" t="n">
        <v>46046</v>
      </c>
      <c r="D4609" t="inlineStr">
        <is>
          <t>NORRBOTTENS LÄN</t>
        </is>
      </c>
      <c r="E4609" t="inlineStr">
        <is>
          <t>BODEN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36113-2024</t>
        </is>
      </c>
      <c r="B4610" s="1" t="n">
        <v>45534.30302083334</v>
      </c>
      <c r="C4610" s="1" t="n">
        <v>46046</v>
      </c>
      <c r="D4610" t="inlineStr">
        <is>
          <t>NORRBOTTENS LÄN</t>
        </is>
      </c>
      <c r="E4610" t="inlineStr">
        <is>
          <t>JOKKMOKK</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45654-2024</t>
        </is>
      </c>
      <c r="B4611" s="1" t="n">
        <v>45579</v>
      </c>
      <c r="C4611" s="1" t="n">
        <v>46046</v>
      </c>
      <c r="D4611" t="inlineStr">
        <is>
          <t>NORRBOTTENS LÄN</t>
        </is>
      </c>
      <c r="E4611" t="inlineStr">
        <is>
          <t>GÄLLIVARE</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36100-2025</t>
        </is>
      </c>
      <c r="B4612" s="1" t="n">
        <v>45866.526875</v>
      </c>
      <c r="C4612" s="1" t="n">
        <v>46046</v>
      </c>
      <c r="D4612" t="inlineStr">
        <is>
          <t>NORRBOTTENS LÄN</t>
        </is>
      </c>
      <c r="E4612" t="inlineStr">
        <is>
          <t>KALIX</t>
        </is>
      </c>
      <c r="F4612" t="inlineStr">
        <is>
          <t>Sveaskog</t>
        </is>
      </c>
      <c r="G4612" t="n">
        <v>14.8</v>
      </c>
      <c r="H4612" t="n">
        <v>0</v>
      </c>
      <c r="I4612" t="n">
        <v>0</v>
      </c>
      <c r="J4612" t="n">
        <v>0</v>
      </c>
      <c r="K4612" t="n">
        <v>0</v>
      </c>
      <c r="L4612" t="n">
        <v>0</v>
      </c>
      <c r="M4612" t="n">
        <v>0</v>
      </c>
      <c r="N4612" t="n">
        <v>0</v>
      </c>
      <c r="O4612" t="n">
        <v>0</v>
      </c>
      <c r="P4612" t="n">
        <v>0</v>
      </c>
      <c r="Q4612" t="n">
        <v>0</v>
      </c>
      <c r="R4612" s="2" t="inlineStr"/>
    </row>
    <row r="4613" ht="15" customHeight="1">
      <c r="A4613" t="inlineStr">
        <is>
          <t>A 45655-2024</t>
        </is>
      </c>
      <c r="B4613" s="1" t="n">
        <v>45579</v>
      </c>
      <c r="C4613" s="1" t="n">
        <v>46046</v>
      </c>
      <c r="D4613" t="inlineStr">
        <is>
          <t>NORRBOTTENS LÄN</t>
        </is>
      </c>
      <c r="E4613" t="inlineStr">
        <is>
          <t>PAJALA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45662-2024</t>
        </is>
      </c>
      <c r="B4614" s="1" t="n">
        <v>45579</v>
      </c>
      <c r="C4614" s="1" t="n">
        <v>46046</v>
      </c>
      <c r="D4614" t="inlineStr">
        <is>
          <t>NORRBOTTENS LÄN</t>
        </is>
      </c>
      <c r="E4614" t="inlineStr">
        <is>
          <t>PAJALA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36229-2025</t>
        </is>
      </c>
      <c r="B4615" s="1" t="n">
        <v>45867.53866898148</v>
      </c>
      <c r="C4615" s="1" t="n">
        <v>46046</v>
      </c>
      <c r="D4615" t="inlineStr">
        <is>
          <t>NORRBOTTENS LÄN</t>
        </is>
      </c>
      <c r="E4615" t="inlineStr">
        <is>
          <t>KALIX</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42009-2024</t>
        </is>
      </c>
      <c r="B4616" s="1" t="n">
        <v>45561.69032407407</v>
      </c>
      <c r="C4616" s="1" t="n">
        <v>46046</v>
      </c>
      <c r="D4616" t="inlineStr">
        <is>
          <t>NORRBOTTENS LÄN</t>
        </is>
      </c>
      <c r="E4616" t="inlineStr">
        <is>
          <t>KALIX</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9068-2023</t>
        </is>
      </c>
      <c r="B4617" s="1" t="n">
        <v>44979</v>
      </c>
      <c r="C4617" s="1" t="n">
        <v>46046</v>
      </c>
      <c r="D4617" t="inlineStr">
        <is>
          <t>NORRBOTTENS LÄN</t>
        </is>
      </c>
      <c r="E4617" t="inlineStr">
        <is>
          <t>KIRUNA</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36078-2025</t>
        </is>
      </c>
      <c r="B4618" s="1" t="n">
        <v>45866</v>
      </c>
      <c r="C4618" s="1" t="n">
        <v>46046</v>
      </c>
      <c r="D4618" t="inlineStr">
        <is>
          <t>NORRBOTTENS LÄN</t>
        </is>
      </c>
      <c r="E4618" t="inlineStr">
        <is>
          <t>PAJALA</t>
        </is>
      </c>
      <c r="F4618" t="inlineStr">
        <is>
          <t>Sveaskog</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71902-2021</t>
        </is>
      </c>
      <c r="B4619" s="1" t="n">
        <v>44539</v>
      </c>
      <c r="C4619" s="1" t="n">
        <v>46046</v>
      </c>
      <c r="D4619" t="inlineStr">
        <is>
          <t>NORRBOTTENS LÄN</t>
        </is>
      </c>
      <c r="E4619" t="inlineStr">
        <is>
          <t>ÖVERKALIX</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36137-2025</t>
        </is>
      </c>
      <c r="B4620" s="1" t="n">
        <v>45866.64355324074</v>
      </c>
      <c r="C4620" s="1" t="n">
        <v>46046</v>
      </c>
      <c r="D4620" t="inlineStr">
        <is>
          <t>NORRBOTTENS LÄN</t>
        </is>
      </c>
      <c r="E4620" t="inlineStr">
        <is>
          <t>GÄLLIVARE</t>
        </is>
      </c>
      <c r="F4620" t="inlineStr">
        <is>
          <t>Sveaskog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93-2024</t>
        </is>
      </c>
      <c r="B4621" s="1" t="n">
        <v>45293</v>
      </c>
      <c r="C4621" s="1" t="n">
        <v>46046</v>
      </c>
      <c r="D4621" t="inlineStr">
        <is>
          <t>NORRBOTTENS LÄN</t>
        </is>
      </c>
      <c r="E4621" t="inlineStr">
        <is>
          <t>KIRUNA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67438-2021</t>
        </is>
      </c>
      <c r="B4622" s="1" t="n">
        <v>44524</v>
      </c>
      <c r="C4622" s="1" t="n">
        <v>46046</v>
      </c>
      <c r="D4622" t="inlineStr">
        <is>
          <t>NORRBOTTENS LÄN</t>
        </is>
      </c>
      <c r="E4622" t="inlineStr">
        <is>
          <t>BODEN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24656-2024</t>
        </is>
      </c>
      <c r="B4623" s="1" t="n">
        <v>45460</v>
      </c>
      <c r="C4623" s="1" t="n">
        <v>46046</v>
      </c>
      <c r="D4623" t="inlineStr">
        <is>
          <t>NORRBOTTENS LÄN</t>
        </is>
      </c>
      <c r="E4623" t="inlineStr">
        <is>
          <t>ÖVERTORNEÅ</t>
        </is>
      </c>
      <c r="F4623" t="inlineStr">
        <is>
          <t>Sveaskog</t>
        </is>
      </c>
      <c r="G4623" t="n">
        <v>16.9</v>
      </c>
      <c r="H4623" t="n">
        <v>0</v>
      </c>
      <c r="I4623" t="n">
        <v>0</v>
      </c>
      <c r="J4623" t="n">
        <v>0</v>
      </c>
      <c r="K4623" t="n">
        <v>0</v>
      </c>
      <c r="L4623" t="n">
        <v>0</v>
      </c>
      <c r="M4623" t="n">
        <v>0</v>
      </c>
      <c r="N4623" t="n">
        <v>0</v>
      </c>
      <c r="O4623" t="n">
        <v>0</v>
      </c>
      <c r="P4623" t="n">
        <v>0</v>
      </c>
      <c r="Q4623" t="n">
        <v>0</v>
      </c>
      <c r="R4623" s="2" t="inlineStr"/>
    </row>
    <row r="4624" ht="15" customHeight="1">
      <c r="A4624" t="inlineStr">
        <is>
          <t>A 29674-2024</t>
        </is>
      </c>
      <c r="B4624" s="1" t="n">
        <v>45484.94219907407</v>
      </c>
      <c r="C4624" s="1" t="n">
        <v>46046</v>
      </c>
      <c r="D4624" t="inlineStr">
        <is>
          <t>NORRBOTTENS LÄN</t>
        </is>
      </c>
      <c r="E4624" t="inlineStr">
        <is>
          <t>ARVIDSJAUR</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29678-2024</t>
        </is>
      </c>
      <c r="B4625" s="1" t="n">
        <v>45484.94283564815</v>
      </c>
      <c r="C4625" s="1" t="n">
        <v>46046</v>
      </c>
      <c r="D4625" t="inlineStr">
        <is>
          <t>NORRBOTTENS LÄN</t>
        </is>
      </c>
      <c r="E4625" t="inlineStr">
        <is>
          <t>PITEÅ</t>
        </is>
      </c>
      <c r="F4625" t="inlineStr">
        <is>
          <t>SCA</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29681-2024</t>
        </is>
      </c>
      <c r="B4626" s="1" t="n">
        <v>45484.94334490741</v>
      </c>
      <c r="C4626" s="1" t="n">
        <v>46046</v>
      </c>
      <c r="D4626" t="inlineStr">
        <is>
          <t>NORRBOTTENS LÄN</t>
        </is>
      </c>
      <c r="E4626" t="inlineStr">
        <is>
          <t>ARVIDSJAUR</t>
        </is>
      </c>
      <c r="F4626" t="inlineStr">
        <is>
          <t>SCA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19698-2025</t>
        </is>
      </c>
      <c r="B4627" s="1" t="n">
        <v>45770</v>
      </c>
      <c r="C4627" s="1" t="n">
        <v>46046</v>
      </c>
      <c r="D4627" t="inlineStr">
        <is>
          <t>NORRBOTTENS LÄN</t>
        </is>
      </c>
      <c r="E4627" t="inlineStr">
        <is>
          <t>BODEN</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30355-2024</t>
        </is>
      </c>
      <c r="B4628" s="1" t="n">
        <v>45490.96008101852</v>
      </c>
      <c r="C4628" s="1" t="n">
        <v>46046</v>
      </c>
      <c r="D4628" t="inlineStr">
        <is>
          <t>NORRBOTTENS LÄN</t>
        </is>
      </c>
      <c r="E4628" t="inlineStr">
        <is>
          <t>PAJALA</t>
        </is>
      </c>
      <c r="G4628" t="n">
        <v>24.6</v>
      </c>
      <c r="H4628" t="n">
        <v>0</v>
      </c>
      <c r="I4628" t="n">
        <v>0</v>
      </c>
      <c r="J4628" t="n">
        <v>0</v>
      </c>
      <c r="K4628" t="n">
        <v>0</v>
      </c>
      <c r="L4628" t="n">
        <v>0</v>
      </c>
      <c r="M4628" t="n">
        <v>0</v>
      </c>
      <c r="N4628" t="n">
        <v>0</v>
      </c>
      <c r="O4628" t="n">
        <v>0</v>
      </c>
      <c r="P4628" t="n">
        <v>0</v>
      </c>
      <c r="Q4628" t="n">
        <v>0</v>
      </c>
      <c r="R4628" s="2" t="inlineStr"/>
    </row>
    <row r="4629" ht="15" customHeight="1">
      <c r="A4629" t="inlineStr">
        <is>
          <t>A 23730-2023</t>
        </is>
      </c>
      <c r="B4629" s="1" t="n">
        <v>45077</v>
      </c>
      <c r="C4629" s="1" t="n">
        <v>46046</v>
      </c>
      <c r="D4629" t="inlineStr">
        <is>
          <t>NORRBOTTENS LÄN</t>
        </is>
      </c>
      <c r="E4629" t="inlineStr">
        <is>
          <t>LULEÅ</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42845-2023</t>
        </is>
      </c>
      <c r="B4630" s="1" t="n">
        <v>45177</v>
      </c>
      <c r="C4630" s="1" t="n">
        <v>46046</v>
      </c>
      <c r="D4630" t="inlineStr">
        <is>
          <t>NORRBOTTENS LÄN</t>
        </is>
      </c>
      <c r="E4630" t="inlineStr">
        <is>
          <t>PAJALA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53960-2023</t>
        </is>
      </c>
      <c r="B4631" s="1" t="n">
        <v>45225</v>
      </c>
      <c r="C4631" s="1" t="n">
        <v>46046</v>
      </c>
      <c r="D4631" t="inlineStr">
        <is>
          <t>NORRBOTTENS LÄN</t>
        </is>
      </c>
      <c r="E4631" t="inlineStr">
        <is>
          <t>LULEÅ</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36391-2023</t>
        </is>
      </c>
      <c r="B4632" s="1" t="n">
        <v>45152</v>
      </c>
      <c r="C4632" s="1" t="n">
        <v>46046</v>
      </c>
      <c r="D4632" t="inlineStr">
        <is>
          <t>NORRBOTTENS LÄN</t>
        </is>
      </c>
      <c r="E4632" t="inlineStr">
        <is>
          <t>PAJALA</t>
        </is>
      </c>
      <c r="G4632" t="n">
        <v>10.5</v>
      </c>
      <c r="H4632" t="n">
        <v>0</v>
      </c>
      <c r="I4632" t="n">
        <v>0</v>
      </c>
      <c r="J4632" t="n">
        <v>0</v>
      </c>
      <c r="K4632" t="n">
        <v>0</v>
      </c>
      <c r="L4632" t="n">
        <v>0</v>
      </c>
      <c r="M4632" t="n">
        <v>0</v>
      </c>
      <c r="N4632" t="n">
        <v>0</v>
      </c>
      <c r="O4632" t="n">
        <v>0</v>
      </c>
      <c r="P4632" t="n">
        <v>0</v>
      </c>
      <c r="Q4632" t="n">
        <v>0</v>
      </c>
      <c r="R4632" s="2" t="inlineStr"/>
    </row>
    <row r="4633" ht="15" customHeight="1">
      <c r="A4633" t="inlineStr">
        <is>
          <t>A 19376-2025</t>
        </is>
      </c>
      <c r="B4633" s="1" t="n">
        <v>45769.64806712963</v>
      </c>
      <c r="C4633" s="1" t="n">
        <v>46046</v>
      </c>
      <c r="D4633" t="inlineStr">
        <is>
          <t>NORRBOTTENS LÄN</t>
        </is>
      </c>
      <c r="E4633" t="inlineStr">
        <is>
          <t>PITEÅ</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30785-2024</t>
        </is>
      </c>
      <c r="B4634" s="1" t="n">
        <v>45496</v>
      </c>
      <c r="C4634" s="1" t="n">
        <v>46046</v>
      </c>
      <c r="D4634" t="inlineStr">
        <is>
          <t>NORRBOTTENS LÄN</t>
        </is>
      </c>
      <c r="E4634" t="inlineStr">
        <is>
          <t>LULEÅ</t>
        </is>
      </c>
      <c r="F4634" t="inlineStr">
        <is>
          <t>Naturvårdsverket</t>
        </is>
      </c>
      <c r="G4634" t="n">
        <v>11.7</v>
      </c>
      <c r="H4634" t="n">
        <v>0</v>
      </c>
      <c r="I4634" t="n">
        <v>0</v>
      </c>
      <c r="J4634" t="n">
        <v>0</v>
      </c>
      <c r="K4634" t="n">
        <v>0</v>
      </c>
      <c r="L4634" t="n">
        <v>0</v>
      </c>
      <c r="M4634" t="n">
        <v>0</v>
      </c>
      <c r="N4634" t="n">
        <v>0</v>
      </c>
      <c r="O4634" t="n">
        <v>0</v>
      </c>
      <c r="P4634" t="n">
        <v>0</v>
      </c>
      <c r="Q4634" t="n">
        <v>0</v>
      </c>
      <c r="R4634" s="2" t="inlineStr"/>
    </row>
    <row r="4635" ht="15" customHeight="1">
      <c r="A4635" t="inlineStr">
        <is>
          <t>A 41009-2022</t>
        </is>
      </c>
      <c r="B4635" s="1" t="n">
        <v>44817</v>
      </c>
      <c r="C4635" s="1" t="n">
        <v>46046</v>
      </c>
      <c r="D4635" t="inlineStr">
        <is>
          <t>NORRBOTTENS LÄN</t>
        </is>
      </c>
      <c r="E4635" t="inlineStr">
        <is>
          <t>HAPARANDA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47517-2024</t>
        </is>
      </c>
      <c r="B4636" s="1" t="n">
        <v>45587</v>
      </c>
      <c r="C4636" s="1" t="n">
        <v>46046</v>
      </c>
      <c r="D4636" t="inlineStr">
        <is>
          <t>NORRBOTTENS LÄN</t>
        </is>
      </c>
      <c r="E4636" t="inlineStr">
        <is>
          <t>KALIX</t>
        </is>
      </c>
      <c r="G4636" t="n">
        <v>9.9</v>
      </c>
      <c r="H4636" t="n">
        <v>0</v>
      </c>
      <c r="I4636" t="n">
        <v>0</v>
      </c>
      <c r="J4636" t="n">
        <v>0</v>
      </c>
      <c r="K4636" t="n">
        <v>0</v>
      </c>
      <c r="L4636" t="n">
        <v>0</v>
      </c>
      <c r="M4636" t="n">
        <v>0</v>
      </c>
      <c r="N4636" t="n">
        <v>0</v>
      </c>
      <c r="O4636" t="n">
        <v>0</v>
      </c>
      <c r="P4636" t="n">
        <v>0</v>
      </c>
      <c r="Q4636" t="n">
        <v>0</v>
      </c>
      <c r="R4636" s="2" t="inlineStr"/>
    </row>
    <row r="4637" ht="15" customHeight="1">
      <c r="A4637" t="inlineStr">
        <is>
          <t>A 36115-2025</t>
        </is>
      </c>
      <c r="B4637" s="1" t="n">
        <v>45866.58059027778</v>
      </c>
      <c r="C4637" s="1" t="n">
        <v>46046</v>
      </c>
      <c r="D4637" t="inlineStr">
        <is>
          <t>NORRBOTTENS LÄN</t>
        </is>
      </c>
      <c r="E4637" t="inlineStr">
        <is>
          <t>ÖVERTORNEÅ</t>
        </is>
      </c>
      <c r="F4637" t="inlineStr">
        <is>
          <t>Sveaskog</t>
        </is>
      </c>
      <c r="G4637" t="n">
        <v>12.9</v>
      </c>
      <c r="H4637" t="n">
        <v>0</v>
      </c>
      <c r="I4637" t="n">
        <v>0</v>
      </c>
      <c r="J4637" t="n">
        <v>0</v>
      </c>
      <c r="K4637" t="n">
        <v>0</v>
      </c>
      <c r="L4637" t="n">
        <v>0</v>
      </c>
      <c r="M4637" t="n">
        <v>0</v>
      </c>
      <c r="N4637" t="n">
        <v>0</v>
      </c>
      <c r="O4637" t="n">
        <v>0</v>
      </c>
      <c r="P4637" t="n">
        <v>0</v>
      </c>
      <c r="Q4637" t="n">
        <v>0</v>
      </c>
      <c r="R4637" s="2" t="inlineStr"/>
    </row>
    <row r="4638" ht="15" customHeight="1">
      <c r="A4638" t="inlineStr">
        <is>
          <t>A 59686-2023</t>
        </is>
      </c>
      <c r="B4638" s="1" t="n">
        <v>45256.40148148148</v>
      </c>
      <c r="C4638" s="1" t="n">
        <v>46046</v>
      </c>
      <c r="D4638" t="inlineStr">
        <is>
          <t>NORRBOTTENS LÄN</t>
        </is>
      </c>
      <c r="E4638" t="inlineStr">
        <is>
          <t>HAPARANDA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50554-2024</t>
        </is>
      </c>
      <c r="B4639" s="1" t="n">
        <v>45601.59497685185</v>
      </c>
      <c r="C4639" s="1" t="n">
        <v>46046</v>
      </c>
      <c r="D4639" t="inlineStr">
        <is>
          <t>NORRBOTTENS LÄN</t>
        </is>
      </c>
      <c r="E4639" t="inlineStr">
        <is>
          <t>GÄLLIVARE</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7525-2025</t>
        </is>
      </c>
      <c r="B4640" s="1" t="n">
        <v>45704</v>
      </c>
      <c r="C4640" s="1" t="n">
        <v>46046</v>
      </c>
      <c r="D4640" t="inlineStr">
        <is>
          <t>NORRBOTTENS LÄN</t>
        </is>
      </c>
      <c r="E4640" t="inlineStr">
        <is>
          <t>BODEN</t>
        </is>
      </c>
      <c r="G4640" t="n">
        <v>10.1</v>
      </c>
      <c r="H4640" t="n">
        <v>0</v>
      </c>
      <c r="I4640" t="n">
        <v>0</v>
      </c>
      <c r="J4640" t="n">
        <v>0</v>
      </c>
      <c r="K4640" t="n">
        <v>0</v>
      </c>
      <c r="L4640" t="n">
        <v>0</v>
      </c>
      <c r="M4640" t="n">
        <v>0</v>
      </c>
      <c r="N4640" t="n">
        <v>0</v>
      </c>
      <c r="O4640" t="n">
        <v>0</v>
      </c>
      <c r="P4640" t="n">
        <v>0</v>
      </c>
      <c r="Q4640" t="n">
        <v>0</v>
      </c>
      <c r="R4640" s="2" t="inlineStr"/>
    </row>
    <row r="4641" ht="15" customHeight="1">
      <c r="A4641" t="inlineStr">
        <is>
          <t>A 6122-2023</t>
        </is>
      </c>
      <c r="B4641" s="1" t="n">
        <v>44964.60572916667</v>
      </c>
      <c r="C4641" s="1" t="n">
        <v>46046</v>
      </c>
      <c r="D4641" t="inlineStr">
        <is>
          <t>NORRBOTTENS LÄN</t>
        </is>
      </c>
      <c r="E4641" t="inlineStr">
        <is>
          <t>ÖVERKALIX</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38999-2024</t>
        </is>
      </c>
      <c r="B4642" s="1" t="n">
        <v>45548.4180787037</v>
      </c>
      <c r="C4642" s="1" t="n">
        <v>46046</v>
      </c>
      <c r="D4642" t="inlineStr">
        <is>
          <t>NORRBOTTENS LÄN</t>
        </is>
      </c>
      <c r="E4642" t="inlineStr">
        <is>
          <t>ÄLVSBYN</t>
        </is>
      </c>
      <c r="F4642" t="inlineStr">
        <is>
          <t>Sveaskog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40284-2024</t>
        </is>
      </c>
      <c r="B4643" s="1" t="n">
        <v>45554.66608796296</v>
      </c>
      <c r="C4643" s="1" t="n">
        <v>46046</v>
      </c>
      <c r="D4643" t="inlineStr">
        <is>
          <t>NORRBOTTENS LÄN</t>
        </is>
      </c>
      <c r="E4643" t="inlineStr">
        <is>
          <t>ÄLVSBYN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31488-2023</t>
        </is>
      </c>
      <c r="B4644" s="1" t="n">
        <v>45114</v>
      </c>
      <c r="C4644" s="1" t="n">
        <v>46046</v>
      </c>
      <c r="D4644" t="inlineStr">
        <is>
          <t>NORRBOTTENS LÄN</t>
        </is>
      </c>
      <c r="E4644" t="inlineStr">
        <is>
          <t>PITEÅ</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36168-2025</t>
        </is>
      </c>
      <c r="B4645" s="1" t="n">
        <v>45867.38582175926</v>
      </c>
      <c r="C4645" s="1" t="n">
        <v>46046</v>
      </c>
      <c r="D4645" t="inlineStr">
        <is>
          <t>NORRBOTTENS LÄN</t>
        </is>
      </c>
      <c r="E4645" t="inlineStr">
        <is>
          <t>JOKKMOKK</t>
        </is>
      </c>
      <c r="F4645" t="inlineStr">
        <is>
          <t>SCA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27944-2024</t>
        </is>
      </c>
      <c r="B4646" s="1" t="n">
        <v>45476</v>
      </c>
      <c r="C4646" s="1" t="n">
        <v>46046</v>
      </c>
      <c r="D4646" t="inlineStr">
        <is>
          <t>NORRBOTTENS LÄN</t>
        </is>
      </c>
      <c r="E4646" t="inlineStr">
        <is>
          <t>ARVIDSJAUR</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26470-2024</t>
        </is>
      </c>
      <c r="B4647" s="1" t="n">
        <v>45468</v>
      </c>
      <c r="C4647" s="1" t="n">
        <v>46046</v>
      </c>
      <c r="D4647" t="inlineStr">
        <is>
          <t>NORRBOTTENS LÄN</t>
        </is>
      </c>
      <c r="E4647" t="inlineStr">
        <is>
          <t>ARJEPLOG</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9650-2024</t>
        </is>
      </c>
      <c r="B4648" s="1" t="n">
        <v>45362</v>
      </c>
      <c r="C4648" s="1" t="n">
        <v>46046</v>
      </c>
      <c r="D4648" t="inlineStr">
        <is>
          <t>NORRBOTTENS LÄN</t>
        </is>
      </c>
      <c r="E4648" t="inlineStr">
        <is>
          <t>GÄLLIVARE</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9700-2024</t>
        </is>
      </c>
      <c r="B4649" s="1" t="n">
        <v>45362</v>
      </c>
      <c r="C4649" s="1" t="n">
        <v>46046</v>
      </c>
      <c r="D4649" t="inlineStr">
        <is>
          <t>NORRBOTTENS LÄN</t>
        </is>
      </c>
      <c r="E4649" t="inlineStr">
        <is>
          <t>PAJALA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46512-2021</t>
        </is>
      </c>
      <c r="B4650" s="1" t="n">
        <v>44445</v>
      </c>
      <c r="C4650" s="1" t="n">
        <v>46046</v>
      </c>
      <c r="D4650" t="inlineStr">
        <is>
          <t>NORRBOTTENS LÄN</t>
        </is>
      </c>
      <c r="E4650" t="inlineStr">
        <is>
          <t>BODEN</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35686-2025</t>
        </is>
      </c>
      <c r="B4651" s="1" t="n">
        <v>45859.92579861111</v>
      </c>
      <c r="C4651" s="1" t="n">
        <v>46046</v>
      </c>
      <c r="D4651" t="inlineStr">
        <is>
          <t>NORRBOTTENS LÄN</t>
        </is>
      </c>
      <c r="E4651" t="inlineStr">
        <is>
          <t>LULEÅ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34510-2021</t>
        </is>
      </c>
      <c r="B4652" s="1" t="n">
        <v>44382</v>
      </c>
      <c r="C4652" s="1" t="n">
        <v>46046</v>
      </c>
      <c r="D4652" t="inlineStr">
        <is>
          <t>NORRBOTTENS LÄN</t>
        </is>
      </c>
      <c r="E4652" t="inlineStr">
        <is>
          <t>ARVIDSJAUR</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8903-2023</t>
        </is>
      </c>
      <c r="B4653" s="1" t="n">
        <v>44973</v>
      </c>
      <c r="C4653" s="1" t="n">
        <v>46046</v>
      </c>
      <c r="D4653" t="inlineStr">
        <is>
          <t>NORRBOTTENS LÄN</t>
        </is>
      </c>
      <c r="E4653" t="inlineStr">
        <is>
          <t>PAJALA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15607-2024</t>
        </is>
      </c>
      <c r="B4654" s="1" t="n">
        <v>45401.92539351852</v>
      </c>
      <c r="C4654" s="1" t="n">
        <v>46046</v>
      </c>
      <c r="D4654" t="inlineStr">
        <is>
          <t>NORRBOTTENS LÄN</t>
        </is>
      </c>
      <c r="E4654" t="inlineStr">
        <is>
          <t>PITEÅ</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3704-2024</t>
        </is>
      </c>
      <c r="B4655" s="1" t="n">
        <v>45321</v>
      </c>
      <c r="C4655" s="1" t="n">
        <v>46046</v>
      </c>
      <c r="D4655" t="inlineStr">
        <is>
          <t>NORRBOTTENS LÄN</t>
        </is>
      </c>
      <c r="E4655" t="inlineStr">
        <is>
          <t>ÖVERKALIX</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34876-2025</t>
        </is>
      </c>
      <c r="B4656" s="1" t="n">
        <v>45849.46329861111</v>
      </c>
      <c r="C4656" s="1" t="n">
        <v>46046</v>
      </c>
      <c r="D4656" t="inlineStr">
        <is>
          <t>NORRBOTTENS LÄN</t>
        </is>
      </c>
      <c r="E4656" t="inlineStr">
        <is>
          <t>PITEÅ</t>
        </is>
      </c>
      <c r="G4656" t="n">
        <v>8.800000000000001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33323-2023</t>
        </is>
      </c>
      <c r="B4657" s="1" t="n">
        <v>45127.92231481482</v>
      </c>
      <c r="C4657" s="1" t="n">
        <v>46046</v>
      </c>
      <c r="D4657" t="inlineStr">
        <is>
          <t>NORRBOTTENS LÄN</t>
        </is>
      </c>
      <c r="E4657" t="inlineStr">
        <is>
          <t>ÖVERTORNEÅ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21677-2023</t>
        </is>
      </c>
      <c r="B4658" s="1" t="n">
        <v>45063.94185185185</v>
      </c>
      <c r="C4658" s="1" t="n">
        <v>46046</v>
      </c>
      <c r="D4658" t="inlineStr">
        <is>
          <t>NORRBOTTENS LÄN</t>
        </is>
      </c>
      <c r="E4658" t="inlineStr">
        <is>
          <t>ÄLVSBYN</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49859-2023</t>
        </is>
      </c>
      <c r="B4659" s="1" t="n">
        <v>45212</v>
      </c>
      <c r="C4659" s="1" t="n">
        <v>46046</v>
      </c>
      <c r="D4659" t="inlineStr">
        <is>
          <t>NORRBOTTENS LÄN</t>
        </is>
      </c>
      <c r="E4659" t="inlineStr">
        <is>
          <t>BODEN</t>
        </is>
      </c>
      <c r="F4659" t="inlineStr">
        <is>
          <t>SCA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58764-2023</t>
        </is>
      </c>
      <c r="B4660" s="1" t="n">
        <v>45251</v>
      </c>
      <c r="C4660" s="1" t="n">
        <v>46046</v>
      </c>
      <c r="D4660" t="inlineStr">
        <is>
          <t>NORRBOTTENS LÄN</t>
        </is>
      </c>
      <c r="E4660" t="inlineStr">
        <is>
          <t>ÖVERKALIX</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37819-2024</t>
        </is>
      </c>
      <c r="B4661" s="1" t="n">
        <v>45544</v>
      </c>
      <c r="C4661" s="1" t="n">
        <v>46046</v>
      </c>
      <c r="D4661" t="inlineStr">
        <is>
          <t>NORRBOTTENS LÄN</t>
        </is>
      </c>
      <c r="E4661" t="inlineStr">
        <is>
          <t>PITEÅ</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36464-2025</t>
        </is>
      </c>
      <c r="B4662" s="1" t="n">
        <v>45869.46420138889</v>
      </c>
      <c r="C4662" s="1" t="n">
        <v>46046</v>
      </c>
      <c r="D4662" t="inlineStr">
        <is>
          <t>NORRBOTTENS LÄN</t>
        </is>
      </c>
      <c r="E4662" t="inlineStr">
        <is>
          <t>ÄLVSBYN</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36501-2025</t>
        </is>
      </c>
      <c r="B4663" s="1" t="n">
        <v>45869.56310185185</v>
      </c>
      <c r="C4663" s="1" t="n">
        <v>46046</v>
      </c>
      <c r="D4663" t="inlineStr">
        <is>
          <t>NORRBOTTENS LÄN</t>
        </is>
      </c>
      <c r="E4663" t="inlineStr">
        <is>
          <t>ÖVERKALIX</t>
        </is>
      </c>
      <c r="F4663" t="inlineStr">
        <is>
          <t>Sveaskog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36490-2025</t>
        </is>
      </c>
      <c r="B4664" s="1" t="n">
        <v>45869</v>
      </c>
      <c r="C4664" s="1" t="n">
        <v>46046</v>
      </c>
      <c r="D4664" t="inlineStr">
        <is>
          <t>NORRBOTTENS LÄN</t>
        </is>
      </c>
      <c r="E4664" t="inlineStr">
        <is>
          <t>ÄLVSBYN</t>
        </is>
      </c>
      <c r="F4664" t="inlineStr">
        <is>
          <t>SCA</t>
        </is>
      </c>
      <c r="G4664" t="n">
        <v>20.1</v>
      </c>
      <c r="H4664" t="n">
        <v>0</v>
      </c>
      <c r="I4664" t="n">
        <v>0</v>
      </c>
      <c r="J4664" t="n">
        <v>0</v>
      </c>
      <c r="K4664" t="n">
        <v>0</v>
      </c>
      <c r="L4664" t="n">
        <v>0</v>
      </c>
      <c r="M4664" t="n">
        <v>0</v>
      </c>
      <c r="N4664" t="n">
        <v>0</v>
      </c>
      <c r="O4664" t="n">
        <v>0</v>
      </c>
      <c r="P4664" t="n">
        <v>0</v>
      </c>
      <c r="Q4664" t="n">
        <v>0</v>
      </c>
      <c r="R4664" s="2" t="inlineStr"/>
    </row>
    <row r="4665" ht="15" customHeight="1">
      <c r="A4665" t="inlineStr">
        <is>
          <t>A 36517-2025</t>
        </is>
      </c>
      <c r="B4665" s="1" t="n">
        <v>45869.59483796296</v>
      </c>
      <c r="C4665" s="1" t="n">
        <v>46046</v>
      </c>
      <c r="D4665" t="inlineStr">
        <is>
          <t>NORRBOTTENS LÄN</t>
        </is>
      </c>
      <c r="E4665" t="inlineStr">
        <is>
          <t>KALIX</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36519-2025</t>
        </is>
      </c>
      <c r="B4666" s="1" t="n">
        <v>45869.59835648148</v>
      </c>
      <c r="C4666" s="1" t="n">
        <v>46046</v>
      </c>
      <c r="D4666" t="inlineStr">
        <is>
          <t>NORRBOTTENS LÄN</t>
        </is>
      </c>
      <c r="E4666" t="inlineStr">
        <is>
          <t>KALIX</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21574-2023</t>
        </is>
      </c>
      <c r="B4667" s="1" t="n">
        <v>45063.59164351852</v>
      </c>
      <c r="C4667" s="1" t="n">
        <v>46046</v>
      </c>
      <c r="D4667" t="inlineStr">
        <is>
          <t>NORRBOTTENS LÄN</t>
        </is>
      </c>
      <c r="E4667" t="inlineStr">
        <is>
          <t>KALIX</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36321-2025</t>
        </is>
      </c>
      <c r="B4668" s="1" t="n">
        <v>45868</v>
      </c>
      <c r="C4668" s="1" t="n">
        <v>46046</v>
      </c>
      <c r="D4668" t="inlineStr">
        <is>
          <t>NORRBOTTENS LÄN</t>
        </is>
      </c>
      <c r="E4668" t="inlineStr">
        <is>
          <t>GÄLLIVARE</t>
        </is>
      </c>
      <c r="F4668" t="inlineStr">
        <is>
          <t>Sveaskog</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36326-2025</t>
        </is>
      </c>
      <c r="B4669" s="1" t="n">
        <v>45868.42105324074</v>
      </c>
      <c r="C4669" s="1" t="n">
        <v>46046</v>
      </c>
      <c r="D4669" t="inlineStr">
        <is>
          <t>NORRBOTTENS LÄN</t>
        </is>
      </c>
      <c r="E4669" t="inlineStr">
        <is>
          <t>GÄLLIVARE</t>
        </is>
      </c>
      <c r="F4669" t="inlineStr">
        <is>
          <t>Sveaskog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14047-2024</t>
        </is>
      </c>
      <c r="B4670" s="1" t="n">
        <v>45392</v>
      </c>
      <c r="C4670" s="1" t="n">
        <v>46046</v>
      </c>
      <c r="D4670" t="inlineStr">
        <is>
          <t>NORRBOTTENS LÄN</t>
        </is>
      </c>
      <c r="E4670" t="inlineStr">
        <is>
          <t>KALIX</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36332-2025</t>
        </is>
      </c>
      <c r="B4671" s="1" t="n">
        <v>45868</v>
      </c>
      <c r="C4671" s="1" t="n">
        <v>46046</v>
      </c>
      <c r="D4671" t="inlineStr">
        <is>
          <t>NORRBOTTENS LÄN</t>
        </is>
      </c>
      <c r="E4671" t="inlineStr">
        <is>
          <t>GÄLLIVARE</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46752-2024</t>
        </is>
      </c>
      <c r="B4672" s="1" t="n">
        <v>45583</v>
      </c>
      <c r="C4672" s="1" t="n">
        <v>46046</v>
      </c>
      <c r="D4672" t="inlineStr">
        <is>
          <t>NORRBOTTENS LÄN</t>
        </is>
      </c>
      <c r="E4672" t="inlineStr">
        <is>
          <t>KALIX</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36357-2025</t>
        </is>
      </c>
      <c r="B4673" s="1" t="n">
        <v>45868.5107175926</v>
      </c>
      <c r="C4673" s="1" t="n">
        <v>46046</v>
      </c>
      <c r="D4673" t="inlineStr">
        <is>
          <t>NORRBOTTENS LÄN</t>
        </is>
      </c>
      <c r="E4673" t="inlineStr">
        <is>
          <t>JOKKMOKK</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56980-2024</t>
        </is>
      </c>
      <c r="B4674" s="1" t="n">
        <v>45628</v>
      </c>
      <c r="C4674" s="1" t="n">
        <v>46046</v>
      </c>
      <c r="D4674" t="inlineStr">
        <is>
          <t>NORRBOTTENS LÄN</t>
        </is>
      </c>
      <c r="E4674" t="inlineStr">
        <is>
          <t>ARVIDSJAUR</t>
        </is>
      </c>
      <c r="F4674" t="inlineStr">
        <is>
          <t>Övriga Aktiebolag</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3649-2025</t>
        </is>
      </c>
      <c r="B4675" s="1" t="n">
        <v>45681</v>
      </c>
      <c r="C4675" s="1" t="n">
        <v>46046</v>
      </c>
      <c r="D4675" t="inlineStr">
        <is>
          <t>NORRBOTTENS LÄN</t>
        </is>
      </c>
      <c r="E4675" t="inlineStr">
        <is>
          <t>PITEÅ</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59194-2022</t>
        </is>
      </c>
      <c r="B4676" s="1" t="n">
        <v>44904</v>
      </c>
      <c r="C4676" s="1" t="n">
        <v>46046</v>
      </c>
      <c r="D4676" t="inlineStr">
        <is>
          <t>NORRBOTTENS LÄN</t>
        </is>
      </c>
      <c r="E4676" t="inlineStr">
        <is>
          <t>GÄLLIVARE</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25692-2024</t>
        </is>
      </c>
      <c r="B4677" s="1" t="n">
        <v>45463.94173611111</v>
      </c>
      <c r="C4677" s="1" t="n">
        <v>46046</v>
      </c>
      <c r="D4677" t="inlineStr">
        <is>
          <t>NORRBOTTENS LÄN</t>
        </is>
      </c>
      <c r="E4677" t="inlineStr">
        <is>
          <t>ÖVERKALIX</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25693-2024</t>
        </is>
      </c>
      <c r="B4678" s="1" t="n">
        <v>45463.94180555556</v>
      </c>
      <c r="C4678" s="1" t="n">
        <v>46046</v>
      </c>
      <c r="D4678" t="inlineStr">
        <is>
          <t>NORRBOTTENS LÄN</t>
        </is>
      </c>
      <c r="E4678" t="inlineStr">
        <is>
          <t>PAJALA</t>
        </is>
      </c>
      <c r="F4678" t="inlineStr">
        <is>
          <t>SCA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36489-2025</t>
        </is>
      </c>
      <c r="B4679" s="1" t="n">
        <v>45869.52704861111</v>
      </c>
      <c r="C4679" s="1" t="n">
        <v>46046</v>
      </c>
      <c r="D4679" t="inlineStr">
        <is>
          <t>NORRBOTTENS LÄN</t>
        </is>
      </c>
      <c r="E4679" t="inlineStr">
        <is>
          <t>ARVIDSJAUR</t>
        </is>
      </c>
      <c r="F4679" t="inlineStr">
        <is>
          <t>Sveaskog</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36531-2025</t>
        </is>
      </c>
      <c r="B4680" s="1" t="n">
        <v>45869.61380787037</v>
      </c>
      <c r="C4680" s="1" t="n">
        <v>46046</v>
      </c>
      <c r="D4680" t="inlineStr">
        <is>
          <t>NORRBOTTENS LÄN</t>
        </is>
      </c>
      <c r="E4680" t="inlineStr">
        <is>
          <t>KALIX</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36536-2025</t>
        </is>
      </c>
      <c r="B4681" s="1" t="n">
        <v>45869</v>
      </c>
      <c r="C4681" s="1" t="n">
        <v>46046</v>
      </c>
      <c r="D4681" t="inlineStr">
        <is>
          <t>NORRBOTTENS LÄN</t>
        </is>
      </c>
      <c r="E4681" t="inlineStr">
        <is>
          <t>ÄLVSBYN</t>
        </is>
      </c>
      <c r="F4681" t="inlineStr">
        <is>
          <t>SCA</t>
        </is>
      </c>
      <c r="G4681" t="n">
        <v>16.4</v>
      </c>
      <c r="H4681" t="n">
        <v>0</v>
      </c>
      <c r="I4681" t="n">
        <v>0</v>
      </c>
      <c r="J4681" t="n">
        <v>0</v>
      </c>
      <c r="K4681" t="n">
        <v>0</v>
      </c>
      <c r="L4681" t="n">
        <v>0</v>
      </c>
      <c r="M4681" t="n">
        <v>0</v>
      </c>
      <c r="N4681" t="n">
        <v>0</v>
      </c>
      <c r="O4681" t="n">
        <v>0</v>
      </c>
      <c r="P4681" t="n">
        <v>0</v>
      </c>
      <c r="Q4681" t="n">
        <v>0</v>
      </c>
      <c r="R4681" s="2" t="inlineStr"/>
    </row>
    <row r="4682" ht="15" customHeight="1">
      <c r="A4682" t="inlineStr">
        <is>
          <t>A 36521-2025</t>
        </is>
      </c>
      <c r="B4682" s="1" t="n">
        <v>45869.60490740741</v>
      </c>
      <c r="C4682" s="1" t="n">
        <v>46046</v>
      </c>
      <c r="D4682" t="inlineStr">
        <is>
          <t>NORRBOTTENS LÄN</t>
        </is>
      </c>
      <c r="E4682" t="inlineStr">
        <is>
          <t>PITEÅ</t>
        </is>
      </c>
      <c r="F4682" t="inlineStr">
        <is>
          <t>Sveaskog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36524-2025</t>
        </is>
      </c>
      <c r="B4683" s="1" t="n">
        <v>45869.60674768518</v>
      </c>
      <c r="C4683" s="1" t="n">
        <v>46046</v>
      </c>
      <c r="D4683" t="inlineStr">
        <is>
          <t>NORRBOTTENS LÄN</t>
        </is>
      </c>
      <c r="E4683" t="inlineStr">
        <is>
          <t>KALIX</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36535-2025</t>
        </is>
      </c>
      <c r="B4684" s="1" t="n">
        <v>45869.61506944444</v>
      </c>
      <c r="C4684" s="1" t="n">
        <v>46046</v>
      </c>
      <c r="D4684" t="inlineStr">
        <is>
          <t>NORRBOTTENS LÄN</t>
        </is>
      </c>
      <c r="E4684" t="inlineStr">
        <is>
          <t>KALIX</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53985-2023</t>
        </is>
      </c>
      <c r="B4685" s="1" t="n">
        <v>45225</v>
      </c>
      <c r="C4685" s="1" t="n">
        <v>46046</v>
      </c>
      <c r="D4685" t="inlineStr">
        <is>
          <t>NORRBOTTENS LÄN</t>
        </is>
      </c>
      <c r="E4685" t="inlineStr">
        <is>
          <t>LULEÅ</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25627-2022</t>
        </is>
      </c>
      <c r="B4686" s="1" t="n">
        <v>44732.92724537037</v>
      </c>
      <c r="C4686" s="1" t="n">
        <v>46046</v>
      </c>
      <c r="D4686" t="inlineStr">
        <is>
          <t>NORRBOTTENS LÄN</t>
        </is>
      </c>
      <c r="E4686" t="inlineStr">
        <is>
          <t>BODEN</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42886-2024</t>
        </is>
      </c>
      <c r="B4687" s="1" t="n">
        <v>45566</v>
      </c>
      <c r="C4687" s="1" t="n">
        <v>46046</v>
      </c>
      <c r="D4687" t="inlineStr">
        <is>
          <t>NORRBOTTENS LÄN</t>
        </is>
      </c>
      <c r="E4687" t="inlineStr">
        <is>
          <t>PAJALA</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52581-2022</t>
        </is>
      </c>
      <c r="B4688" s="1" t="n">
        <v>44874</v>
      </c>
      <c r="C4688" s="1" t="n">
        <v>46046</v>
      </c>
      <c r="D4688" t="inlineStr">
        <is>
          <t>NORRBOTTENS LÄN</t>
        </is>
      </c>
      <c r="E4688" t="inlineStr">
        <is>
          <t>ARJEPLOG</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26552-2025</t>
        </is>
      </c>
      <c r="B4689" s="1" t="n">
        <v>45807</v>
      </c>
      <c r="C4689" s="1" t="n">
        <v>46046</v>
      </c>
      <c r="D4689" t="inlineStr">
        <is>
          <t>NORRBOTTENS LÄN</t>
        </is>
      </c>
      <c r="E4689" t="inlineStr">
        <is>
          <t>JOKKMOKK</t>
        </is>
      </c>
      <c r="F4689" t="inlineStr">
        <is>
          <t>SCA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8022-2024</t>
        </is>
      </c>
      <c r="B4690" s="1" t="n">
        <v>45350</v>
      </c>
      <c r="C4690" s="1" t="n">
        <v>46046</v>
      </c>
      <c r="D4690" t="inlineStr">
        <is>
          <t>NORRBOTTENS LÄN</t>
        </is>
      </c>
      <c r="E4690" t="inlineStr">
        <is>
          <t>LULEÅ</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36365-2025</t>
        </is>
      </c>
      <c r="B4691" s="1" t="n">
        <v>45868.53259259259</v>
      </c>
      <c r="C4691" s="1" t="n">
        <v>46046</v>
      </c>
      <c r="D4691" t="inlineStr">
        <is>
          <t>NORRBOTTENS LÄN</t>
        </is>
      </c>
      <c r="E4691" t="inlineStr">
        <is>
          <t>PAJALA</t>
        </is>
      </c>
      <c r="F4691" t="inlineStr">
        <is>
          <t>Sveaskog</t>
        </is>
      </c>
      <c r="G4691" t="n">
        <v>30.2</v>
      </c>
      <c r="H4691" t="n">
        <v>0</v>
      </c>
      <c r="I4691" t="n">
        <v>0</v>
      </c>
      <c r="J4691" t="n">
        <v>0</v>
      </c>
      <c r="K4691" t="n">
        <v>0</v>
      </c>
      <c r="L4691" t="n">
        <v>0</v>
      </c>
      <c r="M4691" t="n">
        <v>0</v>
      </c>
      <c r="N4691" t="n">
        <v>0</v>
      </c>
      <c r="O4691" t="n">
        <v>0</v>
      </c>
      <c r="P4691" t="n">
        <v>0</v>
      </c>
      <c r="Q4691" t="n">
        <v>0</v>
      </c>
      <c r="R4691" s="2" t="inlineStr"/>
    </row>
    <row r="4692" ht="15" customHeight="1">
      <c r="A4692" t="inlineStr">
        <is>
          <t>A 31067-2023</t>
        </is>
      </c>
      <c r="B4692" s="1" t="n">
        <v>45113</v>
      </c>
      <c r="C4692" s="1" t="n">
        <v>46046</v>
      </c>
      <c r="D4692" t="inlineStr">
        <is>
          <t>NORRBOTTENS LÄN</t>
        </is>
      </c>
      <c r="E4692" t="inlineStr">
        <is>
          <t>LULEÅ</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36346-2025</t>
        </is>
      </c>
      <c r="B4693" s="1" t="n">
        <v>45868.47645833333</v>
      </c>
      <c r="C4693" s="1" t="n">
        <v>46046</v>
      </c>
      <c r="D4693" t="inlineStr">
        <is>
          <t>NORRBOTTENS LÄN</t>
        </is>
      </c>
      <c r="E4693" t="inlineStr">
        <is>
          <t>GÄLLIVARE</t>
        </is>
      </c>
      <c r="F4693" t="inlineStr">
        <is>
          <t>Sveaskog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36351-2025</t>
        </is>
      </c>
      <c r="B4694" s="1" t="n">
        <v>45868.48922453704</v>
      </c>
      <c r="C4694" s="1" t="n">
        <v>46046</v>
      </c>
      <c r="D4694" t="inlineStr">
        <is>
          <t>NORRBOTTENS LÄN</t>
        </is>
      </c>
      <c r="E4694" t="inlineStr">
        <is>
          <t>GÄLLIVARE</t>
        </is>
      </c>
      <c r="F4694" t="inlineStr">
        <is>
          <t>Sveaskog</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6754-2025</t>
        </is>
      </c>
      <c r="B4695" s="1" t="n">
        <v>45700.61891203704</v>
      </c>
      <c r="C4695" s="1" t="n">
        <v>46046</v>
      </c>
      <c r="D4695" t="inlineStr">
        <is>
          <t>NORRBOTTENS LÄN</t>
        </is>
      </c>
      <c r="E4695" t="inlineStr">
        <is>
          <t>PITEÅ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36367-2025</t>
        </is>
      </c>
      <c r="B4696" s="1" t="n">
        <v>45868</v>
      </c>
      <c r="C4696" s="1" t="n">
        <v>46046</v>
      </c>
      <c r="D4696" t="inlineStr">
        <is>
          <t>NORRBOTTENS LÄN</t>
        </is>
      </c>
      <c r="E4696" t="inlineStr">
        <is>
          <t>PAJALA</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36529-2025</t>
        </is>
      </c>
      <c r="B4697" s="1" t="n">
        <v>45869.61163194444</v>
      </c>
      <c r="C4697" s="1" t="n">
        <v>46046</v>
      </c>
      <c r="D4697" t="inlineStr">
        <is>
          <t>NORRBOTTENS LÄN</t>
        </is>
      </c>
      <c r="E4697" t="inlineStr">
        <is>
          <t>KALIX</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1469-2025</t>
        </is>
      </c>
      <c r="B4698" s="1" t="n">
        <v>45670</v>
      </c>
      <c r="C4698" s="1" t="n">
        <v>46046</v>
      </c>
      <c r="D4698" t="inlineStr">
        <is>
          <t>NORRBOTTENS LÄN</t>
        </is>
      </c>
      <c r="E4698" t="inlineStr">
        <is>
          <t>ÖVERTORNEÅ</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3037-2025</t>
        </is>
      </c>
      <c r="B4699" s="1" t="n">
        <v>45678.60017361111</v>
      </c>
      <c r="C4699" s="1" t="n">
        <v>46046</v>
      </c>
      <c r="D4699" t="inlineStr">
        <is>
          <t>NORRBOTTENS LÄN</t>
        </is>
      </c>
      <c r="E4699" t="inlineStr">
        <is>
          <t>KALIX</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12539-2024</t>
        </is>
      </c>
      <c r="B4700" s="1" t="n">
        <v>45379</v>
      </c>
      <c r="C4700" s="1" t="n">
        <v>46046</v>
      </c>
      <c r="D4700" t="inlineStr">
        <is>
          <t>NORRBOTTENS LÄN</t>
        </is>
      </c>
      <c r="E4700" t="inlineStr">
        <is>
          <t>LULEÅ</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36344-2025</t>
        </is>
      </c>
      <c r="B4701" s="1" t="n">
        <v>45868.47358796297</v>
      </c>
      <c r="C4701" s="1" t="n">
        <v>46046</v>
      </c>
      <c r="D4701" t="inlineStr">
        <is>
          <t>NORRBOTTENS LÄN</t>
        </is>
      </c>
      <c r="E4701" t="inlineStr">
        <is>
          <t>GÄLLIVARE</t>
        </is>
      </c>
      <c r="F4701" t="inlineStr">
        <is>
          <t>Sveaskog</t>
        </is>
      </c>
      <c r="G4701" t="n">
        <v>21.2</v>
      </c>
      <c r="H4701" t="n">
        <v>0</v>
      </c>
      <c r="I4701" t="n">
        <v>0</v>
      </c>
      <c r="J4701" t="n">
        <v>0</v>
      </c>
      <c r="K4701" t="n">
        <v>0</v>
      </c>
      <c r="L4701" t="n">
        <v>0</v>
      </c>
      <c r="M4701" t="n">
        <v>0</v>
      </c>
      <c r="N4701" t="n">
        <v>0</v>
      </c>
      <c r="O4701" t="n">
        <v>0</v>
      </c>
      <c r="P4701" t="n">
        <v>0</v>
      </c>
      <c r="Q4701" t="n">
        <v>0</v>
      </c>
      <c r="R4701" s="2" t="inlineStr"/>
    </row>
    <row r="4702" ht="15" customHeight="1">
      <c r="A4702" t="inlineStr">
        <is>
          <t>A 36348-2025</t>
        </is>
      </c>
      <c r="B4702" s="1" t="n">
        <v>45868.4797337963</v>
      </c>
      <c r="C4702" s="1" t="n">
        <v>46046</v>
      </c>
      <c r="D4702" t="inlineStr">
        <is>
          <t>NORRBOTTENS LÄN</t>
        </is>
      </c>
      <c r="E4702" t="inlineStr">
        <is>
          <t>GÄLLIVARE</t>
        </is>
      </c>
      <c r="F4702" t="inlineStr">
        <is>
          <t>Sveaskog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3498-2023</t>
        </is>
      </c>
      <c r="B4703" s="1" t="n">
        <v>44949</v>
      </c>
      <c r="C4703" s="1" t="n">
        <v>46046</v>
      </c>
      <c r="D4703" t="inlineStr">
        <is>
          <t>NORRBOTTENS LÄN</t>
        </is>
      </c>
      <c r="E4703" t="inlineStr">
        <is>
          <t>HAPARANDA</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12682-2022</t>
        </is>
      </c>
      <c r="B4704" s="1" t="n">
        <v>44641</v>
      </c>
      <c r="C4704" s="1" t="n">
        <v>46046</v>
      </c>
      <c r="D4704" t="inlineStr">
        <is>
          <t>NORRBOTTENS LÄN</t>
        </is>
      </c>
      <c r="E4704" t="inlineStr">
        <is>
          <t>PAJALA</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14862-2023</t>
        </is>
      </c>
      <c r="B4705" s="1" t="n">
        <v>45015</v>
      </c>
      <c r="C4705" s="1" t="n">
        <v>46046</v>
      </c>
      <c r="D4705" t="inlineStr">
        <is>
          <t>NORRBOTTENS LÄN</t>
        </is>
      </c>
      <c r="E4705" t="inlineStr">
        <is>
          <t>PITEÅ</t>
        </is>
      </c>
      <c r="F4705" t="inlineStr">
        <is>
          <t>SCA</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24290-2024</t>
        </is>
      </c>
      <c r="B4706" s="1" t="n">
        <v>45457</v>
      </c>
      <c r="C4706" s="1" t="n">
        <v>46046</v>
      </c>
      <c r="D4706" t="inlineStr">
        <is>
          <t>NORRBOTTENS LÄN</t>
        </is>
      </c>
      <c r="E4706" t="inlineStr">
        <is>
          <t>ÖVERKALIX</t>
        </is>
      </c>
      <c r="G4706" t="n">
        <v>12.9</v>
      </c>
      <c r="H4706" t="n">
        <v>0</v>
      </c>
      <c r="I4706" t="n">
        <v>0</v>
      </c>
      <c r="J4706" t="n">
        <v>0</v>
      </c>
      <c r="K4706" t="n">
        <v>0</v>
      </c>
      <c r="L4706" t="n">
        <v>0</v>
      </c>
      <c r="M4706" t="n">
        <v>0</v>
      </c>
      <c r="N4706" t="n">
        <v>0</v>
      </c>
      <c r="O4706" t="n">
        <v>0</v>
      </c>
      <c r="P4706" t="n">
        <v>0</v>
      </c>
      <c r="Q4706" t="n">
        <v>0</v>
      </c>
      <c r="R4706" s="2" t="inlineStr"/>
    </row>
    <row r="4707" ht="15" customHeight="1">
      <c r="A4707" t="inlineStr">
        <is>
          <t>A 25121-2024</t>
        </is>
      </c>
      <c r="B4707" s="1" t="n">
        <v>45462</v>
      </c>
      <c r="C4707" s="1" t="n">
        <v>46046</v>
      </c>
      <c r="D4707" t="inlineStr">
        <is>
          <t>NORRBOTTENS LÄN</t>
        </is>
      </c>
      <c r="E4707" t="inlineStr">
        <is>
          <t>ARVIDSJAUR</t>
        </is>
      </c>
      <c r="F4707" t="inlineStr">
        <is>
          <t>Sveaskog</t>
        </is>
      </c>
      <c r="G4707" t="n">
        <v>9.699999999999999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27625-2024</t>
        </is>
      </c>
      <c r="B4708" s="1" t="n">
        <v>45474.92802083334</v>
      </c>
      <c r="C4708" s="1" t="n">
        <v>46046</v>
      </c>
      <c r="D4708" t="inlineStr">
        <is>
          <t>NORRBOTTENS LÄN</t>
        </is>
      </c>
      <c r="E4708" t="inlineStr">
        <is>
          <t>PAJALA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27653-2024</t>
        </is>
      </c>
      <c r="B4709" s="1" t="n">
        <v>45474.95037037037</v>
      </c>
      <c r="C4709" s="1" t="n">
        <v>46046</v>
      </c>
      <c r="D4709" t="inlineStr">
        <is>
          <t>NORRBOTTENS LÄN</t>
        </is>
      </c>
      <c r="E4709" t="inlineStr">
        <is>
          <t>JOKKMOKK</t>
        </is>
      </c>
      <c r="F4709" t="inlineStr">
        <is>
          <t>SCA</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27654-2024</t>
        </is>
      </c>
      <c r="B4710" s="1" t="n">
        <v>45474</v>
      </c>
      <c r="C4710" s="1" t="n">
        <v>46046</v>
      </c>
      <c r="D4710" t="inlineStr">
        <is>
          <t>NORRBOTTENS LÄN</t>
        </is>
      </c>
      <c r="E4710" t="inlineStr">
        <is>
          <t>JOKKMOKK</t>
        </is>
      </c>
      <c r="F4710" t="inlineStr">
        <is>
          <t>SCA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27656-2024</t>
        </is>
      </c>
      <c r="B4711" s="1" t="n">
        <v>45474</v>
      </c>
      <c r="C4711" s="1" t="n">
        <v>46046</v>
      </c>
      <c r="D4711" t="inlineStr">
        <is>
          <t>NORRBOTTENS LÄN</t>
        </is>
      </c>
      <c r="E4711" t="inlineStr">
        <is>
          <t>JOKKMOKK</t>
        </is>
      </c>
      <c r="F4711" t="inlineStr">
        <is>
          <t>SCA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28440-2024</t>
        </is>
      </c>
      <c r="B4712" s="1" t="n">
        <v>45477.66251157408</v>
      </c>
      <c r="C4712" s="1" t="n">
        <v>46046</v>
      </c>
      <c r="D4712" t="inlineStr">
        <is>
          <t>NORRBOTTENS LÄN</t>
        </is>
      </c>
      <c r="E4712" t="inlineStr">
        <is>
          <t>PAJALA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58506-2024</t>
        </is>
      </c>
      <c r="B4713" s="1" t="n">
        <v>45635.41770833333</v>
      </c>
      <c r="C4713" s="1" t="n">
        <v>46046</v>
      </c>
      <c r="D4713" t="inlineStr">
        <is>
          <t>NORRBOTTENS LÄN</t>
        </is>
      </c>
      <c r="E4713" t="inlineStr">
        <is>
          <t>BODEN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30727-2023</t>
        </is>
      </c>
      <c r="B4714" s="1" t="n">
        <v>45112</v>
      </c>
      <c r="C4714" s="1" t="n">
        <v>46046</v>
      </c>
      <c r="D4714" t="inlineStr">
        <is>
          <t>NORRBOTTENS LÄN</t>
        </is>
      </c>
      <c r="E4714" t="inlineStr">
        <is>
          <t>LULEÅ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36438-2025</t>
        </is>
      </c>
      <c r="B4715" s="1" t="n">
        <v>45869.37787037037</v>
      </c>
      <c r="C4715" s="1" t="n">
        <v>46046</v>
      </c>
      <c r="D4715" t="inlineStr">
        <is>
          <t>NORRBOTTENS LÄN</t>
        </is>
      </c>
      <c r="E4715" t="inlineStr">
        <is>
          <t>PITEÅ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36325-2025</t>
        </is>
      </c>
      <c r="B4716" s="1" t="n">
        <v>45868.40723379629</v>
      </c>
      <c r="C4716" s="1" t="n">
        <v>46046</v>
      </c>
      <c r="D4716" t="inlineStr">
        <is>
          <t>NORRBOTTENS LÄN</t>
        </is>
      </c>
      <c r="E4716" t="inlineStr">
        <is>
          <t>JOKKMOKK</t>
        </is>
      </c>
      <c r="F4716" t="inlineStr">
        <is>
          <t>SCA</t>
        </is>
      </c>
      <c r="G4716" t="n">
        <v>14.4</v>
      </c>
      <c r="H4716" t="n">
        <v>0</v>
      </c>
      <c r="I4716" t="n">
        <v>0</v>
      </c>
      <c r="J4716" t="n">
        <v>0</v>
      </c>
      <c r="K4716" t="n">
        <v>0</v>
      </c>
      <c r="L4716" t="n">
        <v>0</v>
      </c>
      <c r="M4716" t="n">
        <v>0</v>
      </c>
      <c r="N4716" t="n">
        <v>0</v>
      </c>
      <c r="O4716" t="n">
        <v>0</v>
      </c>
      <c r="P4716" t="n">
        <v>0</v>
      </c>
      <c r="Q4716" t="n">
        <v>0</v>
      </c>
      <c r="R4716" s="2" t="inlineStr"/>
    </row>
    <row r="4717" ht="15" customHeight="1">
      <c r="A4717" t="inlineStr">
        <is>
          <t>A 36486-2025</t>
        </is>
      </c>
      <c r="B4717" s="1" t="n">
        <v>45869.5119212963</v>
      </c>
      <c r="C4717" s="1" t="n">
        <v>46046</v>
      </c>
      <c r="D4717" t="inlineStr">
        <is>
          <t>NORRBOTTENS LÄN</t>
        </is>
      </c>
      <c r="E4717" t="inlineStr">
        <is>
          <t>ÖVERKALIX</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1470-2025</t>
        </is>
      </c>
      <c r="B4718" s="1" t="n">
        <v>45670</v>
      </c>
      <c r="C4718" s="1" t="n">
        <v>46046</v>
      </c>
      <c r="D4718" t="inlineStr">
        <is>
          <t>NORRBOTTENS LÄN</t>
        </is>
      </c>
      <c r="E4718" t="inlineStr">
        <is>
          <t>ÖVERTORNEÅ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52783-2021</t>
        </is>
      </c>
      <c r="B4719" s="1" t="n">
        <v>44467.35696759259</v>
      </c>
      <c r="C4719" s="1" t="n">
        <v>46046</v>
      </c>
      <c r="D4719" t="inlineStr">
        <is>
          <t>NORRBOTTENS LÄN</t>
        </is>
      </c>
      <c r="E4719" t="inlineStr">
        <is>
          <t>PAJALA</t>
        </is>
      </c>
      <c r="F4719" t="inlineStr">
        <is>
          <t>Sveaskog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29309-2023</t>
        </is>
      </c>
      <c r="B4720" s="1" t="n">
        <v>45105.92532407407</v>
      </c>
      <c r="C4720" s="1" t="n">
        <v>46046</v>
      </c>
      <c r="D4720" t="inlineStr">
        <is>
          <t>NORRBOTTENS LÄN</t>
        </is>
      </c>
      <c r="E4720" t="inlineStr">
        <is>
          <t>BODEN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29310-2023</t>
        </is>
      </c>
      <c r="B4721" s="1" t="n">
        <v>45105.92538194444</v>
      </c>
      <c r="C4721" s="1" t="n">
        <v>46046</v>
      </c>
      <c r="D4721" t="inlineStr">
        <is>
          <t>NORRBOTTENS LÄN</t>
        </is>
      </c>
      <c r="E4721" t="inlineStr">
        <is>
          <t>KALIX</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47162-2023</t>
        </is>
      </c>
      <c r="B4722" s="1" t="n">
        <v>45201</v>
      </c>
      <c r="C4722" s="1" t="n">
        <v>46046</v>
      </c>
      <c r="D4722" t="inlineStr">
        <is>
          <t>NORRBOTTENS LÄN</t>
        </is>
      </c>
      <c r="E4722" t="inlineStr">
        <is>
          <t>GÄLLIVARE</t>
        </is>
      </c>
      <c r="F4722" t="inlineStr">
        <is>
          <t>SCA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2732-2025</t>
        </is>
      </c>
      <c r="B4723" s="1" t="n">
        <v>45677.44833333333</v>
      </c>
      <c r="C4723" s="1" t="n">
        <v>46046</v>
      </c>
      <c r="D4723" t="inlineStr">
        <is>
          <t>NORRBOTTENS LÄN</t>
        </is>
      </c>
      <c r="E4723" t="inlineStr">
        <is>
          <t>BODEN</t>
        </is>
      </c>
      <c r="F4723" t="inlineStr">
        <is>
          <t>SCA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32202-2024</t>
        </is>
      </c>
      <c r="B4724" s="1" t="n">
        <v>45511.67006944444</v>
      </c>
      <c r="C4724" s="1" t="n">
        <v>46046</v>
      </c>
      <c r="D4724" t="inlineStr">
        <is>
          <t>NORRBOTTENS LÄN</t>
        </is>
      </c>
      <c r="E4724" t="inlineStr">
        <is>
          <t>ÄLVSBYN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44431-2024</t>
        </is>
      </c>
      <c r="B4725" s="1" t="n">
        <v>45574.27649305556</v>
      </c>
      <c r="C4725" s="1" t="n">
        <v>46046</v>
      </c>
      <c r="D4725" t="inlineStr">
        <is>
          <t>NORRBOTTENS LÄN</t>
        </is>
      </c>
      <c r="E4725" t="inlineStr">
        <is>
          <t>ÖVERTORNEÅ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21421-2022</t>
        </is>
      </c>
      <c r="B4726" s="1" t="n">
        <v>44706</v>
      </c>
      <c r="C4726" s="1" t="n">
        <v>46046</v>
      </c>
      <c r="D4726" t="inlineStr">
        <is>
          <t>NORRBOTTENS LÄN</t>
        </is>
      </c>
      <c r="E4726" t="inlineStr">
        <is>
          <t>BODEN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36556-2025</t>
        </is>
      </c>
      <c r="B4727" s="1" t="n">
        <v>45870.34478009259</v>
      </c>
      <c r="C4727" s="1" t="n">
        <v>46046</v>
      </c>
      <c r="D4727" t="inlineStr">
        <is>
          <t>NORRBOTTENS LÄN</t>
        </is>
      </c>
      <c r="E4727" t="inlineStr">
        <is>
          <t>GÄLLIVARE</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36557-2025</t>
        </is>
      </c>
      <c r="B4728" s="1" t="n">
        <v>45870.34482638889</v>
      </c>
      <c r="C4728" s="1" t="n">
        <v>46046</v>
      </c>
      <c r="D4728" t="inlineStr">
        <is>
          <t>NORRBOTTENS LÄN</t>
        </is>
      </c>
      <c r="E4728" t="inlineStr">
        <is>
          <t>GÄLLIVARE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36623-2025</t>
        </is>
      </c>
      <c r="B4729" s="1" t="n">
        <v>45870.65719907408</v>
      </c>
      <c r="C4729" s="1" t="n">
        <v>46046</v>
      </c>
      <c r="D4729" t="inlineStr">
        <is>
          <t>NORRBOTTENS LÄN</t>
        </is>
      </c>
      <c r="E4729" t="inlineStr">
        <is>
          <t>GÄLLIVARE</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36552-2025</t>
        </is>
      </c>
      <c r="B4730" s="1" t="n">
        <v>45870.34417824074</v>
      </c>
      <c r="C4730" s="1" t="n">
        <v>46046</v>
      </c>
      <c r="D4730" t="inlineStr">
        <is>
          <t>NORRBOTTENS LÄN</t>
        </is>
      </c>
      <c r="E4730" t="inlineStr">
        <is>
          <t>GÄLLIVARE</t>
        </is>
      </c>
      <c r="F4730" t="inlineStr">
        <is>
          <t>SCA</t>
        </is>
      </c>
      <c r="G4730" t="n">
        <v>9.4</v>
      </c>
      <c r="H4730" t="n">
        <v>0</v>
      </c>
      <c r="I4730" t="n">
        <v>0</v>
      </c>
      <c r="J4730" t="n">
        <v>0</v>
      </c>
      <c r="K4730" t="n">
        <v>0</v>
      </c>
      <c r="L4730" t="n">
        <v>0</v>
      </c>
      <c r="M4730" t="n">
        <v>0</v>
      </c>
      <c r="N4730" t="n">
        <v>0</v>
      </c>
      <c r="O4730" t="n">
        <v>0</v>
      </c>
      <c r="P4730" t="n">
        <v>0</v>
      </c>
      <c r="Q4730" t="n">
        <v>0</v>
      </c>
      <c r="R4730" s="2" t="inlineStr"/>
    </row>
    <row r="4731" ht="15" customHeight="1">
      <c r="A4731" t="inlineStr">
        <is>
          <t>A 36560-2025</t>
        </is>
      </c>
      <c r="B4731" s="1" t="n">
        <v>45870.36483796296</v>
      </c>
      <c r="C4731" s="1" t="n">
        <v>46046</v>
      </c>
      <c r="D4731" t="inlineStr">
        <is>
          <t>NORRBOTTENS LÄN</t>
        </is>
      </c>
      <c r="E4731" t="inlineStr">
        <is>
          <t>GÄLLIVARE</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59884-2024</t>
        </is>
      </c>
      <c r="B4732" s="1" t="n">
        <v>45641.49390046296</v>
      </c>
      <c r="C4732" s="1" t="n">
        <v>46046</v>
      </c>
      <c r="D4732" t="inlineStr">
        <is>
          <t>NORRBOTTENS LÄN</t>
        </is>
      </c>
      <c r="E4732" t="inlineStr">
        <is>
          <t>KALIX</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54506-2023</t>
        </is>
      </c>
      <c r="B4733" s="1" t="n">
        <v>45226</v>
      </c>
      <c r="C4733" s="1" t="n">
        <v>46046</v>
      </c>
      <c r="D4733" t="inlineStr">
        <is>
          <t>NORRBOTTENS LÄN</t>
        </is>
      </c>
      <c r="E4733" t="inlineStr">
        <is>
          <t>KALIX</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59973-2024</t>
        </is>
      </c>
      <c r="B4734" s="1" t="n">
        <v>45642.36554398148</v>
      </c>
      <c r="C4734" s="1" t="n">
        <v>46046</v>
      </c>
      <c r="D4734" t="inlineStr">
        <is>
          <t>NORRBOTTENS LÄN</t>
        </is>
      </c>
      <c r="E4734" t="inlineStr">
        <is>
          <t>PITEÅ</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32952-2024</t>
        </is>
      </c>
      <c r="B4735" s="1" t="n">
        <v>45517</v>
      </c>
      <c r="C4735" s="1" t="n">
        <v>46046</v>
      </c>
      <c r="D4735" t="inlineStr">
        <is>
          <t>NORRBOTTENS LÄN</t>
        </is>
      </c>
      <c r="E4735" t="inlineStr">
        <is>
          <t>ÄLVSBYN</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37781-2024</t>
        </is>
      </c>
      <c r="B4736" s="1" t="n">
        <v>45542</v>
      </c>
      <c r="C4736" s="1" t="n">
        <v>46046</v>
      </c>
      <c r="D4736" t="inlineStr">
        <is>
          <t>NORRBOTTENS LÄN</t>
        </is>
      </c>
      <c r="E4736" t="inlineStr">
        <is>
          <t>KALIX</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54524-2023</t>
        </is>
      </c>
      <c r="B4737" s="1" t="n">
        <v>45226</v>
      </c>
      <c r="C4737" s="1" t="n">
        <v>46046</v>
      </c>
      <c r="D4737" t="inlineStr">
        <is>
          <t>NORRBOTTENS LÄN</t>
        </is>
      </c>
      <c r="E4737" t="inlineStr">
        <is>
          <t>ARVIDSJAUR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54529-2023</t>
        </is>
      </c>
      <c r="B4738" s="1" t="n">
        <v>45226</v>
      </c>
      <c r="C4738" s="1" t="n">
        <v>46046</v>
      </c>
      <c r="D4738" t="inlineStr">
        <is>
          <t>NORRBOTTENS LÄN</t>
        </is>
      </c>
      <c r="E4738" t="inlineStr">
        <is>
          <t>ARVIDSJAUR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52200-2024</t>
        </is>
      </c>
      <c r="B4739" s="1" t="n">
        <v>45607</v>
      </c>
      <c r="C4739" s="1" t="n">
        <v>46046</v>
      </c>
      <c r="D4739" t="inlineStr">
        <is>
          <t>NORRBOTTENS LÄN</t>
        </is>
      </c>
      <c r="E4739" t="inlineStr">
        <is>
          <t>PITEÅ</t>
        </is>
      </c>
      <c r="G4739" t="n">
        <v>19.4</v>
      </c>
      <c r="H4739" t="n">
        <v>0</v>
      </c>
      <c r="I4739" t="n">
        <v>0</v>
      </c>
      <c r="J4739" t="n">
        <v>0</v>
      </c>
      <c r="K4739" t="n">
        <v>0</v>
      </c>
      <c r="L4739" t="n">
        <v>0</v>
      </c>
      <c r="M4739" t="n">
        <v>0</v>
      </c>
      <c r="N4739" t="n">
        <v>0</v>
      </c>
      <c r="O4739" t="n">
        <v>0</v>
      </c>
      <c r="P4739" t="n">
        <v>0</v>
      </c>
      <c r="Q4739" t="n">
        <v>0</v>
      </c>
      <c r="R4739" s="2" t="inlineStr"/>
    </row>
    <row r="4740" ht="15" customHeight="1">
      <c r="A4740" t="inlineStr">
        <is>
          <t>A 25440-2024</t>
        </is>
      </c>
      <c r="B4740" s="1" t="n">
        <v>45463</v>
      </c>
      <c r="C4740" s="1" t="n">
        <v>46046</v>
      </c>
      <c r="D4740" t="inlineStr">
        <is>
          <t>NORRBOTTENS LÄN</t>
        </is>
      </c>
      <c r="E4740" t="inlineStr">
        <is>
          <t>ARJEPLOG</t>
        </is>
      </c>
      <c r="F4740" t="inlineStr">
        <is>
          <t>Allmännings- och besparingsskogar</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61107-2022</t>
        </is>
      </c>
      <c r="B4741" s="1" t="n">
        <v>44908</v>
      </c>
      <c r="C4741" s="1" t="n">
        <v>46046</v>
      </c>
      <c r="D4741" t="inlineStr">
        <is>
          <t>NORRBOTTENS LÄN</t>
        </is>
      </c>
      <c r="E4741" t="inlineStr">
        <is>
          <t>BODEN</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25488-2024</t>
        </is>
      </c>
      <c r="B4742" s="1" t="n">
        <v>45463</v>
      </c>
      <c r="C4742" s="1" t="n">
        <v>46046</v>
      </c>
      <c r="D4742" t="inlineStr">
        <is>
          <t>NORRBOTTENS LÄN</t>
        </is>
      </c>
      <c r="E4742" t="inlineStr">
        <is>
          <t>GÄLLIVARE</t>
        </is>
      </c>
      <c r="G4742" t="n">
        <v>13.6</v>
      </c>
      <c r="H4742" t="n">
        <v>0</v>
      </c>
      <c r="I4742" t="n">
        <v>0</v>
      </c>
      <c r="J4742" t="n">
        <v>0</v>
      </c>
      <c r="K4742" t="n">
        <v>0</v>
      </c>
      <c r="L4742" t="n">
        <v>0</v>
      </c>
      <c r="M4742" t="n">
        <v>0</v>
      </c>
      <c r="N4742" t="n">
        <v>0</v>
      </c>
      <c r="O4742" t="n">
        <v>0</v>
      </c>
      <c r="P4742" t="n">
        <v>0</v>
      </c>
      <c r="Q4742" t="n">
        <v>0</v>
      </c>
      <c r="R4742" s="2" t="inlineStr"/>
    </row>
    <row r="4743" ht="15" customHeight="1">
      <c r="A4743" t="inlineStr">
        <is>
          <t>A 24193-2024</t>
        </is>
      </c>
      <c r="B4743" s="1" t="n">
        <v>45456</v>
      </c>
      <c r="C4743" s="1" t="n">
        <v>46046</v>
      </c>
      <c r="D4743" t="inlineStr">
        <is>
          <t>NORRBOTTENS LÄN</t>
        </is>
      </c>
      <c r="E4743" t="inlineStr">
        <is>
          <t>BODEN</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26267-2022</t>
        </is>
      </c>
      <c r="B4744" s="1" t="n">
        <v>44735.5158912037</v>
      </c>
      <c r="C4744" s="1" t="n">
        <v>46046</v>
      </c>
      <c r="D4744" t="inlineStr">
        <is>
          <t>NORRBOTTENS LÄN</t>
        </is>
      </c>
      <c r="E4744" t="inlineStr">
        <is>
          <t>LULEÅ</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41130-2023</t>
        </is>
      </c>
      <c r="B4745" s="1" t="n">
        <v>45173</v>
      </c>
      <c r="C4745" s="1" t="n">
        <v>46046</v>
      </c>
      <c r="D4745" t="inlineStr">
        <is>
          <t>NORRBOTTENS LÄN</t>
        </is>
      </c>
      <c r="E4745" t="inlineStr">
        <is>
          <t>KALIX</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42694-2021</t>
        </is>
      </c>
      <c r="B4746" s="1" t="n">
        <v>44428</v>
      </c>
      <c r="C4746" s="1" t="n">
        <v>46046</v>
      </c>
      <c r="D4746" t="inlineStr">
        <is>
          <t>NORRBOTTENS LÄN</t>
        </is>
      </c>
      <c r="E4746" t="inlineStr">
        <is>
          <t>ARVIDSJAUR</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28432-2022</t>
        </is>
      </c>
      <c r="B4747" s="1" t="n">
        <v>44747</v>
      </c>
      <c r="C4747" s="1" t="n">
        <v>46046</v>
      </c>
      <c r="D4747" t="inlineStr">
        <is>
          <t>NORRBOTTENS LÄN</t>
        </is>
      </c>
      <c r="E4747" t="inlineStr">
        <is>
          <t>BODEN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63954-2023</t>
        </is>
      </c>
      <c r="B4748" s="1" t="n">
        <v>45278</v>
      </c>
      <c r="C4748" s="1" t="n">
        <v>46046</v>
      </c>
      <c r="D4748" t="inlineStr">
        <is>
          <t>NORRBOTTENS LÄN</t>
        </is>
      </c>
      <c r="E4748" t="inlineStr">
        <is>
          <t>ÄLVSBYN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36565-2025</t>
        </is>
      </c>
      <c r="B4749" s="1" t="n">
        <v>45870</v>
      </c>
      <c r="C4749" s="1" t="n">
        <v>46046</v>
      </c>
      <c r="D4749" t="inlineStr">
        <is>
          <t>NORRBOTTENS LÄN</t>
        </is>
      </c>
      <c r="E4749" t="inlineStr">
        <is>
          <t>BODEN</t>
        </is>
      </c>
      <c r="F4749" t="inlineStr">
        <is>
          <t>Sveaskog</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36568-2025</t>
        </is>
      </c>
      <c r="B4750" s="1" t="n">
        <v>45870</v>
      </c>
      <c r="C4750" s="1" t="n">
        <v>46046</v>
      </c>
      <c r="D4750" t="inlineStr">
        <is>
          <t>NORRBOTTENS LÄN</t>
        </is>
      </c>
      <c r="E4750" t="inlineStr">
        <is>
          <t>GÄLLIVARE</t>
        </is>
      </c>
      <c r="F4750" t="inlineStr">
        <is>
          <t>SCA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39879-2024</t>
        </is>
      </c>
      <c r="B4751" s="1" t="n">
        <v>45553.46583333334</v>
      </c>
      <c r="C4751" s="1" t="n">
        <v>46046</v>
      </c>
      <c r="D4751" t="inlineStr">
        <is>
          <t>NORRBOTTENS LÄN</t>
        </is>
      </c>
      <c r="E4751" t="inlineStr">
        <is>
          <t>PITEÅ</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36648-2025</t>
        </is>
      </c>
      <c r="B4752" s="1" t="n">
        <v>45872.55440972222</v>
      </c>
      <c r="C4752" s="1" t="n">
        <v>46046</v>
      </c>
      <c r="D4752" t="inlineStr">
        <is>
          <t>NORRBOTTENS LÄN</t>
        </is>
      </c>
      <c r="E4752" t="inlineStr">
        <is>
          <t>PITEÅ</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64939-2023</t>
        </is>
      </c>
      <c r="B4753" s="1" t="n">
        <v>45282</v>
      </c>
      <c r="C4753" s="1" t="n">
        <v>46046</v>
      </c>
      <c r="D4753" t="inlineStr">
        <is>
          <t>NORRBOTTENS LÄN</t>
        </is>
      </c>
      <c r="E4753" t="inlineStr">
        <is>
          <t>KALIX</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61912-2024</t>
        </is>
      </c>
      <c r="B4754" s="1" t="n">
        <v>45653.38663194444</v>
      </c>
      <c r="C4754" s="1" t="n">
        <v>46046</v>
      </c>
      <c r="D4754" t="inlineStr">
        <is>
          <t>NORRBOTTENS LÄN</t>
        </is>
      </c>
      <c r="E4754" t="inlineStr">
        <is>
          <t>PITEÅ</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26701-2025</t>
        </is>
      </c>
      <c r="B4755" s="1" t="n">
        <v>45810.4502199074</v>
      </c>
      <c r="C4755" s="1" t="n">
        <v>46046</v>
      </c>
      <c r="D4755" t="inlineStr">
        <is>
          <t>NORRBOTTENS LÄN</t>
        </is>
      </c>
      <c r="E4755" t="inlineStr">
        <is>
          <t>PITEÅ</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64972-2023</t>
        </is>
      </c>
      <c r="B4756" s="1" t="n">
        <v>45285.40947916666</v>
      </c>
      <c r="C4756" s="1" t="n">
        <v>46046</v>
      </c>
      <c r="D4756" t="inlineStr">
        <is>
          <t>NORRBOTTENS LÄN</t>
        </is>
      </c>
      <c r="E4756" t="inlineStr">
        <is>
          <t>PITEÅ</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56505-2023</t>
        </is>
      </c>
      <c r="B4757" s="1" t="n">
        <v>45243.54659722222</v>
      </c>
      <c r="C4757" s="1" t="n">
        <v>46046</v>
      </c>
      <c r="D4757" t="inlineStr">
        <is>
          <t>NORRBOTTENS LÄN</t>
        </is>
      </c>
      <c r="E4757" t="inlineStr">
        <is>
          <t>PITEÅ</t>
        </is>
      </c>
      <c r="F4757" t="inlineStr">
        <is>
          <t>Sveaskog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16741-2022</t>
        </is>
      </c>
      <c r="B4758" s="1" t="n">
        <v>44673</v>
      </c>
      <c r="C4758" s="1" t="n">
        <v>46046</v>
      </c>
      <c r="D4758" t="inlineStr">
        <is>
          <t>NORRBOTTENS LÄN</t>
        </is>
      </c>
      <c r="E4758" t="inlineStr">
        <is>
          <t>BODEN</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56532-2023</t>
        </is>
      </c>
      <c r="B4759" s="1" t="n">
        <v>45243.57018518518</v>
      </c>
      <c r="C4759" s="1" t="n">
        <v>46046</v>
      </c>
      <c r="D4759" t="inlineStr">
        <is>
          <t>NORRBOTTENS LÄN</t>
        </is>
      </c>
      <c r="E4759" t="inlineStr">
        <is>
          <t>PITEÅ</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47097-2023</t>
        </is>
      </c>
      <c r="B4760" s="1" t="n">
        <v>45201.64971064815</v>
      </c>
      <c r="C4760" s="1" t="n">
        <v>46046</v>
      </c>
      <c r="D4760" t="inlineStr">
        <is>
          <t>NORRBOTTENS LÄN</t>
        </is>
      </c>
      <c r="E4760" t="inlineStr">
        <is>
          <t>BODEN</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41713-2024</t>
        </is>
      </c>
      <c r="B4761" s="1" t="n">
        <v>45560.71907407408</v>
      </c>
      <c r="C4761" s="1" t="n">
        <v>46046</v>
      </c>
      <c r="D4761" t="inlineStr">
        <is>
          <t>NORRBOTTENS LÄN</t>
        </is>
      </c>
      <c r="E4761" t="inlineStr">
        <is>
          <t>GÄLLIVARE</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36681-2025</t>
        </is>
      </c>
      <c r="B4762" s="1" t="n">
        <v>45873.40009259259</v>
      </c>
      <c r="C4762" s="1" t="n">
        <v>46046</v>
      </c>
      <c r="D4762" t="inlineStr">
        <is>
          <t>NORRBOTTENS LÄN</t>
        </is>
      </c>
      <c r="E4762" t="inlineStr">
        <is>
          <t>PITEÅ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28359-2023</t>
        </is>
      </c>
      <c r="B4763" s="1" t="n">
        <v>45099</v>
      </c>
      <c r="C4763" s="1" t="n">
        <v>46046</v>
      </c>
      <c r="D4763" t="inlineStr">
        <is>
          <t>NORRBOTTENS LÄN</t>
        </is>
      </c>
      <c r="E4763" t="inlineStr">
        <is>
          <t>BODEN</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59736-2024</t>
        </is>
      </c>
      <c r="B4764" s="1" t="n">
        <v>45639.51585648148</v>
      </c>
      <c r="C4764" s="1" t="n">
        <v>46046</v>
      </c>
      <c r="D4764" t="inlineStr">
        <is>
          <t>NORRBOTTENS LÄN</t>
        </is>
      </c>
      <c r="E4764" t="inlineStr">
        <is>
          <t>KALIX</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63179-2023</t>
        </is>
      </c>
      <c r="B4765" s="1" t="n">
        <v>45273.58069444444</v>
      </c>
      <c r="C4765" s="1" t="n">
        <v>46046</v>
      </c>
      <c r="D4765" t="inlineStr">
        <is>
          <t>NORRBOTTENS LÄN</t>
        </is>
      </c>
      <c r="E4765" t="inlineStr">
        <is>
          <t>PITEÅ</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10730-2024</t>
        </is>
      </c>
      <c r="B4766" s="1" t="n">
        <v>45369.48284722222</v>
      </c>
      <c r="C4766" s="1" t="n">
        <v>46046</v>
      </c>
      <c r="D4766" t="inlineStr">
        <is>
          <t>NORRBOTTENS LÄN</t>
        </is>
      </c>
      <c r="E4766" t="inlineStr">
        <is>
          <t>BODEN</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31760-2025</t>
        </is>
      </c>
      <c r="B4767" s="1" t="n">
        <v>45834</v>
      </c>
      <c r="C4767" s="1" t="n">
        <v>46046</v>
      </c>
      <c r="D4767" t="inlineStr">
        <is>
          <t>NORRBOTTENS LÄN</t>
        </is>
      </c>
      <c r="E4767" t="inlineStr">
        <is>
          <t>BODEN</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53794-2024</t>
        </is>
      </c>
      <c r="B4768" s="1" t="n">
        <v>45615.57726851852</v>
      </c>
      <c r="C4768" s="1" t="n">
        <v>46046</v>
      </c>
      <c r="D4768" t="inlineStr">
        <is>
          <t>NORRBOTTENS LÄN</t>
        </is>
      </c>
      <c r="E4768" t="inlineStr">
        <is>
          <t>GÄLLIVARE</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58831-2024</t>
        </is>
      </c>
      <c r="B4769" s="1" t="n">
        <v>45635</v>
      </c>
      <c r="C4769" s="1" t="n">
        <v>46046</v>
      </c>
      <c r="D4769" t="inlineStr">
        <is>
          <t>NORRBOTTENS LÄN</t>
        </is>
      </c>
      <c r="E4769" t="inlineStr">
        <is>
          <t>LULEÅ</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17040-2024</t>
        </is>
      </c>
      <c r="B4770" s="1" t="n">
        <v>45412.41252314814</v>
      </c>
      <c r="C4770" s="1" t="n">
        <v>46046</v>
      </c>
      <c r="D4770" t="inlineStr">
        <is>
          <t>NORRBOTTENS LÄN</t>
        </is>
      </c>
      <c r="E4770" t="inlineStr">
        <is>
          <t>KALIX</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36758-2025</t>
        </is>
      </c>
      <c r="B4771" s="1" t="n">
        <v>45873</v>
      </c>
      <c r="C4771" s="1" t="n">
        <v>46046</v>
      </c>
      <c r="D4771" t="inlineStr">
        <is>
          <t>NORRBOTTENS LÄN</t>
        </is>
      </c>
      <c r="E4771" t="inlineStr">
        <is>
          <t>ÄLVSBYN</t>
        </is>
      </c>
      <c r="F4771" t="inlineStr">
        <is>
          <t>Sveaskog</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36767-2025</t>
        </is>
      </c>
      <c r="B4772" s="1" t="n">
        <v>45873.58252314815</v>
      </c>
      <c r="C4772" s="1" t="n">
        <v>46046</v>
      </c>
      <c r="D4772" t="inlineStr">
        <is>
          <t>NORRBOTTENS LÄN</t>
        </is>
      </c>
      <c r="E4772" t="inlineStr">
        <is>
          <t>HAPARANDA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36775-2025</t>
        </is>
      </c>
      <c r="B4773" s="1" t="n">
        <v>45873.5925462963</v>
      </c>
      <c r="C4773" s="1" t="n">
        <v>46046</v>
      </c>
      <c r="D4773" t="inlineStr">
        <is>
          <t>NORRBOTTENS LÄN</t>
        </is>
      </c>
      <c r="E4773" t="inlineStr">
        <is>
          <t>HAPARANDA</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36790-2025</t>
        </is>
      </c>
      <c r="B4774" s="1" t="n">
        <v>45873.63587962963</v>
      </c>
      <c r="C4774" s="1" t="n">
        <v>46046</v>
      </c>
      <c r="D4774" t="inlineStr">
        <is>
          <t>NORRBOTTENS LÄN</t>
        </is>
      </c>
      <c r="E4774" t="inlineStr">
        <is>
          <t>GÄLLIVARE</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31774-2022</t>
        </is>
      </c>
      <c r="B4775" s="1" t="n">
        <v>44776</v>
      </c>
      <c r="C4775" s="1" t="n">
        <v>46046</v>
      </c>
      <c r="D4775" t="inlineStr">
        <is>
          <t>NORRBOTTENS LÄN</t>
        </is>
      </c>
      <c r="E4775" t="inlineStr">
        <is>
          <t>ÖVERTORNEÅ</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38230-2021</t>
        </is>
      </c>
      <c r="B4776" s="1" t="n">
        <v>44405.61335648148</v>
      </c>
      <c r="C4776" s="1" t="n">
        <v>46046</v>
      </c>
      <c r="D4776" t="inlineStr">
        <is>
          <t>NORRBOTTENS LÄN</t>
        </is>
      </c>
      <c r="E4776" t="inlineStr">
        <is>
          <t>PITEÅ</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17899-2025</t>
        </is>
      </c>
      <c r="B4777" s="1" t="n">
        <v>45758.69832175926</v>
      </c>
      <c r="C4777" s="1" t="n">
        <v>46046</v>
      </c>
      <c r="D4777" t="inlineStr">
        <is>
          <t>NORRBOTTENS LÄN</t>
        </is>
      </c>
      <c r="E4777" t="inlineStr">
        <is>
          <t>LULEÅ</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17944-2025</t>
        </is>
      </c>
      <c r="B4778" s="1" t="n">
        <v>45760.61570601852</v>
      </c>
      <c r="C4778" s="1" t="n">
        <v>46046</v>
      </c>
      <c r="D4778" t="inlineStr">
        <is>
          <t>NORRBOTTENS LÄN</t>
        </is>
      </c>
      <c r="E4778" t="inlineStr">
        <is>
          <t>PITEÅ</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15515-2024</t>
        </is>
      </c>
      <c r="B4779" s="1" t="n">
        <v>45401</v>
      </c>
      <c r="C4779" s="1" t="n">
        <v>46046</v>
      </c>
      <c r="D4779" t="inlineStr">
        <is>
          <t>NORRBOTTENS LÄN</t>
        </is>
      </c>
      <c r="E4779" t="inlineStr">
        <is>
          <t>KALIX</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39346-2022</t>
        </is>
      </c>
      <c r="B4780" s="1" t="n">
        <v>44817.83398148148</v>
      </c>
      <c r="C4780" s="1" t="n">
        <v>46046</v>
      </c>
      <c r="D4780" t="inlineStr">
        <is>
          <t>NORRBOTTENS LÄN</t>
        </is>
      </c>
      <c r="E4780" t="inlineStr">
        <is>
          <t>PITEÅ</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39347-2022</t>
        </is>
      </c>
      <c r="B4781" s="1" t="n">
        <v>44817.83875</v>
      </c>
      <c r="C4781" s="1" t="n">
        <v>46046</v>
      </c>
      <c r="D4781" t="inlineStr">
        <is>
          <t>NORRBOTTENS LÄN</t>
        </is>
      </c>
      <c r="E4781" t="inlineStr">
        <is>
          <t>PITEÅ</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10249-2024</t>
        </is>
      </c>
      <c r="B4782" s="1" t="n">
        <v>45365.3860300926</v>
      </c>
      <c r="C4782" s="1" t="n">
        <v>46046</v>
      </c>
      <c r="D4782" t="inlineStr">
        <is>
          <t>NORRBOTTENS LÄN</t>
        </is>
      </c>
      <c r="E4782" t="inlineStr">
        <is>
          <t>ÄLVSBYN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24457-2025</t>
        </is>
      </c>
      <c r="B4783" s="1" t="n">
        <v>45798</v>
      </c>
      <c r="C4783" s="1" t="n">
        <v>46046</v>
      </c>
      <c r="D4783" t="inlineStr">
        <is>
          <t>NORRBOTTENS LÄN</t>
        </is>
      </c>
      <c r="E4783" t="inlineStr">
        <is>
          <t>GÄLLIVARE</t>
        </is>
      </c>
      <c r="F4783" t="inlineStr">
        <is>
          <t>SCA</t>
        </is>
      </c>
      <c r="G4783" t="n">
        <v>10.9</v>
      </c>
      <c r="H4783" t="n">
        <v>0</v>
      </c>
      <c r="I4783" t="n">
        <v>0</v>
      </c>
      <c r="J4783" t="n">
        <v>0</v>
      </c>
      <c r="K4783" t="n">
        <v>0</v>
      </c>
      <c r="L4783" t="n">
        <v>0</v>
      </c>
      <c r="M4783" t="n">
        <v>0</v>
      </c>
      <c r="N4783" t="n">
        <v>0</v>
      </c>
      <c r="O4783" t="n">
        <v>0</v>
      </c>
      <c r="P4783" t="n">
        <v>0</v>
      </c>
      <c r="Q4783" t="n">
        <v>0</v>
      </c>
      <c r="R4783" s="2" t="inlineStr"/>
    </row>
    <row r="4784" ht="15" customHeight="1">
      <c r="A4784" t="inlineStr">
        <is>
          <t>A 72623-2021</t>
        </is>
      </c>
      <c r="B4784" s="1" t="n">
        <v>44546</v>
      </c>
      <c r="C4784" s="1" t="n">
        <v>46046</v>
      </c>
      <c r="D4784" t="inlineStr">
        <is>
          <t>NORRBOTTENS LÄN</t>
        </is>
      </c>
      <c r="E4784" t="inlineStr">
        <is>
          <t>ÖVERKALIX</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36564-2025</t>
        </is>
      </c>
      <c r="B4785" s="1" t="n">
        <v>45870</v>
      </c>
      <c r="C4785" s="1" t="n">
        <v>46046</v>
      </c>
      <c r="D4785" t="inlineStr">
        <is>
          <t>NORRBOTTENS LÄN</t>
        </is>
      </c>
      <c r="E4785" t="inlineStr">
        <is>
          <t>BODEN</t>
        </is>
      </c>
      <c r="F4785" t="inlineStr">
        <is>
          <t>Sveaskog</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16447-2024</t>
        </is>
      </c>
      <c r="B4786" s="1" t="n">
        <v>45407.96989583333</v>
      </c>
      <c r="C4786" s="1" t="n">
        <v>46046</v>
      </c>
      <c r="D4786" t="inlineStr">
        <is>
          <t>NORRBOTTENS LÄN</t>
        </is>
      </c>
      <c r="E4786" t="inlineStr">
        <is>
          <t>PAJALA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2561-2022</t>
        </is>
      </c>
      <c r="B4787" s="1" t="n">
        <v>44579</v>
      </c>
      <c r="C4787" s="1" t="n">
        <v>46046</v>
      </c>
      <c r="D4787" t="inlineStr">
        <is>
          <t>NORRBOTTENS LÄN</t>
        </is>
      </c>
      <c r="E4787" t="inlineStr">
        <is>
          <t>LULEÅ</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16448-2024</t>
        </is>
      </c>
      <c r="B4788" s="1" t="n">
        <v>45407.97009259259</v>
      </c>
      <c r="C4788" s="1" t="n">
        <v>46046</v>
      </c>
      <c r="D4788" t="inlineStr">
        <is>
          <t>NORRBOTTENS LÄN</t>
        </is>
      </c>
      <c r="E4788" t="inlineStr">
        <is>
          <t>PAJALA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34980-2023</t>
        </is>
      </c>
      <c r="B4789" s="1" t="n">
        <v>45142</v>
      </c>
      <c r="C4789" s="1" t="n">
        <v>46046</v>
      </c>
      <c r="D4789" t="inlineStr">
        <is>
          <t>NORRBOTTENS LÄN</t>
        </is>
      </c>
      <c r="E4789" t="inlineStr">
        <is>
          <t>HAPARANDA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36608-2025</t>
        </is>
      </c>
      <c r="B4790" s="1" t="n">
        <v>45870</v>
      </c>
      <c r="C4790" s="1" t="n">
        <v>46046</v>
      </c>
      <c r="D4790" t="inlineStr">
        <is>
          <t>NORRBOTTENS LÄN</t>
        </is>
      </c>
      <c r="E4790" t="inlineStr">
        <is>
          <t>ÖVERTORNEÅ</t>
        </is>
      </c>
      <c r="F4790" t="inlineStr">
        <is>
          <t>Sveaskog</t>
        </is>
      </c>
      <c r="G4790" t="n">
        <v>9.800000000000001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9031-2022</t>
        </is>
      </c>
      <c r="B4791" s="1" t="n">
        <v>44615</v>
      </c>
      <c r="C4791" s="1" t="n">
        <v>46046</v>
      </c>
      <c r="D4791" t="inlineStr">
        <is>
          <t>NORRBOTTENS LÄN</t>
        </is>
      </c>
      <c r="E4791" t="inlineStr">
        <is>
          <t>PAJALA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2276-2023</t>
        </is>
      </c>
      <c r="B4792" s="1" t="n">
        <v>44942</v>
      </c>
      <c r="C4792" s="1" t="n">
        <v>46046</v>
      </c>
      <c r="D4792" t="inlineStr">
        <is>
          <t>NORRBOTTENS LÄN</t>
        </is>
      </c>
      <c r="E4792" t="inlineStr">
        <is>
          <t>GÄLLIVARE</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283-2024</t>
        </is>
      </c>
      <c r="B4793" s="1" t="n">
        <v>45295.4080787037</v>
      </c>
      <c r="C4793" s="1" t="n">
        <v>46046</v>
      </c>
      <c r="D4793" t="inlineStr">
        <is>
          <t>NORRBOTTENS LÄN</t>
        </is>
      </c>
      <c r="E4793" t="inlineStr">
        <is>
          <t>KALIX</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36620-2025</t>
        </is>
      </c>
      <c r="B4794" s="1" t="n">
        <v>45870</v>
      </c>
      <c r="C4794" s="1" t="n">
        <v>46046</v>
      </c>
      <c r="D4794" t="inlineStr">
        <is>
          <t>NORRBOTTENS LÄN</t>
        </is>
      </c>
      <c r="E4794" t="inlineStr">
        <is>
          <t>ÖVERKALIX</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36621-2025</t>
        </is>
      </c>
      <c r="B4795" s="1" t="n">
        <v>45870.65696759259</v>
      </c>
      <c r="C4795" s="1" t="n">
        <v>46046</v>
      </c>
      <c r="D4795" t="inlineStr">
        <is>
          <t>NORRBOTTENS LÄN</t>
        </is>
      </c>
      <c r="E4795" t="inlineStr">
        <is>
          <t>ÖVERKALIX</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25913-2024</t>
        </is>
      </c>
      <c r="B4796" s="1" t="n">
        <v>45467</v>
      </c>
      <c r="C4796" s="1" t="n">
        <v>46046</v>
      </c>
      <c r="D4796" t="inlineStr">
        <is>
          <t>NORRBOTTENS LÄN</t>
        </is>
      </c>
      <c r="E4796" t="inlineStr">
        <is>
          <t>ARVIDSJAUR</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13884-2024</t>
        </is>
      </c>
      <c r="B4797" s="1" t="n">
        <v>45391</v>
      </c>
      <c r="C4797" s="1" t="n">
        <v>46046</v>
      </c>
      <c r="D4797" t="inlineStr">
        <is>
          <t>NORRBOTTENS LÄN</t>
        </is>
      </c>
      <c r="E4797" t="inlineStr">
        <is>
          <t>PAJALA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39902-2021</t>
        </is>
      </c>
      <c r="B4798" s="1" t="n">
        <v>44417</v>
      </c>
      <c r="C4798" s="1" t="n">
        <v>46046</v>
      </c>
      <c r="D4798" t="inlineStr">
        <is>
          <t>NORRBOTTENS LÄN</t>
        </is>
      </c>
      <c r="E4798" t="inlineStr">
        <is>
          <t>PAJALA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35730-2023</t>
        </is>
      </c>
      <c r="B4799" s="1" t="n">
        <v>45147</v>
      </c>
      <c r="C4799" s="1" t="n">
        <v>46046</v>
      </c>
      <c r="D4799" t="inlineStr">
        <is>
          <t>NORRBOTTENS LÄN</t>
        </is>
      </c>
      <c r="E4799" t="inlineStr">
        <is>
          <t>GÄLLIVARE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11647-2023</t>
        </is>
      </c>
      <c r="B4800" s="1" t="n">
        <v>44994</v>
      </c>
      <c r="C4800" s="1" t="n">
        <v>46046</v>
      </c>
      <c r="D4800" t="inlineStr">
        <is>
          <t>NORRBOTTENS LÄN</t>
        </is>
      </c>
      <c r="E4800" t="inlineStr">
        <is>
          <t>BODEN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1683-2025</t>
        </is>
      </c>
      <c r="B4801" s="1" t="n">
        <v>45670.69847222222</v>
      </c>
      <c r="C4801" s="1" t="n">
        <v>46046</v>
      </c>
      <c r="D4801" t="inlineStr">
        <is>
          <t>NORRBOTTENS LÄN</t>
        </is>
      </c>
      <c r="E4801" t="inlineStr">
        <is>
          <t>LULEÅ</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1821-2025</t>
        </is>
      </c>
      <c r="B4802" s="1" t="n">
        <v>45671.52428240741</v>
      </c>
      <c r="C4802" s="1" t="n">
        <v>46046</v>
      </c>
      <c r="D4802" t="inlineStr">
        <is>
          <t>NORRBOTTENS LÄN</t>
        </is>
      </c>
      <c r="E4802" t="inlineStr">
        <is>
          <t>ÖVERKALIX</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36678-2025</t>
        </is>
      </c>
      <c r="B4803" s="1" t="n">
        <v>45873</v>
      </c>
      <c r="C4803" s="1" t="n">
        <v>46046</v>
      </c>
      <c r="D4803" t="inlineStr">
        <is>
          <t>NORRBOTTENS LÄN</t>
        </is>
      </c>
      <c r="E4803" t="inlineStr">
        <is>
          <t>PITEÅ</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14215-2025</t>
        </is>
      </c>
      <c r="B4804" s="1" t="n">
        <v>45740</v>
      </c>
      <c r="C4804" s="1" t="n">
        <v>46046</v>
      </c>
      <c r="D4804" t="inlineStr">
        <is>
          <t>NORRBOTTENS LÄN</t>
        </is>
      </c>
      <c r="E4804" t="inlineStr">
        <is>
          <t>HAPARANDA</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36715-2025</t>
        </is>
      </c>
      <c r="B4805" s="1" t="n">
        <v>45873</v>
      </c>
      <c r="C4805" s="1" t="n">
        <v>46046</v>
      </c>
      <c r="D4805" t="inlineStr">
        <is>
          <t>NORRBOTTENS LÄN</t>
        </is>
      </c>
      <c r="E4805" t="inlineStr">
        <is>
          <t>ÖVERKALIX</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3071-2025</t>
        </is>
      </c>
      <c r="B4806" s="1" t="n">
        <v>45678.63983796296</v>
      </c>
      <c r="C4806" s="1" t="n">
        <v>46046</v>
      </c>
      <c r="D4806" t="inlineStr">
        <is>
          <t>NORRBOTTENS LÄN</t>
        </is>
      </c>
      <c r="E4806" t="inlineStr">
        <is>
          <t>PITEÅ</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36776-2025</t>
        </is>
      </c>
      <c r="B4807" s="1" t="n">
        <v>45873.59333333333</v>
      </c>
      <c r="C4807" s="1" t="n">
        <v>46046</v>
      </c>
      <c r="D4807" t="inlineStr">
        <is>
          <t>NORRBOTTENS LÄN</t>
        </is>
      </c>
      <c r="E4807" t="inlineStr">
        <is>
          <t>PITEÅ</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36779-2025</t>
        </is>
      </c>
      <c r="B4808" s="1" t="n">
        <v>45873</v>
      </c>
      <c r="C4808" s="1" t="n">
        <v>46046</v>
      </c>
      <c r="D4808" t="inlineStr">
        <is>
          <t>NORRBOTTENS LÄN</t>
        </is>
      </c>
      <c r="E4808" t="inlineStr">
        <is>
          <t>ARJEPLOG</t>
        </is>
      </c>
      <c r="G4808" t="n">
        <v>17.2</v>
      </c>
      <c r="H4808" t="n">
        <v>0</v>
      </c>
      <c r="I4808" t="n">
        <v>0</v>
      </c>
      <c r="J4808" t="n">
        <v>0</v>
      </c>
      <c r="K4808" t="n">
        <v>0</v>
      </c>
      <c r="L4808" t="n">
        <v>0</v>
      </c>
      <c r="M4808" t="n">
        <v>0</v>
      </c>
      <c r="N4808" t="n">
        <v>0</v>
      </c>
      <c r="O4808" t="n">
        <v>0</v>
      </c>
      <c r="P4808" t="n">
        <v>0</v>
      </c>
      <c r="Q4808" t="n">
        <v>0</v>
      </c>
      <c r="R4808" s="2" t="inlineStr"/>
    </row>
    <row r="4809" ht="15" customHeight="1">
      <c r="A4809" t="inlineStr">
        <is>
          <t>A 59400-2024</t>
        </is>
      </c>
      <c r="B4809" s="1" t="n">
        <v>45638</v>
      </c>
      <c r="C4809" s="1" t="n">
        <v>46046</v>
      </c>
      <c r="D4809" t="inlineStr">
        <is>
          <t>NORRBOTTENS LÄN</t>
        </is>
      </c>
      <c r="E4809" t="inlineStr">
        <is>
          <t>LULEÅ</t>
        </is>
      </c>
      <c r="F4809" t="inlineStr">
        <is>
          <t>Sveaskog</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19155-2023</t>
        </is>
      </c>
      <c r="B4810" s="1" t="n">
        <v>45044</v>
      </c>
      <c r="C4810" s="1" t="n">
        <v>46046</v>
      </c>
      <c r="D4810" t="inlineStr">
        <is>
          <t>NORRBOTTENS LÄN</t>
        </is>
      </c>
      <c r="E4810" t="inlineStr">
        <is>
          <t>KALIX</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40299-2021</t>
        </is>
      </c>
      <c r="B4811" s="1" t="n">
        <v>44419.46515046297</v>
      </c>
      <c r="C4811" s="1" t="n">
        <v>46046</v>
      </c>
      <c r="D4811" t="inlineStr">
        <is>
          <t>NORRBOTTENS LÄN</t>
        </is>
      </c>
      <c r="E4811" t="inlineStr">
        <is>
          <t>PAJALA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23249-2024</t>
        </is>
      </c>
      <c r="B4812" s="1" t="n">
        <v>45453.35445601852</v>
      </c>
      <c r="C4812" s="1" t="n">
        <v>46046</v>
      </c>
      <c r="D4812" t="inlineStr">
        <is>
          <t>NORRBOTTENS LÄN</t>
        </is>
      </c>
      <c r="E4812" t="inlineStr">
        <is>
          <t>ÖVERKALIX</t>
        </is>
      </c>
      <c r="F4812" t="inlineStr">
        <is>
          <t>Sveaskog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11537-2025</t>
        </is>
      </c>
      <c r="B4813" s="1" t="n">
        <v>45726</v>
      </c>
      <c r="C4813" s="1" t="n">
        <v>46046</v>
      </c>
      <c r="D4813" t="inlineStr">
        <is>
          <t>NORRBOTTENS LÄN</t>
        </is>
      </c>
      <c r="E4813" t="inlineStr">
        <is>
          <t>ARVIDSJAUR</t>
        </is>
      </c>
      <c r="F4813" t="inlineStr">
        <is>
          <t>Allmännings- och besparingsskogar</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32582-2025</t>
        </is>
      </c>
      <c r="B4814" s="1" t="n">
        <v>45838.5983912037</v>
      </c>
      <c r="C4814" s="1" t="n">
        <v>46046</v>
      </c>
      <c r="D4814" t="inlineStr">
        <is>
          <t>NORRBOTTENS LÄN</t>
        </is>
      </c>
      <c r="E4814" t="inlineStr">
        <is>
          <t>BODEN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36555-2025</t>
        </is>
      </c>
      <c r="B4815" s="1" t="n">
        <v>45870.34471064815</v>
      </c>
      <c r="C4815" s="1" t="n">
        <v>46046</v>
      </c>
      <c r="D4815" t="inlineStr">
        <is>
          <t>NORRBOTTENS LÄN</t>
        </is>
      </c>
      <c r="E4815" t="inlineStr">
        <is>
          <t>GÄLLIVARE</t>
        </is>
      </c>
      <c r="G4815" t="n">
        <v>9.4</v>
      </c>
      <c r="H4815" t="n">
        <v>0</v>
      </c>
      <c r="I4815" t="n">
        <v>0</v>
      </c>
      <c r="J4815" t="n">
        <v>0</v>
      </c>
      <c r="K4815" t="n">
        <v>0</v>
      </c>
      <c r="L4815" t="n">
        <v>0</v>
      </c>
      <c r="M4815" t="n">
        <v>0</v>
      </c>
      <c r="N4815" t="n">
        <v>0</v>
      </c>
      <c r="O4815" t="n">
        <v>0</v>
      </c>
      <c r="P4815" t="n">
        <v>0</v>
      </c>
      <c r="Q4815" t="n">
        <v>0</v>
      </c>
      <c r="R4815" s="2" t="inlineStr"/>
    </row>
    <row r="4816" ht="15" customHeight="1">
      <c r="A4816" t="inlineStr">
        <is>
          <t>A 36624-2025</t>
        </is>
      </c>
      <c r="B4816" s="1" t="n">
        <v>45870.65721064815</v>
      </c>
      <c r="C4816" s="1" t="n">
        <v>46046</v>
      </c>
      <c r="D4816" t="inlineStr">
        <is>
          <t>NORRBOTTENS LÄN</t>
        </is>
      </c>
      <c r="E4816" t="inlineStr">
        <is>
          <t>GÄLLIVARE</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36625-2025</t>
        </is>
      </c>
      <c r="B4817" s="1" t="n">
        <v>45870.65722222222</v>
      </c>
      <c r="C4817" s="1" t="n">
        <v>46046</v>
      </c>
      <c r="D4817" t="inlineStr">
        <is>
          <t>NORRBOTTENS LÄN</t>
        </is>
      </c>
      <c r="E4817" t="inlineStr">
        <is>
          <t>GÄLLIVARE</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36649-2025</t>
        </is>
      </c>
      <c r="B4818" s="1" t="n">
        <v>45872.58510416667</v>
      </c>
      <c r="C4818" s="1" t="n">
        <v>46046</v>
      </c>
      <c r="D4818" t="inlineStr">
        <is>
          <t>NORRBOTTENS LÄN</t>
        </is>
      </c>
      <c r="E4818" t="inlineStr">
        <is>
          <t>PITEÅ</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57895-2021</t>
        </is>
      </c>
      <c r="B4819" s="1" t="n">
        <v>44486.60745370371</v>
      </c>
      <c r="C4819" s="1" t="n">
        <v>46046</v>
      </c>
      <c r="D4819" t="inlineStr">
        <is>
          <t>NORRBOTTENS LÄN</t>
        </is>
      </c>
      <c r="E4819" t="inlineStr">
        <is>
          <t>BODEN</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11865-2025</t>
        </is>
      </c>
      <c r="B4820" s="1" t="n">
        <v>45728.4180324074</v>
      </c>
      <c r="C4820" s="1" t="n">
        <v>46046</v>
      </c>
      <c r="D4820" t="inlineStr">
        <is>
          <t>NORRBOTTENS LÄN</t>
        </is>
      </c>
      <c r="E4820" t="inlineStr">
        <is>
          <t>BODEN</t>
        </is>
      </c>
      <c r="F4820" t="inlineStr">
        <is>
          <t>Övriga Aktiebolag</t>
        </is>
      </c>
      <c r="G4820" t="n">
        <v>10.6</v>
      </c>
      <c r="H4820" t="n">
        <v>0</v>
      </c>
      <c r="I4820" t="n">
        <v>0</v>
      </c>
      <c r="J4820" t="n">
        <v>0</v>
      </c>
      <c r="K4820" t="n">
        <v>0</v>
      </c>
      <c r="L4820" t="n">
        <v>0</v>
      </c>
      <c r="M4820" t="n">
        <v>0</v>
      </c>
      <c r="N4820" t="n">
        <v>0</v>
      </c>
      <c r="O4820" t="n">
        <v>0</v>
      </c>
      <c r="P4820" t="n">
        <v>0</v>
      </c>
      <c r="Q4820" t="n">
        <v>0</v>
      </c>
      <c r="R4820" s="2" t="inlineStr"/>
    </row>
    <row r="4821" ht="15" customHeight="1">
      <c r="A4821" t="inlineStr">
        <is>
          <t>A 23454-2021</t>
        </is>
      </c>
      <c r="B4821" s="1" t="n">
        <v>44333</v>
      </c>
      <c r="C4821" s="1" t="n">
        <v>46046</v>
      </c>
      <c r="D4821" t="inlineStr">
        <is>
          <t>NORRBOTTENS LÄN</t>
        </is>
      </c>
      <c r="E4821" t="inlineStr">
        <is>
          <t>BODEN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56139-2024</t>
        </is>
      </c>
      <c r="B4822" s="1" t="n">
        <v>45624.4886574074</v>
      </c>
      <c r="C4822" s="1" t="n">
        <v>46046</v>
      </c>
      <c r="D4822" t="inlineStr">
        <is>
          <t>NORRBOTTENS LÄN</t>
        </is>
      </c>
      <c r="E4822" t="inlineStr">
        <is>
          <t>BODEN</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48059-2023</t>
        </is>
      </c>
      <c r="B4823" s="1" t="n">
        <v>45204</v>
      </c>
      <c r="C4823" s="1" t="n">
        <v>46046</v>
      </c>
      <c r="D4823" t="inlineStr">
        <is>
          <t>NORRBOTTENS LÄN</t>
        </is>
      </c>
      <c r="E4823" t="inlineStr">
        <is>
          <t>LULEÅ</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8750-2025</t>
        </is>
      </c>
      <c r="B4824" s="1" t="n">
        <v>45712.56173611111</v>
      </c>
      <c r="C4824" s="1" t="n">
        <v>46046</v>
      </c>
      <c r="D4824" t="inlineStr">
        <is>
          <t>NORRBOTTENS LÄN</t>
        </is>
      </c>
      <c r="E4824" t="inlineStr">
        <is>
          <t>LULEÅ</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21643-2024</t>
        </is>
      </c>
      <c r="B4825" s="1" t="n">
        <v>45442.35251157408</v>
      </c>
      <c r="C4825" s="1" t="n">
        <v>46046</v>
      </c>
      <c r="D4825" t="inlineStr">
        <is>
          <t>NORRBOTTENS LÄN</t>
        </is>
      </c>
      <c r="E4825" t="inlineStr">
        <is>
          <t>PITEÅ</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8299-2025</t>
        </is>
      </c>
      <c r="B4826" s="1" t="n">
        <v>45708.58747685186</v>
      </c>
      <c r="C4826" s="1" t="n">
        <v>46046</v>
      </c>
      <c r="D4826" t="inlineStr">
        <is>
          <t>NORRBOTTENS LÄN</t>
        </is>
      </c>
      <c r="E4826" t="inlineStr">
        <is>
          <t>KALIX</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50327-2023</t>
        </is>
      </c>
      <c r="B4827" s="1" t="n">
        <v>45216</v>
      </c>
      <c r="C4827" s="1" t="n">
        <v>46046</v>
      </c>
      <c r="D4827" t="inlineStr">
        <is>
          <t>NORRBOTTENS LÄN</t>
        </is>
      </c>
      <c r="E4827" t="inlineStr">
        <is>
          <t>BODEN</t>
        </is>
      </c>
      <c r="F4827" t="inlineStr">
        <is>
          <t>Sveaskog</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36815-2024</t>
        </is>
      </c>
      <c r="B4828" s="1" t="n">
        <v>45538</v>
      </c>
      <c r="C4828" s="1" t="n">
        <v>46046</v>
      </c>
      <c r="D4828" t="inlineStr">
        <is>
          <t>NORRBOTTENS LÄN</t>
        </is>
      </c>
      <c r="E4828" t="inlineStr">
        <is>
          <t>ARVIDSJAUR</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38940-2024</t>
        </is>
      </c>
      <c r="B4829" s="1" t="n">
        <v>45548</v>
      </c>
      <c r="C4829" s="1" t="n">
        <v>46046</v>
      </c>
      <c r="D4829" t="inlineStr">
        <is>
          <t>NORRBOTTENS LÄN</t>
        </is>
      </c>
      <c r="E4829" t="inlineStr">
        <is>
          <t>ÖVERKALIX</t>
        </is>
      </c>
      <c r="F4829" t="inlineStr">
        <is>
          <t>SCA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38994-2024</t>
        </is>
      </c>
      <c r="B4830" s="1" t="n">
        <v>45548.41165509259</v>
      </c>
      <c r="C4830" s="1" t="n">
        <v>46046</v>
      </c>
      <c r="D4830" t="inlineStr">
        <is>
          <t>NORRBOTTENS LÄN</t>
        </is>
      </c>
      <c r="E4830" t="inlineStr">
        <is>
          <t>BODEN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8350-2025</t>
        </is>
      </c>
      <c r="B4831" s="1" t="n">
        <v>45708</v>
      </c>
      <c r="C4831" s="1" t="n">
        <v>46046</v>
      </c>
      <c r="D4831" t="inlineStr">
        <is>
          <t>NORRBOTTENS LÄN</t>
        </is>
      </c>
      <c r="E4831" t="inlineStr">
        <is>
          <t>KIRUNA</t>
        </is>
      </c>
      <c r="F4831" t="inlineStr">
        <is>
          <t>Övriga statliga verk och myndigheter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22127-2023</t>
        </is>
      </c>
      <c r="B4832" s="1" t="n">
        <v>45068</v>
      </c>
      <c r="C4832" s="1" t="n">
        <v>46046</v>
      </c>
      <c r="D4832" t="inlineStr">
        <is>
          <t>NORRBOTTENS LÄN</t>
        </is>
      </c>
      <c r="E4832" t="inlineStr">
        <is>
          <t>BODEN</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58942-2024</t>
        </is>
      </c>
      <c r="B4833" s="1" t="n">
        <v>45636</v>
      </c>
      <c r="C4833" s="1" t="n">
        <v>46046</v>
      </c>
      <c r="D4833" t="inlineStr">
        <is>
          <t>NORRBOTTENS LÄN</t>
        </is>
      </c>
      <c r="E4833" t="inlineStr">
        <is>
          <t>ARVIDSJAUR</t>
        </is>
      </c>
      <c r="F4833" t="inlineStr">
        <is>
          <t>Sveaskog</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58309-2024</t>
        </is>
      </c>
      <c r="B4834" s="1" t="n">
        <v>45632</v>
      </c>
      <c r="C4834" s="1" t="n">
        <v>46046</v>
      </c>
      <c r="D4834" t="inlineStr">
        <is>
          <t>NORRBOTTENS LÄN</t>
        </is>
      </c>
      <c r="E4834" t="inlineStr">
        <is>
          <t>ÄLVSBYN</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8550-2025</t>
        </is>
      </c>
      <c r="B4835" s="1" t="n">
        <v>45709</v>
      </c>
      <c r="C4835" s="1" t="n">
        <v>46046</v>
      </c>
      <c r="D4835" t="inlineStr">
        <is>
          <t>NORRBOTTENS LÄN</t>
        </is>
      </c>
      <c r="E4835" t="inlineStr">
        <is>
          <t>ÄLVSBYN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34512-2021</t>
        </is>
      </c>
      <c r="B4836" s="1" t="n">
        <v>44379</v>
      </c>
      <c r="C4836" s="1" t="n">
        <v>46046</v>
      </c>
      <c r="D4836" t="inlineStr">
        <is>
          <t>NORRBOTTENS LÄN</t>
        </is>
      </c>
      <c r="E4836" t="inlineStr">
        <is>
          <t>HAPARANDA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60387-2024</t>
        </is>
      </c>
      <c r="B4837" s="1" t="n">
        <v>45643.48357638889</v>
      </c>
      <c r="C4837" s="1" t="n">
        <v>46046</v>
      </c>
      <c r="D4837" t="inlineStr">
        <is>
          <t>NORRBOTTENS LÄN</t>
        </is>
      </c>
      <c r="E4837" t="inlineStr">
        <is>
          <t>LULEÅ</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36766-2025</t>
        </is>
      </c>
      <c r="B4838" s="1" t="n">
        <v>45873.5799537037</v>
      </c>
      <c r="C4838" s="1" t="n">
        <v>46046</v>
      </c>
      <c r="D4838" t="inlineStr">
        <is>
          <t>NORRBOTTENS LÄN</t>
        </is>
      </c>
      <c r="E4838" t="inlineStr">
        <is>
          <t>HAPARANDA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14995-2022</t>
        </is>
      </c>
      <c r="B4839" s="1" t="n">
        <v>44657</v>
      </c>
      <c r="C4839" s="1" t="n">
        <v>46046</v>
      </c>
      <c r="D4839" t="inlineStr">
        <is>
          <t>NORRBOTTENS LÄN</t>
        </is>
      </c>
      <c r="E4839" t="inlineStr">
        <is>
          <t>BODEN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15000-2022</t>
        </is>
      </c>
      <c r="B4840" s="1" t="n">
        <v>44657</v>
      </c>
      <c r="C4840" s="1" t="n">
        <v>46046</v>
      </c>
      <c r="D4840" t="inlineStr">
        <is>
          <t>NORRBOTTENS LÄN</t>
        </is>
      </c>
      <c r="E4840" t="inlineStr">
        <is>
          <t>BODEN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36683-2025</t>
        </is>
      </c>
      <c r="B4841" s="1" t="n">
        <v>45873.40927083333</v>
      </c>
      <c r="C4841" s="1" t="n">
        <v>46046</v>
      </c>
      <c r="D4841" t="inlineStr">
        <is>
          <t>NORRBOTTENS LÄN</t>
        </is>
      </c>
      <c r="E4841" t="inlineStr">
        <is>
          <t>PAJALA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20158-2025</t>
        </is>
      </c>
      <c r="B4842" s="1" t="n">
        <v>45772</v>
      </c>
      <c r="C4842" s="1" t="n">
        <v>46046</v>
      </c>
      <c r="D4842" t="inlineStr">
        <is>
          <t>NORRBOTTENS LÄN</t>
        </is>
      </c>
      <c r="E4842" t="inlineStr">
        <is>
          <t>ÄLVSBYN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36518-2025</t>
        </is>
      </c>
      <c r="B4843" s="1" t="n">
        <v>45869.598125</v>
      </c>
      <c r="C4843" s="1" t="n">
        <v>46046</v>
      </c>
      <c r="D4843" t="inlineStr">
        <is>
          <t>NORRBOTTENS LÄN</t>
        </is>
      </c>
      <c r="E4843" t="inlineStr">
        <is>
          <t>PITEÅ</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36554-2025</t>
        </is>
      </c>
      <c r="B4844" s="1" t="n">
        <v>45870</v>
      </c>
      <c r="C4844" s="1" t="n">
        <v>46046</v>
      </c>
      <c r="D4844" t="inlineStr">
        <is>
          <t>NORRBOTTENS LÄN</t>
        </is>
      </c>
      <c r="E4844" t="inlineStr">
        <is>
          <t>GÄLLIVARE</t>
        </is>
      </c>
      <c r="F4844" t="inlineStr">
        <is>
          <t>SCA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24400-2022</t>
        </is>
      </c>
      <c r="B4845" s="1" t="n">
        <v>44726.48164351852</v>
      </c>
      <c r="C4845" s="1" t="n">
        <v>46046</v>
      </c>
      <c r="D4845" t="inlineStr">
        <is>
          <t>NORRBOTTENS LÄN</t>
        </is>
      </c>
      <c r="E4845" t="inlineStr">
        <is>
          <t>BODEN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57332-2024</t>
        </is>
      </c>
      <c r="B4846" s="1" t="n">
        <v>45629</v>
      </c>
      <c r="C4846" s="1" t="n">
        <v>46046</v>
      </c>
      <c r="D4846" t="inlineStr">
        <is>
          <t>NORRBOTTENS LÄN</t>
        </is>
      </c>
      <c r="E4846" t="inlineStr">
        <is>
          <t>KALIX</t>
        </is>
      </c>
      <c r="G4846" t="n">
        <v>13.9</v>
      </c>
      <c r="H4846" t="n">
        <v>0</v>
      </c>
      <c r="I4846" t="n">
        <v>0</v>
      </c>
      <c r="J4846" t="n">
        <v>0</v>
      </c>
      <c r="K4846" t="n">
        <v>0</v>
      </c>
      <c r="L4846" t="n">
        <v>0</v>
      </c>
      <c r="M4846" t="n">
        <v>0</v>
      </c>
      <c r="N4846" t="n">
        <v>0</v>
      </c>
      <c r="O4846" t="n">
        <v>0</v>
      </c>
      <c r="P4846" t="n">
        <v>0</v>
      </c>
      <c r="Q4846" t="n">
        <v>0</v>
      </c>
      <c r="R4846" s="2" t="inlineStr"/>
    </row>
    <row r="4847" ht="15" customHeight="1">
      <c r="A4847" t="inlineStr">
        <is>
          <t>A 64407-2023</t>
        </is>
      </c>
      <c r="B4847" s="1" t="n">
        <v>45280.62268518518</v>
      </c>
      <c r="C4847" s="1" t="n">
        <v>46046</v>
      </c>
      <c r="D4847" t="inlineStr">
        <is>
          <t>NORRBOTTENS LÄN</t>
        </is>
      </c>
      <c r="E4847" t="inlineStr">
        <is>
          <t>ÄLVSBYN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30409-2024</t>
        </is>
      </c>
      <c r="B4848" s="1" t="n">
        <v>45491.61465277777</v>
      </c>
      <c r="C4848" s="1" t="n">
        <v>46046</v>
      </c>
      <c r="D4848" t="inlineStr">
        <is>
          <t>NORRBOTTENS LÄN</t>
        </is>
      </c>
      <c r="E4848" t="inlineStr">
        <is>
          <t>PAJALA</t>
        </is>
      </c>
      <c r="G4848" t="n">
        <v>8.1</v>
      </c>
      <c r="H4848" t="n">
        <v>0</v>
      </c>
      <c r="I4848" t="n">
        <v>0</v>
      </c>
      <c r="J4848" t="n">
        <v>0</v>
      </c>
      <c r="K4848" t="n">
        <v>0</v>
      </c>
      <c r="L4848" t="n">
        <v>0</v>
      </c>
      <c r="M4848" t="n">
        <v>0</v>
      </c>
      <c r="N4848" t="n">
        <v>0</v>
      </c>
      <c r="O4848" t="n">
        <v>0</v>
      </c>
      <c r="P4848" t="n">
        <v>0</v>
      </c>
      <c r="Q4848" t="n">
        <v>0</v>
      </c>
      <c r="R4848" s="2" t="inlineStr"/>
    </row>
    <row r="4849" ht="15" customHeight="1">
      <c r="A4849" t="inlineStr">
        <is>
          <t>A 30413-2024</t>
        </is>
      </c>
      <c r="B4849" s="1" t="n">
        <v>45491.63013888889</v>
      </c>
      <c r="C4849" s="1" t="n">
        <v>46046</v>
      </c>
      <c r="D4849" t="inlineStr">
        <is>
          <t>NORRBOTTENS LÄN</t>
        </is>
      </c>
      <c r="E4849" t="inlineStr">
        <is>
          <t>PAJALA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30555-2025</t>
        </is>
      </c>
      <c r="B4850" s="1" t="n">
        <v>45831.38609953703</v>
      </c>
      <c r="C4850" s="1" t="n">
        <v>46046</v>
      </c>
      <c r="D4850" t="inlineStr">
        <is>
          <t>NORRBOTTENS LÄN</t>
        </is>
      </c>
      <c r="E4850" t="inlineStr">
        <is>
          <t>ÄLVSBYN</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36756-2025</t>
        </is>
      </c>
      <c r="B4851" s="1" t="n">
        <v>45873</v>
      </c>
      <c r="C4851" s="1" t="n">
        <v>46046</v>
      </c>
      <c r="D4851" t="inlineStr">
        <is>
          <t>NORRBOTTENS LÄN</t>
        </is>
      </c>
      <c r="E4851" t="inlineStr">
        <is>
          <t>ÄLVSBYN</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31236-2023</t>
        </is>
      </c>
      <c r="B4852" s="1" t="n">
        <v>45103</v>
      </c>
      <c r="C4852" s="1" t="n">
        <v>46046</v>
      </c>
      <c r="D4852" t="inlineStr">
        <is>
          <t>NORRBOTTENS LÄN</t>
        </is>
      </c>
      <c r="E4852" t="inlineStr">
        <is>
          <t>HAPARANDA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46301-2024</t>
        </is>
      </c>
      <c r="B4853" s="1" t="n">
        <v>45581</v>
      </c>
      <c r="C4853" s="1" t="n">
        <v>46046</v>
      </c>
      <c r="D4853" t="inlineStr">
        <is>
          <t>NORRBOTTENS LÄN</t>
        </is>
      </c>
      <c r="E4853" t="inlineStr">
        <is>
          <t>HAPARANDA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25969-2024</t>
        </is>
      </c>
      <c r="B4854" s="1" t="n">
        <v>45467</v>
      </c>
      <c r="C4854" s="1" t="n">
        <v>46046</v>
      </c>
      <c r="D4854" t="inlineStr">
        <is>
          <t>NORRBOTTENS LÄN</t>
        </is>
      </c>
      <c r="E4854" t="inlineStr">
        <is>
          <t>PITEÅ</t>
        </is>
      </c>
      <c r="F4854" t="inlineStr">
        <is>
          <t>Kommuner</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46869-2024</t>
        </is>
      </c>
      <c r="B4855" s="1" t="n">
        <v>45583</v>
      </c>
      <c r="C4855" s="1" t="n">
        <v>46046</v>
      </c>
      <c r="D4855" t="inlineStr">
        <is>
          <t>NORRBOTTENS LÄN</t>
        </is>
      </c>
      <c r="E4855" t="inlineStr">
        <is>
          <t>LULEÅ</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41134-2023</t>
        </is>
      </c>
      <c r="B4856" s="1" t="n">
        <v>45173</v>
      </c>
      <c r="C4856" s="1" t="n">
        <v>46046</v>
      </c>
      <c r="D4856" t="inlineStr">
        <is>
          <t>NORRBOTTENS LÄN</t>
        </is>
      </c>
      <c r="E4856" t="inlineStr">
        <is>
          <t>HAPARANDA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41135-2023</t>
        </is>
      </c>
      <c r="B4857" s="1" t="n">
        <v>45173</v>
      </c>
      <c r="C4857" s="1" t="n">
        <v>46046</v>
      </c>
      <c r="D4857" t="inlineStr">
        <is>
          <t>NORRBOTTENS LÄN</t>
        </is>
      </c>
      <c r="E4857" t="inlineStr">
        <is>
          <t>HAPARANDA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36872-2025</t>
        </is>
      </c>
      <c r="B4858" s="1" t="n">
        <v>45874.42918981481</v>
      </c>
      <c r="C4858" s="1" t="n">
        <v>46046</v>
      </c>
      <c r="D4858" t="inlineStr">
        <is>
          <t>NORRBOTTENS LÄN</t>
        </is>
      </c>
      <c r="E4858" t="inlineStr">
        <is>
          <t>BODEN</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45767-2023</t>
        </is>
      </c>
      <c r="B4859" s="1" t="n">
        <v>45189</v>
      </c>
      <c r="C4859" s="1" t="n">
        <v>46046</v>
      </c>
      <c r="D4859" t="inlineStr">
        <is>
          <t>NORRBOTTENS LÄN</t>
        </is>
      </c>
      <c r="E4859" t="inlineStr">
        <is>
          <t>ÖVERKALIX</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36868-2025</t>
        </is>
      </c>
      <c r="B4860" s="1" t="n">
        <v>45874</v>
      </c>
      <c r="C4860" s="1" t="n">
        <v>46046</v>
      </c>
      <c r="D4860" t="inlineStr">
        <is>
          <t>NORRBOTTENS LÄN</t>
        </is>
      </c>
      <c r="E4860" t="inlineStr">
        <is>
          <t>GÄLLIVARE</t>
        </is>
      </c>
      <c r="F4860" t="inlineStr">
        <is>
          <t>SCA</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24052-2023</t>
        </is>
      </c>
      <c r="B4861" s="1" t="n">
        <v>45078</v>
      </c>
      <c r="C4861" s="1" t="n">
        <v>46046</v>
      </c>
      <c r="D4861" t="inlineStr">
        <is>
          <t>NORRBOTTENS LÄN</t>
        </is>
      </c>
      <c r="E4861" t="inlineStr">
        <is>
          <t>JOKKMOKK</t>
        </is>
      </c>
      <c r="F4861" t="inlineStr">
        <is>
          <t>Naturvårdsverket</t>
        </is>
      </c>
      <c r="G4861" t="n">
        <v>58.1</v>
      </c>
      <c r="H4861" t="n">
        <v>0</v>
      </c>
      <c r="I4861" t="n">
        <v>0</v>
      </c>
      <c r="J4861" t="n">
        <v>0</v>
      </c>
      <c r="K4861" t="n">
        <v>0</v>
      </c>
      <c r="L4861" t="n">
        <v>0</v>
      </c>
      <c r="M4861" t="n">
        <v>0</v>
      </c>
      <c r="N4861" t="n">
        <v>0</v>
      </c>
      <c r="O4861" t="n">
        <v>0</v>
      </c>
      <c r="P4861" t="n">
        <v>0</v>
      </c>
      <c r="Q4861" t="n">
        <v>0</v>
      </c>
      <c r="R4861" s="2" t="inlineStr"/>
    </row>
    <row r="4862" ht="15" customHeight="1">
      <c r="A4862" t="inlineStr">
        <is>
          <t>A 61133-2022</t>
        </is>
      </c>
      <c r="B4862" s="1" t="n">
        <v>44915.44876157407</v>
      </c>
      <c r="C4862" s="1" t="n">
        <v>46046</v>
      </c>
      <c r="D4862" t="inlineStr">
        <is>
          <t>NORRBOTTENS LÄN</t>
        </is>
      </c>
      <c r="E4862" t="inlineStr">
        <is>
          <t>ARVIDSJAUR</t>
        </is>
      </c>
      <c r="F4862" t="inlineStr">
        <is>
          <t>Sveaskog</t>
        </is>
      </c>
      <c r="G4862" t="n">
        <v>7.6</v>
      </c>
      <c r="H4862" t="n">
        <v>0</v>
      </c>
      <c r="I4862" t="n">
        <v>0</v>
      </c>
      <c r="J4862" t="n">
        <v>0</v>
      </c>
      <c r="K4862" t="n">
        <v>0</v>
      </c>
      <c r="L4862" t="n">
        <v>0</v>
      </c>
      <c r="M4862" t="n">
        <v>0</v>
      </c>
      <c r="N4862" t="n">
        <v>0</v>
      </c>
      <c r="O4862" t="n">
        <v>0</v>
      </c>
      <c r="P4862" t="n">
        <v>0</v>
      </c>
      <c r="Q4862" t="n">
        <v>0</v>
      </c>
      <c r="R4862" s="2" t="inlineStr"/>
    </row>
    <row r="4863" ht="15" customHeight="1">
      <c r="A4863" t="inlineStr">
        <is>
          <t>A 36997-2025</t>
        </is>
      </c>
      <c r="B4863" s="1" t="n">
        <v>45874.67802083334</v>
      </c>
      <c r="C4863" s="1" t="n">
        <v>46046</v>
      </c>
      <c r="D4863" t="inlineStr">
        <is>
          <t>NORRBOTTENS LÄN</t>
        </is>
      </c>
      <c r="E4863" t="inlineStr">
        <is>
          <t>GÄLLIVARE</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36984-2023</t>
        </is>
      </c>
      <c r="B4864" s="1" t="n">
        <v>45154.95511574074</v>
      </c>
      <c r="C4864" s="1" t="n">
        <v>46046</v>
      </c>
      <c r="D4864" t="inlineStr">
        <is>
          <t>NORRBOTTENS LÄN</t>
        </is>
      </c>
      <c r="E4864" t="inlineStr">
        <is>
          <t>GÄLLIVARE</t>
        </is>
      </c>
      <c r="F4864" t="inlineStr">
        <is>
          <t>SCA</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37086-2025</t>
        </is>
      </c>
      <c r="B4865" s="1" t="n">
        <v>45875.45590277778</v>
      </c>
      <c r="C4865" s="1" t="n">
        <v>46046</v>
      </c>
      <c r="D4865" t="inlineStr">
        <is>
          <t>NORRBOTTENS LÄN</t>
        </is>
      </c>
      <c r="E4865" t="inlineStr">
        <is>
          <t>BODEN</t>
        </is>
      </c>
      <c r="F4865" t="inlineStr">
        <is>
          <t>Övriga Aktiebolag</t>
        </is>
      </c>
      <c r="G4865" t="n">
        <v>22.8</v>
      </c>
      <c r="H4865" t="n">
        <v>0</v>
      </c>
      <c r="I4865" t="n">
        <v>0</v>
      </c>
      <c r="J4865" t="n">
        <v>0</v>
      </c>
      <c r="K4865" t="n">
        <v>0</v>
      </c>
      <c r="L4865" t="n">
        <v>0</v>
      </c>
      <c r="M4865" t="n">
        <v>0</v>
      </c>
      <c r="N4865" t="n">
        <v>0</v>
      </c>
      <c r="O4865" t="n">
        <v>0</v>
      </c>
      <c r="P4865" t="n">
        <v>0</v>
      </c>
      <c r="Q4865" t="n">
        <v>0</v>
      </c>
      <c r="R4865" s="2" t="inlineStr"/>
    </row>
    <row r="4866" ht="15" customHeight="1">
      <c r="A4866" t="inlineStr">
        <is>
          <t>A 45182-2024</t>
        </is>
      </c>
      <c r="B4866" s="1" t="n">
        <v>45575.66403935185</v>
      </c>
      <c r="C4866" s="1" t="n">
        <v>46046</v>
      </c>
      <c r="D4866" t="inlineStr">
        <is>
          <t>NORRBOTTENS LÄN</t>
        </is>
      </c>
      <c r="E4866" t="inlineStr">
        <is>
          <t>LULEÅ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4868-2025</t>
        </is>
      </c>
      <c r="B4867" s="1" t="n">
        <v>45688</v>
      </c>
      <c r="C4867" s="1" t="n">
        <v>46046</v>
      </c>
      <c r="D4867" t="inlineStr">
        <is>
          <t>NORRBOTTENS LÄN</t>
        </is>
      </c>
      <c r="E4867" t="inlineStr">
        <is>
          <t>PITEÅ</t>
        </is>
      </c>
      <c r="F4867" t="inlineStr">
        <is>
          <t>SCA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37180-2025</t>
        </is>
      </c>
      <c r="B4868" s="1" t="n">
        <v>45875</v>
      </c>
      <c r="C4868" s="1" t="n">
        <v>46046</v>
      </c>
      <c r="D4868" t="inlineStr">
        <is>
          <t>NORRBOTTENS LÄN</t>
        </is>
      </c>
      <c r="E4868" t="inlineStr">
        <is>
          <t>ARVIDSJAUR</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1486-2024</t>
        </is>
      </c>
      <c r="B4869" s="1" t="n">
        <v>45305</v>
      </c>
      <c r="C4869" s="1" t="n">
        <v>46046</v>
      </c>
      <c r="D4869" t="inlineStr">
        <is>
          <t>NORRBOTTENS LÄN</t>
        </is>
      </c>
      <c r="E4869" t="inlineStr">
        <is>
          <t>ÄLVSBYN</t>
        </is>
      </c>
      <c r="G4869" t="n">
        <v>92.09999999999999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37212-2025</t>
        </is>
      </c>
      <c r="B4870" s="1" t="n">
        <v>45875</v>
      </c>
      <c r="C4870" s="1" t="n">
        <v>46046</v>
      </c>
      <c r="D4870" t="inlineStr">
        <is>
          <t>NORRBOTTENS LÄN</t>
        </is>
      </c>
      <c r="E4870" t="inlineStr">
        <is>
          <t>BODEN</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52735-2024</t>
        </is>
      </c>
      <c r="B4871" s="1" t="n">
        <v>45610</v>
      </c>
      <c r="C4871" s="1" t="n">
        <v>46046</v>
      </c>
      <c r="D4871" t="inlineStr">
        <is>
          <t>NORRBOTTENS LÄN</t>
        </is>
      </c>
      <c r="E4871" t="inlineStr">
        <is>
          <t>HAPARANDA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37191-2025</t>
        </is>
      </c>
      <c r="B4872" s="1" t="n">
        <v>45875.64945601852</v>
      </c>
      <c r="C4872" s="1" t="n">
        <v>46046</v>
      </c>
      <c r="D4872" t="inlineStr">
        <is>
          <t>NORRBOTTENS LÄN</t>
        </is>
      </c>
      <c r="E4872" t="inlineStr">
        <is>
          <t>ARVIDSJAUR</t>
        </is>
      </c>
      <c r="F4872" t="inlineStr">
        <is>
          <t>Sveaskog</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684-2022</t>
        </is>
      </c>
      <c r="B4873" s="1" t="n">
        <v>44568</v>
      </c>
      <c r="C4873" s="1" t="n">
        <v>46046</v>
      </c>
      <c r="D4873" t="inlineStr">
        <is>
          <t>NORRBOTTENS LÄN</t>
        </is>
      </c>
      <c r="E4873" t="inlineStr">
        <is>
          <t>PAJALA</t>
        </is>
      </c>
      <c r="G4873" t="n">
        <v>20.5</v>
      </c>
      <c r="H4873" t="n">
        <v>0</v>
      </c>
      <c r="I4873" t="n">
        <v>0</v>
      </c>
      <c r="J4873" t="n">
        <v>0</v>
      </c>
      <c r="K4873" t="n">
        <v>0</v>
      </c>
      <c r="L4873" t="n">
        <v>0</v>
      </c>
      <c r="M4873" t="n">
        <v>0</v>
      </c>
      <c r="N4873" t="n">
        <v>0</v>
      </c>
      <c r="O4873" t="n">
        <v>0</v>
      </c>
      <c r="P4873" t="n">
        <v>0</v>
      </c>
      <c r="Q4873" t="n">
        <v>0</v>
      </c>
      <c r="R4873" s="2" t="inlineStr"/>
    </row>
    <row r="4874" ht="15" customHeight="1">
      <c r="A4874" t="inlineStr">
        <is>
          <t>A 706-2022</t>
        </is>
      </c>
      <c r="B4874" s="1" t="n">
        <v>44566</v>
      </c>
      <c r="C4874" s="1" t="n">
        <v>46046</v>
      </c>
      <c r="D4874" t="inlineStr">
        <is>
          <t>NORRBOTTENS LÄN</t>
        </is>
      </c>
      <c r="E4874" t="inlineStr">
        <is>
          <t>BODEN</t>
        </is>
      </c>
      <c r="G4874" t="n">
        <v>12.4</v>
      </c>
      <c r="H4874" t="n">
        <v>0</v>
      </c>
      <c r="I4874" t="n">
        <v>0</v>
      </c>
      <c r="J4874" t="n">
        <v>0</v>
      </c>
      <c r="K4874" t="n">
        <v>0</v>
      </c>
      <c r="L4874" t="n">
        <v>0</v>
      </c>
      <c r="M4874" t="n">
        <v>0</v>
      </c>
      <c r="N4874" t="n">
        <v>0</v>
      </c>
      <c r="O4874" t="n">
        <v>0</v>
      </c>
      <c r="P4874" t="n">
        <v>0</v>
      </c>
      <c r="Q4874" t="n">
        <v>0</v>
      </c>
      <c r="R4874" s="2" t="inlineStr"/>
    </row>
    <row r="4875" ht="15" customHeight="1">
      <c r="A4875" t="inlineStr">
        <is>
          <t>A 36999-2025</t>
        </is>
      </c>
      <c r="B4875" s="1" t="n">
        <v>45874.67835648148</v>
      </c>
      <c r="C4875" s="1" t="n">
        <v>46046</v>
      </c>
      <c r="D4875" t="inlineStr">
        <is>
          <t>NORRBOTTENS LÄN</t>
        </is>
      </c>
      <c r="E4875" t="inlineStr">
        <is>
          <t>PITEÅ</t>
        </is>
      </c>
      <c r="F4875" t="inlineStr">
        <is>
          <t>SCA</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52812-2024</t>
        </is>
      </c>
      <c r="B4876" s="1" t="n">
        <v>45610.58070601852</v>
      </c>
      <c r="C4876" s="1" t="n">
        <v>46046</v>
      </c>
      <c r="D4876" t="inlineStr">
        <is>
          <t>NORRBOTTENS LÄN</t>
        </is>
      </c>
      <c r="E4876" t="inlineStr">
        <is>
          <t>JOKKMOKK</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4400-2025</t>
        </is>
      </c>
      <c r="B4877" s="1" t="n">
        <v>45686</v>
      </c>
      <c r="C4877" s="1" t="n">
        <v>46046</v>
      </c>
      <c r="D4877" t="inlineStr">
        <is>
          <t>NORRBOTTENS LÄN</t>
        </is>
      </c>
      <c r="E4877" t="inlineStr">
        <is>
          <t>ÖVERTORNEÅ</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37120-2025</t>
        </is>
      </c>
      <c r="B4878" s="1" t="n">
        <v>45875.51827546296</v>
      </c>
      <c r="C4878" s="1" t="n">
        <v>46046</v>
      </c>
      <c r="D4878" t="inlineStr">
        <is>
          <t>NORRBOTTENS LÄN</t>
        </is>
      </c>
      <c r="E4878" t="inlineStr">
        <is>
          <t>JOKKMOKK</t>
        </is>
      </c>
      <c r="G4878" t="n">
        <v>17.6</v>
      </c>
      <c r="H4878" t="n">
        <v>0</v>
      </c>
      <c r="I4878" t="n">
        <v>0</v>
      </c>
      <c r="J4878" t="n">
        <v>0</v>
      </c>
      <c r="K4878" t="n">
        <v>0</v>
      </c>
      <c r="L4878" t="n">
        <v>0</v>
      </c>
      <c r="M4878" t="n">
        <v>0</v>
      </c>
      <c r="N4878" t="n">
        <v>0</v>
      </c>
      <c r="O4878" t="n">
        <v>0</v>
      </c>
      <c r="P4878" t="n">
        <v>0</v>
      </c>
      <c r="Q4878" t="n">
        <v>0</v>
      </c>
      <c r="R4878" s="2" t="inlineStr"/>
    </row>
    <row r="4879" ht="15" customHeight="1">
      <c r="A4879" t="inlineStr">
        <is>
          <t>A 36310-2025</t>
        </is>
      </c>
      <c r="B4879" s="1" t="n">
        <v>45868</v>
      </c>
      <c r="C4879" s="1" t="n">
        <v>46046</v>
      </c>
      <c r="D4879" t="inlineStr">
        <is>
          <t>NORRBOTTENS LÄN</t>
        </is>
      </c>
      <c r="E4879" t="inlineStr">
        <is>
          <t>BODEN</t>
        </is>
      </c>
      <c r="F4879" t="inlineStr">
        <is>
          <t>SCA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36990-2025</t>
        </is>
      </c>
      <c r="B4880" s="1" t="n">
        <v>45874.66177083334</v>
      </c>
      <c r="C4880" s="1" t="n">
        <v>46046</v>
      </c>
      <c r="D4880" t="inlineStr">
        <is>
          <t>NORRBOTTENS LÄN</t>
        </is>
      </c>
      <c r="E4880" t="inlineStr">
        <is>
          <t>PITEÅ</t>
        </is>
      </c>
      <c r="F4880" t="inlineStr">
        <is>
          <t>Sveaskog</t>
        </is>
      </c>
      <c r="G4880" t="n">
        <v>22.3</v>
      </c>
      <c r="H4880" t="n">
        <v>0</v>
      </c>
      <c r="I4880" t="n">
        <v>0</v>
      </c>
      <c r="J4880" t="n">
        <v>0</v>
      </c>
      <c r="K4880" t="n">
        <v>0</v>
      </c>
      <c r="L4880" t="n">
        <v>0</v>
      </c>
      <c r="M4880" t="n">
        <v>0</v>
      </c>
      <c r="N4880" t="n">
        <v>0</v>
      </c>
      <c r="O4880" t="n">
        <v>0</v>
      </c>
      <c r="P4880" t="n">
        <v>0</v>
      </c>
      <c r="Q4880" t="n">
        <v>0</v>
      </c>
      <c r="R4880" s="2" t="inlineStr"/>
    </row>
    <row r="4881" ht="15" customHeight="1">
      <c r="A4881" t="inlineStr">
        <is>
          <t>A 36821-2025</t>
        </is>
      </c>
      <c r="B4881" s="1" t="n">
        <v>45873.90025462963</v>
      </c>
      <c r="C4881" s="1" t="n">
        <v>46046</v>
      </c>
      <c r="D4881" t="inlineStr">
        <is>
          <t>NORRBOTTENS LÄN</t>
        </is>
      </c>
      <c r="E4881" t="inlineStr">
        <is>
          <t>PAJALA</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36929-2025</t>
        </is>
      </c>
      <c r="B4882" s="1" t="n">
        <v>45874</v>
      </c>
      <c r="C4882" s="1" t="n">
        <v>46046</v>
      </c>
      <c r="D4882" t="inlineStr">
        <is>
          <t>NORRBOTTENS LÄN</t>
        </is>
      </c>
      <c r="E4882" t="inlineStr">
        <is>
          <t>ÄLVSBYN</t>
        </is>
      </c>
      <c r="F4882" t="inlineStr">
        <is>
          <t>SCA</t>
        </is>
      </c>
      <c r="G4882" t="n">
        <v>21.8</v>
      </c>
      <c r="H4882" t="n">
        <v>0</v>
      </c>
      <c r="I4882" t="n">
        <v>0</v>
      </c>
      <c r="J4882" t="n">
        <v>0</v>
      </c>
      <c r="K4882" t="n">
        <v>0</v>
      </c>
      <c r="L4882" t="n">
        <v>0</v>
      </c>
      <c r="M4882" t="n">
        <v>0</v>
      </c>
      <c r="N4882" t="n">
        <v>0</v>
      </c>
      <c r="O4882" t="n">
        <v>0</v>
      </c>
      <c r="P4882" t="n">
        <v>0</v>
      </c>
      <c r="Q4882" t="n">
        <v>0</v>
      </c>
      <c r="R4882" s="2" t="inlineStr"/>
    </row>
    <row r="4883" ht="15" customHeight="1">
      <c r="A4883" t="inlineStr">
        <is>
          <t>A 21698-2024</t>
        </is>
      </c>
      <c r="B4883" s="1" t="n">
        <v>45442.46135416667</v>
      </c>
      <c r="C4883" s="1" t="n">
        <v>46046</v>
      </c>
      <c r="D4883" t="inlineStr">
        <is>
          <t>NORRBOTTENS LÄN</t>
        </is>
      </c>
      <c r="E4883" t="inlineStr">
        <is>
          <t>HAPARANDA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32056-2024</t>
        </is>
      </c>
      <c r="B4884" s="1" t="n">
        <v>45510.9696412037</v>
      </c>
      <c r="C4884" s="1" t="n">
        <v>46046</v>
      </c>
      <c r="D4884" t="inlineStr">
        <is>
          <t>NORRBOTTENS LÄN</t>
        </is>
      </c>
      <c r="E4884" t="inlineStr">
        <is>
          <t>KALIX</t>
        </is>
      </c>
      <c r="F4884" t="inlineStr">
        <is>
          <t>SCA</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4514-2022</t>
        </is>
      </c>
      <c r="B4885" s="1" t="n">
        <v>44589</v>
      </c>
      <c r="C4885" s="1" t="n">
        <v>46046</v>
      </c>
      <c r="D4885" t="inlineStr">
        <is>
          <t>NORRBOTTENS LÄN</t>
        </is>
      </c>
      <c r="E4885" t="inlineStr">
        <is>
          <t>ÖVERTORNEÅ</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11835-2023</t>
        </is>
      </c>
      <c r="B4886" s="1" t="n">
        <v>44994</v>
      </c>
      <c r="C4886" s="1" t="n">
        <v>46046</v>
      </c>
      <c r="D4886" t="inlineStr">
        <is>
          <t>NORRBOTTENS LÄN</t>
        </is>
      </c>
      <c r="E4886" t="inlineStr">
        <is>
          <t>ÄLVSBYN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14128-2023</t>
        </is>
      </c>
      <c r="B4887" s="1" t="n">
        <v>45009</v>
      </c>
      <c r="C4887" s="1" t="n">
        <v>46046</v>
      </c>
      <c r="D4887" t="inlineStr">
        <is>
          <t>NORRBOTTENS LÄN</t>
        </is>
      </c>
      <c r="E4887" t="inlineStr">
        <is>
          <t>LULEÅ</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1319-2025</t>
        </is>
      </c>
      <c r="B4888" s="1" t="n">
        <v>45667</v>
      </c>
      <c r="C4888" s="1" t="n">
        <v>46046</v>
      </c>
      <c r="D4888" t="inlineStr">
        <is>
          <t>NORRBOTTENS LÄN</t>
        </is>
      </c>
      <c r="E4888" t="inlineStr">
        <is>
          <t>ÖVERTORNEÅ</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36773-2025</t>
        </is>
      </c>
      <c r="B4889" s="1" t="n">
        <v>45873.58949074074</v>
      </c>
      <c r="C4889" s="1" t="n">
        <v>46046</v>
      </c>
      <c r="D4889" t="inlineStr">
        <is>
          <t>NORRBOTTENS LÄN</t>
        </is>
      </c>
      <c r="E4889" t="inlineStr">
        <is>
          <t>HAPARANDA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36904-2025</t>
        </is>
      </c>
      <c r="B4890" s="1" t="n">
        <v>45874.49055555555</v>
      </c>
      <c r="C4890" s="1" t="n">
        <v>46046</v>
      </c>
      <c r="D4890" t="inlineStr">
        <is>
          <t>NORRBOTTENS LÄN</t>
        </is>
      </c>
      <c r="E4890" t="inlineStr">
        <is>
          <t>GÄLLIVARE</t>
        </is>
      </c>
      <c r="F4890" t="inlineStr">
        <is>
          <t>Sveaskog</t>
        </is>
      </c>
      <c r="G4890" t="n">
        <v>45.8</v>
      </c>
      <c r="H4890" t="n">
        <v>0</v>
      </c>
      <c r="I4890" t="n">
        <v>0</v>
      </c>
      <c r="J4890" t="n">
        <v>0</v>
      </c>
      <c r="K4890" t="n">
        <v>0</v>
      </c>
      <c r="L4890" t="n">
        <v>0</v>
      </c>
      <c r="M4890" t="n">
        <v>0</v>
      </c>
      <c r="N4890" t="n">
        <v>0</v>
      </c>
      <c r="O4890" t="n">
        <v>0</v>
      </c>
      <c r="P4890" t="n">
        <v>0</v>
      </c>
      <c r="Q4890" t="n">
        <v>0</v>
      </c>
      <c r="R4890" s="2" t="inlineStr"/>
    </row>
    <row r="4891" ht="15" customHeight="1">
      <c r="A4891" t="inlineStr">
        <is>
          <t>A 6822-2025</t>
        </is>
      </c>
      <c r="B4891" s="1" t="n">
        <v>45700.71971064815</v>
      </c>
      <c r="C4891" s="1" t="n">
        <v>46046</v>
      </c>
      <c r="D4891" t="inlineStr">
        <is>
          <t>NORRBOTTENS LÄN</t>
        </is>
      </c>
      <c r="E4891" t="inlineStr">
        <is>
          <t>KALIX</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36924-2025</t>
        </is>
      </c>
      <c r="B4892" s="1" t="n">
        <v>45874.54712962963</v>
      </c>
      <c r="C4892" s="1" t="n">
        <v>46046</v>
      </c>
      <c r="D4892" t="inlineStr">
        <is>
          <t>NORRBOTTENS LÄN</t>
        </is>
      </c>
      <c r="E4892" t="inlineStr">
        <is>
          <t>GÄLLIVARE</t>
        </is>
      </c>
      <c r="F4892" t="inlineStr">
        <is>
          <t>Sveaskog</t>
        </is>
      </c>
      <c r="G4892" t="n">
        <v>15.4</v>
      </c>
      <c r="H4892" t="n">
        <v>0</v>
      </c>
      <c r="I4892" t="n">
        <v>0</v>
      </c>
      <c r="J4892" t="n">
        <v>0</v>
      </c>
      <c r="K4892" t="n">
        <v>0</v>
      </c>
      <c r="L4892" t="n">
        <v>0</v>
      </c>
      <c r="M4892" t="n">
        <v>0</v>
      </c>
      <c r="N4892" t="n">
        <v>0</v>
      </c>
      <c r="O4892" t="n">
        <v>0</v>
      </c>
      <c r="P4892" t="n">
        <v>0</v>
      </c>
      <c r="Q4892" t="n">
        <v>0</v>
      </c>
      <c r="R4892" s="2" t="inlineStr"/>
    </row>
    <row r="4893" ht="15" customHeight="1">
      <c r="A4893" t="inlineStr">
        <is>
          <t>A 56545-2024</t>
        </is>
      </c>
      <c r="B4893" s="1" t="n">
        <v>45625.56842592593</v>
      </c>
      <c r="C4893" s="1" t="n">
        <v>46046</v>
      </c>
      <c r="D4893" t="inlineStr">
        <is>
          <t>NORRBOTTENS LÄN</t>
        </is>
      </c>
      <c r="E4893" t="inlineStr">
        <is>
          <t>ÖVERTORNEÅ</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36926-2025</t>
        </is>
      </c>
      <c r="B4894" s="1" t="n">
        <v>45874</v>
      </c>
      <c r="C4894" s="1" t="n">
        <v>46046</v>
      </c>
      <c r="D4894" t="inlineStr">
        <is>
          <t>NORRBOTTENS LÄN</t>
        </is>
      </c>
      <c r="E4894" t="inlineStr">
        <is>
          <t>BODEN</t>
        </is>
      </c>
      <c r="F4894" t="inlineStr">
        <is>
          <t>SCA</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37156-2025</t>
        </is>
      </c>
      <c r="B4895" s="1" t="n">
        <v>45875</v>
      </c>
      <c r="C4895" s="1" t="n">
        <v>46046</v>
      </c>
      <c r="D4895" t="inlineStr">
        <is>
          <t>NORRBOTTENS LÄN</t>
        </is>
      </c>
      <c r="E4895" t="inlineStr">
        <is>
          <t>ÖVERTORNEÅ</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71487-2021</t>
        </is>
      </c>
      <c r="B4896" s="1" t="n">
        <v>44539</v>
      </c>
      <c r="C4896" s="1" t="n">
        <v>46046</v>
      </c>
      <c r="D4896" t="inlineStr">
        <is>
          <t>NORRBOTTENS LÄN</t>
        </is>
      </c>
      <c r="E4896" t="inlineStr">
        <is>
          <t>PITEÅ</t>
        </is>
      </c>
      <c r="F4896" t="inlineStr">
        <is>
          <t>Kommuner</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4283-2025</t>
        </is>
      </c>
      <c r="B4897" s="1" t="n">
        <v>45685.64603009259</v>
      </c>
      <c r="C4897" s="1" t="n">
        <v>46046</v>
      </c>
      <c r="D4897" t="inlineStr">
        <is>
          <t>NORRBOTTENS LÄN</t>
        </is>
      </c>
      <c r="E4897" t="inlineStr">
        <is>
          <t>ÖVERTORNEÅ</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29961-2023</t>
        </is>
      </c>
      <c r="B4898" s="1" t="n">
        <v>45107.93931712963</v>
      </c>
      <c r="C4898" s="1" t="n">
        <v>46046</v>
      </c>
      <c r="D4898" t="inlineStr">
        <is>
          <t>NORRBOTTENS LÄN</t>
        </is>
      </c>
      <c r="E4898" t="inlineStr">
        <is>
          <t>ÖVERKALIX</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43885-2023</t>
        </is>
      </c>
      <c r="B4899" s="1" t="n">
        <v>45187</v>
      </c>
      <c r="C4899" s="1" t="n">
        <v>46046</v>
      </c>
      <c r="D4899" t="inlineStr">
        <is>
          <t>NORRBOTTENS LÄN</t>
        </is>
      </c>
      <c r="E4899" t="inlineStr">
        <is>
          <t>PITEÅ</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47019-2024</t>
        </is>
      </c>
      <c r="B4900" s="1" t="n">
        <v>45586.39640046296</v>
      </c>
      <c r="C4900" s="1" t="n">
        <v>46046</v>
      </c>
      <c r="D4900" t="inlineStr">
        <is>
          <t>NORRBOTTENS LÄN</t>
        </is>
      </c>
      <c r="E4900" t="inlineStr">
        <is>
          <t>ÖVERTORNEÅ</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37422-2025</t>
        </is>
      </c>
      <c r="B4901" s="1" t="n">
        <v>45877.48719907407</v>
      </c>
      <c r="C4901" s="1" t="n">
        <v>46046</v>
      </c>
      <c r="D4901" t="inlineStr">
        <is>
          <t>NORRBOTTENS LÄN</t>
        </is>
      </c>
      <c r="E4901" t="inlineStr">
        <is>
          <t>PAJALA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37425-2025</t>
        </is>
      </c>
      <c r="B4902" s="1" t="n">
        <v>45877.49061342593</v>
      </c>
      <c r="C4902" s="1" t="n">
        <v>46046</v>
      </c>
      <c r="D4902" t="inlineStr">
        <is>
          <t>NORRBOTTENS LÄN</t>
        </is>
      </c>
      <c r="E4902" t="inlineStr">
        <is>
          <t>PAJALA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45698-2024</t>
        </is>
      </c>
      <c r="B4903" s="1" t="n">
        <v>45579</v>
      </c>
      <c r="C4903" s="1" t="n">
        <v>46046</v>
      </c>
      <c r="D4903" t="inlineStr">
        <is>
          <t>NORRBOTTENS LÄN</t>
        </is>
      </c>
      <c r="E4903" t="inlineStr">
        <is>
          <t>ÖVERTORNEÅ</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2751-2022</t>
        </is>
      </c>
      <c r="B4904" s="1" t="n">
        <v>44580.92210648148</v>
      </c>
      <c r="C4904" s="1" t="n">
        <v>46046</v>
      </c>
      <c r="D4904" t="inlineStr">
        <is>
          <t>NORRBOTTENS LÄN</t>
        </is>
      </c>
      <c r="E4904" t="inlineStr">
        <is>
          <t>ÄLVSBYN</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35249-2021</t>
        </is>
      </c>
      <c r="B4905" s="1" t="n">
        <v>44384</v>
      </c>
      <c r="C4905" s="1" t="n">
        <v>46046</v>
      </c>
      <c r="D4905" t="inlineStr">
        <is>
          <t>NORRBOTTENS LÄN</t>
        </is>
      </c>
      <c r="E4905" t="inlineStr">
        <is>
          <t>LULEÅ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38896-2025</t>
        </is>
      </c>
      <c r="B4906" s="1" t="n">
        <v>45887</v>
      </c>
      <c r="C4906" s="1" t="n">
        <v>46046</v>
      </c>
      <c r="D4906" t="inlineStr">
        <is>
          <t>NORRBOTTENS LÄN</t>
        </is>
      </c>
      <c r="E4906" t="inlineStr">
        <is>
          <t>GÄLLIVARE</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35962-2021</t>
        </is>
      </c>
      <c r="B4907" s="1" t="n">
        <v>44385</v>
      </c>
      <c r="C4907" s="1" t="n">
        <v>46046</v>
      </c>
      <c r="D4907" t="inlineStr">
        <is>
          <t>NORRBOTTENS LÄN</t>
        </is>
      </c>
      <c r="E4907" t="inlineStr">
        <is>
          <t>LULEÅ</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60584-2023</t>
        </is>
      </c>
      <c r="B4908" s="1" t="n">
        <v>45259</v>
      </c>
      <c r="C4908" s="1" t="n">
        <v>46046</v>
      </c>
      <c r="D4908" t="inlineStr">
        <is>
          <t>NORRBOTTENS LÄN</t>
        </is>
      </c>
      <c r="E4908" t="inlineStr">
        <is>
          <t>GÄLLIVARE</t>
        </is>
      </c>
      <c r="F4908" t="inlineStr">
        <is>
          <t>SCA</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52327-2022</t>
        </is>
      </c>
      <c r="B4909" s="1" t="n">
        <v>44873</v>
      </c>
      <c r="C4909" s="1" t="n">
        <v>46046</v>
      </c>
      <c r="D4909" t="inlineStr">
        <is>
          <t>NORRBOTTENS LÄN</t>
        </is>
      </c>
      <c r="E4909" t="inlineStr">
        <is>
          <t>ÄLVSBYN</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46410-2024</t>
        </is>
      </c>
      <c r="B4910" s="1" t="n">
        <v>45582.44790509259</v>
      </c>
      <c r="C4910" s="1" t="n">
        <v>46046</v>
      </c>
      <c r="D4910" t="inlineStr">
        <is>
          <t>NORRBOTTENS LÄN</t>
        </is>
      </c>
      <c r="E4910" t="inlineStr">
        <is>
          <t>PITEÅ</t>
        </is>
      </c>
      <c r="F4910" t="inlineStr">
        <is>
          <t>Sveaskog</t>
        </is>
      </c>
      <c r="G4910" t="n">
        <v>9.5</v>
      </c>
      <c r="H4910" t="n">
        <v>0</v>
      </c>
      <c r="I4910" t="n">
        <v>0</v>
      </c>
      <c r="J4910" t="n">
        <v>0</v>
      </c>
      <c r="K4910" t="n">
        <v>0</v>
      </c>
      <c r="L4910" t="n">
        <v>0</v>
      </c>
      <c r="M4910" t="n">
        <v>0</v>
      </c>
      <c r="N4910" t="n">
        <v>0</v>
      </c>
      <c r="O4910" t="n">
        <v>0</v>
      </c>
      <c r="P4910" t="n">
        <v>0</v>
      </c>
      <c r="Q4910" t="n">
        <v>0</v>
      </c>
      <c r="R4910" s="2" t="inlineStr"/>
    </row>
    <row r="4911" ht="15" customHeight="1">
      <c r="A4911" t="inlineStr">
        <is>
          <t>A 6776-2023</t>
        </is>
      </c>
      <c r="B4911" s="1" t="n">
        <v>44966.95085648148</v>
      </c>
      <c r="C4911" s="1" t="n">
        <v>46046</v>
      </c>
      <c r="D4911" t="inlineStr">
        <is>
          <t>NORRBOTTENS LÄN</t>
        </is>
      </c>
      <c r="E4911" t="inlineStr">
        <is>
          <t>BODEN</t>
        </is>
      </c>
      <c r="F4911" t="inlineStr">
        <is>
          <t>SCA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7942-2023</t>
        </is>
      </c>
      <c r="B4912" s="1" t="n">
        <v>44970</v>
      </c>
      <c r="C4912" s="1" t="n">
        <v>46046</v>
      </c>
      <c r="D4912" t="inlineStr">
        <is>
          <t>NORRBOTTENS LÄN</t>
        </is>
      </c>
      <c r="E4912" t="inlineStr">
        <is>
          <t>PAJALA</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61891-2023</t>
        </is>
      </c>
      <c r="B4913" s="1" t="n">
        <v>45264</v>
      </c>
      <c r="C4913" s="1" t="n">
        <v>46046</v>
      </c>
      <c r="D4913" t="inlineStr">
        <is>
          <t>NORRBOTTENS LÄN</t>
        </is>
      </c>
      <c r="E4913" t="inlineStr">
        <is>
          <t>LULEÅ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32615-2024</t>
        </is>
      </c>
      <c r="B4914" s="1" t="n">
        <v>45513</v>
      </c>
      <c r="C4914" s="1" t="n">
        <v>46046</v>
      </c>
      <c r="D4914" t="inlineStr">
        <is>
          <t>NORRBOTTENS LÄN</t>
        </is>
      </c>
      <c r="E4914" t="inlineStr">
        <is>
          <t>ÖVERKALIX</t>
        </is>
      </c>
      <c r="F4914" t="inlineStr">
        <is>
          <t>Sveaskog</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38919-2025</t>
        </is>
      </c>
      <c r="B4915" s="1" t="n">
        <v>45884</v>
      </c>
      <c r="C4915" s="1" t="n">
        <v>46046</v>
      </c>
      <c r="D4915" t="inlineStr">
        <is>
          <t>NORRBOTTENS LÄN</t>
        </is>
      </c>
      <c r="E4915" t="inlineStr">
        <is>
          <t>ARVIDSJAUR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26162-2024</t>
        </is>
      </c>
      <c r="B4916" s="1" t="n">
        <v>45467</v>
      </c>
      <c r="C4916" s="1" t="n">
        <v>46046</v>
      </c>
      <c r="D4916" t="inlineStr">
        <is>
          <t>NORRBOTTENS LÄN</t>
        </is>
      </c>
      <c r="E4916" t="inlineStr">
        <is>
          <t>ÖVERTORNEÅ</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26140-2023</t>
        </is>
      </c>
      <c r="B4917" s="1" t="n">
        <v>45086</v>
      </c>
      <c r="C4917" s="1" t="n">
        <v>46046</v>
      </c>
      <c r="D4917" t="inlineStr">
        <is>
          <t>NORRBOTTENS LÄN</t>
        </is>
      </c>
      <c r="E4917" t="inlineStr">
        <is>
          <t>ÖVERKALIX</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10298-2023</t>
        </is>
      </c>
      <c r="B4918" s="1" t="n">
        <v>44986</v>
      </c>
      <c r="C4918" s="1" t="n">
        <v>46046</v>
      </c>
      <c r="D4918" t="inlineStr">
        <is>
          <t>NORRBOTTENS LÄN</t>
        </is>
      </c>
      <c r="E4918" t="inlineStr">
        <is>
          <t>GÄLLIVARE</t>
        </is>
      </c>
      <c r="F4918" t="inlineStr">
        <is>
          <t>SCA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37404-2025</t>
        </is>
      </c>
      <c r="B4919" s="1" t="n">
        <v>45877.44846064815</v>
      </c>
      <c r="C4919" s="1" t="n">
        <v>46046</v>
      </c>
      <c r="D4919" t="inlineStr">
        <is>
          <t>NORRBOTTENS LÄN</t>
        </is>
      </c>
      <c r="E4919" t="inlineStr">
        <is>
          <t>BODEN</t>
        </is>
      </c>
      <c r="F4919" t="inlineStr">
        <is>
          <t>SCA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32432-2023</t>
        </is>
      </c>
      <c r="B4920" s="1" t="n">
        <v>45120</v>
      </c>
      <c r="C4920" s="1" t="n">
        <v>46046</v>
      </c>
      <c r="D4920" t="inlineStr">
        <is>
          <t>NORRBOTTENS LÄN</t>
        </is>
      </c>
      <c r="E4920" t="inlineStr">
        <is>
          <t>PITEÅ</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32438-2023</t>
        </is>
      </c>
      <c r="B4921" s="1" t="n">
        <v>45120</v>
      </c>
      <c r="C4921" s="1" t="n">
        <v>46046</v>
      </c>
      <c r="D4921" t="inlineStr">
        <is>
          <t>NORRBOTTENS LÄN</t>
        </is>
      </c>
      <c r="E4921" t="inlineStr">
        <is>
          <t>PITEÅ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50031-2021</t>
        </is>
      </c>
      <c r="B4922" s="1" t="n">
        <v>44454</v>
      </c>
      <c r="C4922" s="1" t="n">
        <v>46046</v>
      </c>
      <c r="D4922" t="inlineStr">
        <is>
          <t>NORRBOTTENS LÄN</t>
        </is>
      </c>
      <c r="E4922" t="inlineStr">
        <is>
          <t>PITEÅ</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37361-2025</t>
        </is>
      </c>
      <c r="B4923" s="1" t="n">
        <v>45877</v>
      </c>
      <c r="C4923" s="1" t="n">
        <v>46046</v>
      </c>
      <c r="D4923" t="inlineStr">
        <is>
          <t>NORRBOTTENS LÄN</t>
        </is>
      </c>
      <c r="E4923" t="inlineStr">
        <is>
          <t>ÖVERTORNEÅ</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38936-2025</t>
        </is>
      </c>
      <c r="B4924" s="1" t="n">
        <v>45884</v>
      </c>
      <c r="C4924" s="1" t="n">
        <v>46046</v>
      </c>
      <c r="D4924" t="inlineStr">
        <is>
          <t>NORRBOTTENS LÄN</t>
        </is>
      </c>
      <c r="E4924" t="inlineStr">
        <is>
          <t>LULEÅ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38969-2025</t>
        </is>
      </c>
      <c r="B4925" s="1" t="n">
        <v>45887</v>
      </c>
      <c r="C4925" s="1" t="n">
        <v>46046</v>
      </c>
      <c r="D4925" t="inlineStr">
        <is>
          <t>NORRBOTTENS LÄN</t>
        </is>
      </c>
      <c r="E4925" t="inlineStr">
        <is>
          <t>ÖVERTORNEÅ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37426-2025</t>
        </is>
      </c>
      <c r="B4926" s="1" t="n">
        <v>45877.49121527778</v>
      </c>
      <c r="C4926" s="1" t="n">
        <v>46046</v>
      </c>
      <c r="D4926" t="inlineStr">
        <is>
          <t>NORRBOTTENS LÄN</t>
        </is>
      </c>
      <c r="E4926" t="inlineStr">
        <is>
          <t>PAJALA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38939-2023</t>
        </is>
      </c>
      <c r="B4927" s="1" t="n">
        <v>45163.60116898148</v>
      </c>
      <c r="C4927" s="1" t="n">
        <v>46046</v>
      </c>
      <c r="D4927" t="inlineStr">
        <is>
          <t>NORRBOTTENS LÄN</t>
        </is>
      </c>
      <c r="E4927" t="inlineStr">
        <is>
          <t>PAJALA</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37454-2025</t>
        </is>
      </c>
      <c r="B4928" s="1" t="n">
        <v>45877.56238425926</v>
      </c>
      <c r="C4928" s="1" t="n">
        <v>46046</v>
      </c>
      <c r="D4928" t="inlineStr">
        <is>
          <t>NORRBOTTENS LÄN</t>
        </is>
      </c>
      <c r="E4928" t="inlineStr">
        <is>
          <t>ARVIDSJAUR</t>
        </is>
      </c>
      <c r="F4928" t="inlineStr">
        <is>
          <t>Sveaskog</t>
        </is>
      </c>
      <c r="G4928" t="n">
        <v>23.4</v>
      </c>
      <c r="H4928" t="n">
        <v>0</v>
      </c>
      <c r="I4928" t="n">
        <v>0</v>
      </c>
      <c r="J4928" t="n">
        <v>0</v>
      </c>
      <c r="K4928" t="n">
        <v>0</v>
      </c>
      <c r="L4928" t="n">
        <v>0</v>
      </c>
      <c r="M4928" t="n">
        <v>0</v>
      </c>
      <c r="N4928" t="n">
        <v>0</v>
      </c>
      <c r="O4928" t="n">
        <v>0</v>
      </c>
      <c r="P4928" t="n">
        <v>0</v>
      </c>
      <c r="Q4928" t="n">
        <v>0</v>
      </c>
      <c r="R4928" s="2" t="inlineStr"/>
    </row>
    <row r="4929" ht="15" customHeight="1">
      <c r="A4929" t="inlineStr">
        <is>
          <t>A 22447-2024</t>
        </is>
      </c>
      <c r="B4929" s="1" t="n">
        <v>45446</v>
      </c>
      <c r="C4929" s="1" t="n">
        <v>46046</v>
      </c>
      <c r="D4929" t="inlineStr">
        <is>
          <t>NORRBOTTENS LÄN</t>
        </is>
      </c>
      <c r="E4929" t="inlineStr">
        <is>
          <t>BODEN</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45035-2022</t>
        </is>
      </c>
      <c r="B4930" s="1" t="n">
        <v>44841.66430555555</v>
      </c>
      <c r="C4930" s="1" t="n">
        <v>46046</v>
      </c>
      <c r="D4930" t="inlineStr">
        <is>
          <t>NORRBOTTENS LÄN</t>
        </is>
      </c>
      <c r="E4930" t="inlineStr">
        <is>
          <t>BODEN</t>
        </is>
      </c>
      <c r="F4930" t="inlineStr">
        <is>
          <t>Sveaskog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49410-2023</t>
        </is>
      </c>
      <c r="B4931" s="1" t="n">
        <v>45211.44008101852</v>
      </c>
      <c r="C4931" s="1" t="n">
        <v>46046</v>
      </c>
      <c r="D4931" t="inlineStr">
        <is>
          <t>NORRBOTTENS LÄN</t>
        </is>
      </c>
      <c r="E4931" t="inlineStr">
        <is>
          <t>BODEN</t>
        </is>
      </c>
      <c r="F4931" t="inlineStr">
        <is>
          <t>Sveaskog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37436-2025</t>
        </is>
      </c>
      <c r="B4932" s="1" t="n">
        <v>45877.53163194445</v>
      </c>
      <c r="C4932" s="1" t="n">
        <v>46046</v>
      </c>
      <c r="D4932" t="inlineStr">
        <is>
          <t>NORRBOTTENS LÄN</t>
        </is>
      </c>
      <c r="E4932" t="inlineStr">
        <is>
          <t>PITEÅ</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37442-2025</t>
        </is>
      </c>
      <c r="B4933" s="1" t="n">
        <v>45877.54096064815</v>
      </c>
      <c r="C4933" s="1" t="n">
        <v>46046</v>
      </c>
      <c r="D4933" t="inlineStr">
        <is>
          <t>NORRBOTTENS LÄN</t>
        </is>
      </c>
      <c r="E4933" t="inlineStr">
        <is>
          <t>ARJEPLOG</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37448-2025</t>
        </is>
      </c>
      <c r="B4934" s="1" t="n">
        <v>45877</v>
      </c>
      <c r="C4934" s="1" t="n">
        <v>46046</v>
      </c>
      <c r="D4934" t="inlineStr">
        <is>
          <t>NORRBOTTENS LÄN</t>
        </is>
      </c>
      <c r="E4934" t="inlineStr">
        <is>
          <t>ARVIDSJAUR</t>
        </is>
      </c>
      <c r="F4934" t="inlineStr">
        <is>
          <t>Sveaskog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47102-2023</t>
        </is>
      </c>
      <c r="B4935" s="1" t="n">
        <v>45196</v>
      </c>
      <c r="C4935" s="1" t="n">
        <v>46046</v>
      </c>
      <c r="D4935" t="inlineStr">
        <is>
          <t>NORRBOTTENS LÄN</t>
        </is>
      </c>
      <c r="E4935" t="inlineStr">
        <is>
          <t>PAJALA</t>
        </is>
      </c>
      <c r="G4935" t="n">
        <v>27.5</v>
      </c>
      <c r="H4935" t="n">
        <v>0</v>
      </c>
      <c r="I4935" t="n">
        <v>0</v>
      </c>
      <c r="J4935" t="n">
        <v>0</v>
      </c>
      <c r="K4935" t="n">
        <v>0</v>
      </c>
      <c r="L4935" t="n">
        <v>0</v>
      </c>
      <c r="M4935" t="n">
        <v>0</v>
      </c>
      <c r="N4935" t="n">
        <v>0</v>
      </c>
      <c r="O4935" t="n">
        <v>0</v>
      </c>
      <c r="P4935" t="n">
        <v>0</v>
      </c>
      <c r="Q4935" t="n">
        <v>0</v>
      </c>
      <c r="R4935" s="2" t="inlineStr"/>
    </row>
    <row r="4936" ht="15" customHeight="1">
      <c r="A4936" t="inlineStr">
        <is>
          <t>A 38714-2025</t>
        </is>
      </c>
      <c r="B4936" s="1" t="n">
        <v>45886.34490740741</v>
      </c>
      <c r="C4936" s="1" t="n">
        <v>46046</v>
      </c>
      <c r="D4936" t="inlineStr">
        <is>
          <t>NORRBOTTENS LÄN</t>
        </is>
      </c>
      <c r="E4936" t="inlineStr">
        <is>
          <t>LULEÅ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26843-2025</t>
        </is>
      </c>
      <c r="B4937" s="1" t="n">
        <v>45810</v>
      </c>
      <c r="C4937" s="1" t="n">
        <v>46046</v>
      </c>
      <c r="D4937" t="inlineStr">
        <is>
          <t>NORRBOTTENS LÄN</t>
        </is>
      </c>
      <c r="E4937" t="inlineStr">
        <is>
          <t>KALIX</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30452-2024</t>
        </is>
      </c>
      <c r="B4938" s="1" t="n">
        <v>45491.92767361111</v>
      </c>
      <c r="C4938" s="1" t="n">
        <v>46046</v>
      </c>
      <c r="D4938" t="inlineStr">
        <is>
          <t>NORRBOTTENS LÄN</t>
        </is>
      </c>
      <c r="E4938" t="inlineStr">
        <is>
          <t>PITEÅ</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38696-2025</t>
        </is>
      </c>
      <c r="B4939" s="1" t="n">
        <v>45884.74715277777</v>
      </c>
      <c r="C4939" s="1" t="n">
        <v>46046</v>
      </c>
      <c r="D4939" t="inlineStr">
        <is>
          <t>NORRBOTTENS LÄN</t>
        </is>
      </c>
      <c r="E4939" t="inlineStr">
        <is>
          <t>GÄLLIVARE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37752-2025</t>
        </is>
      </c>
      <c r="B4940" s="1" t="n">
        <v>45880.67576388889</v>
      </c>
      <c r="C4940" s="1" t="n">
        <v>46046</v>
      </c>
      <c r="D4940" t="inlineStr">
        <is>
          <t>NORRBOTTENS LÄN</t>
        </is>
      </c>
      <c r="E4940" t="inlineStr">
        <is>
          <t>PAJALA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37659-2025</t>
        </is>
      </c>
      <c r="B4941" s="1" t="n">
        <v>45880.49833333334</v>
      </c>
      <c r="C4941" s="1" t="n">
        <v>46046</v>
      </c>
      <c r="D4941" t="inlineStr">
        <is>
          <t>NORRBOTTENS LÄN</t>
        </is>
      </c>
      <c r="E4941" t="inlineStr">
        <is>
          <t>GÄLLIVARE</t>
        </is>
      </c>
      <c r="F4941" t="inlineStr">
        <is>
          <t>Sveaskog</t>
        </is>
      </c>
      <c r="G4941" t="n">
        <v>13.7</v>
      </c>
      <c r="H4941" t="n">
        <v>0</v>
      </c>
      <c r="I4941" t="n">
        <v>0</v>
      </c>
      <c r="J4941" t="n">
        <v>0</v>
      </c>
      <c r="K4941" t="n">
        <v>0</v>
      </c>
      <c r="L4941" t="n">
        <v>0</v>
      </c>
      <c r="M4941" t="n">
        <v>0</v>
      </c>
      <c r="N4941" t="n">
        <v>0</v>
      </c>
      <c r="O4941" t="n">
        <v>0</v>
      </c>
      <c r="P4941" t="n">
        <v>0</v>
      </c>
      <c r="Q4941" t="n">
        <v>0</v>
      </c>
      <c r="R4941" s="2" t="inlineStr"/>
    </row>
    <row r="4942" ht="15" customHeight="1">
      <c r="A4942" t="inlineStr">
        <is>
          <t>A 4137-2024</t>
        </is>
      </c>
      <c r="B4942" s="1" t="n">
        <v>45323</v>
      </c>
      <c r="C4942" s="1" t="n">
        <v>46046</v>
      </c>
      <c r="D4942" t="inlineStr">
        <is>
          <t>NORRBOTTENS LÄN</t>
        </is>
      </c>
      <c r="E4942" t="inlineStr">
        <is>
          <t>LULEÅ</t>
        </is>
      </c>
      <c r="G4942" t="n">
        <v>13.1</v>
      </c>
      <c r="H4942" t="n">
        <v>0</v>
      </c>
      <c r="I4942" t="n">
        <v>0</v>
      </c>
      <c r="J4942" t="n">
        <v>0</v>
      </c>
      <c r="K4942" t="n">
        <v>0</v>
      </c>
      <c r="L4942" t="n">
        <v>0</v>
      </c>
      <c r="M4942" t="n">
        <v>0</v>
      </c>
      <c r="N4942" t="n">
        <v>0</v>
      </c>
      <c r="O4942" t="n">
        <v>0</v>
      </c>
      <c r="P4942" t="n">
        <v>0</v>
      </c>
      <c r="Q4942" t="n">
        <v>0</v>
      </c>
      <c r="R4942" s="2" t="inlineStr"/>
    </row>
    <row r="4943" ht="15" customHeight="1">
      <c r="A4943" t="inlineStr">
        <is>
          <t>A 37722-2025</t>
        </is>
      </c>
      <c r="B4943" s="1" t="n">
        <v>45880.61525462963</v>
      </c>
      <c r="C4943" s="1" t="n">
        <v>46046</v>
      </c>
      <c r="D4943" t="inlineStr">
        <is>
          <t>NORRBOTTENS LÄN</t>
        </is>
      </c>
      <c r="E4943" t="inlineStr">
        <is>
          <t>PITEÅ</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37594-2025</t>
        </is>
      </c>
      <c r="B4944" s="1" t="n">
        <v>45880.41603009259</v>
      </c>
      <c r="C4944" s="1" t="n">
        <v>46046</v>
      </c>
      <c r="D4944" t="inlineStr">
        <is>
          <t>NORRBOTTENS LÄN</t>
        </is>
      </c>
      <c r="E4944" t="inlineStr">
        <is>
          <t>GÄLLIVARE</t>
        </is>
      </c>
      <c r="F4944" t="inlineStr">
        <is>
          <t>Sveaskog</t>
        </is>
      </c>
      <c r="G4944" t="n">
        <v>13.3</v>
      </c>
      <c r="H4944" t="n">
        <v>0</v>
      </c>
      <c r="I4944" t="n">
        <v>0</v>
      </c>
      <c r="J4944" t="n">
        <v>0</v>
      </c>
      <c r="K4944" t="n">
        <v>0</v>
      </c>
      <c r="L4944" t="n">
        <v>0</v>
      </c>
      <c r="M4944" t="n">
        <v>0</v>
      </c>
      <c r="N4944" t="n">
        <v>0</v>
      </c>
      <c r="O4944" t="n">
        <v>0</v>
      </c>
      <c r="P4944" t="n">
        <v>0</v>
      </c>
      <c r="Q4944" t="n">
        <v>0</v>
      </c>
      <c r="R4944" s="2" t="inlineStr"/>
    </row>
    <row r="4945" ht="15" customHeight="1">
      <c r="A4945" t="inlineStr">
        <is>
          <t>A 37923-2025</t>
        </is>
      </c>
      <c r="B4945" s="1" t="n">
        <v>45881.57527777777</v>
      </c>
      <c r="C4945" s="1" t="n">
        <v>46046</v>
      </c>
      <c r="D4945" t="inlineStr">
        <is>
          <t>NORRBOTTENS LÄN</t>
        </is>
      </c>
      <c r="E4945" t="inlineStr">
        <is>
          <t>KALIX</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61619-2024</t>
        </is>
      </c>
      <c r="B4946" s="1" t="n">
        <v>45646.65796296296</v>
      </c>
      <c r="C4946" s="1" t="n">
        <v>46046</v>
      </c>
      <c r="D4946" t="inlineStr">
        <is>
          <t>NORRBOTTENS LÄN</t>
        </is>
      </c>
      <c r="E4946" t="inlineStr">
        <is>
          <t>ÄLVSBYN</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38679-2024</t>
        </is>
      </c>
      <c r="B4947" s="1" t="n">
        <v>45547.344375</v>
      </c>
      <c r="C4947" s="1" t="n">
        <v>46046</v>
      </c>
      <c r="D4947" t="inlineStr">
        <is>
          <t>NORRBOTTENS LÄN</t>
        </is>
      </c>
      <c r="E4947" t="inlineStr">
        <is>
          <t>PITEÅ</t>
        </is>
      </c>
      <c r="F4947" t="inlineStr">
        <is>
          <t>SCA</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20237-2025</t>
        </is>
      </c>
      <c r="B4948" s="1" t="n">
        <v>45772</v>
      </c>
      <c r="C4948" s="1" t="n">
        <v>46046</v>
      </c>
      <c r="D4948" t="inlineStr">
        <is>
          <t>NORRBOTTENS LÄN</t>
        </is>
      </c>
      <c r="E4948" t="inlineStr">
        <is>
          <t>ÄLVSBYN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37652-2025</t>
        </is>
      </c>
      <c r="B4949" s="1" t="n">
        <v>45880.49027777778</v>
      </c>
      <c r="C4949" s="1" t="n">
        <v>46046</v>
      </c>
      <c r="D4949" t="inlineStr">
        <is>
          <t>NORRBOTTENS LÄN</t>
        </is>
      </c>
      <c r="E4949" t="inlineStr">
        <is>
          <t>GÄLLIVARE</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37653-2025</t>
        </is>
      </c>
      <c r="B4950" s="1" t="n">
        <v>45880.49046296296</v>
      </c>
      <c r="C4950" s="1" t="n">
        <v>46046</v>
      </c>
      <c r="D4950" t="inlineStr">
        <is>
          <t>NORRBOTTENS LÄN</t>
        </is>
      </c>
      <c r="E4950" t="inlineStr">
        <is>
          <t>BODEN</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37726-2025</t>
        </is>
      </c>
      <c r="B4951" s="1" t="n">
        <v>45880.62</v>
      </c>
      <c r="C4951" s="1" t="n">
        <v>46046</v>
      </c>
      <c r="D4951" t="inlineStr">
        <is>
          <t>NORRBOTTENS LÄN</t>
        </is>
      </c>
      <c r="E4951" t="inlineStr">
        <is>
          <t>PAJALA</t>
        </is>
      </c>
      <c r="F4951" t="inlineStr">
        <is>
          <t>Sveaskog</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37747-2025</t>
        </is>
      </c>
      <c r="B4952" s="1" t="n">
        <v>45880.66762731481</v>
      </c>
      <c r="C4952" s="1" t="n">
        <v>46046</v>
      </c>
      <c r="D4952" t="inlineStr">
        <is>
          <t>NORRBOTTENS LÄN</t>
        </is>
      </c>
      <c r="E4952" t="inlineStr">
        <is>
          <t>PAJALA</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27770-2024</t>
        </is>
      </c>
      <c r="B4953" s="1" t="n">
        <v>45475.52747685185</v>
      </c>
      <c r="C4953" s="1" t="n">
        <v>46046</v>
      </c>
      <c r="D4953" t="inlineStr">
        <is>
          <t>NORRBOTTENS LÄN</t>
        </is>
      </c>
      <c r="E4953" t="inlineStr">
        <is>
          <t>PAJALA</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37913-2025</t>
        </is>
      </c>
      <c r="B4954" s="1" t="n">
        <v>45881.5740162037</v>
      </c>
      <c r="C4954" s="1" t="n">
        <v>46046</v>
      </c>
      <c r="D4954" t="inlineStr">
        <is>
          <t>NORRBOTTENS LÄN</t>
        </is>
      </c>
      <c r="E4954" t="inlineStr">
        <is>
          <t>KALIX</t>
        </is>
      </c>
      <c r="F4954" t="inlineStr">
        <is>
          <t>SCA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37915-2025</t>
        </is>
      </c>
      <c r="B4955" s="1" t="n">
        <v>45881.57421296297</v>
      </c>
      <c r="C4955" s="1" t="n">
        <v>46046</v>
      </c>
      <c r="D4955" t="inlineStr">
        <is>
          <t>NORRBOTTENS LÄN</t>
        </is>
      </c>
      <c r="E4955" t="inlineStr">
        <is>
          <t>KALIX</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38579-2025</t>
        </is>
      </c>
      <c r="B4956" s="1" t="n">
        <v>45884.46925925926</v>
      </c>
      <c r="C4956" s="1" t="n">
        <v>46046</v>
      </c>
      <c r="D4956" t="inlineStr">
        <is>
          <t>NORRBOTTENS LÄN</t>
        </is>
      </c>
      <c r="E4956" t="inlineStr">
        <is>
          <t>JOKKMOKK</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35674-2025</t>
        </is>
      </c>
      <c r="B4957" s="1" t="n">
        <v>45859.6357175926</v>
      </c>
      <c r="C4957" s="1" t="n">
        <v>46046</v>
      </c>
      <c r="D4957" t="inlineStr">
        <is>
          <t>NORRBOTTENS LÄN</t>
        </is>
      </c>
      <c r="E4957" t="inlineStr">
        <is>
          <t>KALIX</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60888-2021</t>
        </is>
      </c>
      <c r="B4958" s="1" t="n">
        <v>44497</v>
      </c>
      <c r="C4958" s="1" t="n">
        <v>46046</v>
      </c>
      <c r="D4958" t="inlineStr">
        <is>
          <t>NORRBOTTENS LÄN</t>
        </is>
      </c>
      <c r="E4958" t="inlineStr">
        <is>
          <t>ARVIDSJAUR</t>
        </is>
      </c>
      <c r="F4958" t="inlineStr">
        <is>
          <t>Sveaskog</t>
        </is>
      </c>
      <c r="G4958" t="n">
        <v>12.1</v>
      </c>
      <c r="H4958" t="n">
        <v>0</v>
      </c>
      <c r="I4958" t="n">
        <v>0</v>
      </c>
      <c r="J4958" t="n">
        <v>0</v>
      </c>
      <c r="K4958" t="n">
        <v>0</v>
      </c>
      <c r="L4958" t="n">
        <v>0</v>
      </c>
      <c r="M4958" t="n">
        <v>0</v>
      </c>
      <c r="N4958" t="n">
        <v>0</v>
      </c>
      <c r="O4958" t="n">
        <v>0</v>
      </c>
      <c r="P4958" t="n">
        <v>0</v>
      </c>
      <c r="Q4958" t="n">
        <v>0</v>
      </c>
      <c r="R4958" s="2" t="inlineStr"/>
    </row>
    <row r="4959" ht="15" customHeight="1">
      <c r="A4959" t="inlineStr">
        <is>
          <t>A 37535-2025</t>
        </is>
      </c>
      <c r="B4959" s="1" t="n">
        <v>45878</v>
      </c>
      <c r="C4959" s="1" t="n">
        <v>46046</v>
      </c>
      <c r="D4959" t="inlineStr">
        <is>
          <t>NORRBOTTENS LÄN</t>
        </is>
      </c>
      <c r="E4959" t="inlineStr">
        <is>
          <t>PAJALA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38707-2025</t>
        </is>
      </c>
      <c r="B4960" s="1" t="n">
        <v>45885</v>
      </c>
      <c r="C4960" s="1" t="n">
        <v>46046</v>
      </c>
      <c r="D4960" t="inlineStr">
        <is>
          <t>NORRBOTTENS LÄN</t>
        </is>
      </c>
      <c r="E4960" t="inlineStr">
        <is>
          <t>ÄLVSBYN</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61771-2024</t>
        </is>
      </c>
      <c r="B4961" s="1" t="n">
        <v>45649.45635416666</v>
      </c>
      <c r="C4961" s="1" t="n">
        <v>46046</v>
      </c>
      <c r="D4961" t="inlineStr">
        <is>
          <t>NORRBOTTENS LÄN</t>
        </is>
      </c>
      <c r="E4961" t="inlineStr">
        <is>
          <t>BODEN</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72212-2021</t>
        </is>
      </c>
      <c r="B4962" s="1" t="n">
        <v>44543</v>
      </c>
      <c r="C4962" s="1" t="n">
        <v>46046</v>
      </c>
      <c r="D4962" t="inlineStr">
        <is>
          <t>NORRBOTTENS LÄN</t>
        </is>
      </c>
      <c r="E4962" t="inlineStr">
        <is>
          <t>ÖVERKALIX</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37948-2025</t>
        </is>
      </c>
      <c r="B4963" s="1" t="n">
        <v>45881.61543981481</v>
      </c>
      <c r="C4963" s="1" t="n">
        <v>46046</v>
      </c>
      <c r="D4963" t="inlineStr">
        <is>
          <t>NORRBOTTENS LÄN</t>
        </is>
      </c>
      <c r="E4963" t="inlineStr">
        <is>
          <t>LULEÅ</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29457-2023</t>
        </is>
      </c>
      <c r="B4964" s="1" t="n">
        <v>45106</v>
      </c>
      <c r="C4964" s="1" t="n">
        <v>46046</v>
      </c>
      <c r="D4964" t="inlineStr">
        <is>
          <t>NORRBOTTENS LÄN</t>
        </is>
      </c>
      <c r="E4964" t="inlineStr">
        <is>
          <t>LULEÅ</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31754-2021</t>
        </is>
      </c>
      <c r="B4965" s="1" t="n">
        <v>44369.93850694445</v>
      </c>
      <c r="C4965" s="1" t="n">
        <v>46046</v>
      </c>
      <c r="D4965" t="inlineStr">
        <is>
          <t>NORRBOTTENS LÄN</t>
        </is>
      </c>
      <c r="E4965" t="inlineStr">
        <is>
          <t>PITEÅ</t>
        </is>
      </c>
      <c r="F4965" t="inlineStr">
        <is>
          <t>SCA</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38511-2025</t>
        </is>
      </c>
      <c r="B4966" s="1" t="n">
        <v>45884</v>
      </c>
      <c r="C4966" s="1" t="n">
        <v>46046</v>
      </c>
      <c r="D4966" t="inlineStr">
        <is>
          <t>NORRBOTTENS LÄN</t>
        </is>
      </c>
      <c r="E4966" t="inlineStr">
        <is>
          <t>BODEN</t>
        </is>
      </c>
      <c r="F4966" t="inlineStr">
        <is>
          <t>Sveaskog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37621-2025</t>
        </is>
      </c>
      <c r="B4967" s="1" t="n">
        <v>45880.45326388889</v>
      </c>
      <c r="C4967" s="1" t="n">
        <v>46046</v>
      </c>
      <c r="D4967" t="inlineStr">
        <is>
          <t>NORRBOTTENS LÄN</t>
        </is>
      </c>
      <c r="E4967" t="inlineStr">
        <is>
          <t>ÖVERKALIX</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37650-2025</t>
        </is>
      </c>
      <c r="B4968" s="1" t="n">
        <v>45880</v>
      </c>
      <c r="C4968" s="1" t="n">
        <v>46046</v>
      </c>
      <c r="D4968" t="inlineStr">
        <is>
          <t>NORRBOTTENS LÄN</t>
        </is>
      </c>
      <c r="E4968" t="inlineStr">
        <is>
          <t>PAJALA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37721-2025</t>
        </is>
      </c>
      <c r="B4969" s="1" t="n">
        <v>45880.61523148148</v>
      </c>
      <c r="C4969" s="1" t="n">
        <v>46046</v>
      </c>
      <c r="D4969" t="inlineStr">
        <is>
          <t>NORRBOTTENS LÄN</t>
        </is>
      </c>
      <c r="E4969" t="inlineStr">
        <is>
          <t>PITEÅ</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28314-2024</t>
        </is>
      </c>
      <c r="B4970" s="1" t="n">
        <v>45477</v>
      </c>
      <c r="C4970" s="1" t="n">
        <v>46046</v>
      </c>
      <c r="D4970" t="inlineStr">
        <is>
          <t>NORRBOTTENS LÄN</t>
        </is>
      </c>
      <c r="E4970" t="inlineStr">
        <is>
          <t>ÄLVSBYN</t>
        </is>
      </c>
      <c r="F4970" t="inlineStr">
        <is>
          <t>Sveaskog</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36202-2021</t>
        </is>
      </c>
      <c r="B4971" s="1" t="n">
        <v>44389</v>
      </c>
      <c r="C4971" s="1" t="n">
        <v>46046</v>
      </c>
      <c r="D4971" t="inlineStr">
        <is>
          <t>NORRBOTTENS LÄN</t>
        </is>
      </c>
      <c r="E4971" t="inlineStr">
        <is>
          <t>ÖVERTORNEÅ</t>
        </is>
      </c>
      <c r="F4971" t="inlineStr">
        <is>
          <t>Sveaskog</t>
        </is>
      </c>
      <c r="G4971" t="n">
        <v>34.9</v>
      </c>
      <c r="H4971" t="n">
        <v>0</v>
      </c>
      <c r="I4971" t="n">
        <v>0</v>
      </c>
      <c r="J4971" t="n">
        <v>0</v>
      </c>
      <c r="K4971" t="n">
        <v>0</v>
      </c>
      <c r="L4971" t="n">
        <v>0</v>
      </c>
      <c r="M4971" t="n">
        <v>0</v>
      </c>
      <c r="N4971" t="n">
        <v>0</v>
      </c>
      <c r="O4971" t="n">
        <v>0</v>
      </c>
      <c r="P4971" t="n">
        <v>0</v>
      </c>
      <c r="Q4971" t="n">
        <v>0</v>
      </c>
      <c r="R4971" s="2" t="inlineStr"/>
    </row>
    <row r="4972" ht="15" customHeight="1">
      <c r="A4972" t="inlineStr">
        <is>
          <t>A 37910-2025</t>
        </is>
      </c>
      <c r="B4972" s="1" t="n">
        <v>45881.57375</v>
      </c>
      <c r="C4972" s="1" t="n">
        <v>46046</v>
      </c>
      <c r="D4972" t="inlineStr">
        <is>
          <t>NORRBOTTENS LÄN</t>
        </is>
      </c>
      <c r="E4972" t="inlineStr">
        <is>
          <t>KALIX</t>
        </is>
      </c>
      <c r="F4972" t="inlineStr">
        <is>
          <t>SCA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37909-2025</t>
        </is>
      </c>
      <c r="B4973" s="1" t="n">
        <v>45881.57342592593</v>
      </c>
      <c r="C4973" s="1" t="n">
        <v>46046</v>
      </c>
      <c r="D4973" t="inlineStr">
        <is>
          <t>NORRBOTTENS LÄN</t>
        </is>
      </c>
      <c r="E4973" t="inlineStr">
        <is>
          <t>KALIX</t>
        </is>
      </c>
      <c r="F4973" t="inlineStr">
        <is>
          <t>SCA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37914-2025</t>
        </is>
      </c>
      <c r="B4974" s="1" t="n">
        <v>45881.57408564815</v>
      </c>
      <c r="C4974" s="1" t="n">
        <v>46046</v>
      </c>
      <c r="D4974" t="inlineStr">
        <is>
          <t>NORRBOTTENS LÄN</t>
        </is>
      </c>
      <c r="E4974" t="inlineStr">
        <is>
          <t>KALIX</t>
        </is>
      </c>
      <c r="F4974" t="inlineStr">
        <is>
          <t>SCA</t>
        </is>
      </c>
      <c r="G4974" t="n">
        <v>1.7</v>
      </c>
      <c r="H4974" t="n">
        <v>0</v>
      </c>
      <c r="I4974" t="n">
        <v>0</v>
      </c>
      <c r="J4974" t="n">
        <v>0</v>
      </c>
      <c r="K4974" t="n">
        <v>0</v>
      </c>
      <c r="L4974" t="n">
        <v>0</v>
      </c>
      <c r="M4974" t="n">
        <v>0</v>
      </c>
      <c r="N4974" t="n">
        <v>0</v>
      </c>
      <c r="O4974" t="n">
        <v>0</v>
      </c>
      <c r="P4974" t="n">
        <v>0</v>
      </c>
      <c r="Q4974" t="n">
        <v>0</v>
      </c>
      <c r="R4974" s="2" t="inlineStr"/>
      <c r="U4974">
        <f>HYPERLINK("https://klasma.github.io/Logging_2514/knärot/A 37914-2025 karta knärot.png", "A 37914-2025")</f>
        <v/>
      </c>
      <c r="V4974">
        <f>HYPERLINK("https://klasma.github.io/Logging_2514/klagomål/A 37914-2025 FSC-klagomål.docx", "A 37914-2025")</f>
        <v/>
      </c>
      <c r="W4974">
        <f>HYPERLINK("https://klasma.github.io/Logging_2514/klagomålsmail/A 37914-2025 FSC-klagomål mail.docx", "A 37914-2025")</f>
        <v/>
      </c>
      <c r="X4974">
        <f>HYPERLINK("https://klasma.github.io/Logging_2514/tillsyn/A 37914-2025 tillsynsbegäran.docx", "A 37914-2025")</f>
        <v/>
      </c>
      <c r="Y4974">
        <f>HYPERLINK("https://klasma.github.io/Logging_2514/tillsynsmail/A 37914-2025 tillsynsbegäran mail.docx", "A 37914-2025")</f>
        <v/>
      </c>
    </row>
    <row r="4975" ht="15" customHeight="1">
      <c r="A4975" t="inlineStr">
        <is>
          <t>A 15491-2025</t>
        </is>
      </c>
      <c r="B4975" s="1" t="n">
        <v>45747</v>
      </c>
      <c r="C4975" s="1" t="n">
        <v>46046</v>
      </c>
      <c r="D4975" t="inlineStr">
        <is>
          <t>NORRBOTTENS LÄN</t>
        </is>
      </c>
      <c r="E4975" t="inlineStr">
        <is>
          <t>ÖVERKALIX</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37683-2025</t>
        </is>
      </c>
      <c r="B4976" s="1" t="n">
        <v>45880.55248842593</v>
      </c>
      <c r="C4976" s="1" t="n">
        <v>46046</v>
      </c>
      <c r="D4976" t="inlineStr">
        <is>
          <t>NORRBOTTENS LÄN</t>
        </is>
      </c>
      <c r="E4976" t="inlineStr">
        <is>
          <t>GÄLLIVARE</t>
        </is>
      </c>
      <c r="F4976" t="inlineStr">
        <is>
          <t>SCA</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37694-2025</t>
        </is>
      </c>
      <c r="B4977" s="1" t="n">
        <v>45880.57349537037</v>
      </c>
      <c r="C4977" s="1" t="n">
        <v>46046</v>
      </c>
      <c r="D4977" t="inlineStr">
        <is>
          <t>NORRBOTTENS LÄN</t>
        </is>
      </c>
      <c r="E4977" t="inlineStr">
        <is>
          <t>JOKKMOKK</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37784-2025</t>
        </is>
      </c>
      <c r="B4978" s="1" t="n">
        <v>45880.95241898148</v>
      </c>
      <c r="C4978" s="1" t="n">
        <v>46046</v>
      </c>
      <c r="D4978" t="inlineStr">
        <is>
          <t>NORRBOTTENS LÄN</t>
        </is>
      </c>
      <c r="E4978" t="inlineStr">
        <is>
          <t>LULEÅ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37788-2025</t>
        </is>
      </c>
      <c r="B4979" s="1" t="n">
        <v>45881.30692129629</v>
      </c>
      <c r="C4979" s="1" t="n">
        <v>46046</v>
      </c>
      <c r="D4979" t="inlineStr">
        <is>
          <t>NORRBOTTENS LÄN</t>
        </is>
      </c>
      <c r="E4979" t="inlineStr">
        <is>
          <t>ARVIDSJAUR</t>
        </is>
      </c>
      <c r="F4979" t="inlineStr">
        <is>
          <t>Sveaskog</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37587-2025</t>
        </is>
      </c>
      <c r="B4980" s="1" t="n">
        <v>45880.40678240741</v>
      </c>
      <c r="C4980" s="1" t="n">
        <v>46046</v>
      </c>
      <c r="D4980" t="inlineStr">
        <is>
          <t>NORRBOTTENS LÄN</t>
        </is>
      </c>
      <c r="E4980" t="inlineStr">
        <is>
          <t>PAJALA</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37664-2025</t>
        </is>
      </c>
      <c r="B4981" s="1" t="n">
        <v>45880.5109837963</v>
      </c>
      <c r="C4981" s="1" t="n">
        <v>46046</v>
      </c>
      <c r="D4981" t="inlineStr">
        <is>
          <t>NORRBOTTENS LÄN</t>
        </is>
      </c>
      <c r="E4981" t="inlineStr">
        <is>
          <t>PAJALA</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8859-2024</t>
        </is>
      </c>
      <c r="B4982" s="1" t="n">
        <v>45356.96299768519</v>
      </c>
      <c r="C4982" s="1" t="n">
        <v>46046</v>
      </c>
      <c r="D4982" t="inlineStr">
        <is>
          <t>NORRBOTTENS LÄN</t>
        </is>
      </c>
      <c r="E4982" t="inlineStr">
        <is>
          <t>PAJALA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37534-2025</t>
        </is>
      </c>
      <c r="B4983" s="1" t="n">
        <v>45878.51769675926</v>
      </c>
      <c r="C4983" s="1" t="n">
        <v>46046</v>
      </c>
      <c r="D4983" t="inlineStr">
        <is>
          <t>NORRBOTTENS LÄN</t>
        </is>
      </c>
      <c r="E4983" t="inlineStr">
        <is>
          <t>PAJALA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37536-2025</t>
        </is>
      </c>
      <c r="B4984" s="1" t="n">
        <v>45878.52914351852</v>
      </c>
      <c r="C4984" s="1" t="n">
        <v>46046</v>
      </c>
      <c r="D4984" t="inlineStr">
        <is>
          <t>NORRBOTTENS LÄN</t>
        </is>
      </c>
      <c r="E4984" t="inlineStr">
        <is>
          <t>PAJALA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37917-2025</t>
        </is>
      </c>
      <c r="B4985" s="1" t="n">
        <v>45881.57443287037</v>
      </c>
      <c r="C4985" s="1" t="n">
        <v>46046</v>
      </c>
      <c r="D4985" t="inlineStr">
        <is>
          <t>NORRBOTTENS LÄN</t>
        </is>
      </c>
      <c r="E4985" t="inlineStr">
        <is>
          <t>JOKKMOKK</t>
        </is>
      </c>
      <c r="F4985" t="inlineStr">
        <is>
          <t>SCA</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37918-2025</t>
        </is>
      </c>
      <c r="B4986" s="1" t="n">
        <v>45881.57458333333</v>
      </c>
      <c r="C4986" s="1" t="n">
        <v>46046</v>
      </c>
      <c r="D4986" t="inlineStr">
        <is>
          <t>NORRBOTTENS LÄN</t>
        </is>
      </c>
      <c r="E4986" t="inlineStr">
        <is>
          <t>KALIX</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38712-2025</t>
        </is>
      </c>
      <c r="B4987" s="1" t="n">
        <v>45886.34465277778</v>
      </c>
      <c r="C4987" s="1" t="n">
        <v>46046</v>
      </c>
      <c r="D4987" t="inlineStr">
        <is>
          <t>NORRBOTTENS LÄN</t>
        </is>
      </c>
      <c r="E4987" t="inlineStr">
        <is>
          <t>LULEÅ</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22394-2021</t>
        </is>
      </c>
      <c r="B4988" s="1" t="n">
        <v>44326</v>
      </c>
      <c r="C4988" s="1" t="n">
        <v>46046</v>
      </c>
      <c r="D4988" t="inlineStr">
        <is>
          <t>NORRBOTTENS LÄN</t>
        </is>
      </c>
      <c r="E4988" t="inlineStr">
        <is>
          <t>PITEÅ</t>
        </is>
      </c>
      <c r="F4988" t="inlineStr">
        <is>
          <t>Övriga Aktiebolag</t>
        </is>
      </c>
      <c r="G4988" t="n">
        <v>23.9</v>
      </c>
      <c r="H4988" t="n">
        <v>0</v>
      </c>
      <c r="I4988" t="n">
        <v>0</v>
      </c>
      <c r="J4988" t="n">
        <v>0</v>
      </c>
      <c r="K4988" t="n">
        <v>0</v>
      </c>
      <c r="L4988" t="n">
        <v>0</v>
      </c>
      <c r="M4988" t="n">
        <v>0</v>
      </c>
      <c r="N4988" t="n">
        <v>0</v>
      </c>
      <c r="O4988" t="n">
        <v>0</v>
      </c>
      <c r="P4988" t="n">
        <v>0</v>
      </c>
      <c r="Q4988" t="n">
        <v>0</v>
      </c>
      <c r="R4988" s="2" t="inlineStr"/>
    </row>
    <row r="4989" ht="15" customHeight="1">
      <c r="A4989" t="inlineStr">
        <is>
          <t>A 20187-2025</t>
        </is>
      </c>
      <c r="B4989" s="1" t="n">
        <v>45772</v>
      </c>
      <c r="C4989" s="1" t="n">
        <v>46046</v>
      </c>
      <c r="D4989" t="inlineStr">
        <is>
          <t>NORRBOTTENS LÄN</t>
        </is>
      </c>
      <c r="E4989" t="inlineStr">
        <is>
          <t>ÄLVSBYN</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8873-2024</t>
        </is>
      </c>
      <c r="B4990" s="1" t="n">
        <v>45356</v>
      </c>
      <c r="C4990" s="1" t="n">
        <v>46046</v>
      </c>
      <c r="D4990" t="inlineStr">
        <is>
          <t>NORRBOTTENS LÄN</t>
        </is>
      </c>
      <c r="E4990" t="inlineStr">
        <is>
          <t>BODEN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37783-2025</t>
        </is>
      </c>
      <c r="B4991" s="1" t="n">
        <v>45880.94430555555</v>
      </c>
      <c r="C4991" s="1" t="n">
        <v>46046</v>
      </c>
      <c r="D4991" t="inlineStr">
        <is>
          <t>NORRBOTTENS LÄN</t>
        </is>
      </c>
      <c r="E4991" t="inlineStr">
        <is>
          <t>LULEÅ</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38666-2025</t>
        </is>
      </c>
      <c r="B4992" s="1" t="n">
        <v>45884.61605324074</v>
      </c>
      <c r="C4992" s="1" t="n">
        <v>46046</v>
      </c>
      <c r="D4992" t="inlineStr">
        <is>
          <t>NORRBOTTENS LÄN</t>
        </is>
      </c>
      <c r="E4992" t="inlineStr">
        <is>
          <t>PAJALA</t>
        </is>
      </c>
      <c r="F4992" t="inlineStr">
        <is>
          <t>Sveaskog</t>
        </is>
      </c>
      <c r="G4992" t="n">
        <v>11.5</v>
      </c>
      <c r="H4992" t="n">
        <v>0</v>
      </c>
      <c r="I4992" t="n">
        <v>0</v>
      </c>
      <c r="J4992" t="n">
        <v>0</v>
      </c>
      <c r="K4992" t="n">
        <v>0</v>
      </c>
      <c r="L4992" t="n">
        <v>0</v>
      </c>
      <c r="M4992" t="n">
        <v>0</v>
      </c>
      <c r="N4992" t="n">
        <v>0</v>
      </c>
      <c r="O4992" t="n">
        <v>0</v>
      </c>
      <c r="P4992" t="n">
        <v>0</v>
      </c>
      <c r="Q4992" t="n">
        <v>0</v>
      </c>
      <c r="R4992" s="2" t="inlineStr"/>
    </row>
    <row r="4993" ht="15" customHeight="1">
      <c r="A4993" t="inlineStr">
        <is>
          <t>A 42862-2024</t>
        </is>
      </c>
      <c r="B4993" s="1" t="n">
        <v>45566</v>
      </c>
      <c r="C4993" s="1" t="n">
        <v>46046</v>
      </c>
      <c r="D4993" t="inlineStr">
        <is>
          <t>NORRBOTTENS LÄN</t>
        </is>
      </c>
      <c r="E4993" t="inlineStr">
        <is>
          <t>ARVIDSJAUR</t>
        </is>
      </c>
      <c r="F4993" t="inlineStr">
        <is>
          <t>Sveaskog</t>
        </is>
      </c>
      <c r="G4993" t="n">
        <v>26.6</v>
      </c>
      <c r="H4993" t="n">
        <v>0</v>
      </c>
      <c r="I4993" t="n">
        <v>0</v>
      </c>
      <c r="J4993" t="n">
        <v>0</v>
      </c>
      <c r="K4993" t="n">
        <v>0</v>
      </c>
      <c r="L4993" t="n">
        <v>0</v>
      </c>
      <c r="M4993" t="n">
        <v>0</v>
      </c>
      <c r="N4993" t="n">
        <v>0</v>
      </c>
      <c r="O4993" t="n">
        <v>0</v>
      </c>
      <c r="P4993" t="n">
        <v>0</v>
      </c>
      <c r="Q4993" t="n">
        <v>0</v>
      </c>
      <c r="R4993" s="2" t="inlineStr"/>
    </row>
    <row r="4994" ht="15" customHeight="1">
      <c r="A4994" t="inlineStr">
        <is>
          <t>A 42883-2024</t>
        </is>
      </c>
      <c r="B4994" s="1" t="n">
        <v>45566.71771990741</v>
      </c>
      <c r="C4994" s="1" t="n">
        <v>46046</v>
      </c>
      <c r="D4994" t="inlineStr">
        <is>
          <t>NORRBOTTENS LÄN</t>
        </is>
      </c>
      <c r="E4994" t="inlineStr">
        <is>
          <t>PAJALA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38027-2025</t>
        </is>
      </c>
      <c r="B4995" s="1" t="n">
        <v>45882</v>
      </c>
      <c r="C4995" s="1" t="n">
        <v>46046</v>
      </c>
      <c r="D4995" t="inlineStr">
        <is>
          <t>NORRBOTTENS LÄN</t>
        </is>
      </c>
      <c r="E4995" t="inlineStr">
        <is>
          <t>ARVIDSJAUR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38079-2025</t>
        </is>
      </c>
      <c r="B4996" s="1" t="n">
        <v>45882</v>
      </c>
      <c r="C4996" s="1" t="n">
        <v>46046</v>
      </c>
      <c r="D4996" t="inlineStr">
        <is>
          <t>NORRBOTTENS LÄN</t>
        </is>
      </c>
      <c r="E4996" t="inlineStr">
        <is>
          <t>ÄLVSBYN</t>
        </is>
      </c>
      <c r="F4996" t="inlineStr">
        <is>
          <t>SCA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38124-2025</t>
        </is>
      </c>
      <c r="B4997" s="1" t="n">
        <v>45882.55276620371</v>
      </c>
      <c r="C4997" s="1" t="n">
        <v>46046</v>
      </c>
      <c r="D4997" t="inlineStr">
        <is>
          <t>NORRBOTTENS LÄN</t>
        </is>
      </c>
      <c r="E4997" t="inlineStr">
        <is>
          <t>PAJALA</t>
        </is>
      </c>
      <c r="F4997" t="inlineStr">
        <is>
          <t>SCA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38145-2025</t>
        </is>
      </c>
      <c r="B4998" s="1" t="n">
        <v>45882.58475694444</v>
      </c>
      <c r="C4998" s="1" t="n">
        <v>46046</v>
      </c>
      <c r="D4998" t="inlineStr">
        <is>
          <t>NORRBOTTENS LÄN</t>
        </is>
      </c>
      <c r="E4998" t="inlineStr">
        <is>
          <t>ÖVERKALIX</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38152-2025</t>
        </is>
      </c>
      <c r="B4999" s="1" t="n">
        <v>45882.59648148148</v>
      </c>
      <c r="C4999" s="1" t="n">
        <v>46046</v>
      </c>
      <c r="D4999" t="inlineStr">
        <is>
          <t>NORRBOTTENS LÄN</t>
        </is>
      </c>
      <c r="E4999" t="inlineStr">
        <is>
          <t>ÖVERKALIX</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38751-2024</t>
        </is>
      </c>
      <c r="B5000" s="1" t="n">
        <v>45547.42896990741</v>
      </c>
      <c r="C5000" s="1" t="n">
        <v>46046</v>
      </c>
      <c r="D5000" t="inlineStr">
        <is>
          <t>NORRBOTTENS LÄN</t>
        </is>
      </c>
      <c r="E5000" t="inlineStr">
        <is>
          <t>GÄLLIVARE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11741-2025</t>
        </is>
      </c>
      <c r="B5001" s="1" t="n">
        <v>45727</v>
      </c>
      <c r="C5001" s="1" t="n">
        <v>46046</v>
      </c>
      <c r="D5001" t="inlineStr">
        <is>
          <t>NORRBOTTENS LÄN</t>
        </is>
      </c>
      <c r="E5001" t="inlineStr">
        <is>
          <t>ARVIDSJAUR</t>
        </is>
      </c>
      <c r="F5001" t="inlineStr">
        <is>
          <t>Sveaskog</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60581-2024</t>
        </is>
      </c>
      <c r="B5002" s="1" t="n">
        <v>45642</v>
      </c>
      <c r="C5002" s="1" t="n">
        <v>46046</v>
      </c>
      <c r="D5002" t="inlineStr">
        <is>
          <t>NORRBOTTENS LÄN</t>
        </is>
      </c>
      <c r="E5002" t="inlineStr">
        <is>
          <t>ÄLVSBYN</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38336-2025</t>
        </is>
      </c>
      <c r="B5003" s="1" t="n">
        <v>45883.49185185185</v>
      </c>
      <c r="C5003" s="1" t="n">
        <v>46046</v>
      </c>
      <c r="D5003" t="inlineStr">
        <is>
          <t>NORRBOTTENS LÄN</t>
        </is>
      </c>
      <c r="E5003" t="inlineStr">
        <is>
          <t>PITEÅ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6739-2024</t>
        </is>
      </c>
      <c r="B5004" s="1" t="n">
        <v>45342</v>
      </c>
      <c r="C5004" s="1" t="n">
        <v>46046</v>
      </c>
      <c r="D5004" t="inlineStr">
        <is>
          <t>NORRBOTTENS LÄN</t>
        </is>
      </c>
      <c r="E5004" t="inlineStr">
        <is>
          <t>LULEÅ</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38334-2025</t>
        </is>
      </c>
      <c r="B5005" s="1" t="n">
        <v>45883.49172453704</v>
      </c>
      <c r="C5005" s="1" t="n">
        <v>46046</v>
      </c>
      <c r="D5005" t="inlineStr">
        <is>
          <t>NORRBOTTENS LÄN</t>
        </is>
      </c>
      <c r="E5005" t="inlineStr">
        <is>
          <t>PITEÅ</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38335-2025</t>
        </is>
      </c>
      <c r="B5006" s="1" t="n">
        <v>45883.49179398148</v>
      </c>
      <c r="C5006" s="1" t="n">
        <v>46046</v>
      </c>
      <c r="D5006" t="inlineStr">
        <is>
          <t>NORRBOTTENS LÄN</t>
        </is>
      </c>
      <c r="E5006" t="inlineStr">
        <is>
          <t>PITEÅ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27448-2024</t>
        </is>
      </c>
      <c r="B5007" s="1" t="n">
        <v>45474</v>
      </c>
      <c r="C5007" s="1" t="n">
        <v>46046</v>
      </c>
      <c r="D5007" t="inlineStr">
        <is>
          <t>NORRBOTTENS LÄN</t>
        </is>
      </c>
      <c r="E5007" t="inlineStr">
        <is>
          <t>PAJALA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42674-2021</t>
        </is>
      </c>
      <c r="B5008" s="1" t="n">
        <v>44428</v>
      </c>
      <c r="C5008" s="1" t="n">
        <v>46046</v>
      </c>
      <c r="D5008" t="inlineStr">
        <is>
          <t>NORRBOTTENS LÄN</t>
        </is>
      </c>
      <c r="E5008" t="inlineStr">
        <is>
          <t>ARVIDSJAUR</t>
        </is>
      </c>
      <c r="F5008" t="inlineStr">
        <is>
          <t>Sveaskog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38081-2025</t>
        </is>
      </c>
      <c r="B5009" s="1" t="n">
        <v>45882.4696412037</v>
      </c>
      <c r="C5009" s="1" t="n">
        <v>46046</v>
      </c>
      <c r="D5009" t="inlineStr">
        <is>
          <t>NORRBOTTENS LÄN</t>
        </is>
      </c>
      <c r="E5009" t="inlineStr">
        <is>
          <t>ÖVERKALIX</t>
        </is>
      </c>
      <c r="F5009" t="inlineStr">
        <is>
          <t>SCA</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37924-2025</t>
        </is>
      </c>
      <c r="B5010" s="1" t="n">
        <v>45881.57532407407</v>
      </c>
      <c r="C5010" s="1" t="n">
        <v>46046</v>
      </c>
      <c r="D5010" t="inlineStr">
        <is>
          <t>NORRBOTTENS LÄN</t>
        </is>
      </c>
      <c r="E5010" t="inlineStr">
        <is>
          <t>KALIX</t>
        </is>
      </c>
      <c r="F5010" t="inlineStr">
        <is>
          <t>SCA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37854-2025</t>
        </is>
      </c>
      <c r="B5011" s="1" t="n">
        <v>45881.45475694445</v>
      </c>
      <c r="C5011" s="1" t="n">
        <v>46046</v>
      </c>
      <c r="D5011" t="inlineStr">
        <is>
          <t>NORRBOTTENS LÄN</t>
        </is>
      </c>
      <c r="E5011" t="inlineStr">
        <is>
          <t>BODEN</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37911-2025</t>
        </is>
      </c>
      <c r="B5012" s="1" t="n">
        <v>45881.57380787037</v>
      </c>
      <c r="C5012" s="1" t="n">
        <v>46046</v>
      </c>
      <c r="D5012" t="inlineStr">
        <is>
          <t>NORRBOTTENS LÄN</t>
        </is>
      </c>
      <c r="E5012" t="inlineStr">
        <is>
          <t>KALIX</t>
        </is>
      </c>
      <c r="F5012" t="inlineStr">
        <is>
          <t>SCA</t>
        </is>
      </c>
      <c r="G5012" t="n">
        <v>1.7</v>
      </c>
      <c r="H5012" t="n">
        <v>0</v>
      </c>
      <c r="I5012" t="n">
        <v>0</v>
      </c>
      <c r="J5012" t="n">
        <v>0</v>
      </c>
      <c r="K5012" t="n">
        <v>0</v>
      </c>
      <c r="L5012" t="n">
        <v>0</v>
      </c>
      <c r="M5012" t="n">
        <v>0</v>
      </c>
      <c r="N5012" t="n">
        <v>0</v>
      </c>
      <c r="O5012" t="n">
        <v>0</v>
      </c>
      <c r="P5012" t="n">
        <v>0</v>
      </c>
      <c r="Q5012" t="n">
        <v>0</v>
      </c>
      <c r="R5012" s="2" t="inlineStr"/>
      <c r="U5012">
        <f>HYPERLINK("https://klasma.github.io/Logging_2514/knärot/A 37911-2025 karta knärot.png", "A 37911-2025")</f>
        <v/>
      </c>
      <c r="V5012">
        <f>HYPERLINK("https://klasma.github.io/Logging_2514/klagomål/A 37911-2025 FSC-klagomål.docx", "A 37911-2025")</f>
        <v/>
      </c>
      <c r="W5012">
        <f>HYPERLINK("https://klasma.github.io/Logging_2514/klagomålsmail/A 37911-2025 FSC-klagomål mail.docx", "A 37911-2025")</f>
        <v/>
      </c>
      <c r="X5012">
        <f>HYPERLINK("https://klasma.github.io/Logging_2514/tillsyn/A 37911-2025 tillsynsbegäran.docx", "A 37911-2025")</f>
        <v/>
      </c>
      <c r="Y5012">
        <f>HYPERLINK("https://klasma.github.io/Logging_2514/tillsynsmail/A 37911-2025 tillsynsbegäran mail.docx", "A 37911-2025")</f>
        <v/>
      </c>
    </row>
    <row r="5013" ht="15" customHeight="1">
      <c r="A5013" t="inlineStr">
        <is>
          <t>A 15854-2024</t>
        </is>
      </c>
      <c r="B5013" s="1" t="n">
        <v>45404.96539351852</v>
      </c>
      <c r="C5013" s="1" t="n">
        <v>46046</v>
      </c>
      <c r="D5013" t="inlineStr">
        <is>
          <t>NORRBOTTENS LÄN</t>
        </is>
      </c>
      <c r="E5013" t="inlineStr">
        <is>
          <t>ÖVERKALIX</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36057-2023</t>
        </is>
      </c>
      <c r="B5014" s="1" t="n">
        <v>45149.44966435185</v>
      </c>
      <c r="C5014" s="1" t="n">
        <v>46046</v>
      </c>
      <c r="D5014" t="inlineStr">
        <is>
          <t>NORRBOTTENS LÄN</t>
        </is>
      </c>
      <c r="E5014" t="inlineStr">
        <is>
          <t>ÖVERTORNEÅ</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57139-2024</t>
        </is>
      </c>
      <c r="B5015" s="1" t="n">
        <v>45629</v>
      </c>
      <c r="C5015" s="1" t="n">
        <v>46046</v>
      </c>
      <c r="D5015" t="inlineStr">
        <is>
          <t>NORRBOTTENS LÄN</t>
        </is>
      </c>
      <c r="E5015" t="inlineStr">
        <is>
          <t>ÄLVSBYN</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37789-2025</t>
        </is>
      </c>
      <c r="B5016" s="1" t="n">
        <v>45881.30875</v>
      </c>
      <c r="C5016" s="1" t="n">
        <v>46046</v>
      </c>
      <c r="D5016" t="inlineStr">
        <is>
          <t>NORRBOTTENS LÄN</t>
        </is>
      </c>
      <c r="E5016" t="inlineStr">
        <is>
          <t>ARVIDSJAUR</t>
        </is>
      </c>
      <c r="F5016" t="inlineStr">
        <is>
          <t>Sveaskog</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38049-2025</t>
        </is>
      </c>
      <c r="B5017" s="1" t="n">
        <v>45882.40704861111</v>
      </c>
      <c r="C5017" s="1" t="n">
        <v>46046</v>
      </c>
      <c r="D5017" t="inlineStr">
        <is>
          <t>NORRBOTTENS LÄN</t>
        </is>
      </c>
      <c r="E5017" t="inlineStr">
        <is>
          <t>GÄLLIVARE</t>
        </is>
      </c>
      <c r="F5017" t="inlineStr">
        <is>
          <t>SCA</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38291-2025</t>
        </is>
      </c>
      <c r="B5018" s="1" t="n">
        <v>45882</v>
      </c>
      <c r="C5018" s="1" t="n">
        <v>46046</v>
      </c>
      <c r="D5018" t="inlineStr">
        <is>
          <t>NORRBOTTENS LÄN</t>
        </is>
      </c>
      <c r="E5018" t="inlineStr">
        <is>
          <t>BODEN</t>
        </is>
      </c>
      <c r="G5018" t="n">
        <v>11.4</v>
      </c>
      <c r="H5018" t="n">
        <v>0</v>
      </c>
      <c r="I5018" t="n">
        <v>0</v>
      </c>
      <c r="J5018" t="n">
        <v>0</v>
      </c>
      <c r="K5018" t="n">
        <v>0</v>
      </c>
      <c r="L5018" t="n">
        <v>0</v>
      </c>
      <c r="M5018" t="n">
        <v>0</v>
      </c>
      <c r="N5018" t="n">
        <v>0</v>
      </c>
      <c r="O5018" t="n">
        <v>0</v>
      </c>
      <c r="P5018" t="n">
        <v>0</v>
      </c>
      <c r="Q5018" t="n">
        <v>0</v>
      </c>
      <c r="R5018" s="2" t="inlineStr"/>
    </row>
    <row r="5019" ht="15" customHeight="1">
      <c r="A5019" t="inlineStr">
        <is>
          <t>A 38341-2025</t>
        </is>
      </c>
      <c r="B5019" s="1" t="n">
        <v>45883</v>
      </c>
      <c r="C5019" s="1" t="n">
        <v>46046</v>
      </c>
      <c r="D5019" t="inlineStr">
        <is>
          <t>NORRBOTTENS LÄN</t>
        </is>
      </c>
      <c r="E5019" t="inlineStr">
        <is>
          <t>ÖVERTORNEÅ</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38191-2025</t>
        </is>
      </c>
      <c r="B5020" s="1" t="n">
        <v>45882.65697916667</v>
      </c>
      <c r="C5020" s="1" t="n">
        <v>46046</v>
      </c>
      <c r="D5020" t="inlineStr">
        <is>
          <t>NORRBOTTENS LÄN</t>
        </is>
      </c>
      <c r="E5020" t="inlineStr">
        <is>
          <t>ÖVERKALIX</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38223-2025</t>
        </is>
      </c>
      <c r="B5021" s="1" t="n">
        <v>45883</v>
      </c>
      <c r="C5021" s="1" t="n">
        <v>46046</v>
      </c>
      <c r="D5021" t="inlineStr">
        <is>
          <t>NORRBOTTENS LÄN</t>
        </is>
      </c>
      <c r="E5021" t="inlineStr">
        <is>
          <t>JOKKMOKK</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38228-2025</t>
        </is>
      </c>
      <c r="B5022" s="1" t="n">
        <v>45883.34554398148</v>
      </c>
      <c r="C5022" s="1" t="n">
        <v>46046</v>
      </c>
      <c r="D5022" t="inlineStr">
        <is>
          <t>NORRBOTTENS LÄN</t>
        </is>
      </c>
      <c r="E5022" t="inlineStr">
        <is>
          <t>JOKKMOKK</t>
        </is>
      </c>
      <c r="F5022" t="inlineStr">
        <is>
          <t>SCA</t>
        </is>
      </c>
      <c r="G5022" t="n">
        <v>14.5</v>
      </c>
      <c r="H5022" t="n">
        <v>0</v>
      </c>
      <c r="I5022" t="n">
        <v>0</v>
      </c>
      <c r="J5022" t="n">
        <v>0</v>
      </c>
      <c r="K5022" t="n">
        <v>0</v>
      </c>
      <c r="L5022" t="n">
        <v>0</v>
      </c>
      <c r="M5022" t="n">
        <v>0</v>
      </c>
      <c r="N5022" t="n">
        <v>0</v>
      </c>
      <c r="O5022" t="n">
        <v>0</v>
      </c>
      <c r="P5022" t="n">
        <v>0</v>
      </c>
      <c r="Q5022" t="n">
        <v>0</v>
      </c>
      <c r="R5022" s="2" t="inlineStr"/>
    </row>
    <row r="5023" ht="15" customHeight="1">
      <c r="A5023" t="inlineStr">
        <is>
          <t>A 22180-2022</t>
        </is>
      </c>
      <c r="B5023" s="1" t="n">
        <v>44712</v>
      </c>
      <c r="C5023" s="1" t="n">
        <v>46046</v>
      </c>
      <c r="D5023" t="inlineStr">
        <is>
          <t>NORRBOTTENS LÄN</t>
        </is>
      </c>
      <c r="E5023" t="inlineStr">
        <is>
          <t>KALIX</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38343-2025</t>
        </is>
      </c>
      <c r="B5024" s="1" t="n">
        <v>45883</v>
      </c>
      <c r="C5024" s="1" t="n">
        <v>46046</v>
      </c>
      <c r="D5024" t="inlineStr">
        <is>
          <t>NORRBOTTENS LÄN</t>
        </is>
      </c>
      <c r="E5024" t="inlineStr">
        <is>
          <t>ARVIDSJAUR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38059-2025</t>
        </is>
      </c>
      <c r="B5025" s="1" t="n">
        <v>45882.42778935185</v>
      </c>
      <c r="C5025" s="1" t="n">
        <v>46046</v>
      </c>
      <c r="D5025" t="inlineStr">
        <is>
          <t>NORRBOTTENS LÄN</t>
        </is>
      </c>
      <c r="E5025" t="inlineStr">
        <is>
          <t>ÖVERKALIX</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52289-2024</t>
        </is>
      </c>
      <c r="B5026" s="1" t="n">
        <v>45608.69555555555</v>
      </c>
      <c r="C5026" s="1" t="n">
        <v>46046</v>
      </c>
      <c r="D5026" t="inlineStr">
        <is>
          <t>NORRBOTTENS LÄN</t>
        </is>
      </c>
      <c r="E5026" t="inlineStr">
        <is>
          <t>JOKKMOKK</t>
        </is>
      </c>
      <c r="F5026" t="inlineStr">
        <is>
          <t>Allmännings- och besparingsskogar</t>
        </is>
      </c>
      <c r="G5026" t="n">
        <v>11.6</v>
      </c>
      <c r="H5026" t="n">
        <v>0</v>
      </c>
      <c r="I5026" t="n">
        <v>0</v>
      </c>
      <c r="J5026" t="n">
        <v>0</v>
      </c>
      <c r="K5026" t="n">
        <v>0</v>
      </c>
      <c r="L5026" t="n">
        <v>0</v>
      </c>
      <c r="M5026" t="n">
        <v>0</v>
      </c>
      <c r="N5026" t="n">
        <v>0</v>
      </c>
      <c r="O5026" t="n">
        <v>0</v>
      </c>
      <c r="P5026" t="n">
        <v>0</v>
      </c>
      <c r="Q5026" t="n">
        <v>0</v>
      </c>
      <c r="R5026" s="2" t="inlineStr"/>
    </row>
    <row r="5027" ht="15" customHeight="1">
      <c r="A5027" t="inlineStr">
        <is>
          <t>A 37635-2025</t>
        </is>
      </c>
      <c r="B5027" s="1" t="n">
        <v>45880</v>
      </c>
      <c r="C5027" s="1" t="n">
        <v>46046</v>
      </c>
      <c r="D5027" t="inlineStr">
        <is>
          <t>NORRBOTTENS LÄN</t>
        </is>
      </c>
      <c r="E5027" t="inlineStr">
        <is>
          <t>PITEÅ</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60466-2024</t>
        </is>
      </c>
      <c r="B5028" s="1" t="n">
        <v>45643</v>
      </c>
      <c r="C5028" s="1" t="n">
        <v>46046</v>
      </c>
      <c r="D5028" t="inlineStr">
        <is>
          <t>NORRBOTTENS LÄN</t>
        </is>
      </c>
      <c r="E5028" t="inlineStr">
        <is>
          <t>BODEN</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38093-2025</t>
        </is>
      </c>
      <c r="B5029" s="1" t="n">
        <v>45882.49021990741</v>
      </c>
      <c r="C5029" s="1" t="n">
        <v>46046</v>
      </c>
      <c r="D5029" t="inlineStr">
        <is>
          <t>NORRBOTTENS LÄN</t>
        </is>
      </c>
      <c r="E5029" t="inlineStr">
        <is>
          <t>PAJALA</t>
        </is>
      </c>
      <c r="F5029" t="inlineStr">
        <is>
          <t>SCA</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38434-2025</t>
        </is>
      </c>
      <c r="B5030" s="1" t="n">
        <v>45883.64178240741</v>
      </c>
      <c r="C5030" s="1" t="n">
        <v>46046</v>
      </c>
      <c r="D5030" t="inlineStr">
        <is>
          <t>NORRBOTTENS LÄN</t>
        </is>
      </c>
      <c r="E5030" t="inlineStr">
        <is>
          <t>LULEÅ</t>
        </is>
      </c>
      <c r="G5030" t="n">
        <v>11.4</v>
      </c>
      <c r="H5030" t="n">
        <v>0</v>
      </c>
      <c r="I5030" t="n">
        <v>0</v>
      </c>
      <c r="J5030" t="n">
        <v>0</v>
      </c>
      <c r="K5030" t="n">
        <v>0</v>
      </c>
      <c r="L5030" t="n">
        <v>0</v>
      </c>
      <c r="M5030" t="n">
        <v>0</v>
      </c>
      <c r="N5030" t="n">
        <v>0</v>
      </c>
      <c r="O5030" t="n">
        <v>0</v>
      </c>
      <c r="P5030" t="n">
        <v>0</v>
      </c>
      <c r="Q5030" t="n">
        <v>0</v>
      </c>
      <c r="R5030" s="2" t="inlineStr"/>
    </row>
    <row r="5031" ht="15" customHeight="1">
      <c r="A5031" t="inlineStr">
        <is>
          <t>A 38116-2025</t>
        </is>
      </c>
      <c r="B5031" s="1" t="n">
        <v>45882.53196759259</v>
      </c>
      <c r="C5031" s="1" t="n">
        <v>46046</v>
      </c>
      <c r="D5031" t="inlineStr">
        <is>
          <t>NORRBOTTENS LÄN</t>
        </is>
      </c>
      <c r="E5031" t="inlineStr">
        <is>
          <t>PAJALA</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38058-2025</t>
        </is>
      </c>
      <c r="B5032" s="1" t="n">
        <v>45882.42769675926</v>
      </c>
      <c r="C5032" s="1" t="n">
        <v>46046</v>
      </c>
      <c r="D5032" t="inlineStr">
        <is>
          <t>NORRBOTTENS LÄN</t>
        </is>
      </c>
      <c r="E5032" t="inlineStr">
        <is>
          <t>ÖVERKALIX</t>
        </is>
      </c>
      <c r="F5032" t="inlineStr">
        <is>
          <t>SCA</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38305-2025</t>
        </is>
      </c>
      <c r="B5033" s="1" t="n">
        <v>45883.46922453704</v>
      </c>
      <c r="C5033" s="1" t="n">
        <v>46046</v>
      </c>
      <c r="D5033" t="inlineStr">
        <is>
          <t>NORRBOTTENS LÄN</t>
        </is>
      </c>
      <c r="E5033" t="inlineStr">
        <is>
          <t>PITEÅ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38029-2025</t>
        </is>
      </c>
      <c r="B5034" s="1" t="n">
        <v>45882.36502314815</v>
      </c>
      <c r="C5034" s="1" t="n">
        <v>46046</v>
      </c>
      <c r="D5034" t="inlineStr">
        <is>
          <t>NORRBOTTENS LÄN</t>
        </is>
      </c>
      <c r="E5034" t="inlineStr">
        <is>
          <t>GÄLLIVARE</t>
        </is>
      </c>
      <c r="F5034" t="inlineStr">
        <is>
          <t>SCA</t>
        </is>
      </c>
      <c r="G5034" t="n">
        <v>10.2</v>
      </c>
      <c r="H5034" t="n">
        <v>0</v>
      </c>
      <c r="I5034" t="n">
        <v>0</v>
      </c>
      <c r="J5034" t="n">
        <v>0</v>
      </c>
      <c r="K5034" t="n">
        <v>0</v>
      </c>
      <c r="L5034" t="n">
        <v>0</v>
      </c>
      <c r="M5034" t="n">
        <v>0</v>
      </c>
      <c r="N5034" t="n">
        <v>0</v>
      </c>
      <c r="O5034" t="n">
        <v>0</v>
      </c>
      <c r="P5034" t="n">
        <v>0</v>
      </c>
      <c r="Q5034" t="n">
        <v>0</v>
      </c>
      <c r="R5034" s="2" t="inlineStr"/>
    </row>
    <row r="5035" ht="15" customHeight="1">
      <c r="A5035" t="inlineStr">
        <is>
          <t>A 31220-2023</t>
        </is>
      </c>
      <c r="B5035" s="1" t="n">
        <v>45114</v>
      </c>
      <c r="C5035" s="1" t="n">
        <v>46046</v>
      </c>
      <c r="D5035" t="inlineStr">
        <is>
          <t>NORRBOTTENS LÄN</t>
        </is>
      </c>
      <c r="E5035" t="inlineStr">
        <is>
          <t>ÄLVSBYN</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31226-2023</t>
        </is>
      </c>
      <c r="B5036" s="1" t="n">
        <v>45114</v>
      </c>
      <c r="C5036" s="1" t="n">
        <v>46046</v>
      </c>
      <c r="D5036" t="inlineStr">
        <is>
          <t>NORRBOTTENS LÄN</t>
        </is>
      </c>
      <c r="E5036" t="inlineStr">
        <is>
          <t>BODEN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1507-2022</t>
        </is>
      </c>
      <c r="B5037" s="1" t="n">
        <v>44573</v>
      </c>
      <c r="C5037" s="1" t="n">
        <v>46046</v>
      </c>
      <c r="D5037" t="inlineStr">
        <is>
          <t>NORRBOTTENS LÄN</t>
        </is>
      </c>
      <c r="E5037" t="inlineStr">
        <is>
          <t>BODEN</t>
        </is>
      </c>
      <c r="F5037" t="inlineStr">
        <is>
          <t>Övriga statliga verk och myndigheter</t>
        </is>
      </c>
      <c r="G5037" t="n">
        <v>15.4</v>
      </c>
      <c r="H5037" t="n">
        <v>0</v>
      </c>
      <c r="I5037" t="n">
        <v>0</v>
      </c>
      <c r="J5037" t="n">
        <v>0</v>
      </c>
      <c r="K5037" t="n">
        <v>0</v>
      </c>
      <c r="L5037" t="n">
        <v>0</v>
      </c>
      <c r="M5037" t="n">
        <v>0</v>
      </c>
      <c r="N5037" t="n">
        <v>0</v>
      </c>
      <c r="O5037" t="n">
        <v>0</v>
      </c>
      <c r="P5037" t="n">
        <v>0</v>
      </c>
      <c r="Q5037" t="n">
        <v>0</v>
      </c>
      <c r="R5037" s="2" t="inlineStr"/>
    </row>
    <row r="5038" ht="15" customHeight="1">
      <c r="A5038" t="inlineStr">
        <is>
          <t>A 38382-2025</t>
        </is>
      </c>
      <c r="B5038" s="1" t="n">
        <v>45883</v>
      </c>
      <c r="C5038" s="1" t="n">
        <v>46046</v>
      </c>
      <c r="D5038" t="inlineStr">
        <is>
          <t>NORRBOTTENS LÄN</t>
        </is>
      </c>
      <c r="E5038" t="inlineStr">
        <is>
          <t>ÖVERTORNEÅ</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38583-2025</t>
        </is>
      </c>
      <c r="B5039" s="1" t="n">
        <v>45884.46990740741</v>
      </c>
      <c r="C5039" s="1" t="n">
        <v>46046</v>
      </c>
      <c r="D5039" t="inlineStr">
        <is>
          <t>NORRBOTTENS LÄN</t>
        </is>
      </c>
      <c r="E5039" t="inlineStr">
        <is>
          <t>BODEN</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29683-2024</t>
        </is>
      </c>
      <c r="B5040" s="1" t="n">
        <v>45484</v>
      </c>
      <c r="C5040" s="1" t="n">
        <v>46046</v>
      </c>
      <c r="D5040" t="inlineStr">
        <is>
          <t>NORRBOTTENS LÄN</t>
        </is>
      </c>
      <c r="E5040" t="inlineStr">
        <is>
          <t>ÄLVSBYN</t>
        </is>
      </c>
      <c r="F5040" t="inlineStr">
        <is>
          <t>SCA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15127-2023</t>
        </is>
      </c>
      <c r="B5041" s="1" t="n">
        <v>45016</v>
      </c>
      <c r="C5041" s="1" t="n">
        <v>46046</v>
      </c>
      <c r="D5041" t="inlineStr">
        <is>
          <t>NORRBOTTENS LÄN</t>
        </is>
      </c>
      <c r="E5041" t="inlineStr">
        <is>
          <t>LULEÅ</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38286-2025</t>
        </is>
      </c>
      <c r="B5042" s="1" t="n">
        <v>45882</v>
      </c>
      <c r="C5042" s="1" t="n">
        <v>46046</v>
      </c>
      <c r="D5042" t="inlineStr">
        <is>
          <t>NORRBOTTENS LÄN</t>
        </is>
      </c>
      <c r="E5042" t="inlineStr">
        <is>
          <t>BODEN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38288-2025</t>
        </is>
      </c>
      <c r="B5043" s="1" t="n">
        <v>45882</v>
      </c>
      <c r="C5043" s="1" t="n">
        <v>46046</v>
      </c>
      <c r="D5043" t="inlineStr">
        <is>
          <t>NORRBOTTENS LÄN</t>
        </is>
      </c>
      <c r="E5043" t="inlineStr">
        <is>
          <t>BODEN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38348-2025</t>
        </is>
      </c>
      <c r="B5044" s="1" t="n">
        <v>45883</v>
      </c>
      <c r="C5044" s="1" t="n">
        <v>46046</v>
      </c>
      <c r="D5044" t="inlineStr">
        <is>
          <t>NORRBOTTENS LÄN</t>
        </is>
      </c>
      <c r="E5044" t="inlineStr">
        <is>
          <t>ARVIDSJAUR</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38026-2025</t>
        </is>
      </c>
      <c r="B5045" s="1" t="n">
        <v>45882</v>
      </c>
      <c r="C5045" s="1" t="n">
        <v>46046</v>
      </c>
      <c r="D5045" t="inlineStr">
        <is>
          <t>NORRBOTTENS LÄN</t>
        </is>
      </c>
      <c r="E5045" t="inlineStr">
        <is>
          <t>ÖVERKALIX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38062-2025</t>
        </is>
      </c>
      <c r="B5046" s="1" t="n">
        <v>45882.42844907408</v>
      </c>
      <c r="C5046" s="1" t="n">
        <v>46046</v>
      </c>
      <c r="D5046" t="inlineStr">
        <is>
          <t>NORRBOTTENS LÄN</t>
        </is>
      </c>
      <c r="E5046" t="inlineStr">
        <is>
          <t>GÄLLIVARE</t>
        </is>
      </c>
      <c r="F5046" t="inlineStr">
        <is>
          <t>SCA</t>
        </is>
      </c>
      <c r="G5046" t="n">
        <v>8.699999999999999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33742-2025</t>
        </is>
      </c>
      <c r="B5047" s="1" t="n">
        <v>45842.34484953704</v>
      </c>
      <c r="C5047" s="1" t="n">
        <v>46046</v>
      </c>
      <c r="D5047" t="inlineStr">
        <is>
          <t>NORRBOTTENS LÄN</t>
        </is>
      </c>
      <c r="E5047" t="inlineStr">
        <is>
          <t>GÄLLIVARE</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38114-2025</t>
        </is>
      </c>
      <c r="B5048" s="1" t="n">
        <v>45882.53162037037</v>
      </c>
      <c r="C5048" s="1" t="n">
        <v>46046</v>
      </c>
      <c r="D5048" t="inlineStr">
        <is>
          <t>NORRBOTTENS LÄN</t>
        </is>
      </c>
      <c r="E5048" t="inlineStr">
        <is>
          <t>PAJALA</t>
        </is>
      </c>
      <c r="F5048" t="inlineStr">
        <is>
          <t>SCA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38204-2025</t>
        </is>
      </c>
      <c r="B5049" s="1" t="n">
        <v>45882.69832175926</v>
      </c>
      <c r="C5049" s="1" t="n">
        <v>46046</v>
      </c>
      <c r="D5049" t="inlineStr">
        <is>
          <t>NORRBOTTENS LÄN</t>
        </is>
      </c>
      <c r="E5049" t="inlineStr">
        <is>
          <t>GÄLLIVARE</t>
        </is>
      </c>
      <c r="F5049" t="inlineStr">
        <is>
          <t>SCA</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33605-2025</t>
        </is>
      </c>
      <c r="B5050" s="1" t="n">
        <v>45841.61493055556</v>
      </c>
      <c r="C5050" s="1" t="n">
        <v>46046</v>
      </c>
      <c r="D5050" t="inlineStr">
        <is>
          <t>NORRBOTTENS LÄN</t>
        </is>
      </c>
      <c r="E5050" t="inlineStr">
        <is>
          <t>KALIX</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22491-2024</t>
        </is>
      </c>
      <c r="B5051" s="1" t="n">
        <v>45447</v>
      </c>
      <c r="C5051" s="1" t="n">
        <v>46046</v>
      </c>
      <c r="D5051" t="inlineStr">
        <is>
          <t>NORRBOTTENS LÄN</t>
        </is>
      </c>
      <c r="E5051" t="inlineStr">
        <is>
          <t>KIRUNA</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22504-2024</t>
        </is>
      </c>
      <c r="B5052" s="1" t="n">
        <v>45447</v>
      </c>
      <c r="C5052" s="1" t="n">
        <v>46046</v>
      </c>
      <c r="D5052" t="inlineStr">
        <is>
          <t>NORRBOTTENS LÄN</t>
        </is>
      </c>
      <c r="E5052" t="inlineStr">
        <is>
          <t>KIRUNA</t>
        </is>
      </c>
      <c r="G5052" t="n">
        <v>15.6</v>
      </c>
      <c r="H5052" t="n">
        <v>0</v>
      </c>
      <c r="I5052" t="n">
        <v>0</v>
      </c>
      <c r="J5052" t="n">
        <v>0</v>
      </c>
      <c r="K5052" t="n">
        <v>0</v>
      </c>
      <c r="L5052" t="n">
        <v>0</v>
      </c>
      <c r="M5052" t="n">
        <v>0</v>
      </c>
      <c r="N5052" t="n">
        <v>0</v>
      </c>
      <c r="O5052" t="n">
        <v>0</v>
      </c>
      <c r="P5052" t="n">
        <v>0</v>
      </c>
      <c r="Q5052" t="n">
        <v>0</v>
      </c>
      <c r="R5052" s="2" t="inlineStr"/>
    </row>
    <row r="5053" ht="15" customHeight="1">
      <c r="A5053" t="inlineStr">
        <is>
          <t>A 37790-2025</t>
        </is>
      </c>
      <c r="B5053" s="1" t="n">
        <v>45881.31024305556</v>
      </c>
      <c r="C5053" s="1" t="n">
        <v>46046</v>
      </c>
      <c r="D5053" t="inlineStr">
        <is>
          <t>NORRBOTTENS LÄN</t>
        </is>
      </c>
      <c r="E5053" t="inlineStr">
        <is>
          <t>ARVIDSJAUR</t>
        </is>
      </c>
      <c r="F5053" t="inlineStr">
        <is>
          <t>Sveaskog</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72752-2021</t>
        </is>
      </c>
      <c r="B5054" s="1" t="n">
        <v>44546.92262731482</v>
      </c>
      <c r="C5054" s="1" t="n">
        <v>46046</v>
      </c>
      <c r="D5054" t="inlineStr">
        <is>
          <t>NORRBOTTENS LÄN</t>
        </is>
      </c>
      <c r="E5054" t="inlineStr">
        <is>
          <t>LULEÅ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11998-2024</t>
        </is>
      </c>
      <c r="B5055" s="1" t="n">
        <v>45377.23140046297</v>
      </c>
      <c r="C5055" s="1" t="n">
        <v>46046</v>
      </c>
      <c r="D5055" t="inlineStr">
        <is>
          <t>NORRBOTTENS LÄN</t>
        </is>
      </c>
      <c r="E5055" t="inlineStr">
        <is>
          <t>PITEÅ</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37961-2025</t>
        </is>
      </c>
      <c r="B5056" s="1" t="n">
        <v>45881</v>
      </c>
      <c r="C5056" s="1" t="n">
        <v>46046</v>
      </c>
      <c r="D5056" t="inlineStr">
        <is>
          <t>NORRBOTTENS LÄN</t>
        </is>
      </c>
      <c r="E5056" t="inlineStr">
        <is>
          <t>GÄLLIVARE</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38638-2025</t>
        </is>
      </c>
      <c r="B5057" s="1" t="n">
        <v>45884.56866898148</v>
      </c>
      <c r="C5057" s="1" t="n">
        <v>46046</v>
      </c>
      <c r="D5057" t="inlineStr">
        <is>
          <t>NORRBOTTENS LÄN</t>
        </is>
      </c>
      <c r="E5057" t="inlineStr">
        <is>
          <t>PAJALA</t>
        </is>
      </c>
      <c r="F5057" t="inlineStr">
        <is>
          <t>Sveaskog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38225-2025</t>
        </is>
      </c>
      <c r="B5058" s="1" t="n">
        <v>45883.34501157407</v>
      </c>
      <c r="C5058" s="1" t="n">
        <v>46046</v>
      </c>
      <c r="D5058" t="inlineStr">
        <is>
          <t>NORRBOTTENS LÄN</t>
        </is>
      </c>
      <c r="E5058" t="inlineStr">
        <is>
          <t>GÄLLIVARE</t>
        </is>
      </c>
      <c r="F5058" t="inlineStr">
        <is>
          <t>SCA</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38226-2025</t>
        </is>
      </c>
      <c r="B5059" s="1" t="n">
        <v>45883.34521990741</v>
      </c>
      <c r="C5059" s="1" t="n">
        <v>46046</v>
      </c>
      <c r="D5059" t="inlineStr">
        <is>
          <t>NORRBOTTENS LÄN</t>
        </is>
      </c>
      <c r="E5059" t="inlineStr">
        <is>
          <t>JOKKMOKK</t>
        </is>
      </c>
      <c r="F5059" t="inlineStr">
        <is>
          <t>SCA</t>
        </is>
      </c>
      <c r="G5059" t="n">
        <v>14.5</v>
      </c>
      <c r="H5059" t="n">
        <v>0</v>
      </c>
      <c r="I5059" t="n">
        <v>0</v>
      </c>
      <c r="J5059" t="n">
        <v>0</v>
      </c>
      <c r="K5059" t="n">
        <v>0</v>
      </c>
      <c r="L5059" t="n">
        <v>0</v>
      </c>
      <c r="M5059" t="n">
        <v>0</v>
      </c>
      <c r="N5059" t="n">
        <v>0</v>
      </c>
      <c r="O5059" t="n">
        <v>0</v>
      </c>
      <c r="P5059" t="n">
        <v>0</v>
      </c>
      <c r="Q5059" t="n">
        <v>0</v>
      </c>
      <c r="R5059" s="2" t="inlineStr"/>
    </row>
    <row r="5060" ht="15" customHeight="1">
      <c r="A5060" t="inlineStr">
        <is>
          <t>A 39129-2025</t>
        </is>
      </c>
      <c r="B5060" s="1" t="n">
        <v>45887</v>
      </c>
      <c r="C5060" s="1" t="n">
        <v>46046</v>
      </c>
      <c r="D5060" t="inlineStr">
        <is>
          <t>NORRBOTTENS LÄN</t>
        </is>
      </c>
      <c r="E5060" t="inlineStr">
        <is>
          <t>BODEN</t>
        </is>
      </c>
      <c r="F5060" t="inlineStr">
        <is>
          <t>Sveaskog</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38094-2025</t>
        </is>
      </c>
      <c r="B5061" s="1" t="n">
        <v>45882.4903587963</v>
      </c>
      <c r="C5061" s="1" t="n">
        <v>46046</v>
      </c>
      <c r="D5061" t="inlineStr">
        <is>
          <t>NORRBOTTENS LÄN</t>
        </is>
      </c>
      <c r="E5061" t="inlineStr">
        <is>
          <t>PAJALA</t>
        </is>
      </c>
      <c r="F5061" t="inlineStr">
        <is>
          <t>SCA</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38244-2025</t>
        </is>
      </c>
      <c r="B5062" s="1" t="n">
        <v>45883.36557870371</v>
      </c>
      <c r="C5062" s="1" t="n">
        <v>46046</v>
      </c>
      <c r="D5062" t="inlineStr">
        <is>
          <t>NORRBOTTENS LÄN</t>
        </is>
      </c>
      <c r="E5062" t="inlineStr">
        <is>
          <t>PITEÅ</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29992-2024</t>
        </is>
      </c>
      <c r="B5063" s="1" t="n">
        <v>45488.55291666667</v>
      </c>
      <c r="C5063" s="1" t="n">
        <v>46046</v>
      </c>
      <c r="D5063" t="inlineStr">
        <is>
          <t>NORRBOTTENS LÄN</t>
        </is>
      </c>
      <c r="E5063" t="inlineStr">
        <is>
          <t>PAJALA</t>
        </is>
      </c>
      <c r="F5063" t="inlineStr">
        <is>
          <t>Sveaskog</t>
        </is>
      </c>
      <c r="G5063" t="n">
        <v>9.800000000000001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4053-2024</t>
        </is>
      </c>
      <c r="B5064" s="1" t="n">
        <v>45323</v>
      </c>
      <c r="C5064" s="1" t="n">
        <v>46046</v>
      </c>
      <c r="D5064" t="inlineStr">
        <is>
          <t>NORRBOTTENS LÄN</t>
        </is>
      </c>
      <c r="E5064" t="inlineStr">
        <is>
          <t>BODEN</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13819-2025</t>
        </is>
      </c>
      <c r="B5065" s="1" t="n">
        <v>45737.52472222222</v>
      </c>
      <c r="C5065" s="1" t="n">
        <v>46046</v>
      </c>
      <c r="D5065" t="inlineStr">
        <is>
          <t>NORRBOTTENS LÄN</t>
        </is>
      </c>
      <c r="E5065" t="inlineStr">
        <is>
          <t>KALIX</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37291-2024</t>
        </is>
      </c>
      <c r="B5066" s="1" t="n">
        <v>45540</v>
      </c>
      <c r="C5066" s="1" t="n">
        <v>46046</v>
      </c>
      <c r="D5066" t="inlineStr">
        <is>
          <t>NORRBOTTENS LÄN</t>
        </is>
      </c>
      <c r="E5066" t="inlineStr">
        <is>
          <t>ÄLVSBYN</t>
        </is>
      </c>
      <c r="F5066" t="inlineStr">
        <is>
          <t>Sveaskog</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20580-2024</t>
        </is>
      </c>
      <c r="B5067" s="1" t="n">
        <v>45436.40979166667</v>
      </c>
      <c r="C5067" s="1" t="n">
        <v>46046</v>
      </c>
      <c r="D5067" t="inlineStr">
        <is>
          <t>NORRBOTTENS LÄN</t>
        </is>
      </c>
      <c r="E5067" t="inlineStr">
        <is>
          <t>ÖVERKALIX</t>
        </is>
      </c>
      <c r="F5067" t="inlineStr">
        <is>
          <t>Sveaskog</t>
        </is>
      </c>
      <c r="G5067" t="n">
        <v>29.9</v>
      </c>
      <c r="H5067" t="n">
        <v>0</v>
      </c>
      <c r="I5067" t="n">
        <v>0</v>
      </c>
      <c r="J5067" t="n">
        <v>0</v>
      </c>
      <c r="K5067" t="n">
        <v>0</v>
      </c>
      <c r="L5067" t="n">
        <v>0</v>
      </c>
      <c r="M5067" t="n">
        <v>0</v>
      </c>
      <c r="N5067" t="n">
        <v>0</v>
      </c>
      <c r="O5067" t="n">
        <v>0</v>
      </c>
      <c r="P5067" t="n">
        <v>0</v>
      </c>
      <c r="Q5067" t="n">
        <v>0</v>
      </c>
      <c r="R5067" s="2" t="inlineStr"/>
    </row>
    <row r="5068" ht="15" customHeight="1">
      <c r="A5068" t="inlineStr">
        <is>
          <t>A 50642-2024</t>
        </is>
      </c>
      <c r="B5068" s="1" t="n">
        <v>45601.68076388889</v>
      </c>
      <c r="C5068" s="1" t="n">
        <v>46046</v>
      </c>
      <c r="D5068" t="inlineStr">
        <is>
          <t>NORRBOTTENS LÄN</t>
        </is>
      </c>
      <c r="E5068" t="inlineStr">
        <is>
          <t>LULEÅ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50645-2024</t>
        </is>
      </c>
      <c r="B5069" s="1" t="n">
        <v>45601.68283564815</v>
      </c>
      <c r="C5069" s="1" t="n">
        <v>46046</v>
      </c>
      <c r="D5069" t="inlineStr">
        <is>
          <t>NORRBOTTENS LÄN</t>
        </is>
      </c>
      <c r="E5069" t="inlineStr">
        <is>
          <t>LULEÅ</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5030-2024</t>
        </is>
      </c>
      <c r="B5070" s="1" t="n">
        <v>45329</v>
      </c>
      <c r="C5070" s="1" t="n">
        <v>46046</v>
      </c>
      <c r="D5070" t="inlineStr">
        <is>
          <t>NORRBOTTENS LÄN</t>
        </is>
      </c>
      <c r="E5070" t="inlineStr">
        <is>
          <t>ÖVERTORNEÅ</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50651-2024</t>
        </is>
      </c>
      <c r="B5071" s="1" t="n">
        <v>45601.70364583333</v>
      </c>
      <c r="C5071" s="1" t="n">
        <v>46046</v>
      </c>
      <c r="D5071" t="inlineStr">
        <is>
          <t>NORRBOTTENS LÄN</t>
        </is>
      </c>
      <c r="E5071" t="inlineStr">
        <is>
          <t>JOKKMOKK</t>
        </is>
      </c>
      <c r="F5071" t="inlineStr">
        <is>
          <t>Allmännings- och besparingsskogar</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45115-2021</t>
        </is>
      </c>
      <c r="B5072" s="1" t="n">
        <v>44438</v>
      </c>
      <c r="C5072" s="1" t="n">
        <v>46046</v>
      </c>
      <c r="D5072" t="inlineStr">
        <is>
          <t>NORRBOTTENS LÄN</t>
        </is>
      </c>
      <c r="E5072" t="inlineStr">
        <is>
          <t>BODEN</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38489-2025</t>
        </is>
      </c>
      <c r="B5073" s="1" t="n">
        <v>45884.34461805555</v>
      </c>
      <c r="C5073" s="1" t="n">
        <v>46046</v>
      </c>
      <c r="D5073" t="inlineStr">
        <is>
          <t>NORRBOTTENS LÄN</t>
        </is>
      </c>
      <c r="E5073" t="inlineStr">
        <is>
          <t>PITEÅ</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53290-2023</t>
        </is>
      </c>
      <c r="B5074" s="1" t="n">
        <v>45229</v>
      </c>
      <c r="C5074" s="1" t="n">
        <v>46046</v>
      </c>
      <c r="D5074" t="inlineStr">
        <is>
          <t>NORRBOTTENS LÄN</t>
        </is>
      </c>
      <c r="E5074" t="inlineStr">
        <is>
          <t>HAPARANDA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11615-2025</t>
        </is>
      </c>
      <c r="B5075" s="1" t="n">
        <v>45726</v>
      </c>
      <c r="C5075" s="1" t="n">
        <v>46046</v>
      </c>
      <c r="D5075" t="inlineStr">
        <is>
          <t>NORRBOTTENS LÄN</t>
        </is>
      </c>
      <c r="E5075" t="inlineStr">
        <is>
          <t>ARVIDSJAUR</t>
        </is>
      </c>
      <c r="F5075" t="inlineStr">
        <is>
          <t>Allmännings- och besparingsskogar</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1446-2024</t>
        </is>
      </c>
      <c r="B5076" s="1" t="n">
        <v>45303</v>
      </c>
      <c r="C5076" s="1" t="n">
        <v>46046</v>
      </c>
      <c r="D5076" t="inlineStr">
        <is>
          <t>NORRBOTTENS LÄN</t>
        </is>
      </c>
      <c r="E5076" t="inlineStr">
        <is>
          <t>HAPARANDA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37289-2024</t>
        </is>
      </c>
      <c r="B5077" s="1" t="n">
        <v>45540</v>
      </c>
      <c r="C5077" s="1" t="n">
        <v>46046</v>
      </c>
      <c r="D5077" t="inlineStr">
        <is>
          <t>NORRBOTTENS LÄN</t>
        </is>
      </c>
      <c r="E5077" t="inlineStr">
        <is>
          <t>PAJALA</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60390-2023</t>
        </is>
      </c>
      <c r="B5078" s="1" t="n">
        <v>45259.43483796297</v>
      </c>
      <c r="C5078" s="1" t="n">
        <v>46046</v>
      </c>
      <c r="D5078" t="inlineStr">
        <is>
          <t>NORRBOTTENS LÄN</t>
        </is>
      </c>
      <c r="E5078" t="inlineStr">
        <is>
          <t>JOKKMOKK</t>
        </is>
      </c>
      <c r="F5078" t="inlineStr">
        <is>
          <t>Sveaskog</t>
        </is>
      </c>
      <c r="G5078" t="n">
        <v>10.9</v>
      </c>
      <c r="H5078" t="n">
        <v>0</v>
      </c>
      <c r="I5078" t="n">
        <v>0</v>
      </c>
      <c r="J5078" t="n">
        <v>0</v>
      </c>
      <c r="K5078" t="n">
        <v>0</v>
      </c>
      <c r="L5078" t="n">
        <v>0</v>
      </c>
      <c r="M5078" t="n">
        <v>0</v>
      </c>
      <c r="N5078" t="n">
        <v>0</v>
      </c>
      <c r="O5078" t="n">
        <v>0</v>
      </c>
      <c r="P5078" t="n">
        <v>0</v>
      </c>
      <c r="Q5078" t="n">
        <v>0</v>
      </c>
      <c r="R5078" s="2" t="inlineStr"/>
    </row>
    <row r="5079" ht="15" customHeight="1">
      <c r="A5079" t="inlineStr">
        <is>
          <t>A 34701-2024</t>
        </is>
      </c>
      <c r="B5079" s="1" t="n">
        <v>45526</v>
      </c>
      <c r="C5079" s="1" t="n">
        <v>46046</v>
      </c>
      <c r="D5079" t="inlineStr">
        <is>
          <t>NORRBOTTENS LÄN</t>
        </is>
      </c>
      <c r="E5079" t="inlineStr">
        <is>
          <t>ÖVERTORNEÅ</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29932-2021</t>
        </is>
      </c>
      <c r="B5080" s="1" t="n">
        <v>44362</v>
      </c>
      <c r="C5080" s="1" t="n">
        <v>46046</v>
      </c>
      <c r="D5080" t="inlineStr">
        <is>
          <t>NORRBOTTENS LÄN</t>
        </is>
      </c>
      <c r="E5080" t="inlineStr">
        <is>
          <t>KIRUNA</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18900-2025</t>
        </is>
      </c>
      <c r="B5081" s="1" t="n">
        <v>45764.45171296296</v>
      </c>
      <c r="C5081" s="1" t="n">
        <v>46046</v>
      </c>
      <c r="D5081" t="inlineStr">
        <is>
          <t>NORRBOTTENS LÄN</t>
        </is>
      </c>
      <c r="E5081" t="inlineStr">
        <is>
          <t>BODEN</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38685-2025</t>
        </is>
      </c>
      <c r="B5082" s="1" t="n">
        <v>45884.65607638889</v>
      </c>
      <c r="C5082" s="1" t="n">
        <v>46046</v>
      </c>
      <c r="D5082" t="inlineStr">
        <is>
          <t>NORRBOTTENS LÄN</t>
        </is>
      </c>
      <c r="E5082" t="inlineStr">
        <is>
          <t>LULEÅ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61768-2024</t>
        </is>
      </c>
      <c r="B5083" s="1" t="n">
        <v>45649.45255787037</v>
      </c>
      <c r="C5083" s="1" t="n">
        <v>46046</v>
      </c>
      <c r="D5083" t="inlineStr">
        <is>
          <t>NORRBOTTENS LÄN</t>
        </is>
      </c>
      <c r="E5083" t="inlineStr">
        <is>
          <t>BODEN</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38974-2025</t>
        </is>
      </c>
      <c r="B5084" s="1" t="n">
        <v>45887</v>
      </c>
      <c r="C5084" s="1" t="n">
        <v>46046</v>
      </c>
      <c r="D5084" t="inlineStr">
        <is>
          <t>NORRBOTTENS LÄN</t>
        </is>
      </c>
      <c r="E5084" t="inlineStr">
        <is>
          <t>ÖVERTORNEÅ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38841-2025</t>
        </is>
      </c>
      <c r="B5085" s="1" t="n">
        <v>45887.53751157408</v>
      </c>
      <c r="C5085" s="1" t="n">
        <v>46046</v>
      </c>
      <c r="D5085" t="inlineStr">
        <is>
          <t>NORRBOTTENS LÄN</t>
        </is>
      </c>
      <c r="E5085" t="inlineStr">
        <is>
          <t>LULEÅ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25790-2024</t>
        </is>
      </c>
      <c r="B5086" s="1" t="n">
        <v>45467</v>
      </c>
      <c r="C5086" s="1" t="n">
        <v>46046</v>
      </c>
      <c r="D5086" t="inlineStr">
        <is>
          <t>NORRBOTTENS LÄN</t>
        </is>
      </c>
      <c r="E5086" t="inlineStr">
        <is>
          <t>ARVIDSJAUR</t>
        </is>
      </c>
      <c r="F5086" t="inlineStr">
        <is>
          <t>Sveaskog</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25791-2024</t>
        </is>
      </c>
      <c r="B5087" s="1" t="n">
        <v>45463</v>
      </c>
      <c r="C5087" s="1" t="n">
        <v>46046</v>
      </c>
      <c r="D5087" t="inlineStr">
        <is>
          <t>NORRBOTTENS LÄN</t>
        </is>
      </c>
      <c r="E5087" t="inlineStr">
        <is>
          <t>LULEÅ</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34096-2024</t>
        </is>
      </c>
      <c r="B5088" s="1" t="n">
        <v>45523</v>
      </c>
      <c r="C5088" s="1" t="n">
        <v>46046</v>
      </c>
      <c r="D5088" t="inlineStr">
        <is>
          <t>NORRBOTTENS LÄN</t>
        </is>
      </c>
      <c r="E5088" t="inlineStr">
        <is>
          <t>PAJALA</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34097-2024</t>
        </is>
      </c>
      <c r="B5089" s="1" t="n">
        <v>45523</v>
      </c>
      <c r="C5089" s="1" t="n">
        <v>46046</v>
      </c>
      <c r="D5089" t="inlineStr">
        <is>
          <t>NORRBOTTENS LÄN</t>
        </is>
      </c>
      <c r="E5089" t="inlineStr">
        <is>
          <t>PAJALA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57195-2023</t>
        </is>
      </c>
      <c r="B5090" s="1" t="n">
        <v>45245</v>
      </c>
      <c r="C5090" s="1" t="n">
        <v>46046</v>
      </c>
      <c r="D5090" t="inlineStr">
        <is>
          <t>NORRBOTTENS LÄN</t>
        </is>
      </c>
      <c r="E5090" t="inlineStr">
        <is>
          <t>PITEÅ</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60275-2023</t>
        </is>
      </c>
      <c r="B5091" s="1" t="n">
        <v>45258.67847222222</v>
      </c>
      <c r="C5091" s="1" t="n">
        <v>46046</v>
      </c>
      <c r="D5091" t="inlineStr">
        <is>
          <t>NORRBOTTENS LÄN</t>
        </is>
      </c>
      <c r="E5091" t="inlineStr">
        <is>
          <t>JOKKMOKK</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22854-2024</t>
        </is>
      </c>
      <c r="B5092" s="1" t="n">
        <v>45448</v>
      </c>
      <c r="C5092" s="1" t="n">
        <v>46046</v>
      </c>
      <c r="D5092" t="inlineStr">
        <is>
          <t>NORRBOTTENS LÄN</t>
        </is>
      </c>
      <c r="E5092" t="inlineStr">
        <is>
          <t>ÖVERKALIX</t>
        </is>
      </c>
      <c r="F5092" t="inlineStr">
        <is>
          <t>Sveaskog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41578-2024</t>
        </is>
      </c>
      <c r="B5093" s="1" t="n">
        <v>45560.5528125</v>
      </c>
      <c r="C5093" s="1" t="n">
        <v>46046</v>
      </c>
      <c r="D5093" t="inlineStr">
        <is>
          <t>NORRBOTTENS LÄN</t>
        </is>
      </c>
      <c r="E5093" t="inlineStr">
        <is>
          <t>KALIX</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29728-2021</t>
        </is>
      </c>
      <c r="B5094" s="1" t="n">
        <v>44362</v>
      </c>
      <c r="C5094" s="1" t="n">
        <v>46046</v>
      </c>
      <c r="D5094" t="inlineStr">
        <is>
          <t>NORRBOTTENS LÄN</t>
        </is>
      </c>
      <c r="E5094" t="inlineStr">
        <is>
          <t>GÄLLIVARE</t>
        </is>
      </c>
      <c r="F5094" t="inlineStr">
        <is>
          <t>Övriga statliga verk och myndigheter</t>
        </is>
      </c>
      <c r="G5094" t="n">
        <v>21.2</v>
      </c>
      <c r="H5094" t="n">
        <v>0</v>
      </c>
      <c r="I5094" t="n">
        <v>0</v>
      </c>
      <c r="J5094" t="n">
        <v>0</v>
      </c>
      <c r="K5094" t="n">
        <v>0</v>
      </c>
      <c r="L5094" t="n">
        <v>0</v>
      </c>
      <c r="M5094" t="n">
        <v>0</v>
      </c>
      <c r="N5094" t="n">
        <v>0</v>
      </c>
      <c r="O5094" t="n">
        <v>0</v>
      </c>
      <c r="P5094" t="n">
        <v>0</v>
      </c>
      <c r="Q5094" t="n">
        <v>0</v>
      </c>
      <c r="R5094" s="2" t="inlineStr"/>
    </row>
    <row r="5095" ht="15" customHeight="1">
      <c r="A5095" t="inlineStr">
        <is>
          <t>A 54296-2024</t>
        </is>
      </c>
      <c r="B5095" s="1" t="n">
        <v>45617</v>
      </c>
      <c r="C5095" s="1" t="n">
        <v>46046</v>
      </c>
      <c r="D5095" t="inlineStr">
        <is>
          <t>NORRBOTTENS LÄN</t>
        </is>
      </c>
      <c r="E5095" t="inlineStr">
        <is>
          <t>KALIX</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31666-2023</t>
        </is>
      </c>
      <c r="B5096" s="1" t="n">
        <v>45105</v>
      </c>
      <c r="C5096" s="1" t="n">
        <v>46046</v>
      </c>
      <c r="D5096" t="inlineStr">
        <is>
          <t>NORRBOTTENS LÄN</t>
        </is>
      </c>
      <c r="E5096" t="inlineStr">
        <is>
          <t>ARVIDSJAUR</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9219-2025</t>
        </is>
      </c>
      <c r="B5097" s="1" t="n">
        <v>45714.51996527778</v>
      </c>
      <c r="C5097" s="1" t="n">
        <v>46046</v>
      </c>
      <c r="D5097" t="inlineStr">
        <is>
          <t>NORRBOTTENS LÄN</t>
        </is>
      </c>
      <c r="E5097" t="inlineStr">
        <is>
          <t>KALIX</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26022-2022</t>
        </is>
      </c>
      <c r="B5098" s="1" t="n">
        <v>44734.56864583334</v>
      </c>
      <c r="C5098" s="1" t="n">
        <v>46046</v>
      </c>
      <c r="D5098" t="inlineStr">
        <is>
          <t>NORRBOTTENS LÄN</t>
        </is>
      </c>
      <c r="E5098" t="inlineStr">
        <is>
          <t>BODEN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9250-2025</t>
        </is>
      </c>
      <c r="B5099" s="1" t="n">
        <v>45714</v>
      </c>
      <c r="C5099" s="1" t="n">
        <v>46046</v>
      </c>
      <c r="D5099" t="inlineStr">
        <is>
          <t>NORRBOTTENS LÄN</t>
        </is>
      </c>
      <c r="E5099" t="inlineStr">
        <is>
          <t>LULEÅ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61969-2024</t>
        </is>
      </c>
      <c r="B5100" s="1" t="n">
        <v>45653.59047453704</v>
      </c>
      <c r="C5100" s="1" t="n">
        <v>46046</v>
      </c>
      <c r="D5100" t="inlineStr">
        <is>
          <t>NORRBOTTENS LÄN</t>
        </is>
      </c>
      <c r="E5100" t="inlineStr">
        <is>
          <t>BODEN</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16864-2023</t>
        </is>
      </c>
      <c r="B5101" s="1" t="n">
        <v>45028</v>
      </c>
      <c r="C5101" s="1" t="n">
        <v>46046</v>
      </c>
      <c r="D5101" t="inlineStr">
        <is>
          <t>NORRBOTTENS LÄN</t>
        </is>
      </c>
      <c r="E5101" t="inlineStr">
        <is>
          <t>JOKKMOKK</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37935-2024</t>
        </is>
      </c>
      <c r="B5102" s="1" t="n">
        <v>45544</v>
      </c>
      <c r="C5102" s="1" t="n">
        <v>46046</v>
      </c>
      <c r="D5102" t="inlineStr">
        <is>
          <t>NORRBOTTENS LÄN</t>
        </is>
      </c>
      <c r="E5102" t="inlineStr">
        <is>
          <t>LULEÅ</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1301-2025</t>
        </is>
      </c>
      <c r="B5103" s="1" t="n">
        <v>45667</v>
      </c>
      <c r="C5103" s="1" t="n">
        <v>46046</v>
      </c>
      <c r="D5103" t="inlineStr">
        <is>
          <t>NORRBOTTENS LÄN</t>
        </is>
      </c>
      <c r="E5103" t="inlineStr">
        <is>
          <t>ÖVERTORNEÅ</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1310-2025</t>
        </is>
      </c>
      <c r="B5104" s="1" t="n">
        <v>45667.55340277778</v>
      </c>
      <c r="C5104" s="1" t="n">
        <v>46046</v>
      </c>
      <c r="D5104" t="inlineStr">
        <is>
          <t>NORRBOTTENS LÄN</t>
        </is>
      </c>
      <c r="E5104" t="inlineStr">
        <is>
          <t>ÖVERKALIX</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26962-2023</t>
        </is>
      </c>
      <c r="B5105" s="1" t="n">
        <v>45093</v>
      </c>
      <c r="C5105" s="1" t="n">
        <v>46046</v>
      </c>
      <c r="D5105" t="inlineStr">
        <is>
          <t>NORRBOTTENS LÄN</t>
        </is>
      </c>
      <c r="E5105" t="inlineStr">
        <is>
          <t>JOKKMOKK</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38584-2025</t>
        </is>
      </c>
      <c r="B5106" s="1" t="n">
        <v>45884.46996527778</v>
      </c>
      <c r="C5106" s="1" t="n">
        <v>46046</v>
      </c>
      <c r="D5106" t="inlineStr">
        <is>
          <t>NORRBOTTENS LÄN</t>
        </is>
      </c>
      <c r="E5106" t="inlineStr">
        <is>
          <t>BODEN</t>
        </is>
      </c>
      <c r="F5106" t="inlineStr">
        <is>
          <t>SCA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38595-2025</t>
        </is>
      </c>
      <c r="B5107" s="1" t="n">
        <v>45884.49027777778</v>
      </c>
      <c r="C5107" s="1" t="n">
        <v>46046</v>
      </c>
      <c r="D5107" t="inlineStr">
        <is>
          <t>NORRBOTTENS LÄN</t>
        </is>
      </c>
      <c r="E5107" t="inlineStr">
        <is>
          <t>JOKKMOKK</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19584-2025</t>
        </is>
      </c>
      <c r="B5108" s="1" t="n">
        <v>45770.56699074074</v>
      </c>
      <c r="C5108" s="1" t="n">
        <v>46046</v>
      </c>
      <c r="D5108" t="inlineStr">
        <is>
          <t>NORRBOTTENS LÄN</t>
        </is>
      </c>
      <c r="E5108" t="inlineStr">
        <is>
          <t>BODEN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10193-2024</t>
        </is>
      </c>
      <c r="B5109" s="1" t="n">
        <v>45364.9278125</v>
      </c>
      <c r="C5109" s="1" t="n">
        <v>46046</v>
      </c>
      <c r="D5109" t="inlineStr">
        <is>
          <t>NORRBOTTENS LÄN</t>
        </is>
      </c>
      <c r="E5109" t="inlineStr">
        <is>
          <t>ÖVERTORNEÅ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10243-2024</t>
        </is>
      </c>
      <c r="B5110" s="1" t="n">
        <v>45365</v>
      </c>
      <c r="C5110" s="1" t="n">
        <v>46046</v>
      </c>
      <c r="D5110" t="inlineStr">
        <is>
          <t>NORRBOTTENS LÄN</t>
        </is>
      </c>
      <c r="E5110" t="inlineStr">
        <is>
          <t>ARVIDSJAUR</t>
        </is>
      </c>
      <c r="F5110" t="inlineStr">
        <is>
          <t>Sveaskog</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37866-2024</t>
        </is>
      </c>
      <c r="B5111" s="1" t="n">
        <v>45544.39978009259</v>
      </c>
      <c r="C5111" s="1" t="n">
        <v>46046</v>
      </c>
      <c r="D5111" t="inlineStr">
        <is>
          <t>NORRBOTTENS LÄN</t>
        </is>
      </c>
      <c r="E5111" t="inlineStr">
        <is>
          <t>BODEN</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11501-2024</t>
        </is>
      </c>
      <c r="B5112" s="1" t="n">
        <v>45372</v>
      </c>
      <c r="C5112" s="1" t="n">
        <v>46046</v>
      </c>
      <c r="D5112" t="inlineStr">
        <is>
          <t>NORRBOTTENS LÄN</t>
        </is>
      </c>
      <c r="E5112" t="inlineStr">
        <is>
          <t>PAJALA</t>
        </is>
      </c>
      <c r="F5112" t="inlineStr">
        <is>
          <t>Allmännings- och besparingsskogar</t>
        </is>
      </c>
      <c r="G5112" t="n">
        <v>46.9</v>
      </c>
      <c r="H5112" t="n">
        <v>0</v>
      </c>
      <c r="I5112" t="n">
        <v>0</v>
      </c>
      <c r="J5112" t="n">
        <v>0</v>
      </c>
      <c r="K5112" t="n">
        <v>0</v>
      </c>
      <c r="L5112" t="n">
        <v>0</v>
      </c>
      <c r="M5112" t="n">
        <v>0</v>
      </c>
      <c r="N5112" t="n">
        <v>0</v>
      </c>
      <c r="O5112" t="n">
        <v>0</v>
      </c>
      <c r="P5112" t="n">
        <v>0</v>
      </c>
      <c r="Q5112" t="n">
        <v>0</v>
      </c>
      <c r="R5112" s="2" t="inlineStr"/>
    </row>
    <row r="5113" ht="15" customHeight="1">
      <c r="A5113" t="inlineStr">
        <is>
          <t>A 30026-2023</t>
        </is>
      </c>
      <c r="B5113" s="1" t="n">
        <v>45110.31878472222</v>
      </c>
      <c r="C5113" s="1" t="n">
        <v>46046</v>
      </c>
      <c r="D5113" t="inlineStr">
        <is>
          <t>NORRBOTTENS LÄN</t>
        </is>
      </c>
      <c r="E5113" t="inlineStr">
        <is>
          <t>GÄLLIVARE</t>
        </is>
      </c>
      <c r="F5113" t="inlineStr">
        <is>
          <t>Sveaskog</t>
        </is>
      </c>
      <c r="G5113" t="n">
        <v>13.1</v>
      </c>
      <c r="H5113" t="n">
        <v>0</v>
      </c>
      <c r="I5113" t="n">
        <v>0</v>
      </c>
      <c r="J5113" t="n">
        <v>0</v>
      </c>
      <c r="K5113" t="n">
        <v>0</v>
      </c>
      <c r="L5113" t="n">
        <v>0</v>
      </c>
      <c r="M5113" t="n">
        <v>0</v>
      </c>
      <c r="N5113" t="n">
        <v>0</v>
      </c>
      <c r="O5113" t="n">
        <v>0</v>
      </c>
      <c r="P5113" t="n">
        <v>0</v>
      </c>
      <c r="Q5113" t="n">
        <v>0</v>
      </c>
      <c r="R5113" s="2" t="inlineStr"/>
    </row>
    <row r="5114" ht="15" customHeight="1">
      <c r="A5114" t="inlineStr">
        <is>
          <t>A 38683-2025</t>
        </is>
      </c>
      <c r="B5114" s="1" t="n">
        <v>45884.65483796296</v>
      </c>
      <c r="C5114" s="1" t="n">
        <v>46046</v>
      </c>
      <c r="D5114" t="inlineStr">
        <is>
          <t>NORRBOTTENS LÄN</t>
        </is>
      </c>
      <c r="E5114" t="inlineStr">
        <is>
          <t>LULEÅ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48009-2024</t>
        </is>
      </c>
      <c r="B5115" s="1" t="n">
        <v>45589</v>
      </c>
      <c r="C5115" s="1" t="n">
        <v>46046</v>
      </c>
      <c r="D5115" t="inlineStr">
        <is>
          <t>NORRBOTTENS LÄN</t>
        </is>
      </c>
      <c r="E5115" t="inlineStr">
        <is>
          <t>ARVIDSJAUR</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35995-2023</t>
        </is>
      </c>
      <c r="B5116" s="1" t="n">
        <v>45149.3140162037</v>
      </c>
      <c r="C5116" s="1" t="n">
        <v>46046</v>
      </c>
      <c r="D5116" t="inlineStr">
        <is>
          <t>NORRBOTTENS LÄN</t>
        </is>
      </c>
      <c r="E5116" t="inlineStr">
        <is>
          <t>ÖVERTORNEÅ</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24854-2024</t>
        </is>
      </c>
      <c r="B5117" s="1" t="n">
        <v>45461</v>
      </c>
      <c r="C5117" s="1" t="n">
        <v>46046</v>
      </c>
      <c r="D5117" t="inlineStr">
        <is>
          <t>NORRBOTTENS LÄN</t>
        </is>
      </c>
      <c r="E5117" t="inlineStr">
        <is>
          <t>ARVIDSJAUR</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34760-2022</t>
        </is>
      </c>
      <c r="B5118" s="1" t="n">
        <v>44795</v>
      </c>
      <c r="C5118" s="1" t="n">
        <v>46046</v>
      </c>
      <c r="D5118" t="inlineStr">
        <is>
          <t>NORRBOTTENS LÄN</t>
        </is>
      </c>
      <c r="E5118" t="inlineStr">
        <is>
          <t>BODEN</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51839-2023</t>
        </is>
      </c>
      <c r="B5119" s="1" t="n">
        <v>45215</v>
      </c>
      <c r="C5119" s="1" t="n">
        <v>46046</v>
      </c>
      <c r="D5119" t="inlineStr">
        <is>
          <t>NORRBOTTENS LÄN</t>
        </is>
      </c>
      <c r="E5119" t="inlineStr">
        <is>
          <t>KALIX</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26969-2024</t>
        </is>
      </c>
      <c r="B5120" s="1" t="n">
        <v>45471.27252314815</v>
      </c>
      <c r="C5120" s="1" t="n">
        <v>46046</v>
      </c>
      <c r="D5120" t="inlineStr">
        <is>
          <t>NORRBOTTENS LÄN</t>
        </is>
      </c>
      <c r="E5120" t="inlineStr">
        <is>
          <t>JOKKMOKK</t>
        </is>
      </c>
      <c r="F5120" t="inlineStr">
        <is>
          <t>Sveaskog</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47048-2023</t>
        </is>
      </c>
      <c r="B5121" s="1" t="n">
        <v>45201</v>
      </c>
      <c r="C5121" s="1" t="n">
        <v>46046</v>
      </c>
      <c r="D5121" t="inlineStr">
        <is>
          <t>NORRBOTTENS LÄN</t>
        </is>
      </c>
      <c r="E5121" t="inlineStr">
        <is>
          <t>GÄLLIVARE</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15546-2024</t>
        </is>
      </c>
      <c r="B5122" s="1" t="n">
        <v>45401.62734953704</v>
      </c>
      <c r="C5122" s="1" t="n">
        <v>46046</v>
      </c>
      <c r="D5122" t="inlineStr">
        <is>
          <t>NORRBOTTENS LÄN</t>
        </is>
      </c>
      <c r="E5122" t="inlineStr">
        <is>
          <t>ÖVERKALIX</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59703-2024</t>
        </is>
      </c>
      <c r="B5123" s="1" t="n">
        <v>45639</v>
      </c>
      <c r="C5123" s="1" t="n">
        <v>46046</v>
      </c>
      <c r="D5123" t="inlineStr">
        <is>
          <t>NORRBOTTENS LÄN</t>
        </is>
      </c>
      <c r="E5123" t="inlineStr">
        <is>
          <t>GÄLLIVARE</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34862-2024</t>
        </is>
      </c>
      <c r="B5124" s="1" t="n">
        <v>45527.33951388889</v>
      </c>
      <c r="C5124" s="1" t="n">
        <v>46046</v>
      </c>
      <c r="D5124" t="inlineStr">
        <is>
          <t>NORRBOTTENS LÄN</t>
        </is>
      </c>
      <c r="E5124" t="inlineStr">
        <is>
          <t>PITEÅ</t>
        </is>
      </c>
      <c r="F5124" t="inlineStr">
        <is>
          <t>SCA</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34922-2024</t>
        </is>
      </c>
      <c r="B5125" s="1" t="n">
        <v>45527</v>
      </c>
      <c r="C5125" s="1" t="n">
        <v>46046</v>
      </c>
      <c r="D5125" t="inlineStr">
        <is>
          <t>NORRBOTTENS LÄN</t>
        </is>
      </c>
      <c r="E5125" t="inlineStr">
        <is>
          <t>PITEÅ</t>
        </is>
      </c>
      <c r="F5125" t="inlineStr">
        <is>
          <t>Sveaskog</t>
        </is>
      </c>
      <c r="G5125" t="n">
        <v>18.1</v>
      </c>
      <c r="H5125" t="n">
        <v>0</v>
      </c>
      <c r="I5125" t="n">
        <v>0</v>
      </c>
      <c r="J5125" t="n">
        <v>0</v>
      </c>
      <c r="K5125" t="n">
        <v>0</v>
      </c>
      <c r="L5125" t="n">
        <v>0</v>
      </c>
      <c r="M5125" t="n">
        <v>0</v>
      </c>
      <c r="N5125" t="n">
        <v>0</v>
      </c>
      <c r="O5125" t="n">
        <v>0</v>
      </c>
      <c r="P5125" t="n">
        <v>0</v>
      </c>
      <c r="Q5125" t="n">
        <v>0</v>
      </c>
      <c r="R5125" s="2" t="inlineStr"/>
    </row>
    <row r="5126" ht="15" customHeight="1">
      <c r="A5126" t="inlineStr">
        <is>
          <t>A 35194-2024</t>
        </is>
      </c>
      <c r="B5126" s="1" t="n">
        <v>45530</v>
      </c>
      <c r="C5126" s="1" t="n">
        <v>46046</v>
      </c>
      <c r="D5126" t="inlineStr">
        <is>
          <t>NORRBOTTENS LÄN</t>
        </is>
      </c>
      <c r="E5126" t="inlineStr">
        <is>
          <t>ARJEPLOG</t>
        </is>
      </c>
      <c r="G5126" t="n">
        <v>20.1</v>
      </c>
      <c r="H5126" t="n">
        <v>0</v>
      </c>
      <c r="I5126" t="n">
        <v>0</v>
      </c>
      <c r="J5126" t="n">
        <v>0</v>
      </c>
      <c r="K5126" t="n">
        <v>0</v>
      </c>
      <c r="L5126" t="n">
        <v>0</v>
      </c>
      <c r="M5126" t="n">
        <v>0</v>
      </c>
      <c r="N5126" t="n">
        <v>0</v>
      </c>
      <c r="O5126" t="n">
        <v>0</v>
      </c>
      <c r="P5126" t="n">
        <v>0</v>
      </c>
      <c r="Q5126" t="n">
        <v>0</v>
      </c>
      <c r="R5126" s="2" t="inlineStr"/>
    </row>
    <row r="5127" ht="15" customHeight="1">
      <c r="A5127" t="inlineStr">
        <is>
          <t>A 21777-2024</t>
        </is>
      </c>
      <c r="B5127" s="1" t="n">
        <v>45442</v>
      </c>
      <c r="C5127" s="1" t="n">
        <v>46046</v>
      </c>
      <c r="D5127" t="inlineStr">
        <is>
          <t>NORRBOTTENS LÄN</t>
        </is>
      </c>
      <c r="E5127" t="inlineStr">
        <is>
          <t>ÖVERKALIX</t>
        </is>
      </c>
      <c r="F5127" t="inlineStr">
        <is>
          <t>Sveaskog</t>
        </is>
      </c>
      <c r="G5127" t="n">
        <v>30.5</v>
      </c>
      <c r="H5127" t="n">
        <v>0</v>
      </c>
      <c r="I5127" t="n">
        <v>0</v>
      </c>
      <c r="J5127" t="n">
        <v>0</v>
      </c>
      <c r="K5127" t="n">
        <v>0</v>
      </c>
      <c r="L5127" t="n">
        <v>0</v>
      </c>
      <c r="M5127" t="n">
        <v>0</v>
      </c>
      <c r="N5127" t="n">
        <v>0</v>
      </c>
      <c r="O5127" t="n">
        <v>0</v>
      </c>
      <c r="P5127" t="n">
        <v>0</v>
      </c>
      <c r="Q5127" t="n">
        <v>0</v>
      </c>
      <c r="R5127" s="2" t="inlineStr"/>
    </row>
    <row r="5128" ht="15" customHeight="1">
      <c r="A5128" t="inlineStr">
        <is>
          <t>A 28319-2021</t>
        </is>
      </c>
      <c r="B5128" s="1" t="n">
        <v>44355</v>
      </c>
      <c r="C5128" s="1" t="n">
        <v>46046</v>
      </c>
      <c r="D5128" t="inlineStr">
        <is>
          <t>NORRBOTTENS LÄN</t>
        </is>
      </c>
      <c r="E5128" t="inlineStr">
        <is>
          <t>JOKKMOKK</t>
        </is>
      </c>
      <c r="F5128" t="inlineStr">
        <is>
          <t>Övriga statliga verk och myndigheter</t>
        </is>
      </c>
      <c r="G5128" t="n">
        <v>40</v>
      </c>
      <c r="H5128" t="n">
        <v>0</v>
      </c>
      <c r="I5128" t="n">
        <v>0</v>
      </c>
      <c r="J5128" t="n">
        <v>0</v>
      </c>
      <c r="K5128" t="n">
        <v>0</v>
      </c>
      <c r="L5128" t="n">
        <v>0</v>
      </c>
      <c r="M5128" t="n">
        <v>0</v>
      </c>
      <c r="N5128" t="n">
        <v>0</v>
      </c>
      <c r="O5128" t="n">
        <v>0</v>
      </c>
      <c r="P5128" t="n">
        <v>0</v>
      </c>
      <c r="Q5128" t="n">
        <v>0</v>
      </c>
      <c r="R5128" s="2" t="inlineStr"/>
    </row>
    <row r="5129" ht="15" customHeight="1">
      <c r="A5129" t="inlineStr">
        <is>
          <t>A 43003-2023</t>
        </is>
      </c>
      <c r="B5129" s="1" t="n">
        <v>45180</v>
      </c>
      <c r="C5129" s="1" t="n">
        <v>46046</v>
      </c>
      <c r="D5129" t="inlineStr">
        <is>
          <t>NORRBOTTENS LÄN</t>
        </is>
      </c>
      <c r="E5129" t="inlineStr">
        <is>
          <t>HAPARANDA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38874-2023</t>
        </is>
      </c>
      <c r="B5130" s="1" t="n">
        <v>45161</v>
      </c>
      <c r="C5130" s="1" t="n">
        <v>46046</v>
      </c>
      <c r="D5130" t="inlineStr">
        <is>
          <t>NORRBOTTENS LÄN</t>
        </is>
      </c>
      <c r="E5130" t="inlineStr">
        <is>
          <t>BODEN</t>
        </is>
      </c>
      <c r="G5130" t="n">
        <v>15.5</v>
      </c>
      <c r="H5130" t="n">
        <v>0</v>
      </c>
      <c r="I5130" t="n">
        <v>0</v>
      </c>
      <c r="J5130" t="n">
        <v>0</v>
      </c>
      <c r="K5130" t="n">
        <v>0</v>
      </c>
      <c r="L5130" t="n">
        <v>0</v>
      </c>
      <c r="M5130" t="n">
        <v>0</v>
      </c>
      <c r="N5130" t="n">
        <v>0</v>
      </c>
      <c r="O5130" t="n">
        <v>0</v>
      </c>
      <c r="P5130" t="n">
        <v>0</v>
      </c>
      <c r="Q5130" t="n">
        <v>0</v>
      </c>
      <c r="R5130" s="2" t="inlineStr"/>
    </row>
    <row r="5131" ht="15" customHeight="1">
      <c r="A5131" t="inlineStr">
        <is>
          <t>A 50696-2023</t>
        </is>
      </c>
      <c r="B5131" s="1" t="n">
        <v>45210</v>
      </c>
      <c r="C5131" s="1" t="n">
        <v>46046</v>
      </c>
      <c r="D5131" t="inlineStr">
        <is>
          <t>NORRBOTTENS LÄN</t>
        </is>
      </c>
      <c r="E5131" t="inlineStr">
        <is>
          <t>PAJALA</t>
        </is>
      </c>
      <c r="G5131" t="n">
        <v>10.7</v>
      </c>
      <c r="H5131" t="n">
        <v>0</v>
      </c>
      <c r="I5131" t="n">
        <v>0</v>
      </c>
      <c r="J5131" t="n">
        <v>0</v>
      </c>
      <c r="K5131" t="n">
        <v>0</v>
      </c>
      <c r="L5131" t="n">
        <v>0</v>
      </c>
      <c r="M5131" t="n">
        <v>0</v>
      </c>
      <c r="N5131" t="n">
        <v>0</v>
      </c>
      <c r="O5131" t="n">
        <v>0</v>
      </c>
      <c r="P5131" t="n">
        <v>0</v>
      </c>
      <c r="Q5131" t="n">
        <v>0</v>
      </c>
      <c r="R5131" s="2" t="inlineStr"/>
    </row>
    <row r="5132" ht="15" customHeight="1">
      <c r="A5132" t="inlineStr">
        <is>
          <t>A 5937-2021</t>
        </is>
      </c>
      <c r="B5132" s="1" t="n">
        <v>44229</v>
      </c>
      <c r="C5132" s="1" t="n">
        <v>46046</v>
      </c>
      <c r="D5132" t="inlineStr">
        <is>
          <t>NORRBOTTENS LÄN</t>
        </is>
      </c>
      <c r="E5132" t="inlineStr">
        <is>
          <t>KALIX</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5938-2021</t>
        </is>
      </c>
      <c r="B5133" s="1" t="n">
        <v>44231</v>
      </c>
      <c r="C5133" s="1" t="n">
        <v>46046</v>
      </c>
      <c r="D5133" t="inlineStr">
        <is>
          <t>NORRBOTTENS LÄN</t>
        </is>
      </c>
      <c r="E5133" t="inlineStr">
        <is>
          <t>PAJALA</t>
        </is>
      </c>
      <c r="G5133" t="n">
        <v>24.5</v>
      </c>
      <c r="H5133" t="n">
        <v>0</v>
      </c>
      <c r="I5133" t="n">
        <v>0</v>
      </c>
      <c r="J5133" t="n">
        <v>0</v>
      </c>
      <c r="K5133" t="n">
        <v>0</v>
      </c>
      <c r="L5133" t="n">
        <v>0</v>
      </c>
      <c r="M5133" t="n">
        <v>0</v>
      </c>
      <c r="N5133" t="n">
        <v>0</v>
      </c>
      <c r="O5133" t="n">
        <v>0</v>
      </c>
      <c r="P5133" t="n">
        <v>0</v>
      </c>
      <c r="Q5133" t="n">
        <v>0</v>
      </c>
      <c r="R5133" s="2" t="inlineStr"/>
    </row>
    <row r="5134" ht="15" customHeight="1">
      <c r="A5134" t="inlineStr">
        <is>
          <t>A 9865-2023</t>
        </is>
      </c>
      <c r="B5134" s="1" t="n">
        <v>44984</v>
      </c>
      <c r="C5134" s="1" t="n">
        <v>46046</v>
      </c>
      <c r="D5134" t="inlineStr">
        <is>
          <t>NORRBOTTENS LÄN</t>
        </is>
      </c>
      <c r="E5134" t="inlineStr">
        <is>
          <t>JOKKMOKK</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60571-2023</t>
        </is>
      </c>
      <c r="B5135" s="1" t="n">
        <v>45259.92872685185</v>
      </c>
      <c r="C5135" s="1" t="n">
        <v>46046</v>
      </c>
      <c r="D5135" t="inlineStr">
        <is>
          <t>NORRBOTTENS LÄN</t>
        </is>
      </c>
      <c r="E5135" t="inlineStr">
        <is>
          <t>PITEÅ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38851-2025</t>
        </is>
      </c>
      <c r="B5136" s="1" t="n">
        <v>45887.55271990741</v>
      </c>
      <c r="C5136" s="1" t="n">
        <v>46046</v>
      </c>
      <c r="D5136" t="inlineStr">
        <is>
          <t>NORRBOTTENS LÄN</t>
        </is>
      </c>
      <c r="E5136" t="inlineStr">
        <is>
          <t>ARJEPLOG</t>
        </is>
      </c>
      <c r="G5136" t="n">
        <v>15.2</v>
      </c>
      <c r="H5136" t="n">
        <v>0</v>
      </c>
      <c r="I5136" t="n">
        <v>0</v>
      </c>
      <c r="J5136" t="n">
        <v>0</v>
      </c>
      <c r="K5136" t="n">
        <v>0</v>
      </c>
      <c r="L5136" t="n">
        <v>0</v>
      </c>
      <c r="M5136" t="n">
        <v>0</v>
      </c>
      <c r="N5136" t="n">
        <v>0</v>
      </c>
      <c r="O5136" t="n">
        <v>0</v>
      </c>
      <c r="P5136" t="n">
        <v>0</v>
      </c>
      <c r="Q5136" t="n">
        <v>0</v>
      </c>
      <c r="R5136" s="2" t="inlineStr"/>
    </row>
    <row r="5137" ht="15" customHeight="1">
      <c r="A5137" t="inlineStr">
        <is>
          <t>A 38895-2025</t>
        </is>
      </c>
      <c r="B5137" s="1" t="n">
        <v>45887</v>
      </c>
      <c r="C5137" s="1" t="n">
        <v>46046</v>
      </c>
      <c r="D5137" t="inlineStr">
        <is>
          <t>NORRBOTTENS LÄN</t>
        </is>
      </c>
      <c r="E5137" t="inlineStr">
        <is>
          <t>GÄLLIVARE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58919-2023</t>
        </is>
      </c>
      <c r="B5138" s="1" t="n">
        <v>45252</v>
      </c>
      <c r="C5138" s="1" t="n">
        <v>46046</v>
      </c>
      <c r="D5138" t="inlineStr">
        <is>
          <t>NORRBOTTENS LÄN</t>
        </is>
      </c>
      <c r="E5138" t="inlineStr">
        <is>
          <t>ÄLVSBYN</t>
        </is>
      </c>
      <c r="G5138" t="n">
        <v>25.1</v>
      </c>
      <c r="H5138" t="n">
        <v>0</v>
      </c>
      <c r="I5138" t="n">
        <v>0</v>
      </c>
      <c r="J5138" t="n">
        <v>0</v>
      </c>
      <c r="K5138" t="n">
        <v>0</v>
      </c>
      <c r="L5138" t="n">
        <v>0</v>
      </c>
      <c r="M5138" t="n">
        <v>0</v>
      </c>
      <c r="N5138" t="n">
        <v>0</v>
      </c>
      <c r="O5138" t="n">
        <v>0</v>
      </c>
      <c r="P5138" t="n">
        <v>0</v>
      </c>
      <c r="Q5138" t="n">
        <v>0</v>
      </c>
      <c r="R5138" s="2" t="inlineStr"/>
    </row>
    <row r="5139" ht="15" customHeight="1">
      <c r="A5139" t="inlineStr">
        <is>
          <t>A 35090-2023</t>
        </is>
      </c>
      <c r="B5139" s="1" t="n">
        <v>45145</v>
      </c>
      <c r="C5139" s="1" t="n">
        <v>46046</v>
      </c>
      <c r="D5139" t="inlineStr">
        <is>
          <t>NORRBOTTENS LÄN</t>
        </is>
      </c>
      <c r="E5139" t="inlineStr">
        <is>
          <t>LULEÅ</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58991-2023</t>
        </is>
      </c>
      <c r="B5140" s="1" t="n">
        <v>45225</v>
      </c>
      <c r="C5140" s="1" t="n">
        <v>46046</v>
      </c>
      <c r="D5140" t="inlineStr">
        <is>
          <t>NORRBOTTENS LÄN</t>
        </is>
      </c>
      <c r="E5140" t="inlineStr">
        <is>
          <t>KALIX</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23632-2021</t>
        </is>
      </c>
      <c r="B5141" s="1" t="n">
        <v>44334</v>
      </c>
      <c r="C5141" s="1" t="n">
        <v>46046</v>
      </c>
      <c r="D5141" t="inlineStr">
        <is>
          <t>NORRBOTTENS LÄN</t>
        </is>
      </c>
      <c r="E5141" t="inlineStr">
        <is>
          <t>LULEÅ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36715-2021</t>
        </is>
      </c>
      <c r="B5142" s="1" t="n">
        <v>44392.54153935185</v>
      </c>
      <c r="C5142" s="1" t="n">
        <v>46046</v>
      </c>
      <c r="D5142" t="inlineStr">
        <is>
          <t>NORRBOTTENS LÄN</t>
        </is>
      </c>
      <c r="E5142" t="inlineStr">
        <is>
          <t>PAJALA</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44690-2023</t>
        </is>
      </c>
      <c r="B5143" s="1" t="n">
        <v>45189</v>
      </c>
      <c r="C5143" s="1" t="n">
        <v>46046</v>
      </c>
      <c r="D5143" t="inlineStr">
        <is>
          <t>NORRBOTTENS LÄN</t>
        </is>
      </c>
      <c r="E5143" t="inlineStr">
        <is>
          <t>GÄLLIVARE</t>
        </is>
      </c>
      <c r="G5143" t="n">
        <v>8.6</v>
      </c>
      <c r="H5143" t="n">
        <v>0</v>
      </c>
      <c r="I5143" t="n">
        <v>0</v>
      </c>
      <c r="J5143" t="n">
        <v>0</v>
      </c>
      <c r="K5143" t="n">
        <v>0</v>
      </c>
      <c r="L5143" t="n">
        <v>0</v>
      </c>
      <c r="M5143" t="n">
        <v>0</v>
      </c>
      <c r="N5143" t="n">
        <v>0</v>
      </c>
      <c r="O5143" t="n">
        <v>0</v>
      </c>
      <c r="P5143" t="n">
        <v>0</v>
      </c>
      <c r="Q5143" t="n">
        <v>0</v>
      </c>
      <c r="R5143" s="2" t="inlineStr"/>
    </row>
    <row r="5144" ht="15" customHeight="1">
      <c r="A5144" t="inlineStr">
        <is>
          <t>A 30364-2025</t>
        </is>
      </c>
      <c r="B5144" s="1" t="n">
        <v>45827.55077546297</v>
      </c>
      <c r="C5144" s="1" t="n">
        <v>46046</v>
      </c>
      <c r="D5144" t="inlineStr">
        <is>
          <t>NORRBOTTENS LÄN</t>
        </is>
      </c>
      <c r="E5144" t="inlineStr">
        <is>
          <t>ÖVERTORNEÅ</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2595-2023</t>
        </is>
      </c>
      <c r="B5145" s="1" t="n">
        <v>44943</v>
      </c>
      <c r="C5145" s="1" t="n">
        <v>46046</v>
      </c>
      <c r="D5145" t="inlineStr">
        <is>
          <t>NORRBOTTENS LÄN</t>
        </is>
      </c>
      <c r="E5145" t="inlineStr">
        <is>
          <t>ÄLVSBYN</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39168-2025</t>
        </is>
      </c>
      <c r="B5146" s="1" t="n">
        <v>45888.63964120371</v>
      </c>
      <c r="C5146" s="1" t="n">
        <v>46046</v>
      </c>
      <c r="D5146" t="inlineStr">
        <is>
          <t>NORRBOTTENS LÄN</t>
        </is>
      </c>
      <c r="E5146" t="inlineStr">
        <is>
          <t>GÄLLIVARE</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37731-2022</t>
        </is>
      </c>
      <c r="B5147" s="1" t="n">
        <v>44810.57025462963</v>
      </c>
      <c r="C5147" s="1" t="n">
        <v>46046</v>
      </c>
      <c r="D5147" t="inlineStr">
        <is>
          <t>NORRBOTTENS LÄN</t>
        </is>
      </c>
      <c r="E5147" t="inlineStr">
        <is>
          <t>ÄLVSBYN</t>
        </is>
      </c>
      <c r="F5147" t="inlineStr">
        <is>
          <t>Sveaskog</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18915-2025</t>
        </is>
      </c>
      <c r="B5148" s="1" t="n">
        <v>45764</v>
      </c>
      <c r="C5148" s="1" t="n">
        <v>46046</v>
      </c>
      <c r="D5148" t="inlineStr">
        <is>
          <t>NORRBOTTENS LÄN</t>
        </is>
      </c>
      <c r="E5148" t="inlineStr">
        <is>
          <t>BODEN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62452-2022</t>
        </is>
      </c>
      <c r="B5149" s="1" t="n">
        <v>44916</v>
      </c>
      <c r="C5149" s="1" t="n">
        <v>46046</v>
      </c>
      <c r="D5149" t="inlineStr">
        <is>
          <t>NORRBOTTENS LÄN</t>
        </is>
      </c>
      <c r="E5149" t="inlineStr">
        <is>
          <t>KIRUNA</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39402-2025</t>
        </is>
      </c>
      <c r="B5150" s="1" t="n">
        <v>45889.6356712963</v>
      </c>
      <c r="C5150" s="1" t="n">
        <v>46046</v>
      </c>
      <c r="D5150" t="inlineStr">
        <is>
          <t>NORRBOTTENS LÄN</t>
        </is>
      </c>
      <c r="E5150" t="inlineStr">
        <is>
          <t>ARVIDSJAUR</t>
        </is>
      </c>
      <c r="F5150" t="inlineStr">
        <is>
          <t>Sveaskog</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19146-2023</t>
        </is>
      </c>
      <c r="B5151" s="1" t="n">
        <v>45044</v>
      </c>
      <c r="C5151" s="1" t="n">
        <v>46046</v>
      </c>
      <c r="D5151" t="inlineStr">
        <is>
          <t>NORRBOTTENS LÄN</t>
        </is>
      </c>
      <c r="E5151" t="inlineStr">
        <is>
          <t>KALIX</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39269-2025</t>
        </is>
      </c>
      <c r="B5152" s="1" t="n">
        <v>45889.38579861111</v>
      </c>
      <c r="C5152" s="1" t="n">
        <v>46046</v>
      </c>
      <c r="D5152" t="inlineStr">
        <is>
          <t>NORRBOTTENS LÄN</t>
        </is>
      </c>
      <c r="E5152" t="inlineStr">
        <is>
          <t>LULEÅ</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19986-2025</t>
        </is>
      </c>
      <c r="B5153" s="1" t="n">
        <v>45771.71979166667</v>
      </c>
      <c r="C5153" s="1" t="n">
        <v>46046</v>
      </c>
      <c r="D5153" t="inlineStr">
        <is>
          <t>NORRBOTTENS LÄN</t>
        </is>
      </c>
      <c r="E5153" t="inlineStr">
        <is>
          <t>LULEÅ</t>
        </is>
      </c>
      <c r="F5153" t="inlineStr">
        <is>
          <t>Naturvårdsverket</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39180-2025</t>
        </is>
      </c>
      <c r="B5154" s="1" t="n">
        <v>45888</v>
      </c>
      <c r="C5154" s="1" t="n">
        <v>46046</v>
      </c>
      <c r="D5154" t="inlineStr">
        <is>
          <t>NORRBOTTENS LÄN</t>
        </is>
      </c>
      <c r="E5154" t="inlineStr">
        <is>
          <t>ÖVERTORNEÅ</t>
        </is>
      </c>
      <c r="G5154" t="n">
        <v>8.6</v>
      </c>
      <c r="H5154" t="n">
        <v>0</v>
      </c>
      <c r="I5154" t="n">
        <v>0</v>
      </c>
      <c r="J5154" t="n">
        <v>0</v>
      </c>
      <c r="K5154" t="n">
        <v>0</v>
      </c>
      <c r="L5154" t="n">
        <v>0</v>
      </c>
      <c r="M5154" t="n">
        <v>0</v>
      </c>
      <c r="N5154" t="n">
        <v>0</v>
      </c>
      <c r="O5154" t="n">
        <v>0</v>
      </c>
      <c r="P5154" t="n">
        <v>0</v>
      </c>
      <c r="Q5154" t="n">
        <v>0</v>
      </c>
      <c r="R5154" s="2" t="inlineStr"/>
    </row>
    <row r="5155" ht="15" customHeight="1">
      <c r="A5155" t="inlineStr">
        <is>
          <t>A 39440-2025</t>
        </is>
      </c>
      <c r="B5155" s="1" t="n">
        <v>45889.68805555555</v>
      </c>
      <c r="C5155" s="1" t="n">
        <v>46046</v>
      </c>
      <c r="D5155" t="inlineStr">
        <is>
          <t>NORRBOTTENS LÄN</t>
        </is>
      </c>
      <c r="E5155" t="inlineStr">
        <is>
          <t>GÄLLIVARE</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26449-2025</t>
        </is>
      </c>
      <c r="B5156" s="1" t="n">
        <v>45807.41793981481</v>
      </c>
      <c r="C5156" s="1" t="n">
        <v>46046</v>
      </c>
      <c r="D5156" t="inlineStr">
        <is>
          <t>NORRBOTTENS LÄN</t>
        </is>
      </c>
      <c r="E5156" t="inlineStr">
        <is>
          <t>ÖVERKALIX</t>
        </is>
      </c>
      <c r="F5156" t="inlineStr">
        <is>
          <t>Sveaskog</t>
        </is>
      </c>
      <c r="G5156" t="n">
        <v>10.9</v>
      </c>
      <c r="H5156" t="n">
        <v>0</v>
      </c>
      <c r="I5156" t="n">
        <v>0</v>
      </c>
      <c r="J5156" t="n">
        <v>0</v>
      </c>
      <c r="K5156" t="n">
        <v>0</v>
      </c>
      <c r="L5156" t="n">
        <v>0</v>
      </c>
      <c r="M5156" t="n">
        <v>0</v>
      </c>
      <c r="N5156" t="n">
        <v>0</v>
      </c>
      <c r="O5156" t="n">
        <v>0</v>
      </c>
      <c r="P5156" t="n">
        <v>0</v>
      </c>
      <c r="Q5156" t="n">
        <v>0</v>
      </c>
      <c r="R5156" s="2" t="inlineStr"/>
    </row>
    <row r="5157" ht="15" customHeight="1">
      <c r="A5157" t="inlineStr">
        <is>
          <t>A 33032-2025</t>
        </is>
      </c>
      <c r="B5157" s="1" t="n">
        <v>45840.39109953704</v>
      </c>
      <c r="C5157" s="1" t="n">
        <v>46046</v>
      </c>
      <c r="D5157" t="inlineStr">
        <is>
          <t>NORRBOTTENS LÄN</t>
        </is>
      </c>
      <c r="E5157" t="inlineStr">
        <is>
          <t>BODEN</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45469-2022</t>
        </is>
      </c>
      <c r="B5158" s="1" t="n">
        <v>44841</v>
      </c>
      <c r="C5158" s="1" t="n">
        <v>46046</v>
      </c>
      <c r="D5158" t="inlineStr">
        <is>
          <t>NORRBOTTENS LÄN</t>
        </is>
      </c>
      <c r="E5158" t="inlineStr">
        <is>
          <t>JOKKMOKK</t>
        </is>
      </c>
      <c r="F5158" t="inlineStr">
        <is>
          <t>Övriga Aktiebolag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45505-2022</t>
        </is>
      </c>
      <c r="B5159" s="1" t="n">
        <v>44841</v>
      </c>
      <c r="C5159" s="1" t="n">
        <v>46046</v>
      </c>
      <c r="D5159" t="inlineStr">
        <is>
          <t>NORRBOTTENS LÄN</t>
        </is>
      </c>
      <c r="E5159" t="inlineStr">
        <is>
          <t>JOKKMOKK</t>
        </is>
      </c>
      <c r="F5159" t="inlineStr">
        <is>
          <t>Övriga Aktiebolag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39261-2025</t>
        </is>
      </c>
      <c r="B5160" s="1" t="n">
        <v>45889.37136574074</v>
      </c>
      <c r="C5160" s="1" t="n">
        <v>46046</v>
      </c>
      <c r="D5160" t="inlineStr">
        <is>
          <t>NORRBOTTENS LÄN</t>
        </is>
      </c>
      <c r="E5160" t="inlineStr">
        <is>
          <t>GÄLLIVARE</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39300-2025</t>
        </is>
      </c>
      <c r="B5161" s="1" t="n">
        <v>45888</v>
      </c>
      <c r="C5161" s="1" t="n">
        <v>46046</v>
      </c>
      <c r="D5161" t="inlineStr">
        <is>
          <t>NORRBOTTENS LÄN</t>
        </is>
      </c>
      <c r="E5161" t="inlineStr">
        <is>
          <t>ARVIDSJAUR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50744-2021</t>
        </is>
      </c>
      <c r="B5162" s="1" t="n">
        <v>44460</v>
      </c>
      <c r="C5162" s="1" t="n">
        <v>46046</v>
      </c>
      <c r="D5162" t="inlineStr">
        <is>
          <t>NORRBOTTENS LÄN</t>
        </is>
      </c>
      <c r="E5162" t="inlineStr">
        <is>
          <t>ÄLVSBYN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39397-2025</t>
        </is>
      </c>
      <c r="B5163" s="1" t="n">
        <v>45889.63354166667</v>
      </c>
      <c r="C5163" s="1" t="n">
        <v>46046</v>
      </c>
      <c r="D5163" t="inlineStr">
        <is>
          <t>NORRBOTTENS LÄN</t>
        </is>
      </c>
      <c r="E5163" t="inlineStr">
        <is>
          <t>ARVIDSJAUR</t>
        </is>
      </c>
      <c r="F5163" t="inlineStr">
        <is>
          <t>Sveaskog</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39413-2025</t>
        </is>
      </c>
      <c r="B5164" s="1" t="n">
        <v>45889.65671296296</v>
      </c>
      <c r="C5164" s="1" t="n">
        <v>46046</v>
      </c>
      <c r="D5164" t="inlineStr">
        <is>
          <t>NORRBOTTENS LÄN</t>
        </is>
      </c>
      <c r="E5164" t="inlineStr">
        <is>
          <t>GÄLLIVARE</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19329-2025</t>
        </is>
      </c>
      <c r="B5165" s="1" t="n">
        <v>45769</v>
      </c>
      <c r="C5165" s="1" t="n">
        <v>46046</v>
      </c>
      <c r="D5165" t="inlineStr">
        <is>
          <t>NORRBOTTENS LÄN</t>
        </is>
      </c>
      <c r="E5165" t="inlineStr">
        <is>
          <t>PITEÅ</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262-2025</t>
        </is>
      </c>
      <c r="B5166" s="1" t="n">
        <v>45660.45283564815</v>
      </c>
      <c r="C5166" s="1" t="n">
        <v>46046</v>
      </c>
      <c r="D5166" t="inlineStr">
        <is>
          <t>NORRBOTTENS LÄN</t>
        </is>
      </c>
      <c r="E5166" t="inlineStr">
        <is>
          <t>KALIX</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29417-2025</t>
        </is>
      </c>
      <c r="B5167" s="1" t="n">
        <v>45824.63576388889</v>
      </c>
      <c r="C5167" s="1" t="n">
        <v>46046</v>
      </c>
      <c r="D5167" t="inlineStr">
        <is>
          <t>NORRBOTTENS LÄN</t>
        </is>
      </c>
      <c r="E5167" t="inlineStr">
        <is>
          <t>LULEÅ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39002-2025</t>
        </is>
      </c>
      <c r="B5168" s="1" t="n">
        <v>45888</v>
      </c>
      <c r="C5168" s="1" t="n">
        <v>46046</v>
      </c>
      <c r="D5168" t="inlineStr">
        <is>
          <t>NORRBOTTENS LÄN</t>
        </is>
      </c>
      <c r="E5168" t="inlineStr">
        <is>
          <t>ARVIDSJAUR</t>
        </is>
      </c>
      <c r="F5168" t="inlineStr">
        <is>
          <t>SCA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39006-2025</t>
        </is>
      </c>
      <c r="B5169" s="1" t="n">
        <v>45888.34505787037</v>
      </c>
      <c r="C5169" s="1" t="n">
        <v>46046</v>
      </c>
      <c r="D5169" t="inlineStr">
        <is>
          <t>NORRBOTTENS LÄN</t>
        </is>
      </c>
      <c r="E5169" t="inlineStr">
        <is>
          <t>ARVIDSJAUR</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24311-2025</t>
        </is>
      </c>
      <c r="B5170" s="1" t="n">
        <v>45797.51899305556</v>
      </c>
      <c r="C5170" s="1" t="n">
        <v>46046</v>
      </c>
      <c r="D5170" t="inlineStr">
        <is>
          <t>NORRBOTTENS LÄN</t>
        </is>
      </c>
      <c r="E5170" t="inlineStr">
        <is>
          <t>PITEÅ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33582-2025</t>
        </is>
      </c>
      <c r="B5171" s="1" t="n">
        <v>45841.59421296296</v>
      </c>
      <c r="C5171" s="1" t="n">
        <v>46046</v>
      </c>
      <c r="D5171" t="inlineStr">
        <is>
          <t>NORRBOTTENS LÄN</t>
        </is>
      </c>
      <c r="E5171" t="inlineStr">
        <is>
          <t>KALIX</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23534-2025</t>
        </is>
      </c>
      <c r="B5172" s="1" t="n">
        <v>45792</v>
      </c>
      <c r="C5172" s="1" t="n">
        <v>46046</v>
      </c>
      <c r="D5172" t="inlineStr">
        <is>
          <t>NORRBOTTENS LÄN</t>
        </is>
      </c>
      <c r="E5172" t="inlineStr">
        <is>
          <t>LULEÅ</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27899-2023</t>
        </is>
      </c>
      <c r="B5173" s="1" t="n">
        <v>45098</v>
      </c>
      <c r="C5173" s="1" t="n">
        <v>46046</v>
      </c>
      <c r="D5173" t="inlineStr">
        <is>
          <t>NORRBOTTENS LÄN</t>
        </is>
      </c>
      <c r="E5173" t="inlineStr">
        <is>
          <t>PITEÅ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61770-2024</t>
        </is>
      </c>
      <c r="B5174" s="1" t="n">
        <v>45649.45567129629</v>
      </c>
      <c r="C5174" s="1" t="n">
        <v>46046</v>
      </c>
      <c r="D5174" t="inlineStr">
        <is>
          <t>NORRBOTTENS LÄN</t>
        </is>
      </c>
      <c r="E5174" t="inlineStr">
        <is>
          <t>BODEN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23495-2024</t>
        </is>
      </c>
      <c r="B5175" s="1" t="n">
        <v>45453</v>
      </c>
      <c r="C5175" s="1" t="n">
        <v>46046</v>
      </c>
      <c r="D5175" t="inlineStr">
        <is>
          <t>NORRBOTTENS LÄN</t>
        </is>
      </c>
      <c r="E5175" t="inlineStr">
        <is>
          <t>GÄLLIVARE</t>
        </is>
      </c>
      <c r="F5175" t="inlineStr">
        <is>
          <t>Allmännings- och besparingsskogar</t>
        </is>
      </c>
      <c r="G5175" t="n">
        <v>15.4</v>
      </c>
      <c r="H5175" t="n">
        <v>0</v>
      </c>
      <c r="I5175" t="n">
        <v>0</v>
      </c>
      <c r="J5175" t="n">
        <v>0</v>
      </c>
      <c r="K5175" t="n">
        <v>0</v>
      </c>
      <c r="L5175" t="n">
        <v>0</v>
      </c>
      <c r="M5175" t="n">
        <v>0</v>
      </c>
      <c r="N5175" t="n">
        <v>0</v>
      </c>
      <c r="O5175" t="n">
        <v>0</v>
      </c>
      <c r="P5175" t="n">
        <v>0</v>
      </c>
      <c r="Q5175" t="n">
        <v>0</v>
      </c>
      <c r="R5175" s="2" t="inlineStr"/>
    </row>
    <row r="5176" ht="15" customHeight="1">
      <c r="A5176" t="inlineStr">
        <is>
          <t>A 18850-2025</t>
        </is>
      </c>
      <c r="B5176" s="1" t="n">
        <v>45764.41936342593</v>
      </c>
      <c r="C5176" s="1" t="n">
        <v>46046</v>
      </c>
      <c r="D5176" t="inlineStr">
        <is>
          <t>NORRBOTTENS LÄN</t>
        </is>
      </c>
      <c r="E5176" t="inlineStr">
        <is>
          <t>PITEÅ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39299-2025</t>
        </is>
      </c>
      <c r="B5177" s="1" t="n">
        <v>45888</v>
      </c>
      <c r="C5177" s="1" t="n">
        <v>46046</v>
      </c>
      <c r="D5177" t="inlineStr">
        <is>
          <t>NORRBOTTENS LÄN</t>
        </is>
      </c>
      <c r="E5177" t="inlineStr">
        <is>
          <t>ARVIDSJAUR</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39303-2025</t>
        </is>
      </c>
      <c r="B5178" s="1" t="n">
        <v>45889.44988425926</v>
      </c>
      <c r="C5178" s="1" t="n">
        <v>46046</v>
      </c>
      <c r="D5178" t="inlineStr">
        <is>
          <t>NORRBOTTENS LÄN</t>
        </is>
      </c>
      <c r="E5178" t="inlineStr">
        <is>
          <t>ÖVERTORNEÅ</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39337-2025</t>
        </is>
      </c>
      <c r="B5179" s="1" t="n">
        <v>45889</v>
      </c>
      <c r="C5179" s="1" t="n">
        <v>46046</v>
      </c>
      <c r="D5179" t="inlineStr">
        <is>
          <t>NORRBOTTENS LÄN</t>
        </is>
      </c>
      <c r="E5179" t="inlineStr">
        <is>
          <t>GÄLLIVARE</t>
        </is>
      </c>
      <c r="F5179" t="inlineStr">
        <is>
          <t>Sveaskog</t>
        </is>
      </c>
      <c r="G5179" t="n">
        <v>36.8</v>
      </c>
      <c r="H5179" t="n">
        <v>0</v>
      </c>
      <c r="I5179" t="n">
        <v>0</v>
      </c>
      <c r="J5179" t="n">
        <v>0</v>
      </c>
      <c r="K5179" t="n">
        <v>0</v>
      </c>
      <c r="L5179" t="n">
        <v>0</v>
      </c>
      <c r="M5179" t="n">
        <v>0</v>
      </c>
      <c r="N5179" t="n">
        <v>0</v>
      </c>
      <c r="O5179" t="n">
        <v>0</v>
      </c>
      <c r="P5179" t="n">
        <v>0</v>
      </c>
      <c r="Q5179" t="n">
        <v>0</v>
      </c>
      <c r="R5179" s="2" t="inlineStr"/>
    </row>
    <row r="5180" ht="15" customHeight="1">
      <c r="A5180" t="inlineStr">
        <is>
          <t>A 59678-2024</t>
        </is>
      </c>
      <c r="B5180" s="1" t="n">
        <v>45639.39559027777</v>
      </c>
      <c r="C5180" s="1" t="n">
        <v>46046</v>
      </c>
      <c r="D5180" t="inlineStr">
        <is>
          <t>NORRBOTTENS LÄN</t>
        </is>
      </c>
      <c r="E5180" t="inlineStr">
        <is>
          <t>PITEÅ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60337-2024</t>
        </is>
      </c>
      <c r="B5181" s="1" t="n">
        <v>45643.40710648148</v>
      </c>
      <c r="C5181" s="1" t="n">
        <v>46046</v>
      </c>
      <c r="D5181" t="inlineStr">
        <is>
          <t>NORRBOTTENS LÄN</t>
        </is>
      </c>
      <c r="E5181" t="inlineStr">
        <is>
          <t>BODEN</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39279-2025</t>
        </is>
      </c>
      <c r="B5182" s="1" t="n">
        <v>45889.40050925926</v>
      </c>
      <c r="C5182" s="1" t="n">
        <v>46046</v>
      </c>
      <c r="D5182" t="inlineStr">
        <is>
          <t>NORRBOTTENS LÄN</t>
        </is>
      </c>
      <c r="E5182" t="inlineStr">
        <is>
          <t>KALIX</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26248-2025</t>
        </is>
      </c>
      <c r="B5183" s="1" t="n">
        <v>45805.57412037037</v>
      </c>
      <c r="C5183" s="1" t="n">
        <v>46046</v>
      </c>
      <c r="D5183" t="inlineStr">
        <is>
          <t>NORRBOTTENS LÄN</t>
        </is>
      </c>
      <c r="E5183" t="inlineStr">
        <is>
          <t>PITEÅ</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39020-2025</t>
        </is>
      </c>
      <c r="B5184" s="1" t="n">
        <v>45888.37311342593</v>
      </c>
      <c r="C5184" s="1" t="n">
        <v>46046</v>
      </c>
      <c r="D5184" t="inlineStr">
        <is>
          <t>NORRBOTTENS LÄN</t>
        </is>
      </c>
      <c r="E5184" t="inlineStr">
        <is>
          <t>ÄLVSBYN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52087-2022</t>
        </is>
      </c>
      <c r="B5185" s="1" t="n">
        <v>44873</v>
      </c>
      <c r="C5185" s="1" t="n">
        <v>46046</v>
      </c>
      <c r="D5185" t="inlineStr">
        <is>
          <t>NORRBOTTENS LÄN</t>
        </is>
      </c>
      <c r="E5185" t="inlineStr">
        <is>
          <t>ÄLVSBYN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34202-2024</t>
        </is>
      </c>
      <c r="B5186" s="1" t="n">
        <v>45524</v>
      </c>
      <c r="C5186" s="1" t="n">
        <v>46046</v>
      </c>
      <c r="D5186" t="inlineStr">
        <is>
          <t>NORRBOTTENS LÄN</t>
        </is>
      </c>
      <c r="E5186" t="inlineStr">
        <is>
          <t>PAJALA</t>
        </is>
      </c>
      <c r="G5186" t="n">
        <v>14.2</v>
      </c>
      <c r="H5186" t="n">
        <v>0</v>
      </c>
      <c r="I5186" t="n">
        <v>0</v>
      </c>
      <c r="J5186" t="n">
        <v>0</v>
      </c>
      <c r="K5186" t="n">
        <v>0</v>
      </c>
      <c r="L5186" t="n">
        <v>0</v>
      </c>
      <c r="M5186" t="n">
        <v>0</v>
      </c>
      <c r="N5186" t="n">
        <v>0</v>
      </c>
      <c r="O5186" t="n">
        <v>0</v>
      </c>
      <c r="P5186" t="n">
        <v>0</v>
      </c>
      <c r="Q5186" t="n">
        <v>0</v>
      </c>
      <c r="R5186" s="2" t="inlineStr"/>
    </row>
    <row r="5187" ht="15" customHeight="1">
      <c r="A5187" t="inlineStr">
        <is>
          <t>A 13817-2025</t>
        </is>
      </c>
      <c r="B5187" s="1" t="n">
        <v>45737.51363425926</v>
      </c>
      <c r="C5187" s="1" t="n">
        <v>46046</v>
      </c>
      <c r="D5187" t="inlineStr">
        <is>
          <t>NORRBOTTENS LÄN</t>
        </is>
      </c>
      <c r="E5187" t="inlineStr">
        <is>
          <t>KALIX</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64872-2023</t>
        </is>
      </c>
      <c r="B5188" s="1" t="n">
        <v>45282</v>
      </c>
      <c r="C5188" s="1" t="n">
        <v>46046</v>
      </c>
      <c r="D5188" t="inlineStr">
        <is>
          <t>NORRBOTTENS LÄN</t>
        </is>
      </c>
      <c r="E5188" t="inlineStr">
        <is>
          <t>ÄLVSBYN</t>
        </is>
      </c>
      <c r="F5188" t="inlineStr">
        <is>
          <t>Övriga Aktiebolag</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8836-2024</t>
        </is>
      </c>
      <c r="B5189" s="1" t="n">
        <v>45355</v>
      </c>
      <c r="C5189" s="1" t="n">
        <v>46046</v>
      </c>
      <c r="D5189" t="inlineStr">
        <is>
          <t>NORRBOTTENS LÄN</t>
        </is>
      </c>
      <c r="E5189" t="inlineStr">
        <is>
          <t>HAPARANDA</t>
        </is>
      </c>
      <c r="G5189" t="n">
        <v>27.1</v>
      </c>
      <c r="H5189" t="n">
        <v>0</v>
      </c>
      <c r="I5189" t="n">
        <v>0</v>
      </c>
      <c r="J5189" t="n">
        <v>0</v>
      </c>
      <c r="K5189" t="n">
        <v>0</v>
      </c>
      <c r="L5189" t="n">
        <v>0</v>
      </c>
      <c r="M5189" t="n">
        <v>0</v>
      </c>
      <c r="N5189" t="n">
        <v>0</v>
      </c>
      <c r="O5189" t="n">
        <v>0</v>
      </c>
      <c r="P5189" t="n">
        <v>0</v>
      </c>
      <c r="Q5189" t="n">
        <v>0</v>
      </c>
      <c r="R5189" s="2" t="inlineStr"/>
    </row>
    <row r="5190" ht="15" customHeight="1">
      <c r="A5190" t="inlineStr">
        <is>
          <t>A 39414-2025</t>
        </is>
      </c>
      <c r="B5190" s="1" t="n">
        <v>45889.65699074074</v>
      </c>
      <c r="C5190" s="1" t="n">
        <v>46046</v>
      </c>
      <c r="D5190" t="inlineStr">
        <is>
          <t>NORRBOTTENS LÄN</t>
        </is>
      </c>
      <c r="E5190" t="inlineStr">
        <is>
          <t>GÄLLIVARE</t>
        </is>
      </c>
      <c r="F5190" t="inlineStr">
        <is>
          <t>SCA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55221-2022</t>
        </is>
      </c>
      <c r="B5191" s="1" t="n">
        <v>44886</v>
      </c>
      <c r="C5191" s="1" t="n">
        <v>46046</v>
      </c>
      <c r="D5191" t="inlineStr">
        <is>
          <t>NORRBOTTENS LÄN</t>
        </is>
      </c>
      <c r="E5191" t="inlineStr">
        <is>
          <t>GÄLLIVARE</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55223-2022</t>
        </is>
      </c>
      <c r="B5192" s="1" t="n">
        <v>44886</v>
      </c>
      <c r="C5192" s="1" t="n">
        <v>46046</v>
      </c>
      <c r="D5192" t="inlineStr">
        <is>
          <t>NORRBOTTENS LÄN</t>
        </is>
      </c>
      <c r="E5192" t="inlineStr">
        <is>
          <t>GÄLLIVARE</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9860-2023</t>
        </is>
      </c>
      <c r="B5193" s="1" t="n">
        <v>44984</v>
      </c>
      <c r="C5193" s="1" t="n">
        <v>46046</v>
      </c>
      <c r="D5193" t="inlineStr">
        <is>
          <t>NORRBOTTENS LÄN</t>
        </is>
      </c>
      <c r="E5193" t="inlineStr">
        <is>
          <t>JOKKMOKK</t>
        </is>
      </c>
      <c r="F5193" t="inlineStr">
        <is>
          <t>SCA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9863-2023</t>
        </is>
      </c>
      <c r="B5194" s="1" t="n">
        <v>44984</v>
      </c>
      <c r="C5194" s="1" t="n">
        <v>46046</v>
      </c>
      <c r="D5194" t="inlineStr">
        <is>
          <t>NORRBOTTENS LÄN</t>
        </is>
      </c>
      <c r="E5194" t="inlineStr">
        <is>
          <t>JOKKMOKK</t>
        </is>
      </c>
      <c r="F5194" t="inlineStr">
        <is>
          <t>SCA</t>
        </is>
      </c>
      <c r="G5194" t="n">
        <v>14.4</v>
      </c>
      <c r="H5194" t="n">
        <v>0</v>
      </c>
      <c r="I5194" t="n">
        <v>0</v>
      </c>
      <c r="J5194" t="n">
        <v>0</v>
      </c>
      <c r="K5194" t="n">
        <v>0</v>
      </c>
      <c r="L5194" t="n">
        <v>0</v>
      </c>
      <c r="M5194" t="n">
        <v>0</v>
      </c>
      <c r="N5194" t="n">
        <v>0</v>
      </c>
      <c r="O5194" t="n">
        <v>0</v>
      </c>
      <c r="P5194" t="n">
        <v>0</v>
      </c>
      <c r="Q5194" t="n">
        <v>0</v>
      </c>
      <c r="R5194" s="2" t="inlineStr"/>
    </row>
    <row r="5195" ht="15" customHeight="1">
      <c r="A5195" t="inlineStr">
        <is>
          <t>A 9872-2023</t>
        </is>
      </c>
      <c r="B5195" s="1" t="n">
        <v>44984</v>
      </c>
      <c r="C5195" s="1" t="n">
        <v>46046</v>
      </c>
      <c r="D5195" t="inlineStr">
        <is>
          <t>NORRBOTTENS LÄN</t>
        </is>
      </c>
      <c r="E5195" t="inlineStr">
        <is>
          <t>JOKKMOKK</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56661-2022</t>
        </is>
      </c>
      <c r="B5196" s="1" t="n">
        <v>44893.64318287037</v>
      </c>
      <c r="C5196" s="1" t="n">
        <v>46046</v>
      </c>
      <c r="D5196" t="inlineStr">
        <is>
          <t>NORRBOTTENS LÄN</t>
        </is>
      </c>
      <c r="E5196" t="inlineStr">
        <is>
          <t>PITEÅ</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9873-2023</t>
        </is>
      </c>
      <c r="B5197" s="1" t="n">
        <v>44984</v>
      </c>
      <c r="C5197" s="1" t="n">
        <v>46046</v>
      </c>
      <c r="D5197" t="inlineStr">
        <is>
          <t>NORRBOTTENS LÄN</t>
        </is>
      </c>
      <c r="E5197" t="inlineStr">
        <is>
          <t>JOKKMOKK</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9877-2023</t>
        </is>
      </c>
      <c r="B5198" s="1" t="n">
        <v>44984.94033564815</v>
      </c>
      <c r="C5198" s="1" t="n">
        <v>46046</v>
      </c>
      <c r="D5198" t="inlineStr">
        <is>
          <t>NORRBOTTENS LÄN</t>
        </is>
      </c>
      <c r="E5198" t="inlineStr">
        <is>
          <t>JOKKMOKK</t>
        </is>
      </c>
      <c r="F5198" t="inlineStr">
        <is>
          <t>SCA</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21112-2025</t>
        </is>
      </c>
      <c r="B5199" s="1" t="n">
        <v>45777</v>
      </c>
      <c r="C5199" s="1" t="n">
        <v>46046</v>
      </c>
      <c r="D5199" t="inlineStr">
        <is>
          <t>NORRBOTTENS LÄN</t>
        </is>
      </c>
      <c r="E5199" t="inlineStr">
        <is>
          <t>KIRUNA</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58505-2023</t>
        </is>
      </c>
      <c r="B5200" s="1" t="n">
        <v>45251.36628472222</v>
      </c>
      <c r="C5200" s="1" t="n">
        <v>46046</v>
      </c>
      <c r="D5200" t="inlineStr">
        <is>
          <t>NORRBOTTENS LÄN</t>
        </is>
      </c>
      <c r="E5200" t="inlineStr">
        <is>
          <t>ÄLVSBYN</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18698-2025</t>
        </is>
      </c>
      <c r="B5201" s="1" t="n">
        <v>45763</v>
      </c>
      <c r="C5201" s="1" t="n">
        <v>46046</v>
      </c>
      <c r="D5201" t="inlineStr">
        <is>
          <t>NORRBOTTENS LÄN</t>
        </is>
      </c>
      <c r="E5201" t="inlineStr">
        <is>
          <t>KIRUNA</t>
        </is>
      </c>
      <c r="G5201" t="n">
        <v>29.7</v>
      </c>
      <c r="H5201" t="n">
        <v>0</v>
      </c>
      <c r="I5201" t="n">
        <v>0</v>
      </c>
      <c r="J5201" t="n">
        <v>0</v>
      </c>
      <c r="K5201" t="n">
        <v>0</v>
      </c>
      <c r="L5201" t="n">
        <v>0</v>
      </c>
      <c r="M5201" t="n">
        <v>0</v>
      </c>
      <c r="N5201" t="n">
        <v>0</v>
      </c>
      <c r="O5201" t="n">
        <v>0</v>
      </c>
      <c r="P5201" t="n">
        <v>0</v>
      </c>
      <c r="Q5201" t="n">
        <v>0</v>
      </c>
      <c r="R5201" s="2" t="inlineStr"/>
    </row>
    <row r="5202" ht="15" customHeight="1">
      <c r="A5202" t="inlineStr">
        <is>
          <t>A 12574-2024</t>
        </is>
      </c>
      <c r="B5202" s="1" t="n">
        <v>45379</v>
      </c>
      <c r="C5202" s="1" t="n">
        <v>46046</v>
      </c>
      <c r="D5202" t="inlineStr">
        <is>
          <t>NORRBOTTENS LÄN</t>
        </is>
      </c>
      <c r="E5202" t="inlineStr">
        <is>
          <t>PITEÅ</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40756-2022</t>
        </is>
      </c>
      <c r="B5203" s="1" t="n">
        <v>44824</v>
      </c>
      <c r="C5203" s="1" t="n">
        <v>46046</v>
      </c>
      <c r="D5203" t="inlineStr">
        <is>
          <t>NORRBOTTENS LÄN</t>
        </is>
      </c>
      <c r="E5203" t="inlineStr">
        <is>
          <t>ARVIDSJAUR</t>
        </is>
      </c>
      <c r="F5203" t="inlineStr">
        <is>
          <t>Sveaskog</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5481-2025</t>
        </is>
      </c>
      <c r="B5204" s="1" t="n">
        <v>45693</v>
      </c>
      <c r="C5204" s="1" t="n">
        <v>46046</v>
      </c>
      <c r="D5204" t="inlineStr">
        <is>
          <t>NORRBOTTENS LÄN</t>
        </is>
      </c>
      <c r="E5204" t="inlineStr">
        <is>
          <t>GÄLLIVARE</t>
        </is>
      </c>
      <c r="F5204" t="inlineStr">
        <is>
          <t>SCA</t>
        </is>
      </c>
      <c r="G5204" t="n">
        <v>13.1</v>
      </c>
      <c r="H5204" t="n">
        <v>0</v>
      </c>
      <c r="I5204" t="n">
        <v>0</v>
      </c>
      <c r="J5204" t="n">
        <v>0</v>
      </c>
      <c r="K5204" t="n">
        <v>0</v>
      </c>
      <c r="L5204" t="n">
        <v>0</v>
      </c>
      <c r="M5204" t="n">
        <v>0</v>
      </c>
      <c r="N5204" t="n">
        <v>0</v>
      </c>
      <c r="O5204" t="n">
        <v>0</v>
      </c>
      <c r="P5204" t="n">
        <v>0</v>
      </c>
      <c r="Q5204" t="n">
        <v>0</v>
      </c>
      <c r="R5204" s="2" t="inlineStr"/>
    </row>
    <row r="5205" ht="15" customHeight="1">
      <c r="A5205" t="inlineStr">
        <is>
          <t>A 40560-2022</t>
        </is>
      </c>
      <c r="B5205" s="1" t="n">
        <v>44823.66949074074</v>
      </c>
      <c r="C5205" s="1" t="n">
        <v>46046</v>
      </c>
      <c r="D5205" t="inlineStr">
        <is>
          <t>NORRBOTTENS LÄN</t>
        </is>
      </c>
      <c r="E5205" t="inlineStr">
        <is>
          <t>ÄLVSBYN</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51817-2024</t>
        </is>
      </c>
      <c r="B5206" s="1" t="n">
        <v>45607.49136574074</v>
      </c>
      <c r="C5206" s="1" t="n">
        <v>46046</v>
      </c>
      <c r="D5206" t="inlineStr">
        <is>
          <t>NORRBOTTENS LÄN</t>
        </is>
      </c>
      <c r="E5206" t="inlineStr">
        <is>
          <t>PAJALA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24889-2025</t>
        </is>
      </c>
      <c r="B5207" s="1" t="n">
        <v>45799.51091435185</v>
      </c>
      <c r="C5207" s="1" t="n">
        <v>46046</v>
      </c>
      <c r="D5207" t="inlineStr">
        <is>
          <t>NORRBOTTENS LÄN</t>
        </is>
      </c>
      <c r="E5207" t="inlineStr">
        <is>
          <t>KALIX</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39846-2025</t>
        </is>
      </c>
      <c r="B5208" s="1" t="n">
        <v>45891.58376157407</v>
      </c>
      <c r="C5208" s="1" t="n">
        <v>46046</v>
      </c>
      <c r="D5208" t="inlineStr">
        <is>
          <t>NORRBOTTENS LÄN</t>
        </is>
      </c>
      <c r="E5208" t="inlineStr">
        <is>
          <t>JOKKMOKK</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5688-2023</t>
        </is>
      </c>
      <c r="B5209" s="1" t="n">
        <v>44960.92371527778</v>
      </c>
      <c r="C5209" s="1" t="n">
        <v>46046</v>
      </c>
      <c r="D5209" t="inlineStr">
        <is>
          <t>NORRBOTTENS LÄN</t>
        </is>
      </c>
      <c r="E5209" t="inlineStr">
        <is>
          <t>LULEÅ</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39891-2025</t>
        </is>
      </c>
      <c r="B5210" s="1" t="n">
        <v>45891.62828703703</v>
      </c>
      <c r="C5210" s="1" t="n">
        <v>46046</v>
      </c>
      <c r="D5210" t="inlineStr">
        <is>
          <t>NORRBOTTENS LÄN</t>
        </is>
      </c>
      <c r="E5210" t="inlineStr">
        <is>
          <t>PITEÅ</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39651-2025</t>
        </is>
      </c>
      <c r="B5211" s="1" t="n">
        <v>45890</v>
      </c>
      <c r="C5211" s="1" t="n">
        <v>46046</v>
      </c>
      <c r="D5211" t="inlineStr">
        <is>
          <t>NORRBOTTENS LÄN</t>
        </is>
      </c>
      <c r="E5211" t="inlineStr">
        <is>
          <t>BODEN</t>
        </is>
      </c>
      <c r="F5211" t="inlineStr">
        <is>
          <t>Sveaskog</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39638-2025</t>
        </is>
      </c>
      <c r="B5212" s="1" t="n">
        <v>45890.60027777778</v>
      </c>
      <c r="C5212" s="1" t="n">
        <v>46046</v>
      </c>
      <c r="D5212" t="inlineStr">
        <is>
          <t>NORRBOTTENS LÄN</t>
        </is>
      </c>
      <c r="E5212" t="inlineStr">
        <is>
          <t>GÄLLIVARE</t>
        </is>
      </c>
      <c r="F5212" t="inlineStr">
        <is>
          <t>Sveaskog</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55812-2023</t>
        </is>
      </c>
      <c r="B5213" s="1" t="n">
        <v>45239</v>
      </c>
      <c r="C5213" s="1" t="n">
        <v>46046</v>
      </c>
      <c r="D5213" t="inlineStr">
        <is>
          <t>NORRBOTTENS LÄN</t>
        </is>
      </c>
      <c r="E5213" t="inlineStr">
        <is>
          <t>PITEÅ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62390-2022</t>
        </is>
      </c>
      <c r="B5214" s="1" t="n">
        <v>44923.76341435185</v>
      </c>
      <c r="C5214" s="1" t="n">
        <v>46046</v>
      </c>
      <c r="D5214" t="inlineStr">
        <is>
          <t>NORRBOTTENS LÄN</t>
        </is>
      </c>
      <c r="E5214" t="inlineStr">
        <is>
          <t>ÖVERTORNEÅ</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39501-2025</t>
        </is>
      </c>
      <c r="B5215" s="1" t="n">
        <v>45890.39974537037</v>
      </c>
      <c r="C5215" s="1" t="n">
        <v>46046</v>
      </c>
      <c r="D5215" t="inlineStr">
        <is>
          <t>NORRBOTTENS LÄN</t>
        </is>
      </c>
      <c r="E5215" t="inlineStr">
        <is>
          <t>KALIX</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41157-2024</t>
        </is>
      </c>
      <c r="B5216" s="1" t="n">
        <v>45559.4780787037</v>
      </c>
      <c r="C5216" s="1" t="n">
        <v>46046</v>
      </c>
      <c r="D5216" t="inlineStr">
        <is>
          <t>NORRBOTTENS LÄN</t>
        </is>
      </c>
      <c r="E5216" t="inlineStr">
        <is>
          <t>PITEÅ</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45960-2023</t>
        </is>
      </c>
      <c r="B5217" s="1" t="n">
        <v>45195</v>
      </c>
      <c r="C5217" s="1" t="n">
        <v>46046</v>
      </c>
      <c r="D5217" t="inlineStr">
        <is>
          <t>NORRBOTTENS LÄN</t>
        </is>
      </c>
      <c r="E5217" t="inlineStr">
        <is>
          <t>ARVIDSJAUR</t>
        </is>
      </c>
      <c r="F5217" t="inlineStr">
        <is>
          <t>SCA</t>
        </is>
      </c>
      <c r="G5217" t="n">
        <v>12.3</v>
      </c>
      <c r="H5217" t="n">
        <v>0</v>
      </c>
      <c r="I5217" t="n">
        <v>0</v>
      </c>
      <c r="J5217" t="n">
        <v>0</v>
      </c>
      <c r="K5217" t="n">
        <v>0</v>
      </c>
      <c r="L5217" t="n">
        <v>0</v>
      </c>
      <c r="M5217" t="n">
        <v>0</v>
      </c>
      <c r="N5217" t="n">
        <v>0</v>
      </c>
      <c r="O5217" t="n">
        <v>0</v>
      </c>
      <c r="P5217" t="n">
        <v>0</v>
      </c>
      <c r="Q5217" t="n">
        <v>0</v>
      </c>
      <c r="R5217" s="2" t="inlineStr"/>
    </row>
    <row r="5218" ht="15" customHeight="1">
      <c r="A5218" t="inlineStr">
        <is>
          <t>A 48368-2021</t>
        </is>
      </c>
      <c r="B5218" s="1" t="n">
        <v>44451</v>
      </c>
      <c r="C5218" s="1" t="n">
        <v>46046</v>
      </c>
      <c r="D5218" t="inlineStr">
        <is>
          <t>NORRBOTTENS LÄN</t>
        </is>
      </c>
      <c r="E5218" t="inlineStr">
        <is>
          <t>PAJALA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48369-2021</t>
        </is>
      </c>
      <c r="B5219" s="1" t="n">
        <v>44451</v>
      </c>
      <c r="C5219" s="1" t="n">
        <v>46046</v>
      </c>
      <c r="D5219" t="inlineStr">
        <is>
          <t>NORRBOTTENS LÄN</t>
        </is>
      </c>
      <c r="E5219" t="inlineStr">
        <is>
          <t>PAJALA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11076-2021</t>
        </is>
      </c>
      <c r="B5220" s="1" t="n">
        <v>44259</v>
      </c>
      <c r="C5220" s="1" t="n">
        <v>46046</v>
      </c>
      <c r="D5220" t="inlineStr">
        <is>
          <t>NORRBOTTENS LÄN</t>
        </is>
      </c>
      <c r="E5220" t="inlineStr">
        <is>
          <t>ARVIDSJAUR</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30313-2024</t>
        </is>
      </c>
      <c r="B5221" s="1" t="n">
        <v>45490</v>
      </c>
      <c r="C5221" s="1" t="n">
        <v>46046</v>
      </c>
      <c r="D5221" t="inlineStr">
        <is>
          <t>NORRBOTTENS LÄN</t>
        </is>
      </c>
      <c r="E5221" t="inlineStr">
        <is>
          <t>JOKKMOKK</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5705-2023</t>
        </is>
      </c>
      <c r="B5222" s="1" t="n">
        <v>44960</v>
      </c>
      <c r="C5222" s="1" t="n">
        <v>46046</v>
      </c>
      <c r="D5222" t="inlineStr">
        <is>
          <t>NORRBOTTENS LÄN</t>
        </is>
      </c>
      <c r="E5222" t="inlineStr">
        <is>
          <t>ÖVERKALIX</t>
        </is>
      </c>
      <c r="F5222" t="inlineStr">
        <is>
          <t>SCA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18903-2025</t>
        </is>
      </c>
      <c r="B5223" s="1" t="n">
        <v>45764.46019675926</v>
      </c>
      <c r="C5223" s="1" t="n">
        <v>46046</v>
      </c>
      <c r="D5223" t="inlineStr">
        <is>
          <t>NORRBOTTENS LÄN</t>
        </is>
      </c>
      <c r="E5223" t="inlineStr">
        <is>
          <t>JOKKMOKK</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39405-2022</t>
        </is>
      </c>
      <c r="B5224" s="1" t="n">
        <v>44817</v>
      </c>
      <c r="C5224" s="1" t="n">
        <v>46046</v>
      </c>
      <c r="D5224" t="inlineStr">
        <is>
          <t>NORRBOTTENS LÄN</t>
        </is>
      </c>
      <c r="E5224" t="inlineStr">
        <is>
          <t>ÖVERKALIX</t>
        </is>
      </c>
      <c r="F5224" t="inlineStr">
        <is>
          <t>SCA</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11018-2024</t>
        </is>
      </c>
      <c r="B5225" s="1" t="n">
        <v>45370</v>
      </c>
      <c r="C5225" s="1" t="n">
        <v>46046</v>
      </c>
      <c r="D5225" t="inlineStr">
        <is>
          <t>NORRBOTTENS LÄN</t>
        </is>
      </c>
      <c r="E5225" t="inlineStr">
        <is>
          <t>PITEÅ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39741-2025</t>
        </is>
      </c>
      <c r="B5226" s="1" t="n">
        <v>45891.37986111111</v>
      </c>
      <c r="C5226" s="1" t="n">
        <v>46046</v>
      </c>
      <c r="D5226" t="inlineStr">
        <is>
          <t>NORRBOTTENS LÄN</t>
        </is>
      </c>
      <c r="E5226" t="inlineStr">
        <is>
          <t>BODEN</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8626-2023</t>
        </is>
      </c>
      <c r="B5227" s="1" t="n">
        <v>44977</v>
      </c>
      <c r="C5227" s="1" t="n">
        <v>46046</v>
      </c>
      <c r="D5227" t="inlineStr">
        <is>
          <t>NORRBOTTENS LÄN</t>
        </is>
      </c>
      <c r="E5227" t="inlineStr">
        <is>
          <t>ARVIDSJAUR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588-2025</t>
        </is>
      </c>
      <c r="B5228" s="1" t="n">
        <v>45664.58152777778</v>
      </c>
      <c r="C5228" s="1" t="n">
        <v>46046</v>
      </c>
      <c r="D5228" t="inlineStr">
        <is>
          <t>NORRBOTTENS LÄN</t>
        </is>
      </c>
      <c r="E5228" t="inlineStr">
        <is>
          <t>PITEÅ</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597-2025</t>
        </is>
      </c>
      <c r="B5229" s="1" t="n">
        <v>45664</v>
      </c>
      <c r="C5229" s="1" t="n">
        <v>46046</v>
      </c>
      <c r="D5229" t="inlineStr">
        <is>
          <t>NORRBOTTENS LÄN</t>
        </is>
      </c>
      <c r="E5229" t="inlineStr">
        <is>
          <t>PITEÅ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39584-2025</t>
        </is>
      </c>
      <c r="B5230" s="1" t="n">
        <v>45890</v>
      </c>
      <c r="C5230" s="1" t="n">
        <v>46046</v>
      </c>
      <c r="D5230" t="inlineStr">
        <is>
          <t>NORRBOTTENS LÄN</t>
        </is>
      </c>
      <c r="E5230" t="inlineStr">
        <is>
          <t>ARVIDSJAUR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5646-2024</t>
        </is>
      </c>
      <c r="B5231" s="1" t="n">
        <v>45334.62170138889</v>
      </c>
      <c r="C5231" s="1" t="n">
        <v>46046</v>
      </c>
      <c r="D5231" t="inlineStr">
        <is>
          <t>NORRBOTTENS LÄN</t>
        </is>
      </c>
      <c r="E5231" t="inlineStr">
        <is>
          <t>ÄLVSBYN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39644-2025</t>
        </is>
      </c>
      <c r="B5232" s="1" t="n">
        <v>45890.61241898148</v>
      </c>
      <c r="C5232" s="1" t="n">
        <v>46046</v>
      </c>
      <c r="D5232" t="inlineStr">
        <is>
          <t>NORRBOTTENS LÄN</t>
        </is>
      </c>
      <c r="E5232" t="inlineStr">
        <is>
          <t>LULEÅ</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39923-2025</t>
        </is>
      </c>
      <c r="B5233" s="1" t="n">
        <v>45891.6709375</v>
      </c>
      <c r="C5233" s="1" t="n">
        <v>46046</v>
      </c>
      <c r="D5233" t="inlineStr">
        <is>
          <t>NORRBOTTENS LÄN</t>
        </is>
      </c>
      <c r="E5233" t="inlineStr">
        <is>
          <t>PAJALA</t>
        </is>
      </c>
      <c r="F5233" t="inlineStr">
        <is>
          <t>Sveaskog</t>
        </is>
      </c>
      <c r="G5233" t="n">
        <v>32.1</v>
      </c>
      <c r="H5233" t="n">
        <v>0</v>
      </c>
      <c r="I5233" t="n">
        <v>0</v>
      </c>
      <c r="J5233" t="n">
        <v>0</v>
      </c>
      <c r="K5233" t="n">
        <v>0</v>
      </c>
      <c r="L5233" t="n">
        <v>0</v>
      </c>
      <c r="M5233" t="n">
        <v>0</v>
      </c>
      <c r="N5233" t="n">
        <v>0</v>
      </c>
      <c r="O5233" t="n">
        <v>0</v>
      </c>
      <c r="P5233" t="n">
        <v>0</v>
      </c>
      <c r="Q5233" t="n">
        <v>0</v>
      </c>
      <c r="R5233" s="2" t="inlineStr"/>
    </row>
    <row r="5234" ht="15" customHeight="1">
      <c r="A5234" t="inlineStr">
        <is>
          <t>A 39518-2025</t>
        </is>
      </c>
      <c r="B5234" s="1" t="n">
        <v>45890.42737268518</v>
      </c>
      <c r="C5234" s="1" t="n">
        <v>46046</v>
      </c>
      <c r="D5234" t="inlineStr">
        <is>
          <t>NORRBOTTENS LÄN</t>
        </is>
      </c>
      <c r="E5234" t="inlineStr">
        <is>
          <t>PITEÅ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39793-2025</t>
        </is>
      </c>
      <c r="B5235" s="1" t="n">
        <v>45891.48686342593</v>
      </c>
      <c r="C5235" s="1" t="n">
        <v>46046</v>
      </c>
      <c r="D5235" t="inlineStr">
        <is>
          <t>NORRBOTTENS LÄN</t>
        </is>
      </c>
      <c r="E5235" t="inlineStr">
        <is>
          <t>GÄLLIVARE</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63937-2023</t>
        </is>
      </c>
      <c r="B5236" s="1" t="n">
        <v>45278.60908564815</v>
      </c>
      <c r="C5236" s="1" t="n">
        <v>46046</v>
      </c>
      <c r="D5236" t="inlineStr">
        <is>
          <t>NORRBOTTENS LÄN</t>
        </is>
      </c>
      <c r="E5236" t="inlineStr">
        <is>
          <t>PAJALA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42574-2024</t>
        </is>
      </c>
      <c r="B5237" s="1" t="n">
        <v>45565.64506944444</v>
      </c>
      <c r="C5237" s="1" t="n">
        <v>46046</v>
      </c>
      <c r="D5237" t="inlineStr">
        <is>
          <t>NORRBOTTENS LÄN</t>
        </is>
      </c>
      <c r="E5237" t="inlineStr">
        <is>
          <t>ÄLVSBYN</t>
        </is>
      </c>
      <c r="F5237" t="inlineStr">
        <is>
          <t>Sveaskog</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39932-2025</t>
        </is>
      </c>
      <c r="B5238" s="1" t="n">
        <v>45891</v>
      </c>
      <c r="C5238" s="1" t="n">
        <v>46046</v>
      </c>
      <c r="D5238" t="inlineStr">
        <is>
          <t>NORRBOTTENS LÄN</t>
        </is>
      </c>
      <c r="E5238" t="inlineStr">
        <is>
          <t>ÄLVSBYN</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60488-2023</t>
        </is>
      </c>
      <c r="B5239" s="1" t="n">
        <v>45259.6208912037</v>
      </c>
      <c r="C5239" s="1" t="n">
        <v>46046</v>
      </c>
      <c r="D5239" t="inlineStr">
        <is>
          <t>NORRBOTTENS LÄN</t>
        </is>
      </c>
      <c r="E5239" t="inlineStr">
        <is>
          <t>KALIX</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39658-2025</t>
        </is>
      </c>
      <c r="B5240" s="1" t="n">
        <v>45890.62925925926</v>
      </c>
      <c r="C5240" s="1" t="n">
        <v>46046</v>
      </c>
      <c r="D5240" t="inlineStr">
        <is>
          <t>NORRBOTTENS LÄN</t>
        </is>
      </c>
      <c r="E5240" t="inlineStr">
        <is>
          <t>ÖVERKALIX</t>
        </is>
      </c>
      <c r="F5240" t="inlineStr">
        <is>
          <t>Sveaskog</t>
        </is>
      </c>
      <c r="G5240" t="n">
        <v>13.4</v>
      </c>
      <c r="H5240" t="n">
        <v>0</v>
      </c>
      <c r="I5240" t="n">
        <v>0</v>
      </c>
      <c r="J5240" t="n">
        <v>0</v>
      </c>
      <c r="K5240" t="n">
        <v>0</v>
      </c>
      <c r="L5240" t="n">
        <v>0</v>
      </c>
      <c r="M5240" t="n">
        <v>0</v>
      </c>
      <c r="N5240" t="n">
        <v>0</v>
      </c>
      <c r="O5240" t="n">
        <v>0</v>
      </c>
      <c r="P5240" t="n">
        <v>0</v>
      </c>
      <c r="Q5240" t="n">
        <v>0</v>
      </c>
      <c r="R5240" s="2" t="inlineStr"/>
    </row>
    <row r="5241" ht="15" customHeight="1">
      <c r="A5241" t="inlineStr">
        <is>
          <t>A 37023-2025</t>
        </is>
      </c>
      <c r="B5241" s="1" t="n">
        <v>45874</v>
      </c>
      <c r="C5241" s="1" t="n">
        <v>46046</v>
      </c>
      <c r="D5241" t="inlineStr">
        <is>
          <t>NORRBOTTENS LÄN</t>
        </is>
      </c>
      <c r="E5241" t="inlineStr">
        <is>
          <t>BODEN</t>
        </is>
      </c>
      <c r="G5241" t="n">
        <v>7.8</v>
      </c>
      <c r="H5241" t="n">
        <v>0</v>
      </c>
      <c r="I5241" t="n">
        <v>0</v>
      </c>
      <c r="J5241" t="n">
        <v>0</v>
      </c>
      <c r="K5241" t="n">
        <v>0</v>
      </c>
      <c r="L5241" t="n">
        <v>0</v>
      </c>
      <c r="M5241" t="n">
        <v>0</v>
      </c>
      <c r="N5241" t="n">
        <v>0</v>
      </c>
      <c r="O5241" t="n">
        <v>0</v>
      </c>
      <c r="P5241" t="n">
        <v>0</v>
      </c>
      <c r="Q5241" t="n">
        <v>0</v>
      </c>
      <c r="R5241" s="2" t="inlineStr"/>
      <c r="U5241">
        <f>HYPERLINK("https://klasma.github.io/Logging_2582/knärot/A 37023-2025 karta knärot.png", "A 37023-2025")</f>
        <v/>
      </c>
      <c r="V5241">
        <f>HYPERLINK("https://klasma.github.io/Logging_2582/klagomål/A 37023-2025 FSC-klagomål.docx", "A 37023-2025")</f>
        <v/>
      </c>
      <c r="W5241">
        <f>HYPERLINK("https://klasma.github.io/Logging_2582/klagomålsmail/A 37023-2025 FSC-klagomål mail.docx", "A 37023-2025")</f>
        <v/>
      </c>
      <c r="X5241">
        <f>HYPERLINK("https://klasma.github.io/Logging_2582/tillsyn/A 37023-2025 tillsynsbegäran.docx", "A 37023-2025")</f>
        <v/>
      </c>
      <c r="Y5241">
        <f>HYPERLINK("https://klasma.github.io/Logging_2582/tillsynsmail/A 37023-2025 tillsynsbegäran mail.docx", "A 37023-2025")</f>
        <v/>
      </c>
    </row>
    <row r="5242" ht="15" customHeight="1">
      <c r="A5242" t="inlineStr">
        <is>
          <t>A 48501-2022</t>
        </is>
      </c>
      <c r="B5242" s="1" t="n">
        <v>44858.92932870371</v>
      </c>
      <c r="C5242" s="1" t="n">
        <v>46046</v>
      </c>
      <c r="D5242" t="inlineStr">
        <is>
          <t>NORRBOTTENS LÄN</t>
        </is>
      </c>
      <c r="E5242" t="inlineStr">
        <is>
          <t>ÖVERKALIX</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39550-2025</t>
        </is>
      </c>
      <c r="B5243" s="1" t="n">
        <v>45890</v>
      </c>
      <c r="C5243" s="1" t="n">
        <v>46046</v>
      </c>
      <c r="D5243" t="inlineStr">
        <is>
          <t>NORRBOTTENS LÄN</t>
        </is>
      </c>
      <c r="E5243" t="inlineStr">
        <is>
          <t>LULEÅ</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50436-2024</t>
        </is>
      </c>
      <c r="B5244" s="1" t="n">
        <v>45601.4096875</v>
      </c>
      <c r="C5244" s="1" t="n">
        <v>46046</v>
      </c>
      <c r="D5244" t="inlineStr">
        <is>
          <t>NORRBOTTENS LÄN</t>
        </is>
      </c>
      <c r="E5244" t="inlineStr">
        <is>
          <t>JOKKMOKK</t>
        </is>
      </c>
      <c r="F5244" t="inlineStr">
        <is>
          <t>Allmännings- och besparingsskogar</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50888-2024</t>
        </is>
      </c>
      <c r="B5245" s="1" t="n">
        <v>45602</v>
      </c>
      <c r="C5245" s="1" t="n">
        <v>46046</v>
      </c>
      <c r="D5245" t="inlineStr">
        <is>
          <t>NORRBOTTENS LÄN</t>
        </is>
      </c>
      <c r="E5245" t="inlineStr">
        <is>
          <t>PAJALA</t>
        </is>
      </c>
      <c r="G5245" t="n">
        <v>17.2</v>
      </c>
      <c r="H5245" t="n">
        <v>0</v>
      </c>
      <c r="I5245" t="n">
        <v>0</v>
      </c>
      <c r="J5245" t="n">
        <v>0</v>
      </c>
      <c r="K5245" t="n">
        <v>0</v>
      </c>
      <c r="L5245" t="n">
        <v>0</v>
      </c>
      <c r="M5245" t="n">
        <v>0</v>
      </c>
      <c r="N5245" t="n">
        <v>0</v>
      </c>
      <c r="O5245" t="n">
        <v>0</v>
      </c>
      <c r="P5245" t="n">
        <v>0</v>
      </c>
      <c r="Q5245" t="n">
        <v>0</v>
      </c>
      <c r="R5245" s="2" t="inlineStr"/>
    </row>
    <row r="5246" ht="15" customHeight="1">
      <c r="A5246" t="inlineStr">
        <is>
          <t>A 50925-2024</t>
        </is>
      </c>
      <c r="B5246" s="1" t="n">
        <v>45602</v>
      </c>
      <c r="C5246" s="1" t="n">
        <v>46046</v>
      </c>
      <c r="D5246" t="inlineStr">
        <is>
          <t>NORRBOTTENS LÄN</t>
        </is>
      </c>
      <c r="E5246" t="inlineStr">
        <is>
          <t>ÖVERTORNEÅ</t>
        </is>
      </c>
      <c r="F5246" t="inlineStr">
        <is>
          <t>Sveaskog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50977-2024</t>
        </is>
      </c>
      <c r="B5247" s="1" t="n">
        <v>45603.35820601852</v>
      </c>
      <c r="C5247" s="1" t="n">
        <v>46046</v>
      </c>
      <c r="D5247" t="inlineStr">
        <is>
          <t>NORRBOTTENS LÄN</t>
        </is>
      </c>
      <c r="E5247" t="inlineStr">
        <is>
          <t>PITEÅ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17531-2025</t>
        </is>
      </c>
      <c r="B5248" s="1" t="n">
        <v>45757</v>
      </c>
      <c r="C5248" s="1" t="n">
        <v>46046</v>
      </c>
      <c r="D5248" t="inlineStr">
        <is>
          <t>NORRBOTTENS LÄN</t>
        </is>
      </c>
      <c r="E5248" t="inlineStr">
        <is>
          <t>ÖVERKALIX</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39689-2025</t>
        </is>
      </c>
      <c r="B5249" s="1" t="n">
        <v>45890.67737268518</v>
      </c>
      <c r="C5249" s="1" t="n">
        <v>46046</v>
      </c>
      <c r="D5249" t="inlineStr">
        <is>
          <t>NORRBOTTENS LÄN</t>
        </is>
      </c>
      <c r="E5249" t="inlineStr">
        <is>
          <t>KALIX</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8198-2025</t>
        </is>
      </c>
      <c r="B5250" s="1" t="n">
        <v>45708</v>
      </c>
      <c r="C5250" s="1" t="n">
        <v>46046</v>
      </c>
      <c r="D5250" t="inlineStr">
        <is>
          <t>NORRBOTTENS LÄN</t>
        </is>
      </c>
      <c r="E5250" t="inlineStr">
        <is>
          <t>PITEÅ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43776-2024</t>
        </is>
      </c>
      <c r="B5251" s="1" t="n">
        <v>45570</v>
      </c>
      <c r="C5251" s="1" t="n">
        <v>46046</v>
      </c>
      <c r="D5251" t="inlineStr">
        <is>
          <t>NORRBOTTENS LÄN</t>
        </is>
      </c>
      <c r="E5251" t="inlineStr">
        <is>
          <t>ÄLVSBYN</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56495-2024</t>
        </is>
      </c>
      <c r="B5252" s="1" t="n">
        <v>45625</v>
      </c>
      <c r="C5252" s="1" t="n">
        <v>46046</v>
      </c>
      <c r="D5252" t="inlineStr">
        <is>
          <t>NORRBOTTENS LÄN</t>
        </is>
      </c>
      <c r="E5252" t="inlineStr">
        <is>
          <t>ARVIDSJAUR</t>
        </is>
      </c>
      <c r="G5252" t="n">
        <v>14.1</v>
      </c>
      <c r="H5252" t="n">
        <v>0</v>
      </c>
      <c r="I5252" t="n">
        <v>0</v>
      </c>
      <c r="J5252" t="n">
        <v>0</v>
      </c>
      <c r="K5252" t="n">
        <v>0</v>
      </c>
      <c r="L5252" t="n">
        <v>0</v>
      </c>
      <c r="M5252" t="n">
        <v>0</v>
      </c>
      <c r="N5252" t="n">
        <v>0</v>
      </c>
      <c r="O5252" t="n">
        <v>0</v>
      </c>
      <c r="P5252" t="n">
        <v>0</v>
      </c>
      <c r="Q5252" t="n">
        <v>0</v>
      </c>
      <c r="R5252" s="2" t="inlineStr"/>
    </row>
    <row r="5253" ht="15" customHeight="1">
      <c r="A5253" t="inlineStr">
        <is>
          <t>A 36805-2024</t>
        </is>
      </c>
      <c r="B5253" s="1" t="n">
        <v>45538.4608912037</v>
      </c>
      <c r="C5253" s="1" t="n">
        <v>46046</v>
      </c>
      <c r="D5253" t="inlineStr">
        <is>
          <t>NORRBOTTENS LÄN</t>
        </is>
      </c>
      <c r="E5253" t="inlineStr">
        <is>
          <t>ÖVERKALIX</t>
        </is>
      </c>
      <c r="F5253" t="inlineStr">
        <is>
          <t>SCA</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6269-2023</t>
        </is>
      </c>
      <c r="B5254" s="1" t="n">
        <v>44960</v>
      </c>
      <c r="C5254" s="1" t="n">
        <v>46046</v>
      </c>
      <c r="D5254" t="inlineStr">
        <is>
          <t>NORRBOTTENS LÄN</t>
        </is>
      </c>
      <c r="E5254" t="inlineStr">
        <is>
          <t>LULEÅ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37527-2024</t>
        </is>
      </c>
      <c r="B5255" s="1" t="n">
        <v>45541.40069444444</v>
      </c>
      <c r="C5255" s="1" t="n">
        <v>46046</v>
      </c>
      <c r="D5255" t="inlineStr">
        <is>
          <t>NORRBOTTENS LÄN</t>
        </is>
      </c>
      <c r="E5255" t="inlineStr">
        <is>
          <t>PAJALA</t>
        </is>
      </c>
      <c r="G5255" t="n">
        <v>21.3</v>
      </c>
      <c r="H5255" t="n">
        <v>0</v>
      </c>
      <c r="I5255" t="n">
        <v>0</v>
      </c>
      <c r="J5255" t="n">
        <v>0</v>
      </c>
      <c r="K5255" t="n">
        <v>0</v>
      </c>
      <c r="L5255" t="n">
        <v>0</v>
      </c>
      <c r="M5255" t="n">
        <v>0</v>
      </c>
      <c r="N5255" t="n">
        <v>0</v>
      </c>
      <c r="O5255" t="n">
        <v>0</v>
      </c>
      <c r="P5255" t="n">
        <v>0</v>
      </c>
      <c r="Q5255" t="n">
        <v>0</v>
      </c>
      <c r="R5255" s="2" t="inlineStr"/>
    </row>
    <row r="5256" ht="15" customHeight="1">
      <c r="A5256" t="inlineStr">
        <is>
          <t>A 59793-2024</t>
        </is>
      </c>
      <c r="B5256" s="1" t="n">
        <v>45639.58967592593</v>
      </c>
      <c r="C5256" s="1" t="n">
        <v>46046</v>
      </c>
      <c r="D5256" t="inlineStr">
        <is>
          <t>NORRBOTTENS LÄN</t>
        </is>
      </c>
      <c r="E5256" t="inlineStr">
        <is>
          <t>JOKKMOKK</t>
        </is>
      </c>
      <c r="F5256" t="inlineStr">
        <is>
          <t>Sveaskog</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40660-2024</t>
        </is>
      </c>
      <c r="B5257" s="1" t="n">
        <v>45558</v>
      </c>
      <c r="C5257" s="1" t="n">
        <v>46046</v>
      </c>
      <c r="D5257" t="inlineStr">
        <is>
          <t>NORRBOTTENS LÄN</t>
        </is>
      </c>
      <c r="E5257" t="inlineStr">
        <is>
          <t>ÖVERKALIX</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30086-2025</t>
        </is>
      </c>
      <c r="B5258" s="1" t="n">
        <v>45826.65725694445</v>
      </c>
      <c r="C5258" s="1" t="n">
        <v>46046</v>
      </c>
      <c r="D5258" t="inlineStr">
        <is>
          <t>NORRBOTTENS LÄN</t>
        </is>
      </c>
      <c r="E5258" t="inlineStr">
        <is>
          <t>ÖVERKALIX</t>
        </is>
      </c>
      <c r="F5258" t="inlineStr">
        <is>
          <t>SCA</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23231-2024</t>
        </is>
      </c>
      <c r="B5259" s="1" t="n">
        <v>45453.28876157408</v>
      </c>
      <c r="C5259" s="1" t="n">
        <v>46046</v>
      </c>
      <c r="D5259" t="inlineStr">
        <is>
          <t>NORRBOTTENS LÄN</t>
        </is>
      </c>
      <c r="E5259" t="inlineStr">
        <is>
          <t>BODEN</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39531-2025</t>
        </is>
      </c>
      <c r="B5260" s="1" t="n">
        <v>45890.44831018519</v>
      </c>
      <c r="C5260" s="1" t="n">
        <v>46046</v>
      </c>
      <c r="D5260" t="inlineStr">
        <is>
          <t>NORRBOTTENS LÄN</t>
        </is>
      </c>
      <c r="E5260" t="inlineStr">
        <is>
          <t>LULEÅ</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59197-2024</t>
        </is>
      </c>
      <c r="B5261" s="1" t="n">
        <v>45637</v>
      </c>
      <c r="C5261" s="1" t="n">
        <v>46046</v>
      </c>
      <c r="D5261" t="inlineStr">
        <is>
          <t>NORRBOTTENS LÄN</t>
        </is>
      </c>
      <c r="E5261" t="inlineStr">
        <is>
          <t>PAJALA</t>
        </is>
      </c>
      <c r="G5261" t="n">
        <v>10.2</v>
      </c>
      <c r="H5261" t="n">
        <v>0</v>
      </c>
      <c r="I5261" t="n">
        <v>0</v>
      </c>
      <c r="J5261" t="n">
        <v>0</v>
      </c>
      <c r="K5261" t="n">
        <v>0</v>
      </c>
      <c r="L5261" t="n">
        <v>0</v>
      </c>
      <c r="M5261" t="n">
        <v>0</v>
      </c>
      <c r="N5261" t="n">
        <v>0</v>
      </c>
      <c r="O5261" t="n">
        <v>0</v>
      </c>
      <c r="P5261" t="n">
        <v>0</v>
      </c>
      <c r="Q5261" t="n">
        <v>0</v>
      </c>
      <c r="R5261" s="2" t="inlineStr"/>
    </row>
    <row r="5262" ht="15" customHeight="1">
      <c r="A5262" t="inlineStr">
        <is>
          <t>A 43449-2024</t>
        </is>
      </c>
      <c r="B5262" s="1" t="n">
        <v>45568</v>
      </c>
      <c r="C5262" s="1" t="n">
        <v>46046</v>
      </c>
      <c r="D5262" t="inlineStr">
        <is>
          <t>NORRBOTTENS LÄN</t>
        </is>
      </c>
      <c r="E5262" t="inlineStr">
        <is>
          <t>PAJALA</t>
        </is>
      </c>
      <c r="F5262" t="inlineStr">
        <is>
          <t>Sveaskog</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13167-2024</t>
        </is>
      </c>
      <c r="B5263" s="1" t="n">
        <v>45386</v>
      </c>
      <c r="C5263" s="1" t="n">
        <v>46046</v>
      </c>
      <c r="D5263" t="inlineStr">
        <is>
          <t>NORRBOTTENS LÄN</t>
        </is>
      </c>
      <c r="E5263" t="inlineStr">
        <is>
          <t>PAJALA</t>
        </is>
      </c>
      <c r="F5263" t="inlineStr">
        <is>
          <t>Allmännings- och besparingsskogar</t>
        </is>
      </c>
      <c r="G5263" t="n">
        <v>30.1</v>
      </c>
      <c r="H5263" t="n">
        <v>0</v>
      </c>
      <c r="I5263" t="n">
        <v>0</v>
      </c>
      <c r="J5263" t="n">
        <v>0</v>
      </c>
      <c r="K5263" t="n">
        <v>0</v>
      </c>
      <c r="L5263" t="n">
        <v>0</v>
      </c>
      <c r="M5263" t="n">
        <v>0</v>
      </c>
      <c r="N5263" t="n">
        <v>0</v>
      </c>
      <c r="O5263" t="n">
        <v>0</v>
      </c>
      <c r="P5263" t="n">
        <v>0</v>
      </c>
      <c r="Q5263" t="n">
        <v>0</v>
      </c>
      <c r="R5263" s="2" t="inlineStr"/>
    </row>
    <row r="5264" ht="15" customHeight="1">
      <c r="A5264" t="inlineStr">
        <is>
          <t>A 15475-2023</t>
        </is>
      </c>
      <c r="B5264" s="1" t="n">
        <v>45020</v>
      </c>
      <c r="C5264" s="1" t="n">
        <v>46046</v>
      </c>
      <c r="D5264" t="inlineStr">
        <is>
          <t>NORRBOTTENS LÄN</t>
        </is>
      </c>
      <c r="E5264" t="inlineStr">
        <is>
          <t>ARVIDSJAUR</t>
        </is>
      </c>
      <c r="F5264" t="inlineStr">
        <is>
          <t>Sveaskog</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39808-2025</t>
        </is>
      </c>
      <c r="B5265" s="1" t="n">
        <v>45891</v>
      </c>
      <c r="C5265" s="1" t="n">
        <v>46046</v>
      </c>
      <c r="D5265" t="inlineStr">
        <is>
          <t>NORRBOTTENS LÄN</t>
        </is>
      </c>
      <c r="E5265" t="inlineStr">
        <is>
          <t>BODEN</t>
        </is>
      </c>
      <c r="F5265" t="inlineStr">
        <is>
          <t>Sveaskog</t>
        </is>
      </c>
      <c r="G5265" t="n">
        <v>29.2</v>
      </c>
      <c r="H5265" t="n">
        <v>0</v>
      </c>
      <c r="I5265" t="n">
        <v>0</v>
      </c>
      <c r="J5265" t="n">
        <v>0</v>
      </c>
      <c r="K5265" t="n">
        <v>0</v>
      </c>
      <c r="L5265" t="n">
        <v>0</v>
      </c>
      <c r="M5265" t="n">
        <v>0</v>
      </c>
      <c r="N5265" t="n">
        <v>0</v>
      </c>
      <c r="O5265" t="n">
        <v>0</v>
      </c>
      <c r="P5265" t="n">
        <v>0</v>
      </c>
      <c r="Q5265" t="n">
        <v>0</v>
      </c>
      <c r="R5265" s="2" t="inlineStr"/>
    </row>
    <row r="5266" ht="15" customHeight="1">
      <c r="A5266" t="inlineStr">
        <is>
          <t>A 31177-2025</t>
        </is>
      </c>
      <c r="B5266" s="1" t="n">
        <v>45832.67101851852</v>
      </c>
      <c r="C5266" s="1" t="n">
        <v>46046</v>
      </c>
      <c r="D5266" t="inlineStr">
        <is>
          <t>NORRBOTTENS LÄN</t>
        </is>
      </c>
      <c r="E5266" t="inlineStr">
        <is>
          <t>BODEN</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33939-2025</t>
        </is>
      </c>
      <c r="B5267" s="1" t="n">
        <v>45842.63900462963</v>
      </c>
      <c r="C5267" s="1" t="n">
        <v>46046</v>
      </c>
      <c r="D5267" t="inlineStr">
        <is>
          <t>NORRBOTTENS LÄN</t>
        </is>
      </c>
      <c r="E5267" t="inlineStr">
        <is>
          <t>ÖVERKALIX</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40218-2025</t>
        </is>
      </c>
      <c r="B5268" s="1" t="n">
        <v>45894.68872685185</v>
      </c>
      <c r="C5268" s="1" t="n">
        <v>46046</v>
      </c>
      <c r="D5268" t="inlineStr">
        <is>
          <t>NORRBOTTENS LÄN</t>
        </is>
      </c>
      <c r="E5268" t="inlineStr">
        <is>
          <t>PAJALA</t>
        </is>
      </c>
      <c r="F5268" t="inlineStr">
        <is>
          <t>Sveaskog</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40327-2025</t>
        </is>
      </c>
      <c r="B5269" s="1" t="n">
        <v>45895.44861111111</v>
      </c>
      <c r="C5269" s="1" t="n">
        <v>46046</v>
      </c>
      <c r="D5269" t="inlineStr">
        <is>
          <t>NORRBOTTENS LÄN</t>
        </is>
      </c>
      <c r="E5269" t="inlineStr">
        <is>
          <t>BODEN</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45424-2023</t>
        </is>
      </c>
      <c r="B5270" s="1" t="n">
        <v>45194</v>
      </c>
      <c r="C5270" s="1" t="n">
        <v>46046</v>
      </c>
      <c r="D5270" t="inlineStr">
        <is>
          <t>NORRBOTTENS LÄN</t>
        </is>
      </c>
      <c r="E5270" t="inlineStr">
        <is>
          <t>ÄLVSBYN</t>
        </is>
      </c>
      <c r="F5270" t="inlineStr">
        <is>
          <t>Övriga Aktiebolag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45448-2023</t>
        </is>
      </c>
      <c r="B5271" s="1" t="n">
        <v>45194.40741898148</v>
      </c>
      <c r="C5271" s="1" t="n">
        <v>46046</v>
      </c>
      <c r="D5271" t="inlineStr">
        <is>
          <t>NORRBOTTENS LÄN</t>
        </is>
      </c>
      <c r="E5271" t="inlineStr">
        <is>
          <t>BODEN</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40267-2025</t>
        </is>
      </c>
      <c r="B5272" s="1" t="n">
        <v>45895</v>
      </c>
      <c r="C5272" s="1" t="n">
        <v>46046</v>
      </c>
      <c r="D5272" t="inlineStr">
        <is>
          <t>NORRBOTTENS LÄN</t>
        </is>
      </c>
      <c r="E5272" t="inlineStr">
        <is>
          <t>BODEN</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60776-2024</t>
        </is>
      </c>
      <c r="B5273" s="1" t="n">
        <v>45644</v>
      </c>
      <c r="C5273" s="1" t="n">
        <v>46046</v>
      </c>
      <c r="D5273" t="inlineStr">
        <is>
          <t>NORRBOTTENS LÄN</t>
        </is>
      </c>
      <c r="E5273" t="inlineStr">
        <is>
          <t>ÖVERKALIX</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40183-2025</t>
        </is>
      </c>
      <c r="B5274" s="1" t="n">
        <v>45894</v>
      </c>
      <c r="C5274" s="1" t="n">
        <v>46046</v>
      </c>
      <c r="D5274" t="inlineStr">
        <is>
          <t>NORRBOTTENS LÄN</t>
        </is>
      </c>
      <c r="E5274" t="inlineStr">
        <is>
          <t>BODEN</t>
        </is>
      </c>
      <c r="F5274" t="inlineStr">
        <is>
          <t>Sveaskog</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40251-2025</t>
        </is>
      </c>
      <c r="B5275" s="1" t="n">
        <v>45895.31371527778</v>
      </c>
      <c r="C5275" s="1" t="n">
        <v>46046</v>
      </c>
      <c r="D5275" t="inlineStr">
        <is>
          <t>NORRBOTTENS LÄN</t>
        </is>
      </c>
      <c r="E5275" t="inlineStr">
        <is>
          <t>PITEÅ</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48645-2025</t>
        </is>
      </c>
      <c r="B5276" s="1" t="n">
        <v>45935</v>
      </c>
      <c r="C5276" s="1" t="n">
        <v>46046</v>
      </c>
      <c r="D5276" t="inlineStr">
        <is>
          <t>NORRBOTTENS LÄN</t>
        </is>
      </c>
      <c r="E5276" t="inlineStr">
        <is>
          <t>JOKKMOKK</t>
        </is>
      </c>
      <c r="F5276" t="inlineStr">
        <is>
          <t>SCA</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40087-2025</t>
        </is>
      </c>
      <c r="B5277" s="1" t="n">
        <v>45894.47574074074</v>
      </c>
      <c r="C5277" s="1" t="n">
        <v>46046</v>
      </c>
      <c r="D5277" t="inlineStr">
        <is>
          <t>NORRBOTTENS LÄN</t>
        </is>
      </c>
      <c r="E5277" t="inlineStr">
        <is>
          <t>PITEÅ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40089-2025</t>
        </is>
      </c>
      <c r="B5278" s="1" t="n">
        <v>45894.47665509259</v>
      </c>
      <c r="C5278" s="1" t="n">
        <v>46046</v>
      </c>
      <c r="D5278" t="inlineStr">
        <is>
          <t>NORRBOTTENS LÄN</t>
        </is>
      </c>
      <c r="E5278" t="inlineStr">
        <is>
          <t>ÖVERTORNEÅ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28958-2024</t>
        </is>
      </c>
      <c r="B5279" s="1" t="n">
        <v>45481</v>
      </c>
      <c r="C5279" s="1" t="n">
        <v>46046</v>
      </c>
      <c r="D5279" t="inlineStr">
        <is>
          <t>NORRBOTTENS LÄN</t>
        </is>
      </c>
      <c r="E5279" t="inlineStr">
        <is>
          <t>KALIX</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61761-2023</t>
        </is>
      </c>
      <c r="B5280" s="1" t="n">
        <v>45265</v>
      </c>
      <c r="C5280" s="1" t="n">
        <v>46046</v>
      </c>
      <c r="D5280" t="inlineStr">
        <is>
          <t>NORRBOTTENS LÄN</t>
        </is>
      </c>
      <c r="E5280" t="inlineStr">
        <is>
          <t>PAJALA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40378-2025</t>
        </is>
      </c>
      <c r="B5281" s="1" t="n">
        <v>45895.53284722222</v>
      </c>
      <c r="C5281" s="1" t="n">
        <v>46046</v>
      </c>
      <c r="D5281" t="inlineStr">
        <is>
          <t>NORRBOTTENS LÄN</t>
        </is>
      </c>
      <c r="E5281" t="inlineStr">
        <is>
          <t>PAJALA</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40464-2025</t>
        </is>
      </c>
      <c r="B5282" s="1" t="n">
        <v>45895.65347222222</v>
      </c>
      <c r="C5282" s="1" t="n">
        <v>46046</v>
      </c>
      <c r="D5282" t="inlineStr">
        <is>
          <t>NORRBOTTENS LÄN</t>
        </is>
      </c>
      <c r="E5282" t="inlineStr">
        <is>
          <t>LULEÅ</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43765-2023</t>
        </is>
      </c>
      <c r="B5283" s="1" t="n">
        <v>45187</v>
      </c>
      <c r="C5283" s="1" t="n">
        <v>46046</v>
      </c>
      <c r="D5283" t="inlineStr">
        <is>
          <t>NORRBOTTENS LÄN</t>
        </is>
      </c>
      <c r="E5283" t="inlineStr">
        <is>
          <t>LULEÅ</t>
        </is>
      </c>
      <c r="G5283" t="n">
        <v>13.7</v>
      </c>
      <c r="H5283" t="n">
        <v>0</v>
      </c>
      <c r="I5283" t="n">
        <v>0</v>
      </c>
      <c r="J5283" t="n">
        <v>0</v>
      </c>
      <c r="K5283" t="n">
        <v>0</v>
      </c>
      <c r="L5283" t="n">
        <v>0</v>
      </c>
      <c r="M5283" t="n">
        <v>0</v>
      </c>
      <c r="N5283" t="n">
        <v>0</v>
      </c>
      <c r="O5283" t="n">
        <v>0</v>
      </c>
      <c r="P5283" t="n">
        <v>0</v>
      </c>
      <c r="Q5283" t="n">
        <v>0</v>
      </c>
      <c r="R5283" s="2" t="inlineStr"/>
    </row>
    <row r="5284" ht="15" customHeight="1">
      <c r="A5284" t="inlineStr">
        <is>
          <t>A 40023-2025</t>
        </is>
      </c>
      <c r="B5284" s="1" t="n">
        <v>45894</v>
      </c>
      <c r="C5284" s="1" t="n">
        <v>46046</v>
      </c>
      <c r="D5284" t="inlineStr">
        <is>
          <t>NORRBOTTENS LÄN</t>
        </is>
      </c>
      <c r="E5284" t="inlineStr">
        <is>
          <t>BODEN</t>
        </is>
      </c>
      <c r="F5284" t="inlineStr">
        <is>
          <t>SCA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61103-2022</t>
        </is>
      </c>
      <c r="B5285" s="1" t="n">
        <v>44908</v>
      </c>
      <c r="C5285" s="1" t="n">
        <v>46046</v>
      </c>
      <c r="D5285" t="inlineStr">
        <is>
          <t>NORRBOTTENS LÄN</t>
        </is>
      </c>
      <c r="E5285" t="inlineStr">
        <is>
          <t>BODEN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39962-2025</t>
        </is>
      </c>
      <c r="B5286" s="1" t="n">
        <v>45892.4903587963</v>
      </c>
      <c r="C5286" s="1" t="n">
        <v>46046</v>
      </c>
      <c r="D5286" t="inlineStr">
        <is>
          <t>NORRBOTTENS LÄN</t>
        </is>
      </c>
      <c r="E5286" t="inlineStr">
        <is>
          <t>GÄLLIVARE</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8272-2023</t>
        </is>
      </c>
      <c r="B5287" s="1" t="n">
        <v>44974.63518518519</v>
      </c>
      <c r="C5287" s="1" t="n">
        <v>46046</v>
      </c>
      <c r="D5287" t="inlineStr">
        <is>
          <t>NORRBOTTENS LÄN</t>
        </is>
      </c>
      <c r="E5287" t="inlineStr">
        <is>
          <t>KALIX</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8277-2023</t>
        </is>
      </c>
      <c r="B5288" s="1" t="n">
        <v>44974.63965277778</v>
      </c>
      <c r="C5288" s="1" t="n">
        <v>46046</v>
      </c>
      <c r="D5288" t="inlineStr">
        <is>
          <t>NORRBOTTENS LÄN</t>
        </is>
      </c>
      <c r="E5288" t="inlineStr">
        <is>
          <t>KALIX</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55747-2023</t>
        </is>
      </c>
      <c r="B5289" s="1" t="n">
        <v>45232</v>
      </c>
      <c r="C5289" s="1" t="n">
        <v>46046</v>
      </c>
      <c r="D5289" t="inlineStr">
        <is>
          <t>NORRBOTTENS LÄN</t>
        </is>
      </c>
      <c r="E5289" t="inlineStr">
        <is>
          <t>LULEÅ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45794-2024</t>
        </is>
      </c>
      <c r="B5290" s="1" t="n">
        <v>45579.6725</v>
      </c>
      <c r="C5290" s="1" t="n">
        <v>46046</v>
      </c>
      <c r="D5290" t="inlineStr">
        <is>
          <t>NORRBOTTENS LÄN</t>
        </is>
      </c>
      <c r="E5290" t="inlineStr">
        <is>
          <t>ARVIDSJAUR</t>
        </is>
      </c>
      <c r="F5290" t="inlineStr">
        <is>
          <t>Sveaskog</t>
        </is>
      </c>
      <c r="G5290" t="n">
        <v>37.7</v>
      </c>
      <c r="H5290" t="n">
        <v>0</v>
      </c>
      <c r="I5290" t="n">
        <v>0</v>
      </c>
      <c r="J5290" t="n">
        <v>0</v>
      </c>
      <c r="K5290" t="n">
        <v>0</v>
      </c>
      <c r="L5290" t="n">
        <v>0</v>
      </c>
      <c r="M5290" t="n">
        <v>0</v>
      </c>
      <c r="N5290" t="n">
        <v>0</v>
      </c>
      <c r="O5290" t="n">
        <v>0</v>
      </c>
      <c r="P5290" t="n">
        <v>0</v>
      </c>
      <c r="Q5290" t="n">
        <v>0</v>
      </c>
      <c r="R5290" s="2" t="inlineStr"/>
    </row>
    <row r="5291" ht="15" customHeight="1">
      <c r="A5291" t="inlineStr">
        <is>
          <t>A 9319-2024</t>
        </is>
      </c>
      <c r="B5291" s="1" t="n">
        <v>45358.95780092593</v>
      </c>
      <c r="C5291" s="1" t="n">
        <v>46046</v>
      </c>
      <c r="D5291" t="inlineStr">
        <is>
          <t>NORRBOTTENS LÄN</t>
        </is>
      </c>
      <c r="E5291" t="inlineStr">
        <is>
          <t>BODEN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44398-2023</t>
        </is>
      </c>
      <c r="B5292" s="1" t="n">
        <v>45188</v>
      </c>
      <c r="C5292" s="1" t="n">
        <v>46046</v>
      </c>
      <c r="D5292" t="inlineStr">
        <is>
          <t>NORRBOTTENS LÄN</t>
        </is>
      </c>
      <c r="E5292" t="inlineStr">
        <is>
          <t>GÄLLIVARE</t>
        </is>
      </c>
      <c r="F5292" t="inlineStr">
        <is>
          <t>SCA</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44557-2023</t>
        </is>
      </c>
      <c r="B5293" s="1" t="n">
        <v>45189.53853009259</v>
      </c>
      <c r="C5293" s="1" t="n">
        <v>46046</v>
      </c>
      <c r="D5293" t="inlineStr">
        <is>
          <t>NORRBOTTENS LÄN</t>
        </is>
      </c>
      <c r="E5293" t="inlineStr">
        <is>
          <t>ARVIDSJAUR</t>
        </is>
      </c>
      <c r="F5293" t="inlineStr">
        <is>
          <t>Sveaskog</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20046-2025</t>
        </is>
      </c>
      <c r="B5294" s="1" t="n">
        <v>45772</v>
      </c>
      <c r="C5294" s="1" t="n">
        <v>46046</v>
      </c>
      <c r="D5294" t="inlineStr">
        <is>
          <t>NORRBOTTENS LÄN</t>
        </is>
      </c>
      <c r="E5294" t="inlineStr">
        <is>
          <t>BODEN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37085-2024</t>
        </is>
      </c>
      <c r="B5295" s="1" t="n">
        <v>45539</v>
      </c>
      <c r="C5295" s="1" t="n">
        <v>46046</v>
      </c>
      <c r="D5295" t="inlineStr">
        <is>
          <t>NORRBOTTENS LÄN</t>
        </is>
      </c>
      <c r="E5295" t="inlineStr">
        <is>
          <t>ÖVERKALIX</t>
        </is>
      </c>
      <c r="F5295" t="inlineStr">
        <is>
          <t>Sveaskog</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56073-2022</t>
        </is>
      </c>
      <c r="B5296" s="1" t="n">
        <v>44889</v>
      </c>
      <c r="C5296" s="1" t="n">
        <v>46046</v>
      </c>
      <c r="D5296" t="inlineStr">
        <is>
          <t>NORRBOTTENS LÄN</t>
        </is>
      </c>
      <c r="E5296" t="inlineStr">
        <is>
          <t>PITEÅ</t>
        </is>
      </c>
      <c r="F5296" t="inlineStr">
        <is>
          <t>Sveaskog</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20116-2025</t>
        </is>
      </c>
      <c r="B5297" s="1" t="n">
        <v>45772.4859375</v>
      </c>
      <c r="C5297" s="1" t="n">
        <v>46046</v>
      </c>
      <c r="D5297" t="inlineStr">
        <is>
          <t>NORRBOTTENS LÄN</t>
        </is>
      </c>
      <c r="E5297" t="inlineStr">
        <is>
          <t>KALIX</t>
        </is>
      </c>
      <c r="G5297" t="n">
        <v>15.6</v>
      </c>
      <c r="H5297" t="n">
        <v>0</v>
      </c>
      <c r="I5297" t="n">
        <v>0</v>
      </c>
      <c r="J5297" t="n">
        <v>0</v>
      </c>
      <c r="K5297" t="n">
        <v>0</v>
      </c>
      <c r="L5297" t="n">
        <v>0</v>
      </c>
      <c r="M5297" t="n">
        <v>0</v>
      </c>
      <c r="N5297" t="n">
        <v>0</v>
      </c>
      <c r="O5297" t="n">
        <v>0</v>
      </c>
      <c r="P5297" t="n">
        <v>0</v>
      </c>
      <c r="Q5297" t="n">
        <v>0</v>
      </c>
      <c r="R5297" s="2" t="inlineStr"/>
    </row>
    <row r="5298" ht="15" customHeight="1">
      <c r="A5298" t="inlineStr">
        <is>
          <t>A 20120-2025</t>
        </is>
      </c>
      <c r="B5298" s="1" t="n">
        <v>45772.48976851852</v>
      </c>
      <c r="C5298" s="1" t="n">
        <v>46046</v>
      </c>
      <c r="D5298" t="inlineStr">
        <is>
          <t>NORRBOTTENS LÄN</t>
        </is>
      </c>
      <c r="E5298" t="inlineStr">
        <is>
          <t>KALIX</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20175-2025</t>
        </is>
      </c>
      <c r="B5299" s="1" t="n">
        <v>45772</v>
      </c>
      <c r="C5299" s="1" t="n">
        <v>46046</v>
      </c>
      <c r="D5299" t="inlineStr">
        <is>
          <t>NORRBOTTENS LÄN</t>
        </is>
      </c>
      <c r="E5299" t="inlineStr">
        <is>
          <t>ÖVERTORNEÅ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51987-2023</t>
        </is>
      </c>
      <c r="B5300" s="1" t="n">
        <v>45216</v>
      </c>
      <c r="C5300" s="1" t="n">
        <v>46046</v>
      </c>
      <c r="D5300" t="inlineStr">
        <is>
          <t>NORRBOTTENS LÄN</t>
        </is>
      </c>
      <c r="E5300" t="inlineStr">
        <is>
          <t>PAJALA</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46945-2021</t>
        </is>
      </c>
      <c r="B5301" s="1" t="n">
        <v>44446</v>
      </c>
      <c r="C5301" s="1" t="n">
        <v>46046</v>
      </c>
      <c r="D5301" t="inlineStr">
        <is>
          <t>NORRBOTTENS LÄN</t>
        </is>
      </c>
      <c r="E5301" t="inlineStr">
        <is>
          <t>ÖVERKALIX</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23055-2024</t>
        </is>
      </c>
      <c r="B5302" s="1" t="n">
        <v>45449</v>
      </c>
      <c r="C5302" s="1" t="n">
        <v>46046</v>
      </c>
      <c r="D5302" t="inlineStr">
        <is>
          <t>NORRBOTTENS LÄN</t>
        </is>
      </c>
      <c r="E5302" t="inlineStr">
        <is>
          <t>ÖVERTORNEÅ</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41576-2024</t>
        </is>
      </c>
      <c r="B5303" s="1" t="n">
        <v>45560.55261574074</v>
      </c>
      <c r="C5303" s="1" t="n">
        <v>46046</v>
      </c>
      <c r="D5303" t="inlineStr">
        <is>
          <t>NORRBOTTENS LÄN</t>
        </is>
      </c>
      <c r="E5303" t="inlineStr">
        <is>
          <t>KALIX</t>
        </is>
      </c>
      <c r="F5303" t="inlineStr">
        <is>
          <t>SCA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23583-2021</t>
        </is>
      </c>
      <c r="B5304" s="1" t="n">
        <v>44334</v>
      </c>
      <c r="C5304" s="1" t="n">
        <v>46046</v>
      </c>
      <c r="D5304" t="inlineStr">
        <is>
          <t>NORRBOTTENS LÄN</t>
        </is>
      </c>
      <c r="E5304" t="inlineStr">
        <is>
          <t>ARVIDSJAUR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58083-2024</t>
        </is>
      </c>
      <c r="B5305" s="1" t="n">
        <v>45632</v>
      </c>
      <c r="C5305" s="1" t="n">
        <v>46046</v>
      </c>
      <c r="D5305" t="inlineStr">
        <is>
          <t>NORRBOTTENS LÄN</t>
        </is>
      </c>
      <c r="E5305" t="inlineStr">
        <is>
          <t>ÖVERTORNEÅ</t>
        </is>
      </c>
      <c r="G5305" t="n">
        <v>13.2</v>
      </c>
      <c r="H5305" t="n">
        <v>0</v>
      </c>
      <c r="I5305" t="n">
        <v>0</v>
      </c>
      <c r="J5305" t="n">
        <v>0</v>
      </c>
      <c r="K5305" t="n">
        <v>0</v>
      </c>
      <c r="L5305" t="n">
        <v>0</v>
      </c>
      <c r="M5305" t="n">
        <v>0</v>
      </c>
      <c r="N5305" t="n">
        <v>0</v>
      </c>
      <c r="O5305" t="n">
        <v>0</v>
      </c>
      <c r="P5305" t="n">
        <v>0</v>
      </c>
      <c r="Q5305" t="n">
        <v>0</v>
      </c>
      <c r="R5305" s="2" t="inlineStr"/>
    </row>
    <row r="5306" ht="15" customHeight="1">
      <c r="A5306" t="inlineStr">
        <is>
          <t>A 58101-2024</t>
        </is>
      </c>
      <c r="B5306" s="1" t="n">
        <v>45632.36780092592</v>
      </c>
      <c r="C5306" s="1" t="n">
        <v>46046</v>
      </c>
      <c r="D5306" t="inlineStr">
        <is>
          <t>NORRBOTTENS LÄN</t>
        </is>
      </c>
      <c r="E5306" t="inlineStr">
        <is>
          <t>ÖVERTORNEÅ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3459-2025</t>
        </is>
      </c>
      <c r="B5307" s="1" t="n">
        <v>45680.48986111111</v>
      </c>
      <c r="C5307" s="1" t="n">
        <v>46046</v>
      </c>
      <c r="D5307" t="inlineStr">
        <is>
          <t>NORRBOTTENS LÄN</t>
        </is>
      </c>
      <c r="E5307" t="inlineStr">
        <is>
          <t>BODEN</t>
        </is>
      </c>
      <c r="F5307" t="inlineStr">
        <is>
          <t>Naturvårdsverket</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30749-2023</t>
        </is>
      </c>
      <c r="B5308" s="1" t="n">
        <v>45103</v>
      </c>
      <c r="C5308" s="1" t="n">
        <v>46046</v>
      </c>
      <c r="D5308" t="inlineStr">
        <is>
          <t>NORRBOTTENS LÄN</t>
        </is>
      </c>
      <c r="E5308" t="inlineStr">
        <is>
          <t>ARVIDSJAUR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40565-2023</t>
        </is>
      </c>
      <c r="B5309" s="1" t="n">
        <v>45170</v>
      </c>
      <c r="C5309" s="1" t="n">
        <v>46046</v>
      </c>
      <c r="D5309" t="inlineStr">
        <is>
          <t>NORRBOTTENS LÄN</t>
        </is>
      </c>
      <c r="E5309" t="inlineStr">
        <is>
          <t>KALIX</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50496-2024</t>
        </is>
      </c>
      <c r="B5310" s="1" t="n">
        <v>45601.51266203704</v>
      </c>
      <c r="C5310" s="1" t="n">
        <v>46046</v>
      </c>
      <c r="D5310" t="inlineStr">
        <is>
          <t>NORRBOTTENS LÄN</t>
        </is>
      </c>
      <c r="E5310" t="inlineStr">
        <is>
          <t>JOKKMOKK</t>
        </is>
      </c>
      <c r="F5310" t="inlineStr">
        <is>
          <t>Allmännings- och besparingsskogar</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16336-2023</t>
        </is>
      </c>
      <c r="B5311" s="1" t="n">
        <v>45022</v>
      </c>
      <c r="C5311" s="1" t="n">
        <v>46046</v>
      </c>
      <c r="D5311" t="inlineStr">
        <is>
          <t>NORRBOTTENS LÄN</t>
        </is>
      </c>
      <c r="E5311" t="inlineStr">
        <is>
          <t>JOKKMOKK</t>
        </is>
      </c>
      <c r="F5311" t="inlineStr">
        <is>
          <t>Övriga statliga verk och myndigheter</t>
        </is>
      </c>
      <c r="G5311" t="n">
        <v>130.2</v>
      </c>
      <c r="H5311" t="n">
        <v>0</v>
      </c>
      <c r="I5311" t="n">
        <v>0</v>
      </c>
      <c r="J5311" t="n">
        <v>0</v>
      </c>
      <c r="K5311" t="n">
        <v>0</v>
      </c>
      <c r="L5311" t="n">
        <v>0</v>
      </c>
      <c r="M5311" t="n">
        <v>0</v>
      </c>
      <c r="N5311" t="n">
        <v>0</v>
      </c>
      <c r="O5311" t="n">
        <v>0</v>
      </c>
      <c r="P5311" t="n">
        <v>0</v>
      </c>
      <c r="Q5311" t="n">
        <v>0</v>
      </c>
      <c r="R5311" s="2" t="inlineStr"/>
    </row>
    <row r="5312" ht="15" customHeight="1">
      <c r="A5312" t="inlineStr">
        <is>
          <t>A 33196-2022</t>
        </is>
      </c>
      <c r="B5312" s="1" t="n">
        <v>44785</v>
      </c>
      <c r="C5312" s="1" t="n">
        <v>46046</v>
      </c>
      <c r="D5312" t="inlineStr">
        <is>
          <t>NORRBOTTENS LÄN</t>
        </is>
      </c>
      <c r="E5312" t="inlineStr">
        <is>
          <t>PITEÅ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40359-2025</t>
        </is>
      </c>
      <c r="B5313" s="1" t="n">
        <v>45895.49011574074</v>
      </c>
      <c r="C5313" s="1" t="n">
        <v>46046</v>
      </c>
      <c r="D5313" t="inlineStr">
        <is>
          <t>NORRBOTTENS LÄN</t>
        </is>
      </c>
      <c r="E5313" t="inlineStr">
        <is>
          <t>ÄLVSBYN</t>
        </is>
      </c>
      <c r="F5313" t="inlineStr">
        <is>
          <t>SCA</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40387-2025</t>
        </is>
      </c>
      <c r="B5314" s="1" t="n">
        <v>45895</v>
      </c>
      <c r="C5314" s="1" t="n">
        <v>46046</v>
      </c>
      <c r="D5314" t="inlineStr">
        <is>
          <t>NORRBOTTENS LÄN</t>
        </is>
      </c>
      <c r="E5314" t="inlineStr">
        <is>
          <t>PITEÅ</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40200-2025</t>
        </is>
      </c>
      <c r="B5315" s="1" t="n">
        <v>45894.6680324074</v>
      </c>
      <c r="C5315" s="1" t="n">
        <v>46046</v>
      </c>
      <c r="D5315" t="inlineStr">
        <is>
          <t>NORRBOTTENS LÄN</t>
        </is>
      </c>
      <c r="E5315" t="inlineStr">
        <is>
          <t>ÖVERTORNEÅ</t>
        </is>
      </c>
      <c r="F5315" t="inlineStr">
        <is>
          <t>Sveaskog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40210-2025</t>
        </is>
      </c>
      <c r="B5316" s="1" t="n">
        <v>45894</v>
      </c>
      <c r="C5316" s="1" t="n">
        <v>46046</v>
      </c>
      <c r="D5316" t="inlineStr">
        <is>
          <t>NORRBOTTENS LÄN</t>
        </is>
      </c>
      <c r="E5316" t="inlineStr">
        <is>
          <t>PITEÅ</t>
        </is>
      </c>
      <c r="F5316" t="inlineStr">
        <is>
          <t>Sveaskog</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36623-2023</t>
        </is>
      </c>
      <c r="B5317" s="1" t="n">
        <v>45153</v>
      </c>
      <c r="C5317" s="1" t="n">
        <v>46046</v>
      </c>
      <c r="D5317" t="inlineStr">
        <is>
          <t>NORRBOTTENS LÄN</t>
        </is>
      </c>
      <c r="E5317" t="inlineStr">
        <is>
          <t>ARJEPLOG</t>
        </is>
      </c>
      <c r="F5317" t="inlineStr">
        <is>
          <t>Sveaskog</t>
        </is>
      </c>
      <c r="G5317" t="n">
        <v>16.9</v>
      </c>
      <c r="H5317" t="n">
        <v>0</v>
      </c>
      <c r="I5317" t="n">
        <v>0</v>
      </c>
      <c r="J5317" t="n">
        <v>0</v>
      </c>
      <c r="K5317" t="n">
        <v>0</v>
      </c>
      <c r="L5317" t="n">
        <v>0</v>
      </c>
      <c r="M5317" t="n">
        <v>0</v>
      </c>
      <c r="N5317" t="n">
        <v>0</v>
      </c>
      <c r="O5317" t="n">
        <v>0</v>
      </c>
      <c r="P5317" t="n">
        <v>0</v>
      </c>
      <c r="Q5317" t="n">
        <v>0</v>
      </c>
      <c r="R5317" s="2" t="inlineStr"/>
    </row>
    <row r="5318" ht="15" customHeight="1">
      <c r="A5318" t="inlineStr">
        <is>
          <t>A 40265-2025</t>
        </is>
      </c>
      <c r="B5318" s="1" t="n">
        <v>45895.34462962963</v>
      </c>
      <c r="C5318" s="1" t="n">
        <v>46046</v>
      </c>
      <c r="D5318" t="inlineStr">
        <is>
          <t>NORRBOTTENS LÄN</t>
        </is>
      </c>
      <c r="E5318" t="inlineStr">
        <is>
          <t>PITEÅ</t>
        </is>
      </c>
      <c r="F5318" t="inlineStr">
        <is>
          <t>SCA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33848-2022</t>
        </is>
      </c>
      <c r="B5319" s="1" t="n">
        <v>44790</v>
      </c>
      <c r="C5319" s="1" t="n">
        <v>46046</v>
      </c>
      <c r="D5319" t="inlineStr">
        <is>
          <t>NORRBOTTENS LÄN</t>
        </is>
      </c>
      <c r="E5319" t="inlineStr">
        <is>
          <t>ÄLVSBYN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46547-2021</t>
        </is>
      </c>
      <c r="B5320" s="1" t="n">
        <v>44445</v>
      </c>
      <c r="C5320" s="1" t="n">
        <v>46046</v>
      </c>
      <c r="D5320" t="inlineStr">
        <is>
          <t>NORRBOTTENS LÄN</t>
        </is>
      </c>
      <c r="E5320" t="inlineStr">
        <is>
          <t>LULEÅ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43648-2023</t>
        </is>
      </c>
      <c r="B5321" s="1" t="n">
        <v>45187</v>
      </c>
      <c r="C5321" s="1" t="n">
        <v>46046</v>
      </c>
      <c r="D5321" t="inlineStr">
        <is>
          <t>NORRBOTTENS LÄN</t>
        </is>
      </c>
      <c r="E5321" t="inlineStr">
        <is>
          <t>BODEN</t>
        </is>
      </c>
      <c r="F5321" t="inlineStr">
        <is>
          <t>Sveaskog</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45307-2024</t>
        </is>
      </c>
      <c r="B5322" s="1" t="n">
        <v>45576.42760416667</v>
      </c>
      <c r="C5322" s="1" t="n">
        <v>46046</v>
      </c>
      <c r="D5322" t="inlineStr">
        <is>
          <t>NORRBOTTENS LÄN</t>
        </is>
      </c>
      <c r="E5322" t="inlineStr">
        <is>
          <t>KALIX</t>
        </is>
      </c>
      <c r="F5322" t="inlineStr">
        <is>
          <t>SCA</t>
        </is>
      </c>
      <c r="G5322" t="n">
        <v>12.3</v>
      </c>
      <c r="H5322" t="n">
        <v>0</v>
      </c>
      <c r="I5322" t="n">
        <v>0</v>
      </c>
      <c r="J5322" t="n">
        <v>0</v>
      </c>
      <c r="K5322" t="n">
        <v>0</v>
      </c>
      <c r="L5322" t="n">
        <v>0</v>
      </c>
      <c r="M5322" t="n">
        <v>0</v>
      </c>
      <c r="N5322" t="n">
        <v>0</v>
      </c>
      <c r="O5322" t="n">
        <v>0</v>
      </c>
      <c r="P5322" t="n">
        <v>0</v>
      </c>
      <c r="Q5322" t="n">
        <v>0</v>
      </c>
      <c r="R5322" s="2" t="inlineStr"/>
    </row>
    <row r="5323" ht="15" customHeight="1">
      <c r="A5323" t="inlineStr">
        <is>
          <t>A 39958-2025</t>
        </is>
      </c>
      <c r="B5323" s="1" t="n">
        <v>45892</v>
      </c>
      <c r="C5323" s="1" t="n">
        <v>46046</v>
      </c>
      <c r="D5323" t="inlineStr">
        <is>
          <t>NORRBOTTENS LÄN</t>
        </is>
      </c>
      <c r="E5323" t="inlineStr">
        <is>
          <t>KALIX</t>
        </is>
      </c>
      <c r="G5323" t="n">
        <v>0</v>
      </c>
      <c r="H5323" t="n">
        <v>0</v>
      </c>
      <c r="I5323" t="n">
        <v>0</v>
      </c>
      <c r="J5323" t="n">
        <v>0</v>
      </c>
      <c r="K5323" t="n">
        <v>0</v>
      </c>
      <c r="L5323" t="n">
        <v>0</v>
      </c>
      <c r="M5323" t="n">
        <v>0</v>
      </c>
      <c r="N5323" t="n">
        <v>0</v>
      </c>
      <c r="O5323" t="n">
        <v>0</v>
      </c>
      <c r="P5323" t="n">
        <v>0</v>
      </c>
      <c r="Q5323" t="n">
        <v>0</v>
      </c>
      <c r="R5323" s="2" t="inlineStr"/>
    </row>
    <row r="5324" ht="15" customHeight="1">
      <c r="A5324" t="inlineStr">
        <is>
          <t>A 39959-2025</t>
        </is>
      </c>
      <c r="B5324" s="1" t="n">
        <v>45892</v>
      </c>
      <c r="C5324" s="1" t="n">
        <v>46046</v>
      </c>
      <c r="D5324" t="inlineStr">
        <is>
          <t>NORRBOTTENS LÄN</t>
        </is>
      </c>
      <c r="E5324" t="inlineStr">
        <is>
          <t>KALIX</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14298-2023</t>
        </is>
      </c>
      <c r="B5325" s="1" t="n">
        <v>45011</v>
      </c>
      <c r="C5325" s="1" t="n">
        <v>46046</v>
      </c>
      <c r="D5325" t="inlineStr">
        <is>
          <t>NORRBOTTENS LÄN</t>
        </is>
      </c>
      <c r="E5325" t="inlineStr">
        <is>
          <t>ÖVERTORNEÅ</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23884-2022</t>
        </is>
      </c>
      <c r="B5326" s="1" t="n">
        <v>44722.57129629629</v>
      </c>
      <c r="C5326" s="1" t="n">
        <v>46046</v>
      </c>
      <c r="D5326" t="inlineStr">
        <is>
          <t>NORRBOTTENS LÄN</t>
        </is>
      </c>
      <c r="E5326" t="inlineStr">
        <is>
          <t>LULEÅ</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31157-2025</t>
        </is>
      </c>
      <c r="B5327" s="1" t="n">
        <v>45832.65146990741</v>
      </c>
      <c r="C5327" s="1" t="n">
        <v>46046</v>
      </c>
      <c r="D5327" t="inlineStr">
        <is>
          <t>NORRBOTTENS LÄN</t>
        </is>
      </c>
      <c r="E5327" t="inlineStr">
        <is>
          <t>ÄLVSBYN</t>
        </is>
      </c>
      <c r="F5327" t="inlineStr">
        <is>
          <t>Sveaskog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39975-2025</t>
        </is>
      </c>
      <c r="B5328" s="1" t="n">
        <v>45893.46916666667</v>
      </c>
      <c r="C5328" s="1" t="n">
        <v>46046</v>
      </c>
      <c r="D5328" t="inlineStr">
        <is>
          <t>NORRBOTTENS LÄN</t>
        </is>
      </c>
      <c r="E5328" t="inlineStr">
        <is>
          <t>BODEN</t>
        </is>
      </c>
      <c r="F5328" t="inlineStr">
        <is>
          <t>SCA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40254-2025</t>
        </is>
      </c>
      <c r="B5329" s="1" t="n">
        <v>45895.32181712963</v>
      </c>
      <c r="C5329" s="1" t="n">
        <v>46046</v>
      </c>
      <c r="D5329" t="inlineStr">
        <is>
          <t>NORRBOTTENS LÄN</t>
        </is>
      </c>
      <c r="E5329" t="inlineStr">
        <is>
          <t>PITEÅ</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18910-2025</t>
        </is>
      </c>
      <c r="B5330" s="1" t="n">
        <v>45764.46482638889</v>
      </c>
      <c r="C5330" s="1" t="n">
        <v>46046</v>
      </c>
      <c r="D5330" t="inlineStr">
        <is>
          <t>NORRBOTTENS LÄN</t>
        </is>
      </c>
      <c r="E5330" t="inlineStr">
        <is>
          <t>BODEN</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55381-2024</t>
        </is>
      </c>
      <c r="B5331" s="1" t="n">
        <v>45622</v>
      </c>
      <c r="C5331" s="1" t="n">
        <v>46046</v>
      </c>
      <c r="D5331" t="inlineStr">
        <is>
          <t>NORRBOTTENS LÄN</t>
        </is>
      </c>
      <c r="E5331" t="inlineStr">
        <is>
          <t>GÄLLIVARE</t>
        </is>
      </c>
      <c r="F5331" t="inlineStr">
        <is>
          <t>Sveaskog</t>
        </is>
      </c>
      <c r="G5331" t="n">
        <v>11.7</v>
      </c>
      <c r="H5331" t="n">
        <v>0</v>
      </c>
      <c r="I5331" t="n">
        <v>0</v>
      </c>
      <c r="J5331" t="n">
        <v>0</v>
      </c>
      <c r="K5331" t="n">
        <v>0</v>
      </c>
      <c r="L5331" t="n">
        <v>0</v>
      </c>
      <c r="M5331" t="n">
        <v>0</v>
      </c>
      <c r="N5331" t="n">
        <v>0</v>
      </c>
      <c r="O5331" t="n">
        <v>0</v>
      </c>
      <c r="P5331" t="n">
        <v>0</v>
      </c>
      <c r="Q5331" t="n">
        <v>0</v>
      </c>
      <c r="R5331" s="2" t="inlineStr"/>
    </row>
    <row r="5332" ht="15" customHeight="1">
      <c r="A5332" t="inlineStr">
        <is>
          <t>A 40104-2025</t>
        </is>
      </c>
      <c r="B5332" s="1" t="n">
        <v>45894.4883449074</v>
      </c>
      <c r="C5332" s="1" t="n">
        <v>46046</v>
      </c>
      <c r="D5332" t="inlineStr">
        <is>
          <t>NORRBOTTENS LÄN</t>
        </is>
      </c>
      <c r="E5332" t="inlineStr">
        <is>
          <t>HAPARANDA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39960-2025</t>
        </is>
      </c>
      <c r="B5333" s="1" t="n">
        <v>45892.48996527777</v>
      </c>
      <c r="C5333" s="1" t="n">
        <v>46046</v>
      </c>
      <c r="D5333" t="inlineStr">
        <is>
          <t>NORRBOTTENS LÄN</t>
        </is>
      </c>
      <c r="E5333" t="inlineStr">
        <is>
          <t>GÄLLIVARE</t>
        </is>
      </c>
      <c r="F5333" t="inlineStr">
        <is>
          <t>SCA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38577-2024</t>
        </is>
      </c>
      <c r="B5334" s="1" t="n">
        <v>45546</v>
      </c>
      <c r="C5334" s="1" t="n">
        <v>46046</v>
      </c>
      <c r="D5334" t="inlineStr">
        <is>
          <t>NORRBOTTENS LÄN</t>
        </is>
      </c>
      <c r="E5334" t="inlineStr">
        <is>
          <t>KIRUNA</t>
        </is>
      </c>
      <c r="G5334" t="n">
        <v>39.8</v>
      </c>
      <c r="H5334" t="n">
        <v>0</v>
      </c>
      <c r="I5334" t="n">
        <v>0</v>
      </c>
      <c r="J5334" t="n">
        <v>0</v>
      </c>
      <c r="K5334" t="n">
        <v>0</v>
      </c>
      <c r="L5334" t="n">
        <v>0</v>
      </c>
      <c r="M5334" t="n">
        <v>0</v>
      </c>
      <c r="N5334" t="n">
        <v>0</v>
      </c>
      <c r="O5334" t="n">
        <v>0</v>
      </c>
      <c r="P5334" t="n">
        <v>0</v>
      </c>
      <c r="Q5334" t="n">
        <v>0</v>
      </c>
      <c r="R5334" s="2" t="inlineStr"/>
    </row>
    <row r="5335" ht="15" customHeight="1">
      <c r="A5335" t="inlineStr">
        <is>
          <t>A 50472-2022</t>
        </is>
      </c>
      <c r="B5335" s="1" t="n">
        <v>44861</v>
      </c>
      <c r="C5335" s="1" t="n">
        <v>46046</v>
      </c>
      <c r="D5335" t="inlineStr">
        <is>
          <t>NORRBOTTENS LÄN</t>
        </is>
      </c>
      <c r="E5335" t="inlineStr">
        <is>
          <t>ARVIDSJAUR</t>
        </is>
      </c>
      <c r="F5335" t="inlineStr">
        <is>
          <t>Allmännings- och besparingsskogar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17205-2024</t>
        </is>
      </c>
      <c r="B5336" s="1" t="n">
        <v>45413.65241898148</v>
      </c>
      <c r="C5336" s="1" t="n">
        <v>46046</v>
      </c>
      <c r="D5336" t="inlineStr">
        <is>
          <t>NORRBOTTENS LÄN</t>
        </is>
      </c>
      <c r="E5336" t="inlineStr">
        <is>
          <t>GÄLLIVARE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40231-2025</t>
        </is>
      </c>
      <c r="B5337" s="1" t="n">
        <v>45894</v>
      </c>
      <c r="C5337" s="1" t="n">
        <v>46046</v>
      </c>
      <c r="D5337" t="inlineStr">
        <is>
          <t>NORRBOTTENS LÄN</t>
        </is>
      </c>
      <c r="E5337" t="inlineStr">
        <is>
          <t>PAJALA</t>
        </is>
      </c>
      <c r="F5337" t="inlineStr">
        <is>
          <t>Allmännings- och besparingsskogar</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51261-2024</t>
        </is>
      </c>
      <c r="B5338" s="1" t="n">
        <v>45603.69465277778</v>
      </c>
      <c r="C5338" s="1" t="n">
        <v>46046</v>
      </c>
      <c r="D5338" t="inlineStr">
        <is>
          <t>NORRBOTTENS LÄN</t>
        </is>
      </c>
      <c r="E5338" t="inlineStr">
        <is>
          <t>JOKKMOKK</t>
        </is>
      </c>
      <c r="F5338" t="inlineStr">
        <is>
          <t>Allmännings- och besparingsskogar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60071-2023</t>
        </is>
      </c>
      <c r="B5339" s="1" t="n">
        <v>45258.39447916667</v>
      </c>
      <c r="C5339" s="1" t="n">
        <v>46046</v>
      </c>
      <c r="D5339" t="inlineStr">
        <is>
          <t>NORRBOTTENS LÄN</t>
        </is>
      </c>
      <c r="E5339" t="inlineStr">
        <is>
          <t>PAJALA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49361-2023</t>
        </is>
      </c>
      <c r="B5340" s="1" t="n">
        <v>45211.33572916667</v>
      </c>
      <c r="C5340" s="1" t="n">
        <v>46046</v>
      </c>
      <c r="D5340" t="inlineStr">
        <is>
          <t>NORRBOTTENS LÄN</t>
        </is>
      </c>
      <c r="E5340" t="inlineStr">
        <is>
          <t>PITEÅ</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45333-2024</t>
        </is>
      </c>
      <c r="B5341" s="1" t="n">
        <v>45576</v>
      </c>
      <c r="C5341" s="1" t="n">
        <v>46046</v>
      </c>
      <c r="D5341" t="inlineStr">
        <is>
          <t>NORRBOTTENS LÄN</t>
        </is>
      </c>
      <c r="E5341" t="inlineStr">
        <is>
          <t>JOKKMOKK</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52075-2023</t>
        </is>
      </c>
      <c r="B5342" s="1" t="n">
        <v>45223</v>
      </c>
      <c r="C5342" s="1" t="n">
        <v>46046</v>
      </c>
      <c r="D5342" t="inlineStr">
        <is>
          <t>NORRBOTTENS LÄN</t>
        </is>
      </c>
      <c r="E5342" t="inlineStr">
        <is>
          <t>ÖVERKALIX</t>
        </is>
      </c>
      <c r="G5342" t="n">
        <v>8.6</v>
      </c>
      <c r="H5342" t="n">
        <v>0</v>
      </c>
      <c r="I5342" t="n">
        <v>0</v>
      </c>
      <c r="J5342" t="n">
        <v>0</v>
      </c>
      <c r="K5342" t="n">
        <v>0</v>
      </c>
      <c r="L5342" t="n">
        <v>0</v>
      </c>
      <c r="M5342" t="n">
        <v>0</v>
      </c>
      <c r="N5342" t="n">
        <v>0</v>
      </c>
      <c r="O5342" t="n">
        <v>0</v>
      </c>
      <c r="P5342" t="n">
        <v>0</v>
      </c>
      <c r="Q5342" t="n">
        <v>0</v>
      </c>
      <c r="R5342" s="2" t="inlineStr"/>
    </row>
    <row r="5343" ht="15" customHeight="1">
      <c r="A5343" t="inlineStr">
        <is>
          <t>A 55540-2022</t>
        </is>
      </c>
      <c r="B5343" s="1" t="n">
        <v>44887</v>
      </c>
      <c r="C5343" s="1" t="n">
        <v>46046</v>
      </c>
      <c r="D5343" t="inlineStr">
        <is>
          <t>NORRBOTTENS LÄN</t>
        </is>
      </c>
      <c r="E5343" t="inlineStr">
        <is>
          <t>BODEN</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16446-2024</t>
        </is>
      </c>
      <c r="B5344" s="1" t="n">
        <v>45407.96980324074</v>
      </c>
      <c r="C5344" s="1" t="n">
        <v>46046</v>
      </c>
      <c r="D5344" t="inlineStr">
        <is>
          <t>NORRBOTTENS LÄN</t>
        </is>
      </c>
      <c r="E5344" t="inlineStr">
        <is>
          <t>PAJALA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1770-2022</t>
        </is>
      </c>
      <c r="B5345" s="1" t="n">
        <v>44574</v>
      </c>
      <c r="C5345" s="1" t="n">
        <v>46046</v>
      </c>
      <c r="D5345" t="inlineStr">
        <is>
          <t>NORRBOTTENS LÄN</t>
        </is>
      </c>
      <c r="E5345" t="inlineStr">
        <is>
          <t>PAJALA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52854-2022</t>
        </is>
      </c>
      <c r="B5346" s="1" t="n">
        <v>44872</v>
      </c>
      <c r="C5346" s="1" t="n">
        <v>46046</v>
      </c>
      <c r="D5346" t="inlineStr">
        <is>
          <t>NORRBOTTENS LÄN</t>
        </is>
      </c>
      <c r="E5346" t="inlineStr">
        <is>
          <t>LULEÅ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39463-2023</t>
        </is>
      </c>
      <c r="B5347" s="1" t="n">
        <v>45166.83878472223</v>
      </c>
      <c r="C5347" s="1" t="n">
        <v>46046</v>
      </c>
      <c r="D5347" t="inlineStr">
        <is>
          <t>NORRBOTTENS LÄN</t>
        </is>
      </c>
      <c r="E5347" t="inlineStr">
        <is>
          <t>BODEN</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40085-2025</t>
        </is>
      </c>
      <c r="B5348" s="1" t="n">
        <v>45894.47200231482</v>
      </c>
      <c r="C5348" s="1" t="n">
        <v>46046</v>
      </c>
      <c r="D5348" t="inlineStr">
        <is>
          <t>NORRBOTTENS LÄN</t>
        </is>
      </c>
      <c r="E5348" t="inlineStr">
        <is>
          <t>ÖVERTORNEÅ</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40088-2025</t>
        </is>
      </c>
      <c r="B5349" s="1" t="n">
        <v>45894.47658564815</v>
      </c>
      <c r="C5349" s="1" t="n">
        <v>46046</v>
      </c>
      <c r="D5349" t="inlineStr">
        <is>
          <t>NORRBOTTENS LÄN</t>
        </is>
      </c>
      <c r="E5349" t="inlineStr">
        <is>
          <t>PITEÅ</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40100-2025</t>
        </is>
      </c>
      <c r="B5350" s="1" t="n">
        <v>45894.48466435185</v>
      </c>
      <c r="C5350" s="1" t="n">
        <v>46046</v>
      </c>
      <c r="D5350" t="inlineStr">
        <is>
          <t>NORRBOTTENS LÄN</t>
        </is>
      </c>
      <c r="E5350" t="inlineStr">
        <is>
          <t>HAPARANDA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39556-2023</t>
        </is>
      </c>
      <c r="B5351" s="1" t="n">
        <v>45167</v>
      </c>
      <c r="C5351" s="1" t="n">
        <v>46046</v>
      </c>
      <c r="D5351" t="inlineStr">
        <is>
          <t>NORRBOTTENS LÄN</t>
        </is>
      </c>
      <c r="E5351" t="inlineStr">
        <is>
          <t>PITEÅ</t>
        </is>
      </c>
      <c r="F5351" t="inlineStr">
        <is>
          <t>Sveaskog</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7037-2025</t>
        </is>
      </c>
      <c r="B5352" s="1" t="n">
        <v>45701.63607638889</v>
      </c>
      <c r="C5352" s="1" t="n">
        <v>46046</v>
      </c>
      <c r="D5352" t="inlineStr">
        <is>
          <t>NORRBOTTENS LÄN</t>
        </is>
      </c>
      <c r="E5352" t="inlineStr">
        <is>
          <t>LULEÅ</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40198-2025</t>
        </is>
      </c>
      <c r="B5353" s="1" t="n">
        <v>45894.66540509259</v>
      </c>
      <c r="C5353" s="1" t="n">
        <v>46046</v>
      </c>
      <c r="D5353" t="inlineStr">
        <is>
          <t>NORRBOTTENS LÄN</t>
        </is>
      </c>
      <c r="E5353" t="inlineStr">
        <is>
          <t>ÖVERTORNEÅ</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40117-2025</t>
        </is>
      </c>
      <c r="B5354" s="1" t="n">
        <v>45894</v>
      </c>
      <c r="C5354" s="1" t="n">
        <v>46046</v>
      </c>
      <c r="D5354" t="inlineStr">
        <is>
          <t>NORRBOTTENS LÄN</t>
        </is>
      </c>
      <c r="E5354" t="inlineStr">
        <is>
          <t>BODEN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25989-2023</t>
        </is>
      </c>
      <c r="B5355" s="1" t="n">
        <v>45090.92510416666</v>
      </c>
      <c r="C5355" s="1" t="n">
        <v>46046</v>
      </c>
      <c r="D5355" t="inlineStr">
        <is>
          <t>NORRBOTTENS LÄN</t>
        </is>
      </c>
      <c r="E5355" t="inlineStr">
        <is>
          <t>PITEÅ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40123-2025</t>
        </is>
      </c>
      <c r="B5356" s="1" t="n">
        <v>45894.53157407408</v>
      </c>
      <c r="C5356" s="1" t="n">
        <v>46046</v>
      </c>
      <c r="D5356" t="inlineStr">
        <is>
          <t>NORRBOTTENS LÄN</t>
        </is>
      </c>
      <c r="E5356" t="inlineStr">
        <is>
          <t>PITEÅ</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5842-2023</t>
        </is>
      </c>
      <c r="B5357" s="1" t="n">
        <v>44958</v>
      </c>
      <c r="C5357" s="1" t="n">
        <v>46046</v>
      </c>
      <c r="D5357" t="inlineStr">
        <is>
          <t>NORRBOTTENS LÄN</t>
        </is>
      </c>
      <c r="E5357" t="inlineStr">
        <is>
          <t>KIRUNA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40086-2025</t>
        </is>
      </c>
      <c r="B5358" s="1" t="n">
        <v>45894.47443287037</v>
      </c>
      <c r="C5358" s="1" t="n">
        <v>46046</v>
      </c>
      <c r="D5358" t="inlineStr">
        <is>
          <t>NORRBOTTENS LÄN</t>
        </is>
      </c>
      <c r="E5358" t="inlineStr">
        <is>
          <t>PITEÅ</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40093-2025</t>
        </is>
      </c>
      <c r="B5359" s="1" t="n">
        <v>45894.47996527778</v>
      </c>
      <c r="C5359" s="1" t="n">
        <v>46046</v>
      </c>
      <c r="D5359" t="inlineStr">
        <is>
          <t>NORRBOTTENS LÄN</t>
        </is>
      </c>
      <c r="E5359" t="inlineStr">
        <is>
          <t>HAPARANDA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22409-2024</t>
        </is>
      </c>
      <c r="B5360" s="1" t="n">
        <v>45446.68098379629</v>
      </c>
      <c r="C5360" s="1" t="n">
        <v>46046</v>
      </c>
      <c r="D5360" t="inlineStr">
        <is>
          <t>NORRBOTTENS LÄN</t>
        </is>
      </c>
      <c r="E5360" t="inlineStr">
        <is>
          <t>BODEN</t>
        </is>
      </c>
      <c r="F5360" t="inlineStr">
        <is>
          <t>Sveaskog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40277-2025</t>
        </is>
      </c>
      <c r="B5361" s="1" t="n">
        <v>45895.36069444445</v>
      </c>
      <c r="C5361" s="1" t="n">
        <v>46046</v>
      </c>
      <c r="D5361" t="inlineStr">
        <is>
          <t>NORRBOTTENS LÄN</t>
        </is>
      </c>
      <c r="E5361" t="inlineStr">
        <is>
          <t>KALIX</t>
        </is>
      </c>
      <c r="G5361" t="n">
        <v>27.8</v>
      </c>
      <c r="H5361" t="n">
        <v>0</v>
      </c>
      <c r="I5361" t="n">
        <v>0</v>
      </c>
      <c r="J5361" t="n">
        <v>0</v>
      </c>
      <c r="K5361" t="n">
        <v>0</v>
      </c>
      <c r="L5361" t="n">
        <v>0</v>
      </c>
      <c r="M5361" t="n">
        <v>0</v>
      </c>
      <c r="N5361" t="n">
        <v>0</v>
      </c>
      <c r="O5361" t="n">
        <v>0</v>
      </c>
      <c r="P5361" t="n">
        <v>0</v>
      </c>
      <c r="Q5361" t="n">
        <v>0</v>
      </c>
      <c r="R5361" s="2" t="inlineStr"/>
    </row>
    <row r="5362" ht="15" customHeight="1">
      <c r="A5362" t="inlineStr">
        <is>
          <t>A 10071-2024</t>
        </is>
      </c>
      <c r="B5362" s="1" t="n">
        <v>45364.40600694445</v>
      </c>
      <c r="C5362" s="1" t="n">
        <v>46046</v>
      </c>
      <c r="D5362" t="inlineStr">
        <is>
          <t>NORRBOTTENS LÄN</t>
        </is>
      </c>
      <c r="E5362" t="inlineStr">
        <is>
          <t>KALIX</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40820-2025</t>
        </is>
      </c>
      <c r="B5363" s="1" t="n">
        <v>45897.48924768518</v>
      </c>
      <c r="C5363" s="1" t="n">
        <v>46046</v>
      </c>
      <c r="D5363" t="inlineStr">
        <is>
          <t>NORRBOTTENS LÄN</t>
        </is>
      </c>
      <c r="E5363" t="inlineStr">
        <is>
          <t>BODEN</t>
        </is>
      </c>
      <c r="F5363" t="inlineStr">
        <is>
          <t>Sveaskog</t>
        </is>
      </c>
      <c r="G5363" t="n">
        <v>28.1</v>
      </c>
      <c r="H5363" t="n">
        <v>0</v>
      </c>
      <c r="I5363" t="n">
        <v>0</v>
      </c>
      <c r="J5363" t="n">
        <v>0</v>
      </c>
      <c r="K5363" t="n">
        <v>0</v>
      </c>
      <c r="L5363" t="n">
        <v>0</v>
      </c>
      <c r="M5363" t="n">
        <v>0</v>
      </c>
      <c r="N5363" t="n">
        <v>0</v>
      </c>
      <c r="O5363" t="n">
        <v>0</v>
      </c>
      <c r="P5363" t="n">
        <v>0</v>
      </c>
      <c r="Q5363" t="n">
        <v>0</v>
      </c>
      <c r="R5363" s="2" t="inlineStr"/>
    </row>
    <row r="5364" ht="15" customHeight="1">
      <c r="A5364" t="inlineStr">
        <is>
          <t>A 51083-2023</t>
        </is>
      </c>
      <c r="B5364" s="1" t="n">
        <v>45218.71888888889</v>
      </c>
      <c r="C5364" s="1" t="n">
        <v>46046</v>
      </c>
      <c r="D5364" t="inlineStr">
        <is>
          <t>NORRBOTTENS LÄN</t>
        </is>
      </c>
      <c r="E5364" t="inlineStr">
        <is>
          <t>PAJALA</t>
        </is>
      </c>
      <c r="F5364" t="inlineStr">
        <is>
          <t>Sveaskog</t>
        </is>
      </c>
      <c r="G5364" t="n">
        <v>25.1</v>
      </c>
      <c r="H5364" t="n">
        <v>0</v>
      </c>
      <c r="I5364" t="n">
        <v>0</v>
      </c>
      <c r="J5364" t="n">
        <v>0</v>
      </c>
      <c r="K5364" t="n">
        <v>0</v>
      </c>
      <c r="L5364" t="n">
        <v>0</v>
      </c>
      <c r="M5364" t="n">
        <v>0</v>
      </c>
      <c r="N5364" t="n">
        <v>0</v>
      </c>
      <c r="O5364" t="n">
        <v>0</v>
      </c>
      <c r="P5364" t="n">
        <v>0</v>
      </c>
      <c r="Q5364" t="n">
        <v>0</v>
      </c>
      <c r="R5364" s="2" t="inlineStr"/>
    </row>
    <row r="5365" ht="15" customHeight="1">
      <c r="A5365" t="inlineStr">
        <is>
          <t>A 47198-2024</t>
        </is>
      </c>
      <c r="B5365" s="1" t="n">
        <v>45586.63260416667</v>
      </c>
      <c r="C5365" s="1" t="n">
        <v>46046</v>
      </c>
      <c r="D5365" t="inlineStr">
        <is>
          <t>NORRBOTTENS LÄN</t>
        </is>
      </c>
      <c r="E5365" t="inlineStr">
        <is>
          <t>PITEÅ</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54211-2024</t>
        </is>
      </c>
      <c r="B5366" s="1" t="n">
        <v>45616</v>
      </c>
      <c r="C5366" s="1" t="n">
        <v>46046</v>
      </c>
      <c r="D5366" t="inlineStr">
        <is>
          <t>NORRBOTTENS LÄN</t>
        </is>
      </c>
      <c r="E5366" t="inlineStr">
        <is>
          <t>ARVIDSJAUR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18724-2023</t>
        </is>
      </c>
      <c r="B5367" s="1" t="n">
        <v>45043.66952546296</v>
      </c>
      <c r="C5367" s="1" t="n">
        <v>46046</v>
      </c>
      <c r="D5367" t="inlineStr">
        <is>
          <t>NORRBOTTENS LÄN</t>
        </is>
      </c>
      <c r="E5367" t="inlineStr">
        <is>
          <t>PITEÅ</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30327-2025</t>
        </is>
      </c>
      <c r="B5368" s="1" t="n">
        <v>45827</v>
      </c>
      <c r="C5368" s="1" t="n">
        <v>46046</v>
      </c>
      <c r="D5368" t="inlineStr">
        <is>
          <t>NORRBOTTENS LÄN</t>
        </is>
      </c>
      <c r="E5368" t="inlineStr">
        <is>
          <t>ARVIDSJAUR</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5161-2025</t>
        </is>
      </c>
      <c r="B5369" s="1" t="n">
        <v>45691</v>
      </c>
      <c r="C5369" s="1" t="n">
        <v>46046</v>
      </c>
      <c r="D5369" t="inlineStr">
        <is>
          <t>NORRBOTTENS LÄN</t>
        </is>
      </c>
      <c r="E5369" t="inlineStr">
        <is>
          <t>ÖVERTORNEÅ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40695-2025</t>
        </is>
      </c>
      <c r="B5370" s="1" t="n">
        <v>45897.28637731481</v>
      </c>
      <c r="C5370" s="1" t="n">
        <v>46046</v>
      </c>
      <c r="D5370" t="inlineStr">
        <is>
          <t>NORRBOTTENS LÄN</t>
        </is>
      </c>
      <c r="E5370" t="inlineStr">
        <is>
          <t>LULEÅ</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19311-2023</t>
        </is>
      </c>
      <c r="B5371" s="1" t="n">
        <v>45049</v>
      </c>
      <c r="C5371" s="1" t="n">
        <v>46046</v>
      </c>
      <c r="D5371" t="inlineStr">
        <is>
          <t>NORRBOTTENS LÄN</t>
        </is>
      </c>
      <c r="E5371" t="inlineStr">
        <is>
          <t>KALIX</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61921-2024</t>
        </is>
      </c>
      <c r="B5372" s="1" t="n">
        <v>45653</v>
      </c>
      <c r="C5372" s="1" t="n">
        <v>46046</v>
      </c>
      <c r="D5372" t="inlineStr">
        <is>
          <t>NORRBOTTENS LÄN</t>
        </is>
      </c>
      <c r="E5372" t="inlineStr">
        <is>
          <t>BODEN</t>
        </is>
      </c>
      <c r="G5372" t="n">
        <v>47.3</v>
      </c>
      <c r="H5372" t="n">
        <v>0</v>
      </c>
      <c r="I5372" t="n">
        <v>0</v>
      </c>
      <c r="J5372" t="n">
        <v>0</v>
      </c>
      <c r="K5372" t="n">
        <v>0</v>
      </c>
      <c r="L5372" t="n">
        <v>0</v>
      </c>
      <c r="M5372" t="n">
        <v>0</v>
      </c>
      <c r="N5372" t="n">
        <v>0</v>
      </c>
      <c r="O5372" t="n">
        <v>0</v>
      </c>
      <c r="P5372" t="n">
        <v>0</v>
      </c>
      <c r="Q5372" t="n">
        <v>0</v>
      </c>
      <c r="R5372" s="2" t="inlineStr"/>
    </row>
    <row r="5373" ht="15" customHeight="1">
      <c r="A5373" t="inlineStr">
        <is>
          <t>A 4238-2023</t>
        </is>
      </c>
      <c r="B5373" s="1" t="n">
        <v>44953</v>
      </c>
      <c r="C5373" s="1" t="n">
        <v>46046</v>
      </c>
      <c r="D5373" t="inlineStr">
        <is>
          <t>NORRBOTTENS LÄN</t>
        </is>
      </c>
      <c r="E5373" t="inlineStr">
        <is>
          <t>GÄLLIVARE</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51048-2024</t>
        </is>
      </c>
      <c r="B5374" s="1" t="n">
        <v>45603.44631944445</v>
      </c>
      <c r="C5374" s="1" t="n">
        <v>46046</v>
      </c>
      <c r="D5374" t="inlineStr">
        <is>
          <t>NORRBOTTENS LÄN</t>
        </is>
      </c>
      <c r="E5374" t="inlineStr">
        <is>
          <t>PAJALA</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51051-2024</t>
        </is>
      </c>
      <c r="B5375" s="1" t="n">
        <v>45603</v>
      </c>
      <c r="C5375" s="1" t="n">
        <v>46046</v>
      </c>
      <c r="D5375" t="inlineStr">
        <is>
          <t>NORRBOTTENS LÄN</t>
        </is>
      </c>
      <c r="E5375" t="inlineStr">
        <is>
          <t>ÄLVSBYN</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51057-2024</t>
        </is>
      </c>
      <c r="B5376" s="1" t="n">
        <v>45603.44780092593</v>
      </c>
      <c r="C5376" s="1" t="n">
        <v>46046</v>
      </c>
      <c r="D5376" t="inlineStr">
        <is>
          <t>NORRBOTTENS LÄN</t>
        </is>
      </c>
      <c r="E5376" t="inlineStr">
        <is>
          <t>ÖVERKALIX</t>
        </is>
      </c>
      <c r="F5376" t="inlineStr">
        <is>
          <t>SCA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51058-2024</t>
        </is>
      </c>
      <c r="B5377" s="1" t="n">
        <v>45603</v>
      </c>
      <c r="C5377" s="1" t="n">
        <v>46046</v>
      </c>
      <c r="D5377" t="inlineStr">
        <is>
          <t>NORRBOTTENS LÄN</t>
        </is>
      </c>
      <c r="E5377" t="inlineStr">
        <is>
          <t>ÖVERKALIX</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51063-2024</t>
        </is>
      </c>
      <c r="B5378" s="1" t="n">
        <v>45603.44855324074</v>
      </c>
      <c r="C5378" s="1" t="n">
        <v>46046</v>
      </c>
      <c r="D5378" t="inlineStr">
        <is>
          <t>NORRBOTTENS LÄN</t>
        </is>
      </c>
      <c r="E5378" t="inlineStr">
        <is>
          <t>ÖVERKALIX</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41212-2023</t>
        </is>
      </c>
      <c r="B5379" s="1" t="n">
        <v>45174.4406712963</v>
      </c>
      <c r="C5379" s="1" t="n">
        <v>46046</v>
      </c>
      <c r="D5379" t="inlineStr">
        <is>
          <t>NORRBOTTENS LÄN</t>
        </is>
      </c>
      <c r="E5379" t="inlineStr">
        <is>
          <t>BODEN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51705-2024</t>
        </is>
      </c>
      <c r="B5380" s="1" t="n">
        <v>45607.3625462963</v>
      </c>
      <c r="C5380" s="1" t="n">
        <v>46046</v>
      </c>
      <c r="D5380" t="inlineStr">
        <is>
          <t>NORRBOTTENS LÄN</t>
        </is>
      </c>
      <c r="E5380" t="inlineStr">
        <is>
          <t>PITEÅ</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57705-2024</t>
        </is>
      </c>
      <c r="B5381" s="1" t="n">
        <v>45630</v>
      </c>
      <c r="C5381" s="1" t="n">
        <v>46046</v>
      </c>
      <c r="D5381" t="inlineStr">
        <is>
          <t>NORRBOTTENS LÄN</t>
        </is>
      </c>
      <c r="E5381" t="inlineStr">
        <is>
          <t>GÄLLIVARE</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10903-2023</t>
        </is>
      </c>
      <c r="B5382" s="1" t="n">
        <v>44985</v>
      </c>
      <c r="C5382" s="1" t="n">
        <v>46046</v>
      </c>
      <c r="D5382" t="inlineStr">
        <is>
          <t>NORRBOTTENS LÄN</t>
        </is>
      </c>
      <c r="E5382" t="inlineStr">
        <is>
          <t>LULEÅ</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40808-2025</t>
        </is>
      </c>
      <c r="B5383" s="1" t="n">
        <v>45897.46922453704</v>
      </c>
      <c r="C5383" s="1" t="n">
        <v>46046</v>
      </c>
      <c r="D5383" t="inlineStr">
        <is>
          <t>NORRBOTTENS LÄN</t>
        </is>
      </c>
      <c r="E5383" t="inlineStr">
        <is>
          <t>JOKKMOKK</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40816-2025</t>
        </is>
      </c>
      <c r="B5384" s="1" t="n">
        <v>45897</v>
      </c>
      <c r="C5384" s="1" t="n">
        <v>46046</v>
      </c>
      <c r="D5384" t="inlineStr">
        <is>
          <t>NORRBOTTENS LÄN</t>
        </is>
      </c>
      <c r="E5384" t="inlineStr">
        <is>
          <t>BODEN</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40756-2025</t>
        </is>
      </c>
      <c r="B5385" s="1" t="n">
        <v>45897.38686342593</v>
      </c>
      <c r="C5385" s="1" t="n">
        <v>46046</v>
      </c>
      <c r="D5385" t="inlineStr">
        <is>
          <t>NORRBOTTENS LÄN</t>
        </is>
      </c>
      <c r="E5385" t="inlineStr">
        <is>
          <t>JOKKMOKK</t>
        </is>
      </c>
      <c r="G5385" t="n">
        <v>24.7</v>
      </c>
      <c r="H5385" t="n">
        <v>0</v>
      </c>
      <c r="I5385" t="n">
        <v>0</v>
      </c>
      <c r="J5385" t="n">
        <v>0</v>
      </c>
      <c r="K5385" t="n">
        <v>0</v>
      </c>
      <c r="L5385" t="n">
        <v>0</v>
      </c>
      <c r="M5385" t="n">
        <v>0</v>
      </c>
      <c r="N5385" t="n">
        <v>0</v>
      </c>
      <c r="O5385" t="n">
        <v>0</v>
      </c>
      <c r="P5385" t="n">
        <v>0</v>
      </c>
      <c r="Q5385" t="n">
        <v>0</v>
      </c>
      <c r="R5385" s="2" t="inlineStr"/>
    </row>
    <row r="5386" ht="15" customHeight="1">
      <c r="A5386" t="inlineStr">
        <is>
          <t>A 43673-2021</t>
        </is>
      </c>
      <c r="B5386" s="1" t="n">
        <v>44433.58289351852</v>
      </c>
      <c r="C5386" s="1" t="n">
        <v>46046</v>
      </c>
      <c r="D5386" t="inlineStr">
        <is>
          <t>NORRBOTTENS LÄN</t>
        </is>
      </c>
      <c r="E5386" t="inlineStr">
        <is>
          <t>ÖVERKALIX</t>
        </is>
      </c>
      <c r="F5386" t="inlineStr">
        <is>
          <t>Sveaskog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40779-2025</t>
        </is>
      </c>
      <c r="B5387" s="1" t="n">
        <v>45897</v>
      </c>
      <c r="C5387" s="1" t="n">
        <v>46046</v>
      </c>
      <c r="D5387" t="inlineStr">
        <is>
          <t>NORRBOTTENS LÄN</t>
        </is>
      </c>
      <c r="E5387" t="inlineStr">
        <is>
          <t>JOKKMOKK</t>
        </is>
      </c>
      <c r="F5387" t="inlineStr">
        <is>
          <t>Sveaskog</t>
        </is>
      </c>
      <c r="G5387" t="n">
        <v>53.8</v>
      </c>
      <c r="H5387" t="n">
        <v>0</v>
      </c>
      <c r="I5387" t="n">
        <v>0</v>
      </c>
      <c r="J5387" t="n">
        <v>0</v>
      </c>
      <c r="K5387" t="n">
        <v>0</v>
      </c>
      <c r="L5387" t="n">
        <v>0</v>
      </c>
      <c r="M5387" t="n">
        <v>0</v>
      </c>
      <c r="N5387" t="n">
        <v>0</v>
      </c>
      <c r="O5387" t="n">
        <v>0</v>
      </c>
      <c r="P5387" t="n">
        <v>0</v>
      </c>
      <c r="Q5387" t="n">
        <v>0</v>
      </c>
      <c r="R5387" s="2" t="inlineStr"/>
    </row>
    <row r="5388" ht="15" customHeight="1">
      <c r="A5388" t="inlineStr">
        <is>
          <t>A 16204-2024</t>
        </is>
      </c>
      <c r="B5388" s="1" t="n">
        <v>45406.77420138889</v>
      </c>
      <c r="C5388" s="1" t="n">
        <v>46046</v>
      </c>
      <c r="D5388" t="inlineStr">
        <is>
          <t>NORRBOTTENS LÄN</t>
        </is>
      </c>
      <c r="E5388" t="inlineStr">
        <is>
          <t>ÄLVSBYN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62298-2022</t>
        </is>
      </c>
      <c r="B5389" s="1" t="n">
        <v>44923</v>
      </c>
      <c r="C5389" s="1" t="n">
        <v>46046</v>
      </c>
      <c r="D5389" t="inlineStr">
        <is>
          <t>NORRBOTTENS LÄN</t>
        </is>
      </c>
      <c r="E5389" t="inlineStr">
        <is>
          <t>PAJALA</t>
        </is>
      </c>
      <c r="G5389" t="n">
        <v>38.8</v>
      </c>
      <c r="H5389" t="n">
        <v>0</v>
      </c>
      <c r="I5389" t="n">
        <v>0</v>
      </c>
      <c r="J5389" t="n">
        <v>0</v>
      </c>
      <c r="K5389" t="n">
        <v>0</v>
      </c>
      <c r="L5389" t="n">
        <v>0</v>
      </c>
      <c r="M5389" t="n">
        <v>0</v>
      </c>
      <c r="N5389" t="n">
        <v>0</v>
      </c>
      <c r="O5389" t="n">
        <v>0</v>
      </c>
      <c r="P5389" t="n">
        <v>0</v>
      </c>
      <c r="Q5389" t="n">
        <v>0</v>
      </c>
      <c r="R5389" s="2" t="inlineStr"/>
    </row>
    <row r="5390" ht="15" customHeight="1">
      <c r="A5390" t="inlineStr">
        <is>
          <t>A 47206-2024</t>
        </is>
      </c>
      <c r="B5390" s="1" t="n">
        <v>45586.63793981481</v>
      </c>
      <c r="C5390" s="1" t="n">
        <v>46046</v>
      </c>
      <c r="D5390" t="inlineStr">
        <is>
          <t>NORRBOTTENS LÄN</t>
        </is>
      </c>
      <c r="E5390" t="inlineStr">
        <is>
          <t>PAJALA</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40643-2025</t>
        </is>
      </c>
      <c r="B5391" s="1" t="n">
        <v>45896.61263888889</v>
      </c>
      <c r="C5391" s="1" t="n">
        <v>46046</v>
      </c>
      <c r="D5391" t="inlineStr">
        <is>
          <t>NORRBOTTENS LÄN</t>
        </is>
      </c>
      <c r="E5391" t="inlineStr">
        <is>
          <t>LULEÅ</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8232-2024</t>
        </is>
      </c>
      <c r="B5392" s="1" t="n">
        <v>45351</v>
      </c>
      <c r="C5392" s="1" t="n">
        <v>46046</v>
      </c>
      <c r="D5392" t="inlineStr">
        <is>
          <t>NORRBOTTENS LÄN</t>
        </is>
      </c>
      <c r="E5392" t="inlineStr">
        <is>
          <t>BODEN</t>
        </is>
      </c>
      <c r="G5392" t="n">
        <v>16.8</v>
      </c>
      <c r="H5392" t="n">
        <v>0</v>
      </c>
      <c r="I5392" t="n">
        <v>0</v>
      </c>
      <c r="J5392" t="n">
        <v>0</v>
      </c>
      <c r="K5392" t="n">
        <v>0</v>
      </c>
      <c r="L5392" t="n">
        <v>0</v>
      </c>
      <c r="M5392" t="n">
        <v>0</v>
      </c>
      <c r="N5392" t="n">
        <v>0</v>
      </c>
      <c r="O5392" t="n">
        <v>0</v>
      </c>
      <c r="P5392" t="n">
        <v>0</v>
      </c>
      <c r="Q5392" t="n">
        <v>0</v>
      </c>
      <c r="R5392" s="2" t="inlineStr"/>
    </row>
    <row r="5393" ht="15" customHeight="1">
      <c r="A5393" t="inlineStr">
        <is>
          <t>A 40709-2025</t>
        </is>
      </c>
      <c r="B5393" s="1" t="n">
        <v>45897.33677083333</v>
      </c>
      <c r="C5393" s="1" t="n">
        <v>46046</v>
      </c>
      <c r="D5393" t="inlineStr">
        <is>
          <t>NORRBOTTENS LÄN</t>
        </is>
      </c>
      <c r="E5393" t="inlineStr">
        <is>
          <t>BODEN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26209-2024</t>
        </is>
      </c>
      <c r="B5394" s="1" t="n">
        <v>45467</v>
      </c>
      <c r="C5394" s="1" t="n">
        <v>46046</v>
      </c>
      <c r="D5394" t="inlineStr">
        <is>
          <t>NORRBOTTENS LÄN</t>
        </is>
      </c>
      <c r="E5394" t="inlineStr">
        <is>
          <t>ÖVERTORNEÅ</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40807-2025</t>
        </is>
      </c>
      <c r="B5395" s="1" t="n">
        <v>45897.46915509259</v>
      </c>
      <c r="C5395" s="1" t="n">
        <v>46046</v>
      </c>
      <c r="D5395" t="inlineStr">
        <is>
          <t>NORRBOTTENS LÄN</t>
        </is>
      </c>
      <c r="E5395" t="inlineStr">
        <is>
          <t>ÖVERTORNEÅ</t>
        </is>
      </c>
      <c r="G5395" t="n">
        <v>17.6</v>
      </c>
      <c r="H5395" t="n">
        <v>0</v>
      </c>
      <c r="I5395" t="n">
        <v>0</v>
      </c>
      <c r="J5395" t="n">
        <v>0</v>
      </c>
      <c r="K5395" t="n">
        <v>0</v>
      </c>
      <c r="L5395" t="n">
        <v>0</v>
      </c>
      <c r="M5395" t="n">
        <v>0</v>
      </c>
      <c r="N5395" t="n">
        <v>0</v>
      </c>
      <c r="O5395" t="n">
        <v>0</v>
      </c>
      <c r="P5395" t="n">
        <v>0</v>
      </c>
      <c r="Q5395" t="n">
        <v>0</v>
      </c>
      <c r="R5395" s="2" t="inlineStr"/>
    </row>
    <row r="5396" ht="15" customHeight="1">
      <c r="A5396" t="inlineStr">
        <is>
          <t>A 40698-2025</t>
        </is>
      </c>
      <c r="B5396" s="1" t="n">
        <v>45897.31237268518</v>
      </c>
      <c r="C5396" s="1" t="n">
        <v>46046</v>
      </c>
      <c r="D5396" t="inlineStr">
        <is>
          <t>NORRBOTTENS LÄN</t>
        </is>
      </c>
      <c r="E5396" t="inlineStr">
        <is>
          <t>PAJALA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10126-2024</t>
        </is>
      </c>
      <c r="B5397" s="1" t="n">
        <v>45364</v>
      </c>
      <c r="C5397" s="1" t="n">
        <v>46046</v>
      </c>
      <c r="D5397" t="inlineStr">
        <is>
          <t>NORRBOTTENS LÄN</t>
        </is>
      </c>
      <c r="E5397" t="inlineStr">
        <is>
          <t>ARVIDSJAUR</t>
        </is>
      </c>
      <c r="F5397" t="inlineStr">
        <is>
          <t>Sveaskog</t>
        </is>
      </c>
      <c r="G5397" t="n">
        <v>19.8</v>
      </c>
      <c r="H5397" t="n">
        <v>0</v>
      </c>
      <c r="I5397" t="n">
        <v>0</v>
      </c>
      <c r="J5397" t="n">
        <v>0</v>
      </c>
      <c r="K5397" t="n">
        <v>0</v>
      </c>
      <c r="L5397" t="n">
        <v>0</v>
      </c>
      <c r="M5397" t="n">
        <v>0</v>
      </c>
      <c r="N5397" t="n">
        <v>0</v>
      </c>
      <c r="O5397" t="n">
        <v>0</v>
      </c>
      <c r="P5397" t="n">
        <v>0</v>
      </c>
      <c r="Q5397" t="n">
        <v>0</v>
      </c>
      <c r="R5397" s="2" t="inlineStr"/>
    </row>
    <row r="5398" ht="15" customHeight="1">
      <c r="A5398" t="inlineStr">
        <is>
          <t>A 40785-2025</t>
        </is>
      </c>
      <c r="B5398" s="1" t="n">
        <v>45897</v>
      </c>
      <c r="C5398" s="1" t="n">
        <v>46046</v>
      </c>
      <c r="D5398" t="inlineStr">
        <is>
          <t>NORRBOTTENS LÄN</t>
        </is>
      </c>
      <c r="E5398" t="inlineStr">
        <is>
          <t>PITEÅ</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40537-2025</t>
        </is>
      </c>
      <c r="B5399" s="1" t="n">
        <v>45896.41564814815</v>
      </c>
      <c r="C5399" s="1" t="n">
        <v>46046</v>
      </c>
      <c r="D5399" t="inlineStr">
        <is>
          <t>NORRBOTTENS LÄN</t>
        </is>
      </c>
      <c r="E5399" t="inlineStr">
        <is>
          <t>PITEÅ</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40541-2025</t>
        </is>
      </c>
      <c r="B5400" s="1" t="n">
        <v>45896.42334490741</v>
      </c>
      <c r="C5400" s="1" t="n">
        <v>46046</v>
      </c>
      <c r="D5400" t="inlineStr">
        <is>
          <t>NORRBOTTENS LÄN</t>
        </is>
      </c>
      <c r="E5400" t="inlineStr">
        <is>
          <t>PITEÅ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35627-2025</t>
        </is>
      </c>
      <c r="B5401" s="1" t="n">
        <v>45859</v>
      </c>
      <c r="C5401" s="1" t="n">
        <v>46046</v>
      </c>
      <c r="D5401" t="inlineStr">
        <is>
          <t>NORRBOTTENS LÄN</t>
        </is>
      </c>
      <c r="E5401" t="inlineStr">
        <is>
          <t>ARJEPLOG</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40836-2025</t>
        </is>
      </c>
      <c r="B5402" s="1" t="n">
        <v>45896</v>
      </c>
      <c r="C5402" s="1" t="n">
        <v>46046</v>
      </c>
      <c r="D5402" t="inlineStr">
        <is>
          <t>NORRBOTTENS LÄN</t>
        </is>
      </c>
      <c r="E5402" t="inlineStr">
        <is>
          <t>ARVIDSJAUR</t>
        </is>
      </c>
      <c r="G5402" t="n">
        <v>26.9</v>
      </c>
      <c r="H5402" t="n">
        <v>0</v>
      </c>
      <c r="I5402" t="n">
        <v>0</v>
      </c>
      <c r="J5402" t="n">
        <v>0</v>
      </c>
      <c r="K5402" t="n">
        <v>0</v>
      </c>
      <c r="L5402" t="n">
        <v>0</v>
      </c>
      <c r="M5402" t="n">
        <v>0</v>
      </c>
      <c r="N5402" t="n">
        <v>0</v>
      </c>
      <c r="O5402" t="n">
        <v>0</v>
      </c>
      <c r="P5402" t="n">
        <v>0</v>
      </c>
      <c r="Q5402" t="n">
        <v>0</v>
      </c>
      <c r="R5402" s="2" t="inlineStr"/>
    </row>
    <row r="5403" ht="15" customHeight="1">
      <c r="A5403" t="inlineStr">
        <is>
          <t>A 40814-2025</t>
        </is>
      </c>
      <c r="B5403" s="1" t="n">
        <v>45897.48153935185</v>
      </c>
      <c r="C5403" s="1" t="n">
        <v>46046</v>
      </c>
      <c r="D5403" t="inlineStr">
        <is>
          <t>NORRBOTTENS LÄN</t>
        </is>
      </c>
      <c r="E5403" t="inlineStr">
        <is>
          <t>BODEN</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40936-2025</t>
        </is>
      </c>
      <c r="B5404" s="1" t="n">
        <v>45897.65011574074</v>
      </c>
      <c r="C5404" s="1" t="n">
        <v>46046</v>
      </c>
      <c r="D5404" t="inlineStr">
        <is>
          <t>NORRBOTTENS LÄN</t>
        </is>
      </c>
      <c r="E5404" t="inlineStr">
        <is>
          <t>ARVIDSJAUR</t>
        </is>
      </c>
      <c r="F5404" t="inlineStr">
        <is>
          <t>Sveaskog</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40509-2025</t>
        </is>
      </c>
      <c r="B5405" s="1" t="n">
        <v>45896.34483796296</v>
      </c>
      <c r="C5405" s="1" t="n">
        <v>46046</v>
      </c>
      <c r="D5405" t="inlineStr">
        <is>
          <t>NORRBOTTENS LÄN</t>
        </is>
      </c>
      <c r="E5405" t="inlineStr">
        <is>
          <t>ÄLVSBYN</t>
        </is>
      </c>
      <c r="F5405" t="inlineStr">
        <is>
          <t>SCA</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5572-2025</t>
        </is>
      </c>
      <c r="B5406" s="1" t="n">
        <v>45693.51137731481</v>
      </c>
      <c r="C5406" s="1" t="n">
        <v>46046</v>
      </c>
      <c r="D5406" t="inlineStr">
        <is>
          <t>NORRBOTTENS LÄN</t>
        </is>
      </c>
      <c r="E5406" t="inlineStr">
        <is>
          <t>ÖVERKALIX</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40641-2025</t>
        </is>
      </c>
      <c r="B5407" s="1" t="n">
        <v>45896</v>
      </c>
      <c r="C5407" s="1" t="n">
        <v>46046</v>
      </c>
      <c r="D5407" t="inlineStr">
        <is>
          <t>NORRBOTTENS LÄN</t>
        </is>
      </c>
      <c r="E5407" t="inlineStr">
        <is>
          <t>LULEÅ</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40542-2025</t>
        </is>
      </c>
      <c r="B5408" s="1" t="n">
        <v>45896.42896990741</v>
      </c>
      <c r="C5408" s="1" t="n">
        <v>46046</v>
      </c>
      <c r="D5408" t="inlineStr">
        <is>
          <t>NORRBOTTENS LÄN</t>
        </is>
      </c>
      <c r="E5408" t="inlineStr">
        <is>
          <t>PITEÅ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40545-2025</t>
        </is>
      </c>
      <c r="B5409" s="1" t="n">
        <v>45896.43145833333</v>
      </c>
      <c r="C5409" s="1" t="n">
        <v>46046</v>
      </c>
      <c r="D5409" t="inlineStr">
        <is>
          <t>NORRBOTTENS LÄN</t>
        </is>
      </c>
      <c r="E5409" t="inlineStr">
        <is>
          <t>PITEÅ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40915-2025</t>
        </is>
      </c>
      <c r="B5410" s="1" t="n">
        <v>45897</v>
      </c>
      <c r="C5410" s="1" t="n">
        <v>46046</v>
      </c>
      <c r="D5410" t="inlineStr">
        <is>
          <t>NORRBOTTENS LÄN</t>
        </is>
      </c>
      <c r="E5410" t="inlineStr">
        <is>
          <t>PITEÅ</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40923-2025</t>
        </is>
      </c>
      <c r="B5411" s="1" t="n">
        <v>45897.63584490741</v>
      </c>
      <c r="C5411" s="1" t="n">
        <v>46046</v>
      </c>
      <c r="D5411" t="inlineStr">
        <is>
          <t>NORRBOTTENS LÄN</t>
        </is>
      </c>
      <c r="E5411" t="inlineStr">
        <is>
          <t>PITEÅ</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32936-2023</t>
        </is>
      </c>
      <c r="B5412" s="1" t="n">
        <v>45125</v>
      </c>
      <c r="C5412" s="1" t="n">
        <v>46046</v>
      </c>
      <c r="D5412" t="inlineStr">
        <is>
          <t>NORRBOTTENS LÄN</t>
        </is>
      </c>
      <c r="E5412" t="inlineStr">
        <is>
          <t>PITEÅ</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32939-2023</t>
        </is>
      </c>
      <c r="B5413" s="1" t="n">
        <v>45125</v>
      </c>
      <c r="C5413" s="1" t="n">
        <v>46046</v>
      </c>
      <c r="D5413" t="inlineStr">
        <is>
          <t>NORRBOTTENS LÄN</t>
        </is>
      </c>
      <c r="E5413" t="inlineStr">
        <is>
          <t>PITEÅ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50705-2023</t>
        </is>
      </c>
      <c r="B5414" s="1" t="n">
        <v>45210</v>
      </c>
      <c r="C5414" s="1" t="n">
        <v>46046</v>
      </c>
      <c r="D5414" t="inlineStr">
        <is>
          <t>NORRBOTTENS LÄN</t>
        </is>
      </c>
      <c r="E5414" t="inlineStr">
        <is>
          <t>PAJALA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24752-2025</t>
        </is>
      </c>
      <c r="B5415" s="1" t="n">
        <v>45799.3653587963</v>
      </c>
      <c r="C5415" s="1" t="n">
        <v>46046</v>
      </c>
      <c r="D5415" t="inlineStr">
        <is>
          <t>NORRBOTTENS LÄN</t>
        </is>
      </c>
      <c r="E5415" t="inlineStr">
        <is>
          <t>LULEÅ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40644-2025</t>
        </is>
      </c>
      <c r="B5416" s="1" t="n">
        <v>45896.6166087963</v>
      </c>
      <c r="C5416" s="1" t="n">
        <v>46046</v>
      </c>
      <c r="D5416" t="inlineStr">
        <is>
          <t>NORRBOTTENS LÄN</t>
        </is>
      </c>
      <c r="E5416" t="inlineStr">
        <is>
          <t>LULEÅ</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8385-2025</t>
        </is>
      </c>
      <c r="B5417" s="1" t="n">
        <v>45709</v>
      </c>
      <c r="C5417" s="1" t="n">
        <v>46046</v>
      </c>
      <c r="D5417" t="inlineStr">
        <is>
          <t>NORRBOTTENS LÄN</t>
        </is>
      </c>
      <c r="E5417" t="inlineStr">
        <is>
          <t>PAJALA</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4055-2024</t>
        </is>
      </c>
      <c r="B5418" s="1" t="n">
        <v>45323</v>
      </c>
      <c r="C5418" s="1" t="n">
        <v>46046</v>
      </c>
      <c r="D5418" t="inlineStr">
        <is>
          <t>NORRBOTTENS LÄN</t>
        </is>
      </c>
      <c r="E5418" t="inlineStr">
        <is>
          <t>BODEN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4096-2024</t>
        </is>
      </c>
      <c r="B5419" s="1" t="n">
        <v>45323</v>
      </c>
      <c r="C5419" s="1" t="n">
        <v>46046</v>
      </c>
      <c r="D5419" t="inlineStr">
        <is>
          <t>NORRBOTTENS LÄN</t>
        </is>
      </c>
      <c r="E5419" t="inlineStr">
        <is>
          <t>PITEÅ</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4129-2024</t>
        </is>
      </c>
      <c r="B5420" s="1" t="n">
        <v>45323</v>
      </c>
      <c r="C5420" s="1" t="n">
        <v>46046</v>
      </c>
      <c r="D5420" t="inlineStr">
        <is>
          <t>NORRBOTTENS LÄN</t>
        </is>
      </c>
      <c r="E5420" t="inlineStr">
        <is>
          <t>PITEÅ</t>
        </is>
      </c>
      <c r="F5420" t="inlineStr">
        <is>
          <t>Sveaskog</t>
        </is>
      </c>
      <c r="G5420" t="n">
        <v>37.1</v>
      </c>
      <c r="H5420" t="n">
        <v>0</v>
      </c>
      <c r="I5420" t="n">
        <v>0</v>
      </c>
      <c r="J5420" t="n">
        <v>0</v>
      </c>
      <c r="K5420" t="n">
        <v>0</v>
      </c>
      <c r="L5420" t="n">
        <v>0</v>
      </c>
      <c r="M5420" t="n">
        <v>0</v>
      </c>
      <c r="N5420" t="n">
        <v>0</v>
      </c>
      <c r="O5420" t="n">
        <v>0</v>
      </c>
      <c r="P5420" t="n">
        <v>0</v>
      </c>
      <c r="Q5420" t="n">
        <v>0</v>
      </c>
      <c r="R5420" s="2" t="inlineStr"/>
    </row>
    <row r="5421" ht="15" customHeight="1">
      <c r="A5421" t="inlineStr">
        <is>
          <t>A 26513-2025</t>
        </is>
      </c>
      <c r="B5421" s="1" t="n">
        <v>45807</v>
      </c>
      <c r="C5421" s="1" t="n">
        <v>46046</v>
      </c>
      <c r="D5421" t="inlineStr">
        <is>
          <t>NORRBOTTENS LÄN</t>
        </is>
      </c>
      <c r="E5421" t="inlineStr">
        <is>
          <t>LULEÅ</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6018-2021</t>
        </is>
      </c>
      <c r="B5422" s="1" t="n">
        <v>44231.9415625</v>
      </c>
      <c r="C5422" s="1" t="n">
        <v>46046</v>
      </c>
      <c r="D5422" t="inlineStr">
        <is>
          <t>NORRBOTTENS LÄN</t>
        </is>
      </c>
      <c r="E5422" t="inlineStr">
        <is>
          <t>LULEÅ</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40506-2025</t>
        </is>
      </c>
      <c r="B5423" s="1" t="n">
        <v>45896</v>
      </c>
      <c r="C5423" s="1" t="n">
        <v>46046</v>
      </c>
      <c r="D5423" t="inlineStr">
        <is>
          <t>NORRBOTTENS LÄN</t>
        </is>
      </c>
      <c r="E5423" t="inlineStr">
        <is>
          <t>ÄLVSBYN</t>
        </is>
      </c>
      <c r="F5423" t="inlineStr">
        <is>
          <t>SCA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30647-2023</t>
        </is>
      </c>
      <c r="B5424" s="1" t="n">
        <v>45112.47622685185</v>
      </c>
      <c r="C5424" s="1" t="n">
        <v>46046</v>
      </c>
      <c r="D5424" t="inlineStr">
        <is>
          <t>NORRBOTTENS LÄN</t>
        </is>
      </c>
      <c r="E5424" t="inlineStr">
        <is>
          <t>ÖVERTORNEÅ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30651-2023</t>
        </is>
      </c>
      <c r="B5425" s="1" t="n">
        <v>45112.47864583333</v>
      </c>
      <c r="C5425" s="1" t="n">
        <v>46046</v>
      </c>
      <c r="D5425" t="inlineStr">
        <is>
          <t>NORRBOTTENS LÄN</t>
        </is>
      </c>
      <c r="E5425" t="inlineStr">
        <is>
          <t>ÖVERTORNEÅ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877-2023</t>
        </is>
      </c>
      <c r="B5426" s="1" t="n">
        <v>44931</v>
      </c>
      <c r="C5426" s="1" t="n">
        <v>46046</v>
      </c>
      <c r="D5426" t="inlineStr">
        <is>
          <t>NORRBOTTENS LÄN</t>
        </is>
      </c>
      <c r="E5426" t="inlineStr">
        <is>
          <t>BODEN</t>
        </is>
      </c>
      <c r="G5426" t="n">
        <v>8.699999999999999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4512-2022</t>
        </is>
      </c>
      <c r="B5427" s="1" t="n">
        <v>44589.92039351852</v>
      </c>
      <c r="C5427" s="1" t="n">
        <v>46046</v>
      </c>
      <c r="D5427" t="inlineStr">
        <is>
          <t>NORRBOTTENS LÄN</t>
        </is>
      </c>
      <c r="E5427" t="inlineStr">
        <is>
          <t>ÖVERTORNEÅ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41165-2025</t>
        </is>
      </c>
      <c r="B5428" s="1" t="n">
        <v>45898.53658564815</v>
      </c>
      <c r="C5428" s="1" t="n">
        <v>46046</v>
      </c>
      <c r="D5428" t="inlineStr">
        <is>
          <t>NORRBOTTENS LÄN</t>
        </is>
      </c>
      <c r="E5428" t="inlineStr">
        <is>
          <t>GÄLLIVARE</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41186-2025</t>
        </is>
      </c>
      <c r="B5429" s="1" t="n">
        <v>45898</v>
      </c>
      <c r="C5429" s="1" t="n">
        <v>46046</v>
      </c>
      <c r="D5429" t="inlineStr">
        <is>
          <t>NORRBOTTENS LÄN</t>
        </is>
      </c>
      <c r="E5429" t="inlineStr">
        <is>
          <t>ÖVERTORNEÅ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41299-2025</t>
        </is>
      </c>
      <c r="B5430" s="1" t="n">
        <v>45898</v>
      </c>
      <c r="C5430" s="1" t="n">
        <v>46046</v>
      </c>
      <c r="D5430" t="inlineStr">
        <is>
          <t>NORRBOTTENS LÄN</t>
        </is>
      </c>
      <c r="E5430" t="inlineStr">
        <is>
          <t>PITEÅ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41337-2025</t>
        </is>
      </c>
      <c r="B5431" s="1" t="n">
        <v>45899.37400462963</v>
      </c>
      <c r="C5431" s="1" t="n">
        <v>46046</v>
      </c>
      <c r="D5431" t="inlineStr">
        <is>
          <t>NORRBOTTENS LÄN</t>
        </is>
      </c>
      <c r="E5431" t="inlineStr">
        <is>
          <t>ÖVERTORNEÅ</t>
        </is>
      </c>
      <c r="F5431" t="inlineStr">
        <is>
          <t>Sveaskog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41210-2025</t>
        </is>
      </c>
      <c r="B5432" s="1" t="n">
        <v>45898</v>
      </c>
      <c r="C5432" s="1" t="n">
        <v>46046</v>
      </c>
      <c r="D5432" t="inlineStr">
        <is>
          <t>NORRBOTTENS LÄN</t>
        </is>
      </c>
      <c r="E5432" t="inlineStr">
        <is>
          <t>ARVIDSJAUR</t>
        </is>
      </c>
      <c r="G5432" t="n">
        <v>12.1</v>
      </c>
      <c r="H5432" t="n">
        <v>0</v>
      </c>
      <c r="I5432" t="n">
        <v>0</v>
      </c>
      <c r="J5432" t="n">
        <v>0</v>
      </c>
      <c r="K5432" t="n">
        <v>0</v>
      </c>
      <c r="L5432" t="n">
        <v>0</v>
      </c>
      <c r="M5432" t="n">
        <v>0</v>
      </c>
      <c r="N5432" t="n">
        <v>0</v>
      </c>
      <c r="O5432" t="n">
        <v>0</v>
      </c>
      <c r="P5432" t="n">
        <v>0</v>
      </c>
      <c r="Q5432" t="n">
        <v>0</v>
      </c>
      <c r="R5432" s="2" t="inlineStr"/>
    </row>
    <row r="5433" ht="15" customHeight="1">
      <c r="A5433" t="inlineStr">
        <is>
          <t>A 23654-2024</t>
        </is>
      </c>
      <c r="B5433" s="1" t="n">
        <v>45454.54755787037</v>
      </c>
      <c r="C5433" s="1" t="n">
        <v>46046</v>
      </c>
      <c r="D5433" t="inlineStr">
        <is>
          <t>NORRBOTTENS LÄN</t>
        </is>
      </c>
      <c r="E5433" t="inlineStr">
        <is>
          <t>ÖVERTORNEÅ</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4768-2023</t>
        </is>
      </c>
      <c r="B5434" s="1" t="n">
        <v>44953</v>
      </c>
      <c r="C5434" s="1" t="n">
        <v>46046</v>
      </c>
      <c r="D5434" t="inlineStr">
        <is>
          <t>NORRBOTTENS LÄN</t>
        </is>
      </c>
      <c r="E5434" t="inlineStr">
        <is>
          <t>GÄLLIVARE</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28046-2024</t>
        </is>
      </c>
      <c r="B5435" s="1" t="n">
        <v>45476</v>
      </c>
      <c r="C5435" s="1" t="n">
        <v>46046</v>
      </c>
      <c r="D5435" t="inlineStr">
        <is>
          <t>NORRBOTTENS LÄN</t>
        </is>
      </c>
      <c r="E5435" t="inlineStr">
        <is>
          <t>GÄLLIVARE</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33336-2024</t>
        </is>
      </c>
      <c r="B5436" s="1" t="n">
        <v>45519.31964120371</v>
      </c>
      <c r="C5436" s="1" t="n">
        <v>46046</v>
      </c>
      <c r="D5436" t="inlineStr">
        <is>
          <t>NORRBOTTENS LÄN</t>
        </is>
      </c>
      <c r="E5436" t="inlineStr">
        <is>
          <t>ÄLVSBYN</t>
        </is>
      </c>
      <c r="F5436" t="inlineStr">
        <is>
          <t>Sveaskog</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33597-2024</t>
        </is>
      </c>
      <c r="B5437" s="1" t="n">
        <v>45520</v>
      </c>
      <c r="C5437" s="1" t="n">
        <v>46046</v>
      </c>
      <c r="D5437" t="inlineStr">
        <is>
          <t>NORRBOTTENS LÄN</t>
        </is>
      </c>
      <c r="E5437" t="inlineStr">
        <is>
          <t>PITEÅ</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19671-2025</t>
        </is>
      </c>
      <c r="B5438" s="1" t="n">
        <v>45770</v>
      </c>
      <c r="C5438" s="1" t="n">
        <v>46046</v>
      </c>
      <c r="D5438" t="inlineStr">
        <is>
          <t>NORRBOTTENS LÄN</t>
        </is>
      </c>
      <c r="E5438" t="inlineStr">
        <is>
          <t>PAJALA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12801-2023</t>
        </is>
      </c>
      <c r="B5439" s="1" t="n">
        <v>45001</v>
      </c>
      <c r="C5439" s="1" t="n">
        <v>46046</v>
      </c>
      <c r="D5439" t="inlineStr">
        <is>
          <t>NORRBOTTENS LÄN</t>
        </is>
      </c>
      <c r="E5439" t="inlineStr">
        <is>
          <t>BODEN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58515-2023</t>
        </is>
      </c>
      <c r="B5440" s="1" t="n">
        <v>45251</v>
      </c>
      <c r="C5440" s="1" t="n">
        <v>46046</v>
      </c>
      <c r="D5440" t="inlineStr">
        <is>
          <t>NORRBOTTENS LÄN</t>
        </is>
      </c>
      <c r="E5440" t="inlineStr">
        <is>
          <t>ÄLVSBYN</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24509-2024</t>
        </is>
      </c>
      <c r="B5441" s="1" t="n">
        <v>45460</v>
      </c>
      <c r="C5441" s="1" t="n">
        <v>46046</v>
      </c>
      <c r="D5441" t="inlineStr">
        <is>
          <t>NORRBOTTENS LÄN</t>
        </is>
      </c>
      <c r="E5441" t="inlineStr">
        <is>
          <t>PITEÅ</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41339-2025</t>
        </is>
      </c>
      <c r="B5442" s="1" t="n">
        <v>45899.37665509259</v>
      </c>
      <c r="C5442" s="1" t="n">
        <v>46046</v>
      </c>
      <c r="D5442" t="inlineStr">
        <is>
          <t>NORRBOTTENS LÄN</t>
        </is>
      </c>
      <c r="E5442" t="inlineStr">
        <is>
          <t>PAJALA</t>
        </is>
      </c>
      <c r="F5442" t="inlineStr">
        <is>
          <t>Sveaskog</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41336-2025</t>
        </is>
      </c>
      <c r="B5443" s="1" t="n">
        <v>45899.37251157407</v>
      </c>
      <c r="C5443" s="1" t="n">
        <v>46046</v>
      </c>
      <c r="D5443" t="inlineStr">
        <is>
          <t>NORRBOTTENS LÄN</t>
        </is>
      </c>
      <c r="E5443" t="inlineStr">
        <is>
          <t>ÖVERTORNEÅ</t>
        </is>
      </c>
      <c r="F5443" t="inlineStr">
        <is>
          <t>Sveaskog</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32243-2025</t>
        </is>
      </c>
      <c r="B5444" s="1" t="n">
        <v>45835.61560185185</v>
      </c>
      <c r="C5444" s="1" t="n">
        <v>46046</v>
      </c>
      <c r="D5444" t="inlineStr">
        <is>
          <t>NORRBOTTENS LÄN</t>
        </is>
      </c>
      <c r="E5444" t="inlineStr">
        <is>
          <t>KALIX</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41221-2025</t>
        </is>
      </c>
      <c r="B5445" s="1" t="n">
        <v>45898.58672453704</v>
      </c>
      <c r="C5445" s="1" t="n">
        <v>46046</v>
      </c>
      <c r="D5445" t="inlineStr">
        <is>
          <t>NORRBOTTENS LÄN</t>
        </is>
      </c>
      <c r="E5445" t="inlineStr">
        <is>
          <t>PAJALA</t>
        </is>
      </c>
      <c r="F5445" t="inlineStr">
        <is>
          <t>Sveaskog</t>
        </is>
      </c>
      <c r="G5445" t="n">
        <v>25.8</v>
      </c>
      <c r="H5445" t="n">
        <v>0</v>
      </c>
      <c r="I5445" t="n">
        <v>0</v>
      </c>
      <c r="J5445" t="n">
        <v>0</v>
      </c>
      <c r="K5445" t="n">
        <v>0</v>
      </c>
      <c r="L5445" t="n">
        <v>0</v>
      </c>
      <c r="M5445" t="n">
        <v>0</v>
      </c>
      <c r="N5445" t="n">
        <v>0</v>
      </c>
      <c r="O5445" t="n">
        <v>0</v>
      </c>
      <c r="P5445" t="n">
        <v>0</v>
      </c>
      <c r="Q5445" t="n">
        <v>0</v>
      </c>
      <c r="R5445" s="2" t="inlineStr"/>
    </row>
    <row r="5446" ht="15" customHeight="1">
      <c r="A5446" t="inlineStr">
        <is>
          <t>A 41227-2025</t>
        </is>
      </c>
      <c r="B5446" s="1" t="n">
        <v>45898.58983796297</v>
      </c>
      <c r="C5446" s="1" t="n">
        <v>46046</v>
      </c>
      <c r="D5446" t="inlineStr">
        <is>
          <t>NORRBOTTENS LÄN</t>
        </is>
      </c>
      <c r="E5446" t="inlineStr">
        <is>
          <t>PAJALA</t>
        </is>
      </c>
      <c r="F5446" t="inlineStr">
        <is>
          <t>Sveaskog</t>
        </is>
      </c>
      <c r="G5446" t="n">
        <v>26.4</v>
      </c>
      <c r="H5446" t="n">
        <v>0</v>
      </c>
      <c r="I5446" t="n">
        <v>0</v>
      </c>
      <c r="J5446" t="n">
        <v>0</v>
      </c>
      <c r="K5446" t="n">
        <v>0</v>
      </c>
      <c r="L5446" t="n">
        <v>0</v>
      </c>
      <c r="M5446" t="n">
        <v>0</v>
      </c>
      <c r="N5446" t="n">
        <v>0</v>
      </c>
      <c r="O5446" t="n">
        <v>0</v>
      </c>
      <c r="P5446" t="n">
        <v>0</v>
      </c>
      <c r="Q5446" t="n">
        <v>0</v>
      </c>
      <c r="R5446" s="2" t="inlineStr"/>
    </row>
    <row r="5447" ht="15" customHeight="1">
      <c r="A5447" t="inlineStr">
        <is>
          <t>A 58511-2023</t>
        </is>
      </c>
      <c r="B5447" s="1" t="n">
        <v>45251.37363425926</v>
      </c>
      <c r="C5447" s="1" t="n">
        <v>46046</v>
      </c>
      <c r="D5447" t="inlineStr">
        <is>
          <t>NORRBOTTENS LÄN</t>
        </is>
      </c>
      <c r="E5447" t="inlineStr">
        <is>
          <t>KALIX</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41284-2025</t>
        </is>
      </c>
      <c r="B5448" s="1" t="n">
        <v>45898.63592592593</v>
      </c>
      <c r="C5448" s="1" t="n">
        <v>46046</v>
      </c>
      <c r="D5448" t="inlineStr">
        <is>
          <t>NORRBOTTENS LÄN</t>
        </is>
      </c>
      <c r="E5448" t="inlineStr">
        <is>
          <t>ÄLVSBYN</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41292-2025</t>
        </is>
      </c>
      <c r="B5449" s="1" t="n">
        <v>45898.64637731481</v>
      </c>
      <c r="C5449" s="1" t="n">
        <v>46046</v>
      </c>
      <c r="D5449" t="inlineStr">
        <is>
          <t>NORRBOTTENS LÄN</t>
        </is>
      </c>
      <c r="E5449" t="inlineStr">
        <is>
          <t>PAJALA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41294-2025</t>
        </is>
      </c>
      <c r="B5450" s="1" t="n">
        <v>45898.6515625</v>
      </c>
      <c r="C5450" s="1" t="n">
        <v>46046</v>
      </c>
      <c r="D5450" t="inlineStr">
        <is>
          <t>NORRBOTTENS LÄN</t>
        </is>
      </c>
      <c r="E5450" t="inlineStr">
        <is>
          <t>PAJALA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41296-2025</t>
        </is>
      </c>
      <c r="B5451" s="1" t="n">
        <v>45898.65670138889</v>
      </c>
      <c r="C5451" s="1" t="n">
        <v>46046</v>
      </c>
      <c r="D5451" t="inlineStr">
        <is>
          <t>NORRBOTTENS LÄN</t>
        </is>
      </c>
      <c r="E5451" t="inlineStr">
        <is>
          <t>PITEÅ</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40130-2025</t>
        </is>
      </c>
      <c r="B5452" s="1" t="n">
        <v>45894</v>
      </c>
      <c r="C5452" s="1" t="n">
        <v>46046</v>
      </c>
      <c r="D5452" t="inlineStr">
        <is>
          <t>NORRBOTTENS LÄN</t>
        </is>
      </c>
      <c r="E5452" t="inlineStr">
        <is>
          <t>BODEN</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35902-2025</t>
        </is>
      </c>
      <c r="B5453" s="1" t="n">
        <v>45862.48990740741</v>
      </c>
      <c r="C5453" s="1" t="n">
        <v>46046</v>
      </c>
      <c r="D5453" t="inlineStr">
        <is>
          <t>NORRBOTTENS LÄN</t>
        </is>
      </c>
      <c r="E5453" t="inlineStr">
        <is>
          <t>LULEÅ</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35912-2025</t>
        </is>
      </c>
      <c r="B5454" s="1" t="n">
        <v>45862.53150462963</v>
      </c>
      <c r="C5454" s="1" t="n">
        <v>46046</v>
      </c>
      <c r="D5454" t="inlineStr">
        <is>
          <t>NORRBOTTENS LÄN</t>
        </is>
      </c>
      <c r="E5454" t="inlineStr">
        <is>
          <t>LULEÅ</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41100-2025</t>
        </is>
      </c>
      <c r="B5455" s="1" t="n">
        <v>45898.45086805556</v>
      </c>
      <c r="C5455" s="1" t="n">
        <v>46046</v>
      </c>
      <c r="D5455" t="inlineStr">
        <is>
          <t>NORRBOTTENS LÄN</t>
        </is>
      </c>
      <c r="E5455" t="inlineStr">
        <is>
          <t>PITEÅ</t>
        </is>
      </c>
      <c r="F5455" t="inlineStr">
        <is>
          <t>Sveaskog</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41443-2025</t>
        </is>
      </c>
      <c r="B5456" s="1" t="n">
        <v>45901.41519675926</v>
      </c>
      <c r="C5456" s="1" t="n">
        <v>46046</v>
      </c>
      <c r="D5456" t="inlineStr">
        <is>
          <t>NORRBOTTENS LÄN</t>
        </is>
      </c>
      <c r="E5456" t="inlineStr">
        <is>
          <t>BODEN</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26535-2025</t>
        </is>
      </c>
      <c r="B5457" s="1" t="n">
        <v>45807.57351851852</v>
      </c>
      <c r="C5457" s="1" t="n">
        <v>46046</v>
      </c>
      <c r="D5457" t="inlineStr">
        <is>
          <t>NORRBOTTENS LÄN</t>
        </is>
      </c>
      <c r="E5457" t="inlineStr">
        <is>
          <t>ÖVERKALIX</t>
        </is>
      </c>
      <c r="F5457" t="inlineStr">
        <is>
          <t>Sveaskog</t>
        </is>
      </c>
      <c r="G5457" t="n">
        <v>37.4</v>
      </c>
      <c r="H5457" t="n">
        <v>0</v>
      </c>
      <c r="I5457" t="n">
        <v>0</v>
      </c>
      <c r="J5457" t="n">
        <v>0</v>
      </c>
      <c r="K5457" t="n">
        <v>0</v>
      </c>
      <c r="L5457" t="n">
        <v>0</v>
      </c>
      <c r="M5457" t="n">
        <v>0</v>
      </c>
      <c r="N5457" t="n">
        <v>0</v>
      </c>
      <c r="O5457" t="n">
        <v>0</v>
      </c>
      <c r="P5457" t="n">
        <v>0</v>
      </c>
      <c r="Q5457" t="n">
        <v>0</v>
      </c>
      <c r="R5457" s="2" t="inlineStr"/>
    </row>
    <row r="5458" ht="15" customHeight="1">
      <c r="A5458" t="inlineStr">
        <is>
          <t>A 5385-2025</t>
        </is>
      </c>
      <c r="B5458" s="1" t="n">
        <v>45692</v>
      </c>
      <c r="C5458" s="1" t="n">
        <v>46046</v>
      </c>
      <c r="D5458" t="inlineStr">
        <is>
          <t>NORRBOTTENS LÄN</t>
        </is>
      </c>
      <c r="E5458" t="inlineStr">
        <is>
          <t>ÖVERKALIX</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58545-2024</t>
        </is>
      </c>
      <c r="B5459" s="1" t="n">
        <v>45635.45800925926</v>
      </c>
      <c r="C5459" s="1" t="n">
        <v>46046</v>
      </c>
      <c r="D5459" t="inlineStr">
        <is>
          <t>NORRBOTTENS LÄN</t>
        </is>
      </c>
      <c r="E5459" t="inlineStr">
        <is>
          <t>ÖVERTORNEÅ</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38969-2024</t>
        </is>
      </c>
      <c r="B5460" s="1" t="n">
        <v>45548</v>
      </c>
      <c r="C5460" s="1" t="n">
        <v>46046</v>
      </c>
      <c r="D5460" t="inlineStr">
        <is>
          <t>NORRBOTTENS LÄN</t>
        </is>
      </c>
      <c r="E5460" t="inlineStr">
        <is>
          <t>PITEÅ</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15389-2025</t>
        </is>
      </c>
      <c r="B5461" s="1" t="n">
        <v>45747</v>
      </c>
      <c r="C5461" s="1" t="n">
        <v>46046</v>
      </c>
      <c r="D5461" t="inlineStr">
        <is>
          <t>NORRBOTTENS LÄN</t>
        </is>
      </c>
      <c r="E5461" t="inlineStr">
        <is>
          <t>ÄLVSBYN</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41203-2025</t>
        </is>
      </c>
      <c r="B5462" s="1" t="n">
        <v>45898</v>
      </c>
      <c r="C5462" s="1" t="n">
        <v>46046</v>
      </c>
      <c r="D5462" t="inlineStr">
        <is>
          <t>NORRBOTTENS LÄN</t>
        </is>
      </c>
      <c r="E5462" t="inlineStr">
        <is>
          <t>ÖVERTORNEÅ</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40996-2025</t>
        </is>
      </c>
      <c r="B5463" s="1" t="n">
        <v>45898.34438657408</v>
      </c>
      <c r="C5463" s="1" t="n">
        <v>46046</v>
      </c>
      <c r="D5463" t="inlineStr">
        <is>
          <t>NORRBOTTENS LÄN</t>
        </is>
      </c>
      <c r="E5463" t="inlineStr">
        <is>
          <t>KALIX</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41002-2025</t>
        </is>
      </c>
      <c r="B5464" s="1" t="n">
        <v>45898</v>
      </c>
      <c r="C5464" s="1" t="n">
        <v>46046</v>
      </c>
      <c r="D5464" t="inlineStr">
        <is>
          <t>NORRBOTTENS LÄN</t>
        </is>
      </c>
      <c r="E5464" t="inlineStr">
        <is>
          <t>PITEÅ</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51269-2024</t>
        </is>
      </c>
      <c r="B5465" s="1" t="n">
        <v>45603.71284722222</v>
      </c>
      <c r="C5465" s="1" t="n">
        <v>46046</v>
      </c>
      <c r="D5465" t="inlineStr">
        <is>
          <t>NORRBOTTENS LÄN</t>
        </is>
      </c>
      <c r="E5465" t="inlineStr">
        <is>
          <t>JOKKMOKK</t>
        </is>
      </c>
      <c r="F5465" t="inlineStr">
        <is>
          <t>Allmännings- och besparingsskogar</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51274-2024</t>
        </is>
      </c>
      <c r="B5466" s="1" t="n">
        <v>45602</v>
      </c>
      <c r="C5466" s="1" t="n">
        <v>46046</v>
      </c>
      <c r="D5466" t="inlineStr">
        <is>
          <t>NORRBOTTENS LÄN</t>
        </is>
      </c>
      <c r="E5466" t="inlineStr">
        <is>
          <t>ÖVERTORNEÅ</t>
        </is>
      </c>
      <c r="G5466" t="n">
        <v>15.2</v>
      </c>
      <c r="H5466" t="n">
        <v>0</v>
      </c>
      <c r="I5466" t="n">
        <v>0</v>
      </c>
      <c r="J5466" t="n">
        <v>0</v>
      </c>
      <c r="K5466" t="n">
        <v>0</v>
      </c>
      <c r="L5466" t="n">
        <v>0</v>
      </c>
      <c r="M5466" t="n">
        <v>0</v>
      </c>
      <c r="N5466" t="n">
        <v>0</v>
      </c>
      <c r="O5466" t="n">
        <v>0</v>
      </c>
      <c r="P5466" t="n">
        <v>0</v>
      </c>
      <c r="Q5466" t="n">
        <v>0</v>
      </c>
      <c r="R5466" s="2" t="inlineStr"/>
    </row>
    <row r="5467" ht="15" customHeight="1">
      <c r="A5467" t="inlineStr">
        <is>
          <t>A 59172-2022</t>
        </is>
      </c>
      <c r="B5467" s="1" t="n">
        <v>44904.48228009259</v>
      </c>
      <c r="C5467" s="1" t="n">
        <v>46046</v>
      </c>
      <c r="D5467" t="inlineStr">
        <is>
          <t>NORRBOTTENS LÄN</t>
        </is>
      </c>
      <c r="E5467" t="inlineStr">
        <is>
          <t>GÄLLIVARE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7327-2025</t>
        </is>
      </c>
      <c r="B5468" s="1" t="n">
        <v>45702</v>
      </c>
      <c r="C5468" s="1" t="n">
        <v>46046</v>
      </c>
      <c r="D5468" t="inlineStr">
        <is>
          <t>NORRBOTTENS LÄN</t>
        </is>
      </c>
      <c r="E5468" t="inlineStr">
        <is>
          <t>ARVIDSJAUR</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55845-2022</t>
        </is>
      </c>
      <c r="B5469" s="1" t="n">
        <v>44888</v>
      </c>
      <c r="C5469" s="1" t="n">
        <v>46046</v>
      </c>
      <c r="D5469" t="inlineStr">
        <is>
          <t>NORRBOTTENS LÄN</t>
        </is>
      </c>
      <c r="E5469" t="inlineStr">
        <is>
          <t>PITEÅ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28713-2024</t>
        </is>
      </c>
      <c r="B5470" s="1" t="n">
        <v>45478.53486111111</v>
      </c>
      <c r="C5470" s="1" t="n">
        <v>46046</v>
      </c>
      <c r="D5470" t="inlineStr">
        <is>
          <t>NORRBOTTENS LÄN</t>
        </is>
      </c>
      <c r="E5470" t="inlineStr">
        <is>
          <t>PITEÅ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42496-2024</t>
        </is>
      </c>
      <c r="B5471" s="1" t="n">
        <v>45565.49769675926</v>
      </c>
      <c r="C5471" s="1" t="n">
        <v>46046</v>
      </c>
      <c r="D5471" t="inlineStr">
        <is>
          <t>NORRBOTTENS LÄN</t>
        </is>
      </c>
      <c r="E5471" t="inlineStr">
        <is>
          <t>LULEÅ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41474-2025</t>
        </is>
      </c>
      <c r="B5472" s="1" t="n">
        <v>45901.4696412037</v>
      </c>
      <c r="C5472" s="1" t="n">
        <v>46046</v>
      </c>
      <c r="D5472" t="inlineStr">
        <is>
          <t>NORRBOTTENS LÄN</t>
        </is>
      </c>
      <c r="E5472" t="inlineStr">
        <is>
          <t>PITEÅ</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28720-2024</t>
        </is>
      </c>
      <c r="B5473" s="1" t="n">
        <v>45478.54910879629</v>
      </c>
      <c r="C5473" s="1" t="n">
        <v>46046</v>
      </c>
      <c r="D5473" t="inlineStr">
        <is>
          <t>NORRBOTTENS LÄN</t>
        </is>
      </c>
      <c r="E5473" t="inlineStr">
        <is>
          <t>PITEÅ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10353-2022</t>
        </is>
      </c>
      <c r="B5474" s="1" t="n">
        <v>44622</v>
      </c>
      <c r="C5474" s="1" t="n">
        <v>46046</v>
      </c>
      <c r="D5474" t="inlineStr">
        <is>
          <t>NORRBOTTENS LÄN</t>
        </is>
      </c>
      <c r="E5474" t="inlineStr">
        <is>
          <t>PITEÅ</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12612-2025</t>
        </is>
      </c>
      <c r="B5475" s="1" t="n">
        <v>45732</v>
      </c>
      <c r="C5475" s="1" t="n">
        <v>46046</v>
      </c>
      <c r="D5475" t="inlineStr">
        <is>
          <t>NORRBOTTENS LÄN</t>
        </is>
      </c>
      <c r="E5475" t="inlineStr">
        <is>
          <t>BODEN</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41418-2025</t>
        </is>
      </c>
      <c r="B5476" s="1" t="n">
        <v>45901.37751157407</v>
      </c>
      <c r="C5476" s="1" t="n">
        <v>46046</v>
      </c>
      <c r="D5476" t="inlineStr">
        <is>
          <t>NORRBOTTENS LÄN</t>
        </is>
      </c>
      <c r="E5476" t="inlineStr">
        <is>
          <t>BODEN</t>
        </is>
      </c>
      <c r="F5476" t="inlineStr">
        <is>
          <t>Sveaskog</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13465-2022</t>
        </is>
      </c>
      <c r="B5477" s="1" t="n">
        <v>44645</v>
      </c>
      <c r="C5477" s="1" t="n">
        <v>46046</v>
      </c>
      <c r="D5477" t="inlineStr">
        <is>
          <t>NORRBOTTENS LÄN</t>
        </is>
      </c>
      <c r="E5477" t="inlineStr">
        <is>
          <t>ÖVERKALIX</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19594-2025</t>
        </is>
      </c>
      <c r="B5478" s="1" t="n">
        <v>45770.57881944445</v>
      </c>
      <c r="C5478" s="1" t="n">
        <v>46046</v>
      </c>
      <c r="D5478" t="inlineStr">
        <is>
          <t>NORRBOTTENS LÄN</t>
        </is>
      </c>
      <c r="E5478" t="inlineStr">
        <is>
          <t>LULEÅ</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41329-2025</t>
        </is>
      </c>
      <c r="B5479" s="1" t="n">
        <v>45899</v>
      </c>
      <c r="C5479" s="1" t="n">
        <v>46046</v>
      </c>
      <c r="D5479" t="inlineStr">
        <is>
          <t>NORRBOTTENS LÄN</t>
        </is>
      </c>
      <c r="E5479" t="inlineStr">
        <is>
          <t>ÖVERTORNEÅ</t>
        </is>
      </c>
      <c r="F5479" t="inlineStr">
        <is>
          <t>Sveaskog</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28953-2024</t>
        </is>
      </c>
      <c r="B5480" s="1" t="n">
        <v>45481</v>
      </c>
      <c r="C5480" s="1" t="n">
        <v>46046</v>
      </c>
      <c r="D5480" t="inlineStr">
        <is>
          <t>NORRBOTTENS LÄN</t>
        </is>
      </c>
      <c r="E5480" t="inlineStr">
        <is>
          <t>ÖVERTORNEÅ</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41403-2025</t>
        </is>
      </c>
      <c r="B5481" s="1" t="n">
        <v>45901.344375</v>
      </c>
      <c r="C5481" s="1" t="n">
        <v>46046</v>
      </c>
      <c r="D5481" t="inlineStr">
        <is>
          <t>NORRBOTTENS LÄN</t>
        </is>
      </c>
      <c r="E5481" t="inlineStr">
        <is>
          <t>JOKKMOKK</t>
        </is>
      </c>
      <c r="F5481" t="inlineStr">
        <is>
          <t>SCA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30162-2025</t>
        </is>
      </c>
      <c r="B5482" s="1" t="n">
        <v>45827.32677083334</v>
      </c>
      <c r="C5482" s="1" t="n">
        <v>46046</v>
      </c>
      <c r="D5482" t="inlineStr">
        <is>
          <t>NORRBOTTENS LÄN</t>
        </is>
      </c>
      <c r="E5482" t="inlineStr">
        <is>
          <t>KALIX</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41169-2025</t>
        </is>
      </c>
      <c r="B5483" s="1" t="n">
        <v>45898.54578703704</v>
      </c>
      <c r="C5483" s="1" t="n">
        <v>46046</v>
      </c>
      <c r="D5483" t="inlineStr">
        <is>
          <t>NORRBOTTENS LÄN</t>
        </is>
      </c>
      <c r="E5483" t="inlineStr">
        <is>
          <t>GÄLLIVARE</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20028-2025</t>
        </is>
      </c>
      <c r="B5484" s="1" t="n">
        <v>45772.35200231482</v>
      </c>
      <c r="C5484" s="1" t="n">
        <v>46046</v>
      </c>
      <c r="D5484" t="inlineStr">
        <is>
          <t>NORRBOTTENS LÄN</t>
        </is>
      </c>
      <c r="E5484" t="inlineStr">
        <is>
          <t>BODEN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20041-2025</t>
        </is>
      </c>
      <c r="B5485" s="1" t="n">
        <v>45772.37400462963</v>
      </c>
      <c r="C5485" s="1" t="n">
        <v>46046</v>
      </c>
      <c r="D5485" t="inlineStr">
        <is>
          <t>NORRBOTTENS LÄN</t>
        </is>
      </c>
      <c r="E5485" t="inlineStr">
        <is>
          <t>BODEN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41201-2025</t>
        </is>
      </c>
      <c r="B5486" s="1" t="n">
        <v>45898</v>
      </c>
      <c r="C5486" s="1" t="n">
        <v>46046</v>
      </c>
      <c r="D5486" t="inlineStr">
        <is>
          <t>NORRBOTTENS LÄN</t>
        </is>
      </c>
      <c r="E5486" t="inlineStr">
        <is>
          <t>ARVIDSJAUR</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40729-2024</t>
        </is>
      </c>
      <c r="B5487" s="1" t="n">
        <v>45558</v>
      </c>
      <c r="C5487" s="1" t="n">
        <v>46046</v>
      </c>
      <c r="D5487" t="inlineStr">
        <is>
          <t>NORRBOTTENS LÄN</t>
        </is>
      </c>
      <c r="E5487" t="inlineStr">
        <is>
          <t>PITEÅ</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41042-2025</t>
        </is>
      </c>
      <c r="B5488" s="1" t="n">
        <v>45898.39429398148</v>
      </c>
      <c r="C5488" s="1" t="n">
        <v>46046</v>
      </c>
      <c r="D5488" t="inlineStr">
        <is>
          <t>NORRBOTTENS LÄN</t>
        </is>
      </c>
      <c r="E5488" t="inlineStr">
        <is>
          <t>PAJALA</t>
        </is>
      </c>
      <c r="G5488" t="n">
        <v>11.2</v>
      </c>
      <c r="H5488" t="n">
        <v>0</v>
      </c>
      <c r="I5488" t="n">
        <v>0</v>
      </c>
      <c r="J5488" t="n">
        <v>0</v>
      </c>
      <c r="K5488" t="n">
        <v>0</v>
      </c>
      <c r="L5488" t="n">
        <v>0</v>
      </c>
      <c r="M5488" t="n">
        <v>0</v>
      </c>
      <c r="N5488" t="n">
        <v>0</v>
      </c>
      <c r="O5488" t="n">
        <v>0</v>
      </c>
      <c r="P5488" t="n">
        <v>0</v>
      </c>
      <c r="Q5488" t="n">
        <v>0</v>
      </c>
      <c r="R5488" s="2" t="inlineStr"/>
    </row>
    <row r="5489" ht="15" customHeight="1">
      <c r="A5489" t="inlineStr">
        <is>
          <t>A 19284-2025</t>
        </is>
      </c>
      <c r="B5489" s="1" t="n">
        <v>45769</v>
      </c>
      <c r="C5489" s="1" t="n">
        <v>46046</v>
      </c>
      <c r="D5489" t="inlineStr">
        <is>
          <t>NORRBOTTENS LÄN</t>
        </is>
      </c>
      <c r="E5489" t="inlineStr">
        <is>
          <t>BODEN</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21919-2025</t>
        </is>
      </c>
      <c r="B5490" s="1" t="n">
        <v>45784.51063657407</v>
      </c>
      <c r="C5490" s="1" t="n">
        <v>46046</v>
      </c>
      <c r="D5490" t="inlineStr">
        <is>
          <t>NORRBOTTENS LÄN</t>
        </is>
      </c>
      <c r="E5490" t="inlineStr">
        <is>
          <t>KALIX</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20243-2025</t>
        </is>
      </c>
      <c r="B5491" s="1" t="n">
        <v>45772</v>
      </c>
      <c r="C5491" s="1" t="n">
        <v>46046</v>
      </c>
      <c r="D5491" t="inlineStr">
        <is>
          <t>NORRBOTTENS LÄN</t>
        </is>
      </c>
      <c r="E5491" t="inlineStr">
        <is>
          <t>ÄLVSBYN</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42645-2024</t>
        </is>
      </c>
      <c r="B5492" s="1" t="n">
        <v>45566.29878472222</v>
      </c>
      <c r="C5492" s="1" t="n">
        <v>46046</v>
      </c>
      <c r="D5492" t="inlineStr">
        <is>
          <t>NORRBOTTENS LÄN</t>
        </is>
      </c>
      <c r="E5492" t="inlineStr">
        <is>
          <t>PITEÅ</t>
        </is>
      </c>
      <c r="F5492" t="inlineStr">
        <is>
          <t>Sveaskog</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2992-2024</t>
        </is>
      </c>
      <c r="B5493" s="1" t="n">
        <v>45315.72113425926</v>
      </c>
      <c r="C5493" s="1" t="n">
        <v>46046</v>
      </c>
      <c r="D5493" t="inlineStr">
        <is>
          <t>NORRBOTTENS LÄN</t>
        </is>
      </c>
      <c r="E5493" t="inlineStr">
        <is>
          <t>ÖVERKALIX</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60481-2023</t>
        </is>
      </c>
      <c r="B5494" s="1" t="n">
        <v>45259.60369212963</v>
      </c>
      <c r="C5494" s="1" t="n">
        <v>46046</v>
      </c>
      <c r="D5494" t="inlineStr">
        <is>
          <t>NORRBOTTENS LÄN</t>
        </is>
      </c>
      <c r="E5494" t="inlineStr">
        <is>
          <t>KALIX</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51765-2023</t>
        </is>
      </c>
      <c r="B5495" s="1" t="n">
        <v>45222.70152777778</v>
      </c>
      <c r="C5495" s="1" t="n">
        <v>46046</v>
      </c>
      <c r="D5495" t="inlineStr">
        <is>
          <t>NORRBOTTENS LÄN</t>
        </is>
      </c>
      <c r="E5495" t="inlineStr">
        <is>
          <t>KALIX</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20392-2025</t>
        </is>
      </c>
      <c r="B5496" s="1" t="n">
        <v>45775.44878472222</v>
      </c>
      <c r="C5496" s="1" t="n">
        <v>46046</v>
      </c>
      <c r="D5496" t="inlineStr">
        <is>
          <t>NORRBOTTENS LÄN</t>
        </is>
      </c>
      <c r="E5496" t="inlineStr">
        <is>
          <t>ÖVERKALIX</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20393-2025</t>
        </is>
      </c>
      <c r="B5497" s="1" t="n">
        <v>45775.44886574074</v>
      </c>
      <c r="C5497" s="1" t="n">
        <v>46046</v>
      </c>
      <c r="D5497" t="inlineStr">
        <is>
          <t>NORRBOTTENS LÄN</t>
        </is>
      </c>
      <c r="E5497" t="inlineStr">
        <is>
          <t>ARVIDSJAUR</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24827-2024</t>
        </is>
      </c>
      <c r="B5498" s="1" t="n">
        <v>45461.37427083333</v>
      </c>
      <c r="C5498" s="1" t="n">
        <v>46046</v>
      </c>
      <c r="D5498" t="inlineStr">
        <is>
          <t>NORRBOTTENS LÄN</t>
        </is>
      </c>
      <c r="E5498" t="inlineStr">
        <is>
          <t>PITEÅ</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267-2025</t>
        </is>
      </c>
      <c r="B5499" s="1" t="n">
        <v>45660.46960648148</v>
      </c>
      <c r="C5499" s="1" t="n">
        <v>46046</v>
      </c>
      <c r="D5499" t="inlineStr">
        <is>
          <t>NORRBOTTENS LÄN</t>
        </is>
      </c>
      <c r="E5499" t="inlineStr">
        <is>
          <t>KALIX</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19582-2025</t>
        </is>
      </c>
      <c r="B5500" s="1" t="n">
        <v>45770.56481481482</v>
      </c>
      <c r="C5500" s="1" t="n">
        <v>46046</v>
      </c>
      <c r="D5500" t="inlineStr">
        <is>
          <t>NORRBOTTENS LÄN</t>
        </is>
      </c>
      <c r="E5500" t="inlineStr">
        <is>
          <t>BODEN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11538-2025</t>
        </is>
      </c>
      <c r="B5501" s="1" t="n">
        <v>45726</v>
      </c>
      <c r="C5501" s="1" t="n">
        <v>46046</v>
      </c>
      <c r="D5501" t="inlineStr">
        <is>
          <t>NORRBOTTENS LÄN</t>
        </is>
      </c>
      <c r="E5501" t="inlineStr">
        <is>
          <t>ARVIDSJAUR</t>
        </is>
      </c>
      <c r="F5501" t="inlineStr">
        <is>
          <t>Allmännings- och besparingsskogar</t>
        </is>
      </c>
      <c r="G5501" t="n">
        <v>15.3</v>
      </c>
      <c r="H5501" t="n">
        <v>0</v>
      </c>
      <c r="I5501" t="n">
        <v>0</v>
      </c>
      <c r="J5501" t="n">
        <v>0</v>
      </c>
      <c r="K5501" t="n">
        <v>0</v>
      </c>
      <c r="L5501" t="n">
        <v>0</v>
      </c>
      <c r="M5501" t="n">
        <v>0</v>
      </c>
      <c r="N5501" t="n">
        <v>0</v>
      </c>
      <c r="O5501" t="n">
        <v>0</v>
      </c>
      <c r="P5501" t="n">
        <v>0</v>
      </c>
      <c r="Q5501" t="n">
        <v>0</v>
      </c>
      <c r="R5501" s="2" t="inlineStr"/>
    </row>
    <row r="5502" ht="15" customHeight="1">
      <c r="A5502" t="inlineStr">
        <is>
          <t>A 9206-2025</t>
        </is>
      </c>
      <c r="B5502" s="1" t="n">
        <v>45714.49189814815</v>
      </c>
      <c r="C5502" s="1" t="n">
        <v>46046</v>
      </c>
      <c r="D5502" t="inlineStr">
        <is>
          <t>NORRBOTTENS LÄN</t>
        </is>
      </c>
      <c r="E5502" t="inlineStr">
        <is>
          <t>KALIX</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8170-2025</t>
        </is>
      </c>
      <c r="B5503" s="1" t="n">
        <v>45708.36651620371</v>
      </c>
      <c r="C5503" s="1" t="n">
        <v>46046</v>
      </c>
      <c r="D5503" t="inlineStr">
        <is>
          <t>NORRBOTTENS LÄN</t>
        </is>
      </c>
      <c r="E5503" t="inlineStr">
        <is>
          <t>BODEN</t>
        </is>
      </c>
      <c r="F5503" t="inlineStr">
        <is>
          <t>Övriga Aktiebolag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41601-2025</t>
        </is>
      </c>
      <c r="B5504" s="1" t="n">
        <v>45901.65690972222</v>
      </c>
      <c r="C5504" s="1" t="n">
        <v>46046</v>
      </c>
      <c r="D5504" t="inlineStr">
        <is>
          <t>NORRBOTTENS LÄN</t>
        </is>
      </c>
      <c r="E5504" t="inlineStr">
        <is>
          <t>BODEN</t>
        </is>
      </c>
      <c r="F5504" t="inlineStr">
        <is>
          <t>Sveaskog</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11112-2023</t>
        </is>
      </c>
      <c r="B5505" s="1" t="n">
        <v>44992</v>
      </c>
      <c r="C5505" s="1" t="n">
        <v>46046</v>
      </c>
      <c r="D5505" t="inlineStr">
        <is>
          <t>NORRBOTTENS LÄN</t>
        </is>
      </c>
      <c r="E5505" t="inlineStr">
        <is>
          <t>KALIX</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8331-2025</t>
        </is>
      </c>
      <c r="B5506" s="1" t="n">
        <v>45708.64608796296</v>
      </c>
      <c r="C5506" s="1" t="n">
        <v>46046</v>
      </c>
      <c r="D5506" t="inlineStr">
        <is>
          <t>NORRBOTTENS LÄN</t>
        </is>
      </c>
      <c r="E5506" t="inlineStr">
        <is>
          <t>PITEÅ</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41450-2025</t>
        </is>
      </c>
      <c r="B5507" s="1" t="n">
        <v>45901.42961805555</v>
      </c>
      <c r="C5507" s="1" t="n">
        <v>46046</v>
      </c>
      <c r="D5507" t="inlineStr">
        <is>
          <t>NORRBOTTENS LÄN</t>
        </is>
      </c>
      <c r="E5507" t="inlineStr">
        <is>
          <t>GÄLLIVARE</t>
        </is>
      </c>
      <c r="F5507" t="inlineStr">
        <is>
          <t>Sveaskog</t>
        </is>
      </c>
      <c r="G5507" t="n">
        <v>14.4</v>
      </c>
      <c r="H5507" t="n">
        <v>0</v>
      </c>
      <c r="I5507" t="n">
        <v>0</v>
      </c>
      <c r="J5507" t="n">
        <v>0</v>
      </c>
      <c r="K5507" t="n">
        <v>0</v>
      </c>
      <c r="L5507" t="n">
        <v>0</v>
      </c>
      <c r="M5507" t="n">
        <v>0</v>
      </c>
      <c r="N5507" t="n">
        <v>0</v>
      </c>
      <c r="O5507" t="n">
        <v>0</v>
      </c>
      <c r="P5507" t="n">
        <v>0</v>
      </c>
      <c r="Q5507" t="n">
        <v>0</v>
      </c>
      <c r="R5507" s="2" t="inlineStr"/>
    </row>
    <row r="5508" ht="15" customHeight="1">
      <c r="A5508" t="inlineStr">
        <is>
          <t>A 40977-2025</t>
        </is>
      </c>
      <c r="B5508" s="1" t="n">
        <v>45897.93575231481</v>
      </c>
      <c r="C5508" s="1" t="n">
        <v>46046</v>
      </c>
      <c r="D5508" t="inlineStr">
        <is>
          <t>NORRBOTTENS LÄN</t>
        </is>
      </c>
      <c r="E5508" t="inlineStr">
        <is>
          <t>LULEÅ</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55226-2024</t>
        </is>
      </c>
      <c r="B5509" s="1" t="n">
        <v>45621.57475694444</v>
      </c>
      <c r="C5509" s="1" t="n">
        <v>46046</v>
      </c>
      <c r="D5509" t="inlineStr">
        <is>
          <t>NORRBOTTENS LÄN</t>
        </is>
      </c>
      <c r="E5509" t="inlineStr">
        <is>
          <t>ÖVERKALIX</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20753-2025</t>
        </is>
      </c>
      <c r="B5510" s="1" t="n">
        <v>45776</v>
      </c>
      <c r="C5510" s="1" t="n">
        <v>46046</v>
      </c>
      <c r="D5510" t="inlineStr">
        <is>
          <t>NORRBOTTENS LÄN</t>
        </is>
      </c>
      <c r="E5510" t="inlineStr">
        <is>
          <t>ÄLVSBYN</t>
        </is>
      </c>
      <c r="F5510" t="inlineStr">
        <is>
          <t>Övriga Aktiebolag</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11200-2023</t>
        </is>
      </c>
      <c r="B5511" s="1" t="n">
        <v>44988</v>
      </c>
      <c r="C5511" s="1" t="n">
        <v>46046</v>
      </c>
      <c r="D5511" t="inlineStr">
        <is>
          <t>NORRBOTTENS LÄN</t>
        </is>
      </c>
      <c r="E5511" t="inlineStr">
        <is>
          <t>PAJALA</t>
        </is>
      </c>
      <c r="G5511" t="n">
        <v>8.5</v>
      </c>
      <c r="H5511" t="n">
        <v>0</v>
      </c>
      <c r="I5511" t="n">
        <v>0</v>
      </c>
      <c r="J5511" t="n">
        <v>0</v>
      </c>
      <c r="K5511" t="n">
        <v>0</v>
      </c>
      <c r="L5511" t="n">
        <v>0</v>
      </c>
      <c r="M5511" t="n">
        <v>0</v>
      </c>
      <c r="N5511" t="n">
        <v>0</v>
      </c>
      <c r="O5511" t="n">
        <v>0</v>
      </c>
      <c r="P5511" t="n">
        <v>0</v>
      </c>
      <c r="Q5511" t="n">
        <v>0</v>
      </c>
      <c r="R5511" s="2" t="inlineStr"/>
    </row>
    <row r="5512" ht="15" customHeight="1">
      <c r="A5512" t="inlineStr">
        <is>
          <t>A 54521-2023</t>
        </is>
      </c>
      <c r="B5512" s="1" t="n">
        <v>45226</v>
      </c>
      <c r="C5512" s="1" t="n">
        <v>46046</v>
      </c>
      <c r="D5512" t="inlineStr">
        <is>
          <t>NORRBOTTENS LÄN</t>
        </is>
      </c>
      <c r="E5512" t="inlineStr">
        <is>
          <t>ARVIDSJAUR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2392-2023</t>
        </is>
      </c>
      <c r="B5513" s="1" t="n">
        <v>44942</v>
      </c>
      <c r="C5513" s="1" t="n">
        <v>46046</v>
      </c>
      <c r="D5513" t="inlineStr">
        <is>
          <t>NORRBOTTENS LÄN</t>
        </is>
      </c>
      <c r="E5513" t="inlineStr">
        <is>
          <t>PITEÅ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62701-2022</t>
        </is>
      </c>
      <c r="B5514" s="1" t="n">
        <v>44917</v>
      </c>
      <c r="C5514" s="1" t="n">
        <v>46046</v>
      </c>
      <c r="D5514" t="inlineStr">
        <is>
          <t>NORRBOTTENS LÄN</t>
        </is>
      </c>
      <c r="E5514" t="inlineStr">
        <is>
          <t>LULEÅ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41781-2025</t>
        </is>
      </c>
      <c r="B5515" s="1" t="n">
        <v>45902</v>
      </c>
      <c r="C5515" s="1" t="n">
        <v>46046</v>
      </c>
      <c r="D5515" t="inlineStr">
        <is>
          <t>NORRBOTTENS LÄN</t>
        </is>
      </c>
      <c r="E5515" t="inlineStr">
        <is>
          <t>PAJALA</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6810-2025</t>
        </is>
      </c>
      <c r="B5516" s="1" t="n">
        <v>45700</v>
      </c>
      <c r="C5516" s="1" t="n">
        <v>46046</v>
      </c>
      <c r="D5516" t="inlineStr">
        <is>
          <t>NORRBOTTENS LÄN</t>
        </is>
      </c>
      <c r="E5516" t="inlineStr">
        <is>
          <t>ÖVERKALIX</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41789-2025</t>
        </is>
      </c>
      <c r="B5517" s="1" t="n">
        <v>45902.59466435185</v>
      </c>
      <c r="C5517" s="1" t="n">
        <v>46046</v>
      </c>
      <c r="D5517" t="inlineStr">
        <is>
          <t>NORRBOTTENS LÄN</t>
        </is>
      </c>
      <c r="E5517" t="inlineStr">
        <is>
          <t>GÄLLIVARE</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41791-2025</t>
        </is>
      </c>
      <c r="B5518" s="1" t="n">
        <v>45902.59523148148</v>
      </c>
      <c r="C5518" s="1" t="n">
        <v>46046</v>
      </c>
      <c r="D5518" t="inlineStr">
        <is>
          <t>NORRBOTTENS LÄN</t>
        </is>
      </c>
      <c r="E5518" t="inlineStr">
        <is>
          <t>GÄLLIVARE</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23469-2022</t>
        </is>
      </c>
      <c r="B5519" s="1" t="n">
        <v>44721</v>
      </c>
      <c r="C5519" s="1" t="n">
        <v>46046</v>
      </c>
      <c r="D5519" t="inlineStr">
        <is>
          <t>NORRBOTTENS LÄN</t>
        </is>
      </c>
      <c r="E5519" t="inlineStr">
        <is>
          <t>KIRUNA</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41780-2025</t>
        </is>
      </c>
      <c r="B5520" s="1" t="n">
        <v>45902</v>
      </c>
      <c r="C5520" s="1" t="n">
        <v>46046</v>
      </c>
      <c r="D5520" t="inlineStr">
        <is>
          <t>NORRBOTTENS LÄN</t>
        </is>
      </c>
      <c r="E5520" t="inlineStr">
        <is>
          <t>PAJALA</t>
        </is>
      </c>
      <c r="F5520" t="inlineStr">
        <is>
          <t>Sveaskog</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41790-2025</t>
        </is>
      </c>
      <c r="B5521" s="1" t="n">
        <v>45902.59489583333</v>
      </c>
      <c r="C5521" s="1" t="n">
        <v>46046</v>
      </c>
      <c r="D5521" t="inlineStr">
        <is>
          <t>NORRBOTTENS LÄN</t>
        </is>
      </c>
      <c r="E5521" t="inlineStr">
        <is>
          <t>GÄLLIVARE</t>
        </is>
      </c>
      <c r="F5521" t="inlineStr">
        <is>
          <t>SCA</t>
        </is>
      </c>
      <c r="G5521" t="n">
        <v>10.3</v>
      </c>
      <c r="H5521" t="n">
        <v>0</v>
      </c>
      <c r="I5521" t="n">
        <v>0</v>
      </c>
      <c r="J5521" t="n">
        <v>0</v>
      </c>
      <c r="K5521" t="n">
        <v>0</v>
      </c>
      <c r="L5521" t="n">
        <v>0</v>
      </c>
      <c r="M5521" t="n">
        <v>0</v>
      </c>
      <c r="N5521" t="n">
        <v>0</v>
      </c>
      <c r="O5521" t="n">
        <v>0</v>
      </c>
      <c r="P5521" t="n">
        <v>0</v>
      </c>
      <c r="Q5521" t="n">
        <v>0</v>
      </c>
      <c r="R5521" s="2" t="inlineStr"/>
    </row>
    <row r="5522" ht="15" customHeight="1">
      <c r="A5522" t="inlineStr">
        <is>
          <t>A 61625-2024</t>
        </is>
      </c>
      <c r="B5522" s="1" t="n">
        <v>45646</v>
      </c>
      <c r="C5522" s="1" t="n">
        <v>46046</v>
      </c>
      <c r="D5522" t="inlineStr">
        <is>
          <t>NORRBOTTENS LÄN</t>
        </is>
      </c>
      <c r="E5522" t="inlineStr">
        <is>
          <t>ARVIDSJAUR</t>
        </is>
      </c>
      <c r="F5522" t="inlineStr">
        <is>
          <t>Sveaskog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6240-2023</t>
        </is>
      </c>
      <c r="B5523" s="1" t="n">
        <v>44964.94399305555</v>
      </c>
      <c r="C5523" s="1" t="n">
        <v>46046</v>
      </c>
      <c r="D5523" t="inlineStr">
        <is>
          <t>NORRBOTTENS LÄN</t>
        </is>
      </c>
      <c r="E5523" t="inlineStr">
        <is>
          <t>KALIX</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6242-2023</t>
        </is>
      </c>
      <c r="B5524" s="1" t="n">
        <v>44964.94416666667</v>
      </c>
      <c r="C5524" s="1" t="n">
        <v>46046</v>
      </c>
      <c r="D5524" t="inlineStr">
        <is>
          <t>NORRBOTTENS LÄN</t>
        </is>
      </c>
      <c r="E5524" t="inlineStr">
        <is>
          <t>BODEN</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6245-2023</t>
        </is>
      </c>
      <c r="B5525" s="1" t="n">
        <v>44964.9444212963</v>
      </c>
      <c r="C5525" s="1" t="n">
        <v>46046</v>
      </c>
      <c r="D5525" t="inlineStr">
        <is>
          <t>NORRBOTTENS LÄN</t>
        </is>
      </c>
      <c r="E5525" t="inlineStr">
        <is>
          <t>KALIX</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41905-2025</t>
        </is>
      </c>
      <c r="B5526" s="1" t="n">
        <v>45903</v>
      </c>
      <c r="C5526" s="1" t="n">
        <v>46046</v>
      </c>
      <c r="D5526" t="inlineStr">
        <is>
          <t>NORRBOTTENS LÄN</t>
        </is>
      </c>
      <c r="E5526" t="inlineStr">
        <is>
          <t>KALIX</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41913-2025</t>
        </is>
      </c>
      <c r="B5527" s="1" t="n">
        <v>45903.41075231481</v>
      </c>
      <c r="C5527" s="1" t="n">
        <v>46046</v>
      </c>
      <c r="D5527" t="inlineStr">
        <is>
          <t>NORRBOTTENS LÄN</t>
        </is>
      </c>
      <c r="E5527" t="inlineStr">
        <is>
          <t>KALIX</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23067-2021</t>
        </is>
      </c>
      <c r="B5528" s="1" t="n">
        <v>44329.94148148148</v>
      </c>
      <c r="C5528" s="1" t="n">
        <v>46046</v>
      </c>
      <c r="D5528" t="inlineStr">
        <is>
          <t>NORRBOTTENS LÄN</t>
        </is>
      </c>
      <c r="E5528" t="inlineStr">
        <is>
          <t>ÖVERKALIX</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41678-2025</t>
        </is>
      </c>
      <c r="B5529" s="1" t="n">
        <v>45902.37390046296</v>
      </c>
      <c r="C5529" s="1" t="n">
        <v>46046</v>
      </c>
      <c r="D5529" t="inlineStr">
        <is>
          <t>NORRBOTTENS LÄN</t>
        </is>
      </c>
      <c r="E5529" t="inlineStr">
        <is>
          <t>PITEÅ</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18057-2024</t>
        </is>
      </c>
      <c r="B5530" s="1" t="n">
        <v>45420</v>
      </c>
      <c r="C5530" s="1" t="n">
        <v>46046</v>
      </c>
      <c r="D5530" t="inlineStr">
        <is>
          <t>NORRBOTTENS LÄN</t>
        </is>
      </c>
      <c r="E5530" t="inlineStr">
        <is>
          <t>PITEÅ</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41945-2025</t>
        </is>
      </c>
      <c r="B5531" s="1" t="n">
        <v>45903.44864583333</v>
      </c>
      <c r="C5531" s="1" t="n">
        <v>46046</v>
      </c>
      <c r="D5531" t="inlineStr">
        <is>
          <t>NORRBOTTENS LÄN</t>
        </is>
      </c>
      <c r="E5531" t="inlineStr">
        <is>
          <t>HAPARANDA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41649-2025</t>
        </is>
      </c>
      <c r="B5532" s="1" t="n">
        <v>45902.32747685185</v>
      </c>
      <c r="C5532" s="1" t="n">
        <v>46046</v>
      </c>
      <c r="D5532" t="inlineStr">
        <is>
          <t>NORRBOTTENS LÄN</t>
        </is>
      </c>
      <c r="E5532" t="inlineStr">
        <is>
          <t>BODEN</t>
        </is>
      </c>
      <c r="F5532" t="inlineStr">
        <is>
          <t>Sveaskog</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41671-2025</t>
        </is>
      </c>
      <c r="B5533" s="1" t="n">
        <v>45902.36240740741</v>
      </c>
      <c r="C5533" s="1" t="n">
        <v>46046</v>
      </c>
      <c r="D5533" t="inlineStr">
        <is>
          <t>NORRBOTTENS LÄN</t>
        </is>
      </c>
      <c r="E5533" t="inlineStr">
        <is>
          <t>PITEÅ</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11265-2024</t>
        </is>
      </c>
      <c r="B5534" s="1" t="n">
        <v>45371</v>
      </c>
      <c r="C5534" s="1" t="n">
        <v>46046</v>
      </c>
      <c r="D5534" t="inlineStr">
        <is>
          <t>NORRBOTTENS LÄN</t>
        </is>
      </c>
      <c r="E5534" t="inlineStr">
        <is>
          <t>PAJALA</t>
        </is>
      </c>
      <c r="F5534" t="inlineStr">
        <is>
          <t>Allmännings- och besparingsskogar</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41691-2025</t>
        </is>
      </c>
      <c r="B5535" s="1" t="n">
        <v>45902.40394675926</v>
      </c>
      <c r="C5535" s="1" t="n">
        <v>46046</v>
      </c>
      <c r="D5535" t="inlineStr">
        <is>
          <t>NORRBOTTENS LÄN</t>
        </is>
      </c>
      <c r="E5535" t="inlineStr">
        <is>
          <t>BODEN</t>
        </is>
      </c>
      <c r="F5535" t="inlineStr">
        <is>
          <t>Sveaskog</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41943-2025</t>
        </is>
      </c>
      <c r="B5536" s="1" t="n">
        <v>45903</v>
      </c>
      <c r="C5536" s="1" t="n">
        <v>46046</v>
      </c>
      <c r="D5536" t="inlineStr">
        <is>
          <t>NORRBOTTENS LÄN</t>
        </is>
      </c>
      <c r="E5536" t="inlineStr">
        <is>
          <t>BODEN</t>
        </is>
      </c>
      <c r="F5536" t="inlineStr">
        <is>
          <t>SCA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39005-2023</t>
        </is>
      </c>
      <c r="B5537" s="1" t="n">
        <v>45162</v>
      </c>
      <c r="C5537" s="1" t="n">
        <v>46046</v>
      </c>
      <c r="D5537" t="inlineStr">
        <is>
          <t>NORRBOTTENS LÄN</t>
        </is>
      </c>
      <c r="E5537" t="inlineStr">
        <is>
          <t>ÄLVSBYN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41647-2025</t>
        </is>
      </c>
      <c r="B5538" s="1" t="n">
        <v>45901</v>
      </c>
      <c r="C5538" s="1" t="n">
        <v>46046</v>
      </c>
      <c r="D5538" t="inlineStr">
        <is>
          <t>NORRBOTTENS LÄN</t>
        </is>
      </c>
      <c r="E5538" t="inlineStr">
        <is>
          <t>BODEN</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52908-2024</t>
        </is>
      </c>
      <c r="B5539" s="1" t="n">
        <v>45610</v>
      </c>
      <c r="C5539" s="1" t="n">
        <v>46046</v>
      </c>
      <c r="D5539" t="inlineStr">
        <is>
          <t>NORRBOTTENS LÄN</t>
        </is>
      </c>
      <c r="E5539" t="inlineStr">
        <is>
          <t>PITEÅ</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15153-2025</t>
        </is>
      </c>
      <c r="B5540" s="1" t="n">
        <v>45744.4612037037</v>
      </c>
      <c r="C5540" s="1" t="n">
        <v>46046</v>
      </c>
      <c r="D5540" t="inlineStr">
        <is>
          <t>NORRBOTTENS LÄN</t>
        </is>
      </c>
      <c r="E5540" t="inlineStr">
        <is>
          <t>ÖVERKALIX</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24295-2025</t>
        </is>
      </c>
      <c r="B5541" s="1" t="n">
        <v>45797.47197916666</v>
      </c>
      <c r="C5541" s="1" t="n">
        <v>46046</v>
      </c>
      <c r="D5541" t="inlineStr">
        <is>
          <t>NORRBOTTENS LÄN</t>
        </is>
      </c>
      <c r="E5541" t="inlineStr">
        <is>
          <t>PITEÅ</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42016-2025</t>
        </is>
      </c>
      <c r="B5542" s="1" t="n">
        <v>45903.5825</v>
      </c>
      <c r="C5542" s="1" t="n">
        <v>46046</v>
      </c>
      <c r="D5542" t="inlineStr">
        <is>
          <t>NORRBOTTENS LÄN</t>
        </is>
      </c>
      <c r="E5542" t="inlineStr">
        <is>
          <t>PAJALA</t>
        </is>
      </c>
      <c r="F5542" t="inlineStr">
        <is>
          <t>Sveaskog</t>
        </is>
      </c>
      <c r="G5542" t="n">
        <v>32.3</v>
      </c>
      <c r="H5542" t="n">
        <v>0</v>
      </c>
      <c r="I5542" t="n">
        <v>0</v>
      </c>
      <c r="J5542" t="n">
        <v>0</v>
      </c>
      <c r="K5542" t="n">
        <v>0</v>
      </c>
      <c r="L5542" t="n">
        <v>0</v>
      </c>
      <c r="M5542" t="n">
        <v>0</v>
      </c>
      <c r="N5542" t="n">
        <v>0</v>
      </c>
      <c r="O5542" t="n">
        <v>0</v>
      </c>
      <c r="P5542" t="n">
        <v>0</v>
      </c>
      <c r="Q5542" t="n">
        <v>0</v>
      </c>
      <c r="R5542" s="2" t="inlineStr"/>
    </row>
    <row r="5543" ht="15" customHeight="1">
      <c r="A5543" t="inlineStr">
        <is>
          <t>A 42067-2025</t>
        </is>
      </c>
      <c r="B5543" s="1" t="n">
        <v>45903.65680555555</v>
      </c>
      <c r="C5543" s="1" t="n">
        <v>46046</v>
      </c>
      <c r="D5543" t="inlineStr">
        <is>
          <t>NORRBOTTENS LÄN</t>
        </is>
      </c>
      <c r="E5543" t="inlineStr">
        <is>
          <t>PITEÅ</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2748-2022</t>
        </is>
      </c>
      <c r="B5544" s="1" t="n">
        <v>44580</v>
      </c>
      <c r="C5544" s="1" t="n">
        <v>46046</v>
      </c>
      <c r="D5544" t="inlineStr">
        <is>
          <t>NORRBOTTENS LÄN</t>
        </is>
      </c>
      <c r="E5544" t="inlineStr">
        <is>
          <t>LULEÅ</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31020-2025</t>
        </is>
      </c>
      <c r="B5545" s="1" t="n">
        <v>45831</v>
      </c>
      <c r="C5545" s="1" t="n">
        <v>46046</v>
      </c>
      <c r="D5545" t="inlineStr">
        <is>
          <t>NORRBOTTENS LÄN</t>
        </is>
      </c>
      <c r="E5545" t="inlineStr">
        <is>
          <t>BODEN</t>
        </is>
      </c>
      <c r="G5545" t="n">
        <v>26.8</v>
      </c>
      <c r="H5545" t="n">
        <v>0</v>
      </c>
      <c r="I5545" t="n">
        <v>0</v>
      </c>
      <c r="J5545" t="n">
        <v>0</v>
      </c>
      <c r="K5545" t="n">
        <v>0</v>
      </c>
      <c r="L5545" t="n">
        <v>0</v>
      </c>
      <c r="M5545" t="n">
        <v>0</v>
      </c>
      <c r="N5545" t="n">
        <v>0</v>
      </c>
      <c r="O5545" t="n">
        <v>0</v>
      </c>
      <c r="P5545" t="n">
        <v>0</v>
      </c>
      <c r="Q5545" t="n">
        <v>0</v>
      </c>
      <c r="R5545" s="2" t="inlineStr"/>
    </row>
    <row r="5546" ht="15" customHeight="1">
      <c r="A5546" t="inlineStr">
        <is>
          <t>A 12639-2024</t>
        </is>
      </c>
      <c r="B5546" s="1" t="n">
        <v>45379</v>
      </c>
      <c r="C5546" s="1" t="n">
        <v>46046</v>
      </c>
      <c r="D5546" t="inlineStr">
        <is>
          <t>NORRBOTTENS LÄN</t>
        </is>
      </c>
      <c r="E5546" t="inlineStr">
        <is>
          <t>PAJALA</t>
        </is>
      </c>
      <c r="F5546" t="inlineStr">
        <is>
          <t>Allmännings- och besparingsskogar</t>
        </is>
      </c>
      <c r="G5546" t="n">
        <v>92</v>
      </c>
      <c r="H5546" t="n">
        <v>0</v>
      </c>
      <c r="I5546" t="n">
        <v>0</v>
      </c>
      <c r="J5546" t="n">
        <v>0</v>
      </c>
      <c r="K5546" t="n">
        <v>0</v>
      </c>
      <c r="L5546" t="n">
        <v>0</v>
      </c>
      <c r="M5546" t="n">
        <v>0</v>
      </c>
      <c r="N5546" t="n">
        <v>0</v>
      </c>
      <c r="O5546" t="n">
        <v>0</v>
      </c>
      <c r="P5546" t="n">
        <v>0</v>
      </c>
      <c r="Q5546" t="n">
        <v>0</v>
      </c>
      <c r="R5546" s="2" t="inlineStr"/>
    </row>
    <row r="5547" ht="15" customHeight="1">
      <c r="A5547" t="inlineStr">
        <is>
          <t>A 47394-2024</t>
        </is>
      </c>
      <c r="B5547" s="1" t="n">
        <v>45587.47013888889</v>
      </c>
      <c r="C5547" s="1" t="n">
        <v>46046</v>
      </c>
      <c r="D5547" t="inlineStr">
        <is>
          <t>NORRBOTTENS LÄN</t>
        </is>
      </c>
      <c r="E5547" t="inlineStr">
        <is>
          <t>ÄLVSBYN</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69886-2021</t>
        </is>
      </c>
      <c r="B5548" s="1" t="n">
        <v>44532.91938657407</v>
      </c>
      <c r="C5548" s="1" t="n">
        <v>46046</v>
      </c>
      <c r="D5548" t="inlineStr">
        <is>
          <t>NORRBOTTENS LÄN</t>
        </is>
      </c>
      <c r="E5548" t="inlineStr">
        <is>
          <t>KALIX</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69898-2021</t>
        </is>
      </c>
      <c r="B5549" s="1" t="n">
        <v>44532</v>
      </c>
      <c r="C5549" s="1" t="n">
        <v>46046</v>
      </c>
      <c r="D5549" t="inlineStr">
        <is>
          <t>NORRBOTTENS LÄN</t>
        </is>
      </c>
      <c r="E5549" t="inlineStr">
        <is>
          <t>ÖVERTORNEÅ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20632-2025</t>
        </is>
      </c>
      <c r="B5550" s="1" t="n">
        <v>45776</v>
      </c>
      <c r="C5550" s="1" t="n">
        <v>46046</v>
      </c>
      <c r="D5550" t="inlineStr">
        <is>
          <t>NORRBOTTENS LÄN</t>
        </is>
      </c>
      <c r="E5550" t="inlineStr">
        <is>
          <t>PITEÅ</t>
        </is>
      </c>
      <c r="F5550" t="inlineStr">
        <is>
          <t>SCA</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41792-2025</t>
        </is>
      </c>
      <c r="B5551" s="1" t="n">
        <v>45902.59528935186</v>
      </c>
      <c r="C5551" s="1" t="n">
        <v>46046</v>
      </c>
      <c r="D5551" t="inlineStr">
        <is>
          <t>NORRBOTTENS LÄN</t>
        </is>
      </c>
      <c r="E5551" t="inlineStr">
        <is>
          <t>GÄLLIVARE</t>
        </is>
      </c>
      <c r="F5551" t="inlineStr">
        <is>
          <t>SCA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34628-2023</t>
        </is>
      </c>
      <c r="B5552" s="1" t="n">
        <v>45140</v>
      </c>
      <c r="C5552" s="1" t="n">
        <v>46046</v>
      </c>
      <c r="D5552" t="inlineStr">
        <is>
          <t>NORRBOTTENS LÄN</t>
        </is>
      </c>
      <c r="E5552" t="inlineStr">
        <is>
          <t>PITEÅ</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19045-2024</t>
        </is>
      </c>
      <c r="B5553" s="1" t="n">
        <v>45427</v>
      </c>
      <c r="C5553" s="1" t="n">
        <v>46046</v>
      </c>
      <c r="D5553" t="inlineStr">
        <is>
          <t>NORRBOTTENS LÄN</t>
        </is>
      </c>
      <c r="E5553" t="inlineStr">
        <is>
          <t>PAJALA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705-2025</t>
        </is>
      </c>
      <c r="B5554" s="1" t="n">
        <v>45663</v>
      </c>
      <c r="C5554" s="1" t="n">
        <v>46046</v>
      </c>
      <c r="D5554" t="inlineStr">
        <is>
          <t>NORRBOTTENS LÄN</t>
        </is>
      </c>
      <c r="E5554" t="inlineStr">
        <is>
          <t>LULEÅ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3038-2025</t>
        </is>
      </c>
      <c r="B5555" s="1" t="n">
        <v>45678</v>
      </c>
      <c r="C5555" s="1" t="n">
        <v>46046</v>
      </c>
      <c r="D5555" t="inlineStr">
        <is>
          <t>NORRBOTTENS LÄN</t>
        </is>
      </c>
      <c r="E5555" t="inlineStr">
        <is>
          <t>ÄLVSBYN</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41778-2025</t>
        </is>
      </c>
      <c r="B5556" s="1" t="n">
        <v>45902.57563657407</v>
      </c>
      <c r="C5556" s="1" t="n">
        <v>46046</v>
      </c>
      <c r="D5556" t="inlineStr">
        <is>
          <t>NORRBOTTENS LÄN</t>
        </is>
      </c>
      <c r="E5556" t="inlineStr">
        <is>
          <t>ÖVERTORNEÅ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41946-2025</t>
        </is>
      </c>
      <c r="B5557" s="1" t="n">
        <v>45903.4487037037</v>
      </c>
      <c r="C5557" s="1" t="n">
        <v>46046</v>
      </c>
      <c r="D5557" t="inlineStr">
        <is>
          <t>NORRBOTTENS LÄN</t>
        </is>
      </c>
      <c r="E5557" t="inlineStr">
        <is>
          <t>HAPARANDA</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9344-2023</t>
        </is>
      </c>
      <c r="B5558" s="1" t="n">
        <v>44980</v>
      </c>
      <c r="C5558" s="1" t="n">
        <v>46046</v>
      </c>
      <c r="D5558" t="inlineStr">
        <is>
          <t>NORRBOTTENS LÄN</t>
        </is>
      </c>
      <c r="E5558" t="inlineStr">
        <is>
          <t>KALIX</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55410-2023</t>
        </is>
      </c>
      <c r="B5559" s="1" t="n">
        <v>45231</v>
      </c>
      <c r="C5559" s="1" t="n">
        <v>46046</v>
      </c>
      <c r="D5559" t="inlineStr">
        <is>
          <t>NORRBOTTENS LÄN</t>
        </is>
      </c>
      <c r="E5559" t="inlineStr">
        <is>
          <t>GÄLLIVARE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37720-2025</t>
        </is>
      </c>
      <c r="B5560" s="1" t="n">
        <v>45880</v>
      </c>
      <c r="C5560" s="1" t="n">
        <v>46046</v>
      </c>
      <c r="D5560" t="inlineStr">
        <is>
          <t>NORRBOTTENS LÄN</t>
        </is>
      </c>
      <c r="E5560" t="inlineStr">
        <is>
          <t>PITEÅ</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58989-2024</t>
        </is>
      </c>
      <c r="B5561" s="1" t="n">
        <v>45636</v>
      </c>
      <c r="C5561" s="1" t="n">
        <v>46046</v>
      </c>
      <c r="D5561" t="inlineStr">
        <is>
          <t>NORRBOTTENS LÄN</t>
        </is>
      </c>
      <c r="E5561" t="inlineStr">
        <is>
          <t>ARJEPLOG</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42555-2025</t>
        </is>
      </c>
      <c r="B5562" s="1" t="n">
        <v>45905.59465277778</v>
      </c>
      <c r="C5562" s="1" t="n">
        <v>46046</v>
      </c>
      <c r="D5562" t="inlineStr">
        <is>
          <t>NORRBOTTENS LÄN</t>
        </is>
      </c>
      <c r="E5562" t="inlineStr">
        <is>
          <t>PITEÅ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42556-2025</t>
        </is>
      </c>
      <c r="B5563" s="1" t="n">
        <v>45905.59467592592</v>
      </c>
      <c r="C5563" s="1" t="n">
        <v>46046</v>
      </c>
      <c r="D5563" t="inlineStr">
        <is>
          <t>NORRBOTTENS LÄN</t>
        </is>
      </c>
      <c r="E5563" t="inlineStr">
        <is>
          <t>PITEÅ</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22696-2024</t>
        </is>
      </c>
      <c r="B5564" s="1" t="n">
        <v>45448</v>
      </c>
      <c r="C5564" s="1" t="n">
        <v>46046</v>
      </c>
      <c r="D5564" t="inlineStr">
        <is>
          <t>NORRBOTTENS LÄN</t>
        </is>
      </c>
      <c r="E5564" t="inlineStr">
        <is>
          <t>ARVIDSJAUR</t>
        </is>
      </c>
      <c r="F5564" t="inlineStr">
        <is>
          <t>Sveaskog</t>
        </is>
      </c>
      <c r="G5564" t="n">
        <v>23.1</v>
      </c>
      <c r="H5564" t="n">
        <v>0</v>
      </c>
      <c r="I5564" t="n">
        <v>0</v>
      </c>
      <c r="J5564" t="n">
        <v>0</v>
      </c>
      <c r="K5564" t="n">
        <v>0</v>
      </c>
      <c r="L5564" t="n">
        <v>0</v>
      </c>
      <c r="M5564" t="n">
        <v>0</v>
      </c>
      <c r="N5564" t="n">
        <v>0</v>
      </c>
      <c r="O5564" t="n">
        <v>0</v>
      </c>
      <c r="P5564" t="n">
        <v>0</v>
      </c>
      <c r="Q5564" t="n">
        <v>0</v>
      </c>
      <c r="R5564" s="2" t="inlineStr"/>
    </row>
    <row r="5565" ht="15" customHeight="1">
      <c r="A5565" t="inlineStr">
        <is>
          <t>A 42518-2025</t>
        </is>
      </c>
      <c r="B5565" s="1" t="n">
        <v>45905</v>
      </c>
      <c r="C5565" s="1" t="n">
        <v>46046</v>
      </c>
      <c r="D5565" t="inlineStr">
        <is>
          <t>NORRBOTTENS LÄN</t>
        </is>
      </c>
      <c r="E5565" t="inlineStr">
        <is>
          <t>ARJEPLOG</t>
        </is>
      </c>
      <c r="G5565" t="n">
        <v>13.3</v>
      </c>
      <c r="H5565" t="n">
        <v>0</v>
      </c>
      <c r="I5565" t="n">
        <v>0</v>
      </c>
      <c r="J5565" t="n">
        <v>0</v>
      </c>
      <c r="K5565" t="n">
        <v>0</v>
      </c>
      <c r="L5565" t="n">
        <v>0</v>
      </c>
      <c r="M5565" t="n">
        <v>0</v>
      </c>
      <c r="N5565" t="n">
        <v>0</v>
      </c>
      <c r="O5565" t="n">
        <v>0</v>
      </c>
      <c r="P5565" t="n">
        <v>0</v>
      </c>
      <c r="Q5565" t="n">
        <v>0</v>
      </c>
      <c r="R5565" s="2" t="inlineStr"/>
    </row>
    <row r="5566" ht="15" customHeight="1">
      <c r="A5566" t="inlineStr">
        <is>
          <t>A 39510-2025</t>
        </is>
      </c>
      <c r="B5566" s="1" t="n">
        <v>45890</v>
      </c>
      <c r="C5566" s="1" t="n">
        <v>46046</v>
      </c>
      <c r="D5566" t="inlineStr">
        <is>
          <t>NORRBOTTENS LÄN</t>
        </is>
      </c>
      <c r="E5566" t="inlineStr">
        <is>
          <t>PITEÅ</t>
        </is>
      </c>
      <c r="G5566" t="n">
        <v>19.7</v>
      </c>
      <c r="H5566" t="n">
        <v>0</v>
      </c>
      <c r="I5566" t="n">
        <v>0</v>
      </c>
      <c r="J5566" t="n">
        <v>0</v>
      </c>
      <c r="K5566" t="n">
        <v>0</v>
      </c>
      <c r="L5566" t="n">
        <v>0</v>
      </c>
      <c r="M5566" t="n">
        <v>0</v>
      </c>
      <c r="N5566" t="n">
        <v>0</v>
      </c>
      <c r="O5566" t="n">
        <v>0</v>
      </c>
      <c r="P5566" t="n">
        <v>0</v>
      </c>
      <c r="Q5566" t="n">
        <v>0</v>
      </c>
      <c r="R5566" s="2" t="inlineStr"/>
    </row>
    <row r="5567" ht="15" customHeight="1">
      <c r="A5567" t="inlineStr">
        <is>
          <t>A 42293-2025</t>
        </is>
      </c>
      <c r="B5567" s="1" t="n">
        <v>45904.63024305556</v>
      </c>
      <c r="C5567" s="1" t="n">
        <v>46046</v>
      </c>
      <c r="D5567" t="inlineStr">
        <is>
          <t>NORRBOTTENS LÄN</t>
        </is>
      </c>
      <c r="E5567" t="inlineStr">
        <is>
          <t>PITEÅ</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29150-2023</t>
        </is>
      </c>
      <c r="B5568" s="1" t="n">
        <v>45105</v>
      </c>
      <c r="C5568" s="1" t="n">
        <v>46046</v>
      </c>
      <c r="D5568" t="inlineStr">
        <is>
          <t>NORRBOTTENS LÄN</t>
        </is>
      </c>
      <c r="E5568" t="inlineStr">
        <is>
          <t>BODEN</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50978-2023</t>
        </is>
      </c>
      <c r="B5569" s="1" t="n">
        <v>45218.52489583333</v>
      </c>
      <c r="C5569" s="1" t="n">
        <v>46046</v>
      </c>
      <c r="D5569" t="inlineStr">
        <is>
          <t>NORRBOTTENS LÄN</t>
        </is>
      </c>
      <c r="E5569" t="inlineStr">
        <is>
          <t>PITEÅ</t>
        </is>
      </c>
      <c r="F5569" t="inlineStr">
        <is>
          <t>Sveaskog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56707-2024</t>
        </is>
      </c>
      <c r="B5570" s="1" t="n">
        <v>45627.84545138889</v>
      </c>
      <c r="C5570" s="1" t="n">
        <v>46046</v>
      </c>
      <c r="D5570" t="inlineStr">
        <is>
          <t>NORRBOTTENS LÄN</t>
        </is>
      </c>
      <c r="E5570" t="inlineStr">
        <is>
          <t>PITEÅ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58025-2023</t>
        </is>
      </c>
      <c r="B5571" s="1" t="n">
        <v>45244</v>
      </c>
      <c r="C5571" s="1" t="n">
        <v>46046</v>
      </c>
      <c r="D5571" t="inlineStr">
        <is>
          <t>NORRBOTTENS LÄN</t>
        </is>
      </c>
      <c r="E5571" t="inlineStr">
        <is>
          <t>ARVIDSJAUR</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42282-2025</t>
        </is>
      </c>
      <c r="B5572" s="1" t="n">
        <v>45904.61815972222</v>
      </c>
      <c r="C5572" s="1" t="n">
        <v>46046</v>
      </c>
      <c r="D5572" t="inlineStr">
        <is>
          <t>NORRBOTTENS LÄN</t>
        </is>
      </c>
      <c r="E5572" t="inlineStr">
        <is>
          <t>ÖVERKALIX</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12202-2024</t>
        </is>
      </c>
      <c r="B5573" s="1" t="n">
        <v>45377.95069444444</v>
      </c>
      <c r="C5573" s="1" t="n">
        <v>46046</v>
      </c>
      <c r="D5573" t="inlineStr">
        <is>
          <t>NORRBOTTENS LÄN</t>
        </is>
      </c>
      <c r="E5573" t="inlineStr">
        <is>
          <t>GÄLLIVARE</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15199-2022</t>
        </is>
      </c>
      <c r="B5574" s="1" t="n">
        <v>44658</v>
      </c>
      <c r="C5574" s="1" t="n">
        <v>46046</v>
      </c>
      <c r="D5574" t="inlineStr">
        <is>
          <t>NORRBOTTENS LÄN</t>
        </is>
      </c>
      <c r="E5574" t="inlineStr">
        <is>
          <t>PITEÅ</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31902-2021</t>
        </is>
      </c>
      <c r="B5575" s="1" t="n">
        <v>44370</v>
      </c>
      <c r="C5575" s="1" t="n">
        <v>46046</v>
      </c>
      <c r="D5575" t="inlineStr">
        <is>
          <t>NORRBOTTENS LÄN</t>
        </is>
      </c>
      <c r="E5575" t="inlineStr">
        <is>
          <t>JOKKMOKK</t>
        </is>
      </c>
      <c r="G5575" t="n">
        <v>20</v>
      </c>
      <c r="H5575" t="n">
        <v>0</v>
      </c>
      <c r="I5575" t="n">
        <v>0</v>
      </c>
      <c r="J5575" t="n">
        <v>0</v>
      </c>
      <c r="K5575" t="n">
        <v>0</v>
      </c>
      <c r="L5575" t="n">
        <v>0</v>
      </c>
      <c r="M5575" t="n">
        <v>0</v>
      </c>
      <c r="N5575" t="n">
        <v>0</v>
      </c>
      <c r="O5575" t="n">
        <v>0</v>
      </c>
      <c r="P5575" t="n">
        <v>0</v>
      </c>
      <c r="Q5575" t="n">
        <v>0</v>
      </c>
      <c r="R5575" s="2" t="inlineStr"/>
    </row>
    <row r="5576" ht="15" customHeight="1">
      <c r="A5576" t="inlineStr">
        <is>
          <t>A 64837-2023</t>
        </is>
      </c>
      <c r="B5576" s="1" t="n">
        <v>45281</v>
      </c>
      <c r="C5576" s="1" t="n">
        <v>46046</v>
      </c>
      <c r="D5576" t="inlineStr">
        <is>
          <t>NORRBOTTENS LÄN</t>
        </is>
      </c>
      <c r="E5576" t="inlineStr">
        <is>
          <t>ARJEPLOG</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64840-2023</t>
        </is>
      </c>
      <c r="B5577" s="1" t="n">
        <v>45281</v>
      </c>
      <c r="C5577" s="1" t="n">
        <v>46046</v>
      </c>
      <c r="D5577" t="inlineStr">
        <is>
          <t>NORRBOTTENS LÄN</t>
        </is>
      </c>
      <c r="E5577" t="inlineStr">
        <is>
          <t>ARJEPLOG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18738-2022</t>
        </is>
      </c>
      <c r="B5578" s="1" t="n">
        <v>44687</v>
      </c>
      <c r="C5578" s="1" t="n">
        <v>46046</v>
      </c>
      <c r="D5578" t="inlineStr">
        <is>
          <t>NORRBOTTENS LÄN</t>
        </is>
      </c>
      <c r="E5578" t="inlineStr">
        <is>
          <t>KIRUNA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2208-2024</t>
        </is>
      </c>
      <c r="B5579" s="1" t="n">
        <v>45309</v>
      </c>
      <c r="C5579" s="1" t="n">
        <v>46046</v>
      </c>
      <c r="D5579" t="inlineStr">
        <is>
          <t>NORRBOTTENS LÄN</t>
        </is>
      </c>
      <c r="E5579" t="inlineStr">
        <is>
          <t>LULEÅ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42322-2025</t>
        </is>
      </c>
      <c r="B5580" s="1" t="n">
        <v>45904</v>
      </c>
      <c r="C5580" s="1" t="n">
        <v>46046</v>
      </c>
      <c r="D5580" t="inlineStr">
        <is>
          <t>NORRBOTTENS LÄN</t>
        </is>
      </c>
      <c r="E5580" t="inlineStr">
        <is>
          <t>JOKKMOKK</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58941-2022</t>
        </is>
      </c>
      <c r="B5581" s="1" t="n">
        <v>44903</v>
      </c>
      <c r="C5581" s="1" t="n">
        <v>46046</v>
      </c>
      <c r="D5581" t="inlineStr">
        <is>
          <t>NORRBOTTENS LÄN</t>
        </is>
      </c>
      <c r="E5581" t="inlineStr">
        <is>
          <t>ARVIDSJAUR</t>
        </is>
      </c>
      <c r="F5581" t="inlineStr">
        <is>
          <t>Sveaskog</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42486-2025</t>
        </is>
      </c>
      <c r="B5582" s="1" t="n">
        <v>45904</v>
      </c>
      <c r="C5582" s="1" t="n">
        <v>46046</v>
      </c>
      <c r="D5582" t="inlineStr">
        <is>
          <t>NORRBOTTENS LÄN</t>
        </is>
      </c>
      <c r="E5582" t="inlineStr">
        <is>
          <t>ÖVERKALIX</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59021-2022</t>
        </is>
      </c>
      <c r="B5583" s="1" t="n">
        <v>44903.88601851852</v>
      </c>
      <c r="C5583" s="1" t="n">
        <v>46046</v>
      </c>
      <c r="D5583" t="inlineStr">
        <is>
          <t>NORRBOTTENS LÄN</t>
        </is>
      </c>
      <c r="E5583" t="inlineStr">
        <is>
          <t>KALIX</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91-2025</t>
        </is>
      </c>
      <c r="B5584" s="1" t="n">
        <v>45659.46702546296</v>
      </c>
      <c r="C5584" s="1" t="n">
        <v>46046</v>
      </c>
      <c r="D5584" t="inlineStr">
        <is>
          <t>NORRBOTTENS LÄN</t>
        </is>
      </c>
      <c r="E5584" t="inlineStr">
        <is>
          <t>KALIX</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42325-2025</t>
        </is>
      </c>
      <c r="B5585" s="1" t="n">
        <v>45903</v>
      </c>
      <c r="C5585" s="1" t="n">
        <v>46046</v>
      </c>
      <c r="D5585" t="inlineStr">
        <is>
          <t>NORRBOTTENS LÄN</t>
        </is>
      </c>
      <c r="E5585" t="inlineStr">
        <is>
          <t>ARJEPLOG</t>
        </is>
      </c>
      <c r="G5585" t="n">
        <v>11.3</v>
      </c>
      <c r="H5585" t="n">
        <v>0</v>
      </c>
      <c r="I5585" t="n">
        <v>0</v>
      </c>
      <c r="J5585" t="n">
        <v>0</v>
      </c>
      <c r="K5585" t="n">
        <v>0</v>
      </c>
      <c r="L5585" t="n">
        <v>0</v>
      </c>
      <c r="M5585" t="n">
        <v>0</v>
      </c>
      <c r="N5585" t="n">
        <v>0</v>
      </c>
      <c r="O5585" t="n">
        <v>0</v>
      </c>
      <c r="P5585" t="n">
        <v>0</v>
      </c>
      <c r="Q5585" t="n">
        <v>0</v>
      </c>
      <c r="R5585" s="2" t="inlineStr"/>
    </row>
    <row r="5586" ht="15" customHeight="1">
      <c r="A5586" t="inlineStr">
        <is>
          <t>A 42331-2025</t>
        </is>
      </c>
      <c r="B5586" s="1" t="n">
        <v>45903</v>
      </c>
      <c r="C5586" s="1" t="n">
        <v>46046</v>
      </c>
      <c r="D5586" t="inlineStr">
        <is>
          <t>NORRBOTTENS LÄN</t>
        </is>
      </c>
      <c r="E5586" t="inlineStr">
        <is>
          <t>ARJEPLOG</t>
        </is>
      </c>
      <c r="G5586" t="n">
        <v>10</v>
      </c>
      <c r="H5586" t="n">
        <v>0</v>
      </c>
      <c r="I5586" t="n">
        <v>0</v>
      </c>
      <c r="J5586" t="n">
        <v>0</v>
      </c>
      <c r="K5586" t="n">
        <v>0</v>
      </c>
      <c r="L5586" t="n">
        <v>0</v>
      </c>
      <c r="M5586" t="n">
        <v>0</v>
      </c>
      <c r="N5586" t="n">
        <v>0</v>
      </c>
      <c r="O5586" t="n">
        <v>0</v>
      </c>
      <c r="P5586" t="n">
        <v>0</v>
      </c>
      <c r="Q5586" t="n">
        <v>0</v>
      </c>
      <c r="R5586" s="2" t="inlineStr"/>
    </row>
    <row r="5587" ht="15" customHeight="1">
      <c r="A5587" t="inlineStr">
        <is>
          <t>A 29537-2023</t>
        </is>
      </c>
      <c r="B5587" s="1" t="n">
        <v>45098</v>
      </c>
      <c r="C5587" s="1" t="n">
        <v>46046</v>
      </c>
      <c r="D5587" t="inlineStr">
        <is>
          <t>NORRBOTTENS LÄN</t>
        </is>
      </c>
      <c r="E5587" t="inlineStr">
        <is>
          <t>LULEÅ</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17417-2023</t>
        </is>
      </c>
      <c r="B5588" s="1" t="n">
        <v>45035</v>
      </c>
      <c r="C5588" s="1" t="n">
        <v>46046</v>
      </c>
      <c r="D5588" t="inlineStr">
        <is>
          <t>NORRBOTTENS LÄN</t>
        </is>
      </c>
      <c r="E5588" t="inlineStr">
        <is>
          <t>BODEN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42695-2023</t>
        </is>
      </c>
      <c r="B5589" s="1" t="n">
        <v>45176</v>
      </c>
      <c r="C5589" s="1" t="n">
        <v>46046</v>
      </c>
      <c r="D5589" t="inlineStr">
        <is>
          <t>NORRBOTTENS LÄN</t>
        </is>
      </c>
      <c r="E5589" t="inlineStr">
        <is>
          <t>ARVIDSJAUR</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43109-2023</t>
        </is>
      </c>
      <c r="B5590" s="1" t="n">
        <v>45182.94725694445</v>
      </c>
      <c r="C5590" s="1" t="n">
        <v>46046</v>
      </c>
      <c r="D5590" t="inlineStr">
        <is>
          <t>NORRBOTTENS LÄN</t>
        </is>
      </c>
      <c r="E5590" t="inlineStr">
        <is>
          <t>GÄLLIVARE</t>
        </is>
      </c>
      <c r="F5590" t="inlineStr">
        <is>
          <t>SCA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62157-2023</t>
        </is>
      </c>
      <c r="B5591" s="1" t="n">
        <v>45266</v>
      </c>
      <c r="C5591" s="1" t="n">
        <v>46046</v>
      </c>
      <c r="D5591" t="inlineStr">
        <is>
          <t>NORRBOTTENS LÄN</t>
        </is>
      </c>
      <c r="E5591" t="inlineStr">
        <is>
          <t>KALIX</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62161-2023</t>
        </is>
      </c>
      <c r="B5592" s="1" t="n">
        <v>45266</v>
      </c>
      <c r="C5592" s="1" t="n">
        <v>46046</v>
      </c>
      <c r="D5592" t="inlineStr">
        <is>
          <t>NORRBOTTENS LÄN</t>
        </is>
      </c>
      <c r="E5592" t="inlineStr">
        <is>
          <t>KALIX</t>
        </is>
      </c>
      <c r="G5592" t="n">
        <v>17.7</v>
      </c>
      <c r="H5592" t="n">
        <v>0</v>
      </c>
      <c r="I5592" t="n">
        <v>0</v>
      </c>
      <c r="J5592" t="n">
        <v>0</v>
      </c>
      <c r="K5592" t="n">
        <v>0</v>
      </c>
      <c r="L5592" t="n">
        <v>0</v>
      </c>
      <c r="M5592" t="n">
        <v>0</v>
      </c>
      <c r="N5592" t="n">
        <v>0</v>
      </c>
      <c r="O5592" t="n">
        <v>0</v>
      </c>
      <c r="P5592" t="n">
        <v>0</v>
      </c>
      <c r="Q5592" t="n">
        <v>0</v>
      </c>
      <c r="R5592" s="2" t="inlineStr"/>
    </row>
    <row r="5593" ht="15" customHeight="1">
      <c r="A5593" t="inlineStr">
        <is>
          <t>A 42597-2025</t>
        </is>
      </c>
      <c r="B5593" s="1" t="n">
        <v>45905</v>
      </c>
      <c r="C5593" s="1" t="n">
        <v>46046</v>
      </c>
      <c r="D5593" t="inlineStr">
        <is>
          <t>NORRBOTTENS LÄN</t>
        </is>
      </c>
      <c r="E5593" t="inlineStr">
        <is>
          <t>ARJEPLOG</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42526-2025</t>
        </is>
      </c>
      <c r="B5594" s="1" t="n">
        <v>45905</v>
      </c>
      <c r="C5594" s="1" t="n">
        <v>46046</v>
      </c>
      <c r="D5594" t="inlineStr">
        <is>
          <t>NORRBOTTENS LÄN</t>
        </is>
      </c>
      <c r="E5594" t="inlineStr">
        <is>
          <t>ARJEPLOG</t>
        </is>
      </c>
      <c r="G5594" t="n">
        <v>12.5</v>
      </c>
      <c r="H5594" t="n">
        <v>0</v>
      </c>
      <c r="I5594" t="n">
        <v>0</v>
      </c>
      <c r="J5594" t="n">
        <v>0</v>
      </c>
      <c r="K5594" t="n">
        <v>0</v>
      </c>
      <c r="L5594" t="n">
        <v>0</v>
      </c>
      <c r="M5594" t="n">
        <v>0</v>
      </c>
      <c r="N5594" t="n">
        <v>0</v>
      </c>
      <c r="O5594" t="n">
        <v>0</v>
      </c>
      <c r="P5594" t="n">
        <v>0</v>
      </c>
      <c r="Q5594" t="n">
        <v>0</v>
      </c>
      <c r="R5594" s="2" t="inlineStr"/>
    </row>
    <row r="5595" ht="15" customHeight="1">
      <c r="A5595" t="inlineStr">
        <is>
          <t>A 42536-2025</t>
        </is>
      </c>
      <c r="B5595" s="1" t="n">
        <v>45905.56935185185</v>
      </c>
      <c r="C5595" s="1" t="n">
        <v>46046</v>
      </c>
      <c r="D5595" t="inlineStr">
        <is>
          <t>NORRBOTTENS LÄN</t>
        </is>
      </c>
      <c r="E5595" t="inlineStr">
        <is>
          <t>PAJALA</t>
        </is>
      </c>
      <c r="F5595" t="inlineStr">
        <is>
          <t>Sveaskog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11834-2025</t>
        </is>
      </c>
      <c r="B5596" s="1" t="n">
        <v>45727</v>
      </c>
      <c r="C5596" s="1" t="n">
        <v>46046</v>
      </c>
      <c r="D5596" t="inlineStr">
        <is>
          <t>NORRBOTTENS LÄN</t>
        </is>
      </c>
      <c r="E5596" t="inlineStr">
        <is>
          <t>LULEÅ</t>
        </is>
      </c>
      <c r="G5596" t="n">
        <v>0.7</v>
      </c>
      <c r="H5596" t="n">
        <v>0</v>
      </c>
      <c r="I5596" t="n">
        <v>0</v>
      </c>
      <c r="J5596" t="n">
        <v>0</v>
      </c>
      <c r="K5596" t="n">
        <v>0</v>
      </c>
      <c r="L5596" t="n">
        <v>0</v>
      </c>
      <c r="M5596" t="n">
        <v>0</v>
      </c>
      <c r="N5596" t="n">
        <v>0</v>
      </c>
      <c r="O5596" t="n">
        <v>0</v>
      </c>
      <c r="P5596" t="n">
        <v>0</v>
      </c>
      <c r="Q5596" t="n">
        <v>0</v>
      </c>
      <c r="R5596" s="2" t="inlineStr"/>
      <c r="U5596">
        <f>HYPERLINK("https://klasma.github.io/Logging_2580/knärot/A 11834-2025 karta knärot.png", "A 11834-2025")</f>
        <v/>
      </c>
      <c r="V5596">
        <f>HYPERLINK("https://klasma.github.io/Logging_2580/klagomål/A 11834-2025 FSC-klagomål.docx", "A 11834-2025")</f>
        <v/>
      </c>
      <c r="W5596">
        <f>HYPERLINK("https://klasma.github.io/Logging_2580/klagomålsmail/A 11834-2025 FSC-klagomål mail.docx", "A 11834-2025")</f>
        <v/>
      </c>
      <c r="X5596">
        <f>HYPERLINK("https://klasma.github.io/Logging_2580/tillsyn/A 11834-2025 tillsynsbegäran.docx", "A 11834-2025")</f>
        <v/>
      </c>
      <c r="Y5596">
        <f>HYPERLINK("https://klasma.github.io/Logging_2580/tillsynsmail/A 11834-2025 tillsynsbegäran mail.docx", "A 11834-2025")</f>
        <v/>
      </c>
    </row>
    <row r="5597" ht="15" customHeight="1">
      <c r="A5597" t="inlineStr">
        <is>
          <t>A 42142-2025</t>
        </is>
      </c>
      <c r="B5597" s="1" t="n">
        <v>45904.36505787037</v>
      </c>
      <c r="C5597" s="1" t="n">
        <v>46046</v>
      </c>
      <c r="D5597" t="inlineStr">
        <is>
          <t>NORRBOTTENS LÄN</t>
        </is>
      </c>
      <c r="E5597" t="inlineStr">
        <is>
          <t>KALIX</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42575-2025</t>
        </is>
      </c>
      <c r="B5598" s="1" t="n">
        <v>45905.61263888889</v>
      </c>
      <c r="C5598" s="1" t="n">
        <v>46046</v>
      </c>
      <c r="D5598" t="inlineStr">
        <is>
          <t>NORRBOTTENS LÄN</t>
        </is>
      </c>
      <c r="E5598" t="inlineStr">
        <is>
          <t>JOKKMOKK</t>
        </is>
      </c>
      <c r="F5598" t="inlineStr">
        <is>
          <t>Sveaskog</t>
        </is>
      </c>
      <c r="G5598" t="n">
        <v>17.4</v>
      </c>
      <c r="H5598" t="n">
        <v>0</v>
      </c>
      <c r="I5598" t="n">
        <v>0</v>
      </c>
      <c r="J5598" t="n">
        <v>0</v>
      </c>
      <c r="K5598" t="n">
        <v>0</v>
      </c>
      <c r="L5598" t="n">
        <v>0</v>
      </c>
      <c r="M5598" t="n">
        <v>0</v>
      </c>
      <c r="N5598" t="n">
        <v>0</v>
      </c>
      <c r="O5598" t="n">
        <v>0</v>
      </c>
      <c r="P5598" t="n">
        <v>0</v>
      </c>
      <c r="Q5598" t="n">
        <v>0</v>
      </c>
      <c r="R5598" s="2" t="inlineStr"/>
    </row>
    <row r="5599" ht="15" customHeight="1">
      <c r="A5599" t="inlineStr">
        <is>
          <t>A 42217-2025</t>
        </is>
      </c>
      <c r="B5599" s="1" t="n">
        <v>45904.51274305556</v>
      </c>
      <c r="C5599" s="1" t="n">
        <v>46046</v>
      </c>
      <c r="D5599" t="inlineStr">
        <is>
          <t>NORRBOTTENS LÄN</t>
        </is>
      </c>
      <c r="E5599" t="inlineStr">
        <is>
          <t>LULEÅ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42218-2025</t>
        </is>
      </c>
      <c r="B5600" s="1" t="n">
        <v>45904.51621527778</v>
      </c>
      <c r="C5600" s="1" t="n">
        <v>46046</v>
      </c>
      <c r="D5600" t="inlineStr">
        <is>
          <t>NORRBOTTENS LÄN</t>
        </is>
      </c>
      <c r="E5600" t="inlineStr">
        <is>
          <t>LULEÅ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42222-2025</t>
        </is>
      </c>
      <c r="B5601" s="1" t="n">
        <v>45904.53165509259</v>
      </c>
      <c r="C5601" s="1" t="n">
        <v>46046</v>
      </c>
      <c r="D5601" t="inlineStr">
        <is>
          <t>NORRBOTTENS LÄN</t>
        </is>
      </c>
      <c r="E5601" t="inlineStr">
        <is>
          <t>PITEÅ</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42225-2025</t>
        </is>
      </c>
      <c r="B5602" s="1" t="n">
        <v>45904.53173611111</v>
      </c>
      <c r="C5602" s="1" t="n">
        <v>46046</v>
      </c>
      <c r="D5602" t="inlineStr">
        <is>
          <t>NORRBOTTENS LÄN</t>
        </is>
      </c>
      <c r="E5602" t="inlineStr">
        <is>
          <t>PITEÅ</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42141-2025</t>
        </is>
      </c>
      <c r="B5603" s="1" t="n">
        <v>45904.36495370371</v>
      </c>
      <c r="C5603" s="1" t="n">
        <v>46046</v>
      </c>
      <c r="D5603" t="inlineStr">
        <is>
          <t>NORRBOTTENS LÄN</t>
        </is>
      </c>
      <c r="E5603" t="inlineStr">
        <is>
          <t>ÄLVSBYN</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42244-2025</t>
        </is>
      </c>
      <c r="B5604" s="1" t="n">
        <v>45904.57564814815</v>
      </c>
      <c r="C5604" s="1" t="n">
        <v>46046</v>
      </c>
      <c r="D5604" t="inlineStr">
        <is>
          <t>NORRBOTTENS LÄN</t>
        </is>
      </c>
      <c r="E5604" t="inlineStr">
        <is>
          <t>PITEÅ</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28074-2024</t>
        </is>
      </c>
      <c r="B5605" s="1" t="n">
        <v>45476.58195601852</v>
      </c>
      <c r="C5605" s="1" t="n">
        <v>46046</v>
      </c>
      <c r="D5605" t="inlineStr">
        <is>
          <t>NORRBOTTENS LÄN</t>
        </is>
      </c>
      <c r="E5605" t="inlineStr">
        <is>
          <t>BODEN</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42283-2025</t>
        </is>
      </c>
      <c r="B5606" s="1" t="n">
        <v>45904.61912037037</v>
      </c>
      <c r="C5606" s="1" t="n">
        <v>46046</v>
      </c>
      <c r="D5606" t="inlineStr">
        <is>
          <t>NORRBOTTENS LÄN</t>
        </is>
      </c>
      <c r="E5606" t="inlineStr">
        <is>
          <t>PITEÅ</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26964-2023</t>
        </is>
      </c>
      <c r="B5607" s="1" t="n">
        <v>45093.68881944445</v>
      </c>
      <c r="C5607" s="1" t="n">
        <v>46046</v>
      </c>
      <c r="D5607" t="inlineStr">
        <is>
          <t>NORRBOTTENS LÄN</t>
        </is>
      </c>
      <c r="E5607" t="inlineStr">
        <is>
          <t>BODEN</t>
        </is>
      </c>
      <c r="F5607" t="inlineStr">
        <is>
          <t>Sveaskog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1933-2025</t>
        </is>
      </c>
      <c r="B5608" s="1" t="n">
        <v>45671.86802083333</v>
      </c>
      <c r="C5608" s="1" t="n">
        <v>46046</v>
      </c>
      <c r="D5608" t="inlineStr">
        <is>
          <t>NORRBOTTENS LÄN</t>
        </is>
      </c>
      <c r="E5608" t="inlineStr">
        <is>
          <t>PAJALA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4250-2025</t>
        </is>
      </c>
      <c r="B5609" s="1" t="n">
        <v>45685</v>
      </c>
      <c r="C5609" s="1" t="n">
        <v>46046</v>
      </c>
      <c r="D5609" t="inlineStr">
        <is>
          <t>NORRBOTTENS LÄN</t>
        </is>
      </c>
      <c r="E5609" t="inlineStr">
        <is>
          <t>ÖVERTORNEÅ</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42223-2025</t>
        </is>
      </c>
      <c r="B5610" s="1" t="n">
        <v>45904.53167824074</v>
      </c>
      <c r="C5610" s="1" t="n">
        <v>46046</v>
      </c>
      <c r="D5610" t="inlineStr">
        <is>
          <t>NORRBOTTENS LÄN</t>
        </is>
      </c>
      <c r="E5610" t="inlineStr">
        <is>
          <t>PITEÅ</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42224-2025</t>
        </is>
      </c>
      <c r="B5611" s="1" t="n">
        <v>45904</v>
      </c>
      <c r="C5611" s="1" t="n">
        <v>46046</v>
      </c>
      <c r="D5611" t="inlineStr">
        <is>
          <t>NORRBOTTENS LÄN</t>
        </is>
      </c>
      <c r="E5611" t="inlineStr">
        <is>
          <t>PITEÅ</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42253-2025</t>
        </is>
      </c>
      <c r="B5612" s="1" t="n">
        <v>45904.58739583333</v>
      </c>
      <c r="C5612" s="1" t="n">
        <v>46046</v>
      </c>
      <c r="D5612" t="inlineStr">
        <is>
          <t>NORRBOTTENS LÄN</t>
        </is>
      </c>
      <c r="E5612" t="inlineStr">
        <is>
          <t>PITEÅ</t>
        </is>
      </c>
      <c r="F5612" t="inlineStr">
        <is>
          <t>Sveaskog</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42436-2025</t>
        </is>
      </c>
      <c r="B5613" s="1" t="n">
        <v>45905.42783564814</v>
      </c>
      <c r="C5613" s="1" t="n">
        <v>46046</v>
      </c>
      <c r="D5613" t="inlineStr">
        <is>
          <t>NORRBOTTENS LÄN</t>
        </is>
      </c>
      <c r="E5613" t="inlineStr">
        <is>
          <t>BODEN</t>
        </is>
      </c>
      <c r="F5613" t="inlineStr">
        <is>
          <t>SCA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42456-2025</t>
        </is>
      </c>
      <c r="B5614" s="1" t="n">
        <v>45904</v>
      </c>
      <c r="C5614" s="1" t="n">
        <v>46046</v>
      </c>
      <c r="D5614" t="inlineStr">
        <is>
          <t>NORRBOTTENS LÄN</t>
        </is>
      </c>
      <c r="E5614" t="inlineStr">
        <is>
          <t>PITEÅ</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42458-2025</t>
        </is>
      </c>
      <c r="B5615" s="1" t="n">
        <v>45905.45395833333</v>
      </c>
      <c r="C5615" s="1" t="n">
        <v>46046</v>
      </c>
      <c r="D5615" t="inlineStr">
        <is>
          <t>NORRBOTTENS LÄN</t>
        </is>
      </c>
      <c r="E5615" t="inlineStr">
        <is>
          <t>GÄLLIVARE</t>
        </is>
      </c>
      <c r="F5615" t="inlineStr">
        <is>
          <t>Sveaskog</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49018-2023</t>
        </is>
      </c>
      <c r="B5616" s="1" t="n">
        <v>45204</v>
      </c>
      <c r="C5616" s="1" t="n">
        <v>46046</v>
      </c>
      <c r="D5616" t="inlineStr">
        <is>
          <t>NORRBOTTENS LÄN</t>
        </is>
      </c>
      <c r="E5616" t="inlineStr">
        <is>
          <t>LULEÅ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42221-2025</t>
        </is>
      </c>
      <c r="B5617" s="1" t="n">
        <v>45904.53163194445</v>
      </c>
      <c r="C5617" s="1" t="n">
        <v>46046</v>
      </c>
      <c r="D5617" t="inlineStr">
        <is>
          <t>NORRBOTTENS LÄN</t>
        </is>
      </c>
      <c r="E5617" t="inlineStr">
        <is>
          <t>PITEÅ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41918-2024</t>
        </is>
      </c>
      <c r="B5618" s="1" t="n">
        <v>45561.55271990741</v>
      </c>
      <c r="C5618" s="1" t="n">
        <v>46046</v>
      </c>
      <c r="D5618" t="inlineStr">
        <is>
          <t>NORRBOTTENS LÄN</t>
        </is>
      </c>
      <c r="E5618" t="inlineStr">
        <is>
          <t>ÖVERTORNEÅ</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41944-2024</t>
        </is>
      </c>
      <c r="B5619" s="1" t="n">
        <v>45561</v>
      </c>
      <c r="C5619" s="1" t="n">
        <v>46046</v>
      </c>
      <c r="D5619" t="inlineStr">
        <is>
          <t>NORRBOTTENS LÄN</t>
        </is>
      </c>
      <c r="E5619" t="inlineStr">
        <is>
          <t>GÄLLIVARE</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54590-2022</t>
        </is>
      </c>
      <c r="B5620" s="1" t="n">
        <v>44883</v>
      </c>
      <c r="C5620" s="1" t="n">
        <v>46046</v>
      </c>
      <c r="D5620" t="inlineStr">
        <is>
          <t>NORRBOTTENS LÄN</t>
        </is>
      </c>
      <c r="E5620" t="inlineStr">
        <is>
          <t>BODEN</t>
        </is>
      </c>
      <c r="F5620" t="inlineStr">
        <is>
          <t>Sveaskog</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36861-2025</t>
        </is>
      </c>
      <c r="B5621" s="1" t="n">
        <v>45874</v>
      </c>
      <c r="C5621" s="1" t="n">
        <v>46046</v>
      </c>
      <c r="D5621" t="inlineStr">
        <is>
          <t>NORRBOTTENS LÄN</t>
        </is>
      </c>
      <c r="E5621" t="inlineStr">
        <is>
          <t>ÄLVSBYN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42126-2025</t>
        </is>
      </c>
      <c r="B5622" s="1" t="n">
        <v>45904.34486111111</v>
      </c>
      <c r="C5622" s="1" t="n">
        <v>46046</v>
      </c>
      <c r="D5622" t="inlineStr">
        <is>
          <t>NORRBOTTENS LÄN</t>
        </is>
      </c>
      <c r="E5622" t="inlineStr">
        <is>
          <t>JOKKMOKK</t>
        </is>
      </c>
      <c r="F5622" t="inlineStr">
        <is>
          <t>SCA</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48920-2024</t>
        </is>
      </c>
      <c r="B5623" s="1" t="n">
        <v>45594</v>
      </c>
      <c r="C5623" s="1" t="n">
        <v>46046</v>
      </c>
      <c r="D5623" t="inlineStr">
        <is>
          <t>NORRBOTTENS LÄN</t>
        </is>
      </c>
      <c r="E5623" t="inlineStr">
        <is>
          <t>PAJALA</t>
        </is>
      </c>
      <c r="F5623" t="inlineStr">
        <is>
          <t>SCA</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49759-2022</t>
        </is>
      </c>
      <c r="B5624" s="1" t="n">
        <v>44862.59858796297</v>
      </c>
      <c r="C5624" s="1" t="n">
        <v>46046</v>
      </c>
      <c r="D5624" t="inlineStr">
        <is>
          <t>NORRBOTTENS LÄN</t>
        </is>
      </c>
      <c r="E5624" t="inlineStr">
        <is>
          <t>KALIX</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42158-2025</t>
        </is>
      </c>
      <c r="B5625" s="1" t="n">
        <v>45904.40694444445</v>
      </c>
      <c r="C5625" s="1" t="n">
        <v>46046</v>
      </c>
      <c r="D5625" t="inlineStr">
        <is>
          <t>NORRBOTTENS LÄN</t>
        </is>
      </c>
      <c r="E5625" t="inlineStr">
        <is>
          <t>KALIX</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42650-2025</t>
        </is>
      </c>
      <c r="B5626" s="1" t="n">
        <v>45906</v>
      </c>
      <c r="C5626" s="1" t="n">
        <v>46046</v>
      </c>
      <c r="D5626" t="inlineStr">
        <is>
          <t>NORRBOTTENS LÄN</t>
        </is>
      </c>
      <c r="E5626" t="inlineStr">
        <is>
          <t>PAJALA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42654-2025</t>
        </is>
      </c>
      <c r="B5627" s="1" t="n">
        <v>45906.71729166667</v>
      </c>
      <c r="C5627" s="1" t="n">
        <v>46046</v>
      </c>
      <c r="D5627" t="inlineStr">
        <is>
          <t>NORRBOTTENS LÄN</t>
        </is>
      </c>
      <c r="E5627" t="inlineStr">
        <is>
          <t>BODEN</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73335-2021</t>
        </is>
      </c>
      <c r="B5628" s="1" t="n">
        <v>44550</v>
      </c>
      <c r="C5628" s="1" t="n">
        <v>46046</v>
      </c>
      <c r="D5628" t="inlineStr">
        <is>
          <t>NORRBOTTENS LÄN</t>
        </is>
      </c>
      <c r="E5628" t="inlineStr">
        <is>
          <t>GÄLLIVARE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30606-2024</t>
        </is>
      </c>
      <c r="B5629" s="1" t="n">
        <v>45494.95077546296</v>
      </c>
      <c r="C5629" s="1" t="n">
        <v>46046</v>
      </c>
      <c r="D5629" t="inlineStr">
        <is>
          <t>NORRBOTTENS LÄN</t>
        </is>
      </c>
      <c r="E5629" t="inlineStr">
        <is>
          <t>ÄLVSBYN</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58037-2024</t>
        </is>
      </c>
      <c r="B5630" s="1" t="n">
        <v>45631</v>
      </c>
      <c r="C5630" s="1" t="n">
        <v>46046</v>
      </c>
      <c r="D5630" t="inlineStr">
        <is>
          <t>NORRBOTTENS LÄN</t>
        </is>
      </c>
      <c r="E5630" t="inlineStr">
        <is>
          <t>ÖVERKALIX</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58052-2024</t>
        </is>
      </c>
      <c r="B5631" s="1" t="n">
        <v>45631.83989583333</v>
      </c>
      <c r="C5631" s="1" t="n">
        <v>46046</v>
      </c>
      <c r="D5631" t="inlineStr">
        <is>
          <t>NORRBOTTENS LÄN</t>
        </is>
      </c>
      <c r="E5631" t="inlineStr">
        <is>
          <t>PAJALA</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42821-2025</t>
        </is>
      </c>
      <c r="B5632" s="1" t="n">
        <v>45908</v>
      </c>
      <c r="C5632" s="1" t="n">
        <v>46046</v>
      </c>
      <c r="D5632" t="inlineStr">
        <is>
          <t>NORRBOTTENS LÄN</t>
        </is>
      </c>
      <c r="E5632" t="inlineStr">
        <is>
          <t>PAJALA</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19952-2025</t>
        </is>
      </c>
      <c r="B5633" s="1" t="n">
        <v>45771</v>
      </c>
      <c r="C5633" s="1" t="n">
        <v>46046</v>
      </c>
      <c r="D5633" t="inlineStr">
        <is>
          <t>NORRBOTTENS LÄN</t>
        </is>
      </c>
      <c r="E5633" t="inlineStr">
        <is>
          <t>BODEN</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19985-2025</t>
        </is>
      </c>
      <c r="B5634" s="1" t="n">
        <v>45771</v>
      </c>
      <c r="C5634" s="1" t="n">
        <v>46046</v>
      </c>
      <c r="D5634" t="inlineStr">
        <is>
          <t>NORRBOTTENS LÄN</t>
        </is>
      </c>
      <c r="E5634" t="inlineStr">
        <is>
          <t>ÖVERKALIX</t>
        </is>
      </c>
      <c r="F5634" t="inlineStr">
        <is>
          <t>SCA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42896-2025</t>
        </is>
      </c>
      <c r="B5635" s="1" t="n">
        <v>45908.67270833333</v>
      </c>
      <c r="C5635" s="1" t="n">
        <v>46046</v>
      </c>
      <c r="D5635" t="inlineStr">
        <is>
          <t>NORRBOTTENS LÄN</t>
        </is>
      </c>
      <c r="E5635" t="inlineStr">
        <is>
          <t>GÄLLIVARE</t>
        </is>
      </c>
      <c r="F5635" t="inlineStr">
        <is>
          <t>Sveaskog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52407-2021</t>
        </is>
      </c>
      <c r="B5636" s="1" t="n">
        <v>44463</v>
      </c>
      <c r="C5636" s="1" t="n">
        <v>46046</v>
      </c>
      <c r="D5636" t="inlineStr">
        <is>
          <t>NORRBOTTENS LÄN</t>
        </is>
      </c>
      <c r="E5636" t="inlineStr">
        <is>
          <t>ARVIDSJAUR</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43066-2025</t>
        </is>
      </c>
      <c r="B5637" s="1" t="n">
        <v>45909.59103009259</v>
      </c>
      <c r="C5637" s="1" t="n">
        <v>46046</v>
      </c>
      <c r="D5637" t="inlineStr">
        <is>
          <t>NORRBOTTENS LÄN</t>
        </is>
      </c>
      <c r="E5637" t="inlineStr">
        <is>
          <t>ÖVERKALIX</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34142-2023</t>
        </is>
      </c>
      <c r="B5638" s="1" t="n">
        <v>45136.43844907408</v>
      </c>
      <c r="C5638" s="1" t="n">
        <v>46046</v>
      </c>
      <c r="D5638" t="inlineStr">
        <is>
          <t>NORRBOTTENS LÄN</t>
        </is>
      </c>
      <c r="E5638" t="inlineStr">
        <is>
          <t>ÖVERTORNEÅ</t>
        </is>
      </c>
      <c r="G5638" t="n">
        <v>22.5</v>
      </c>
      <c r="H5638" t="n">
        <v>0</v>
      </c>
      <c r="I5638" t="n">
        <v>0</v>
      </c>
      <c r="J5638" t="n">
        <v>0</v>
      </c>
      <c r="K5638" t="n">
        <v>0</v>
      </c>
      <c r="L5638" t="n">
        <v>0</v>
      </c>
      <c r="M5638" t="n">
        <v>0</v>
      </c>
      <c r="N5638" t="n">
        <v>0</v>
      </c>
      <c r="O5638" t="n">
        <v>0</v>
      </c>
      <c r="P5638" t="n">
        <v>0</v>
      </c>
      <c r="Q5638" t="n">
        <v>0</v>
      </c>
      <c r="R5638" s="2" t="inlineStr"/>
    </row>
    <row r="5639" ht="15" customHeight="1">
      <c r="A5639" t="inlineStr">
        <is>
          <t>A 34152-2023</t>
        </is>
      </c>
      <c r="B5639" s="1" t="n">
        <v>45136.86875</v>
      </c>
      <c r="C5639" s="1" t="n">
        <v>46046</v>
      </c>
      <c r="D5639" t="inlineStr">
        <is>
          <t>NORRBOTTENS LÄN</t>
        </is>
      </c>
      <c r="E5639" t="inlineStr">
        <is>
          <t>PAJALA</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41760-2023</t>
        </is>
      </c>
      <c r="B5640" s="1" t="n">
        <v>45176</v>
      </c>
      <c r="C5640" s="1" t="n">
        <v>46046</v>
      </c>
      <c r="D5640" t="inlineStr">
        <is>
          <t>NORRBOTTENS LÄN</t>
        </is>
      </c>
      <c r="E5640" t="inlineStr">
        <is>
          <t>PITEÅ</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59682-2023</t>
        </is>
      </c>
      <c r="B5641" s="1" t="n">
        <v>45255</v>
      </c>
      <c r="C5641" s="1" t="n">
        <v>46046</v>
      </c>
      <c r="D5641" t="inlineStr">
        <is>
          <t>NORRBOTTENS LÄN</t>
        </is>
      </c>
      <c r="E5641" t="inlineStr">
        <is>
          <t>LULEÅ</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63224-2023</t>
        </is>
      </c>
      <c r="B5642" s="1" t="n">
        <v>45273</v>
      </c>
      <c r="C5642" s="1" t="n">
        <v>46046</v>
      </c>
      <c r="D5642" t="inlineStr">
        <is>
          <t>NORRBOTTENS LÄN</t>
        </is>
      </c>
      <c r="E5642" t="inlineStr">
        <is>
          <t>PITEÅ</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52411-2022</t>
        </is>
      </c>
      <c r="B5643" s="1" t="n">
        <v>44874</v>
      </c>
      <c r="C5643" s="1" t="n">
        <v>46046</v>
      </c>
      <c r="D5643" t="inlineStr">
        <is>
          <t>NORRBOTTENS LÄN</t>
        </is>
      </c>
      <c r="E5643" t="inlineStr">
        <is>
          <t>PITEÅ</t>
        </is>
      </c>
      <c r="F5643" t="inlineStr">
        <is>
          <t>Sveaskog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62561-2023</t>
        </is>
      </c>
      <c r="B5644" s="1" t="n">
        <v>45268</v>
      </c>
      <c r="C5644" s="1" t="n">
        <v>46046</v>
      </c>
      <c r="D5644" t="inlineStr">
        <is>
          <t>NORRBOTTENS LÄN</t>
        </is>
      </c>
      <c r="E5644" t="inlineStr">
        <is>
          <t>ÖVERKALIX</t>
        </is>
      </c>
      <c r="F5644" t="inlineStr">
        <is>
          <t>SCA</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42944-2025</t>
        </is>
      </c>
      <c r="B5645" s="1" t="n">
        <v>45909.34434027778</v>
      </c>
      <c r="C5645" s="1" t="n">
        <v>46046</v>
      </c>
      <c r="D5645" t="inlineStr">
        <is>
          <t>NORRBOTTENS LÄN</t>
        </is>
      </c>
      <c r="E5645" t="inlineStr">
        <is>
          <t>JOKKMOKK</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42959-2025</t>
        </is>
      </c>
      <c r="B5646" s="1" t="n">
        <v>45909</v>
      </c>
      <c r="C5646" s="1" t="n">
        <v>46046</v>
      </c>
      <c r="D5646" t="inlineStr">
        <is>
          <t>NORRBOTTENS LÄN</t>
        </is>
      </c>
      <c r="E5646" t="inlineStr">
        <is>
          <t>JOKKMOKK</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27777-2024</t>
        </is>
      </c>
      <c r="B5647" s="1" t="n">
        <v>45475.53988425926</v>
      </c>
      <c r="C5647" s="1" t="n">
        <v>46046</v>
      </c>
      <c r="D5647" t="inlineStr">
        <is>
          <t>NORRBOTTENS LÄN</t>
        </is>
      </c>
      <c r="E5647" t="inlineStr">
        <is>
          <t>PAJALA</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6624-2025</t>
        </is>
      </c>
      <c r="B5648" s="1" t="n">
        <v>45700.36609953704</v>
      </c>
      <c r="C5648" s="1" t="n">
        <v>46046</v>
      </c>
      <c r="D5648" t="inlineStr">
        <is>
          <t>NORRBOTTENS LÄN</t>
        </is>
      </c>
      <c r="E5648" t="inlineStr">
        <is>
          <t>KALIX</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35115-2024</t>
        </is>
      </c>
      <c r="B5649" s="1" t="n">
        <v>45529.93233796296</v>
      </c>
      <c r="C5649" s="1" t="n">
        <v>46046</v>
      </c>
      <c r="D5649" t="inlineStr">
        <is>
          <t>NORRBOTTENS LÄN</t>
        </is>
      </c>
      <c r="E5649" t="inlineStr">
        <is>
          <t>BODEN</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35158-2024</t>
        </is>
      </c>
      <c r="B5650" s="1" t="n">
        <v>45530.39005787037</v>
      </c>
      <c r="C5650" s="1" t="n">
        <v>46046</v>
      </c>
      <c r="D5650" t="inlineStr">
        <is>
          <t>NORRBOTTENS LÄN</t>
        </is>
      </c>
      <c r="E5650" t="inlineStr">
        <is>
          <t>LULEÅ</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42895-2025</t>
        </is>
      </c>
      <c r="B5651" s="1" t="n">
        <v>45908.67048611111</v>
      </c>
      <c r="C5651" s="1" t="n">
        <v>46046</v>
      </c>
      <c r="D5651" t="inlineStr">
        <is>
          <t>NORRBOTTENS LÄN</t>
        </is>
      </c>
      <c r="E5651" t="inlineStr">
        <is>
          <t>GÄLLIVARE</t>
        </is>
      </c>
      <c r="F5651" t="inlineStr">
        <is>
          <t>Sveaskog</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43076-2025</t>
        </is>
      </c>
      <c r="B5652" s="1" t="n">
        <v>45909</v>
      </c>
      <c r="C5652" s="1" t="n">
        <v>46046</v>
      </c>
      <c r="D5652" t="inlineStr">
        <is>
          <t>NORRBOTTENS LÄN</t>
        </is>
      </c>
      <c r="E5652" t="inlineStr">
        <is>
          <t>KALIX</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42908-2025</t>
        </is>
      </c>
      <c r="B5653" s="1" t="n">
        <v>45908.6902662037</v>
      </c>
      <c r="C5653" s="1" t="n">
        <v>46046</v>
      </c>
      <c r="D5653" t="inlineStr">
        <is>
          <t>NORRBOTTENS LÄN</t>
        </is>
      </c>
      <c r="E5653" t="inlineStr">
        <is>
          <t>ÖVERTORNEÅ</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17020-2024</t>
        </is>
      </c>
      <c r="B5654" s="1" t="n">
        <v>45411</v>
      </c>
      <c r="C5654" s="1" t="n">
        <v>46046</v>
      </c>
      <c r="D5654" t="inlineStr">
        <is>
          <t>NORRBOTTENS LÄN</t>
        </is>
      </c>
      <c r="E5654" t="inlineStr">
        <is>
          <t>LULEÅ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17031-2024</t>
        </is>
      </c>
      <c r="B5655" s="1" t="n">
        <v>45411</v>
      </c>
      <c r="C5655" s="1" t="n">
        <v>46046</v>
      </c>
      <c r="D5655" t="inlineStr">
        <is>
          <t>NORRBOTTENS LÄN</t>
        </is>
      </c>
      <c r="E5655" t="inlineStr">
        <is>
          <t>LULEÅ</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30105-2023</t>
        </is>
      </c>
      <c r="B5656" s="1" t="n">
        <v>45099</v>
      </c>
      <c r="C5656" s="1" t="n">
        <v>46046</v>
      </c>
      <c r="D5656" t="inlineStr">
        <is>
          <t>NORRBOTTENS LÄN</t>
        </is>
      </c>
      <c r="E5656" t="inlineStr">
        <is>
          <t>BODEN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40899-2024</t>
        </is>
      </c>
      <c r="B5657" s="1" t="n">
        <v>45558.62070601852</v>
      </c>
      <c r="C5657" s="1" t="n">
        <v>46046</v>
      </c>
      <c r="D5657" t="inlineStr">
        <is>
          <t>NORRBOTTENS LÄN</t>
        </is>
      </c>
      <c r="E5657" t="inlineStr">
        <is>
          <t>LULEÅ</t>
        </is>
      </c>
      <c r="F5657" t="inlineStr">
        <is>
          <t>Övriga Aktiebolag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41061-2024</t>
        </is>
      </c>
      <c r="B5658" s="1" t="n">
        <v>45558</v>
      </c>
      <c r="C5658" s="1" t="n">
        <v>46046</v>
      </c>
      <c r="D5658" t="inlineStr">
        <is>
          <t>NORRBOTTENS LÄN</t>
        </is>
      </c>
      <c r="E5658" t="inlineStr">
        <is>
          <t>ARJEPLOG</t>
        </is>
      </c>
      <c r="G5658" t="n">
        <v>23.1</v>
      </c>
      <c r="H5658" t="n">
        <v>0</v>
      </c>
      <c r="I5658" t="n">
        <v>0</v>
      </c>
      <c r="J5658" t="n">
        <v>0</v>
      </c>
      <c r="K5658" t="n">
        <v>0</v>
      </c>
      <c r="L5658" t="n">
        <v>0</v>
      </c>
      <c r="M5658" t="n">
        <v>0</v>
      </c>
      <c r="N5658" t="n">
        <v>0</v>
      </c>
      <c r="O5658" t="n">
        <v>0</v>
      </c>
      <c r="P5658" t="n">
        <v>0</v>
      </c>
      <c r="Q5658" t="n">
        <v>0</v>
      </c>
      <c r="R5658" s="2" t="inlineStr"/>
    </row>
    <row r="5659" ht="15" customHeight="1">
      <c r="A5659" t="inlineStr">
        <is>
          <t>A 57604-2021</t>
        </is>
      </c>
      <c r="B5659" s="1" t="n">
        <v>44484</v>
      </c>
      <c r="C5659" s="1" t="n">
        <v>46046</v>
      </c>
      <c r="D5659" t="inlineStr">
        <is>
          <t>NORRBOTTENS LÄN</t>
        </is>
      </c>
      <c r="E5659" t="inlineStr">
        <is>
          <t>BODEN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42649-2025</t>
        </is>
      </c>
      <c r="B5660" s="1" t="n">
        <v>45906.56337962963</v>
      </c>
      <c r="C5660" s="1" t="n">
        <v>46046</v>
      </c>
      <c r="D5660" t="inlineStr">
        <is>
          <t>NORRBOTTENS LÄN</t>
        </is>
      </c>
      <c r="E5660" t="inlineStr">
        <is>
          <t>KALIX</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42664-2025</t>
        </is>
      </c>
      <c r="B5661" s="1" t="n">
        <v>45907</v>
      </c>
      <c r="C5661" s="1" t="n">
        <v>46046</v>
      </c>
      <c r="D5661" t="inlineStr">
        <is>
          <t>NORRBOTTENS LÄN</t>
        </is>
      </c>
      <c r="E5661" t="inlineStr">
        <is>
          <t>JOKKMOKK</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43065-2025</t>
        </is>
      </c>
      <c r="B5662" s="1" t="n">
        <v>45909.58847222223</v>
      </c>
      <c r="C5662" s="1" t="n">
        <v>46046</v>
      </c>
      <c r="D5662" t="inlineStr">
        <is>
          <t>NORRBOTTENS LÄN</t>
        </is>
      </c>
      <c r="E5662" t="inlineStr">
        <is>
          <t>ÖVERKALIX</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42685-2025</t>
        </is>
      </c>
      <c r="B5663" s="1" t="n">
        <v>45908.35325231482</v>
      </c>
      <c r="C5663" s="1" t="n">
        <v>46046</v>
      </c>
      <c r="D5663" t="inlineStr">
        <is>
          <t>NORRBOTTENS LÄN</t>
        </is>
      </c>
      <c r="E5663" t="inlineStr">
        <is>
          <t>PITEÅ</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42906-2025</t>
        </is>
      </c>
      <c r="B5664" s="1" t="n">
        <v>45908.68728009259</v>
      </c>
      <c r="C5664" s="1" t="n">
        <v>46046</v>
      </c>
      <c r="D5664" t="inlineStr">
        <is>
          <t>NORRBOTTENS LÄN</t>
        </is>
      </c>
      <c r="E5664" t="inlineStr">
        <is>
          <t>GÄLLIVARE</t>
        </is>
      </c>
      <c r="F5664" t="inlineStr">
        <is>
          <t>Sveaskog</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30998-2025</t>
        </is>
      </c>
      <c r="B5665" s="1" t="n">
        <v>45831</v>
      </c>
      <c r="C5665" s="1" t="n">
        <v>46046</v>
      </c>
      <c r="D5665" t="inlineStr">
        <is>
          <t>NORRBOTTENS LÄN</t>
        </is>
      </c>
      <c r="E5665" t="inlineStr">
        <is>
          <t>ÖVERKALIX</t>
        </is>
      </c>
      <c r="G5665" t="n">
        <v>17.1</v>
      </c>
      <c r="H5665" t="n">
        <v>0</v>
      </c>
      <c r="I5665" t="n">
        <v>0</v>
      </c>
      <c r="J5665" t="n">
        <v>0</v>
      </c>
      <c r="K5665" t="n">
        <v>0</v>
      </c>
      <c r="L5665" t="n">
        <v>0</v>
      </c>
      <c r="M5665" t="n">
        <v>0</v>
      </c>
      <c r="N5665" t="n">
        <v>0</v>
      </c>
      <c r="O5665" t="n">
        <v>0</v>
      </c>
      <c r="P5665" t="n">
        <v>0</v>
      </c>
      <c r="Q5665" t="n">
        <v>0</v>
      </c>
      <c r="R5665" s="2" t="inlineStr"/>
    </row>
    <row r="5666" ht="15" customHeight="1">
      <c r="A5666" t="inlineStr">
        <is>
          <t>A 43068-2025</t>
        </is>
      </c>
      <c r="B5666" s="1" t="n">
        <v>45909.59424768519</v>
      </c>
      <c r="C5666" s="1" t="n">
        <v>46046</v>
      </c>
      <c r="D5666" t="inlineStr">
        <is>
          <t>NORRBOTTENS LÄN</t>
        </is>
      </c>
      <c r="E5666" t="inlineStr">
        <is>
          <t>PAJALA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48577-2023</t>
        </is>
      </c>
      <c r="B5667" s="1" t="n">
        <v>45208</v>
      </c>
      <c r="C5667" s="1" t="n">
        <v>46046</v>
      </c>
      <c r="D5667" t="inlineStr">
        <is>
          <t>NORRBOTTENS LÄN</t>
        </is>
      </c>
      <c r="E5667" t="inlineStr">
        <is>
          <t>ÖVERKALIX</t>
        </is>
      </c>
      <c r="F5667" t="inlineStr">
        <is>
          <t>Sveaskog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31347-2023</t>
        </is>
      </c>
      <c r="B5668" s="1" t="n">
        <v>45104</v>
      </c>
      <c r="C5668" s="1" t="n">
        <v>46046</v>
      </c>
      <c r="D5668" t="inlineStr">
        <is>
          <t>NORRBOTTENS LÄN</t>
        </is>
      </c>
      <c r="E5668" t="inlineStr">
        <is>
          <t>LULEÅ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38941-2024</t>
        </is>
      </c>
      <c r="B5669" s="1" t="n">
        <v>45548</v>
      </c>
      <c r="C5669" s="1" t="n">
        <v>46046</v>
      </c>
      <c r="D5669" t="inlineStr">
        <is>
          <t>NORRBOTTENS LÄN</t>
        </is>
      </c>
      <c r="E5669" t="inlineStr">
        <is>
          <t>ÖVERKALIX</t>
        </is>
      </c>
      <c r="F5669" t="inlineStr">
        <is>
          <t>SCA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43101-2025</t>
        </is>
      </c>
      <c r="B5670" s="1" t="n">
        <v>45909.63577546296</v>
      </c>
      <c r="C5670" s="1" t="n">
        <v>46046</v>
      </c>
      <c r="D5670" t="inlineStr">
        <is>
          <t>NORRBOTTENS LÄN</t>
        </is>
      </c>
      <c r="E5670" t="inlineStr">
        <is>
          <t>PITEÅ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43115-2025</t>
        </is>
      </c>
      <c r="B5671" s="1" t="n">
        <v>45909.66664351852</v>
      </c>
      <c r="C5671" s="1" t="n">
        <v>46046</v>
      </c>
      <c r="D5671" t="inlineStr">
        <is>
          <t>NORRBOTTENS LÄN</t>
        </is>
      </c>
      <c r="E5671" t="inlineStr">
        <is>
          <t>LULEÅ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43116-2025</t>
        </is>
      </c>
      <c r="B5672" s="1" t="n">
        <v>45909.66799768519</v>
      </c>
      <c r="C5672" s="1" t="n">
        <v>46046</v>
      </c>
      <c r="D5672" t="inlineStr">
        <is>
          <t>NORRBOTTENS LÄN</t>
        </is>
      </c>
      <c r="E5672" t="inlineStr">
        <is>
          <t>LULEÅ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41789-2024</t>
        </is>
      </c>
      <c r="B5673" s="1" t="n">
        <v>45561</v>
      </c>
      <c r="C5673" s="1" t="n">
        <v>46046</v>
      </c>
      <c r="D5673" t="inlineStr">
        <is>
          <t>NORRBOTTENS LÄN</t>
        </is>
      </c>
      <c r="E5673" t="inlineStr">
        <is>
          <t>BODEN</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55631-2023</t>
        </is>
      </c>
      <c r="B5674" s="1" t="n">
        <v>45238.92677083334</v>
      </c>
      <c r="C5674" s="1" t="n">
        <v>46046</v>
      </c>
      <c r="D5674" t="inlineStr">
        <is>
          <t>NORRBOTTENS LÄN</t>
        </is>
      </c>
      <c r="E5674" t="inlineStr">
        <is>
          <t>PITEÅ</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42643-2025</t>
        </is>
      </c>
      <c r="B5675" s="1" t="n">
        <v>45906</v>
      </c>
      <c r="C5675" s="1" t="n">
        <v>46046</v>
      </c>
      <c r="D5675" t="inlineStr">
        <is>
          <t>NORRBOTTENS LÄN</t>
        </is>
      </c>
      <c r="E5675" t="inlineStr">
        <is>
          <t>PAJALA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42676-2025</t>
        </is>
      </c>
      <c r="B5676" s="1" t="n">
        <v>45908.32333333333</v>
      </c>
      <c r="C5676" s="1" t="n">
        <v>46046</v>
      </c>
      <c r="D5676" t="inlineStr">
        <is>
          <t>NORRBOTTENS LÄN</t>
        </is>
      </c>
      <c r="E5676" t="inlineStr">
        <is>
          <t>PITEÅ</t>
        </is>
      </c>
      <c r="F5676" t="inlineStr">
        <is>
          <t>Sveaskog</t>
        </is>
      </c>
      <c r="G5676" t="n">
        <v>17.9</v>
      </c>
      <c r="H5676" t="n">
        <v>0</v>
      </c>
      <c r="I5676" t="n">
        <v>0</v>
      </c>
      <c r="J5676" t="n">
        <v>0</v>
      </c>
      <c r="K5676" t="n">
        <v>0</v>
      </c>
      <c r="L5676" t="n">
        <v>0</v>
      </c>
      <c r="M5676" t="n">
        <v>0</v>
      </c>
      <c r="N5676" t="n">
        <v>0</v>
      </c>
      <c r="O5676" t="n">
        <v>0</v>
      </c>
      <c r="P5676" t="n">
        <v>0</v>
      </c>
      <c r="Q5676" t="n">
        <v>0</v>
      </c>
      <c r="R5676" s="2" t="inlineStr"/>
    </row>
    <row r="5677" ht="15" customHeight="1">
      <c r="A5677" t="inlineStr">
        <is>
          <t>A 8267-2023</t>
        </is>
      </c>
      <c r="B5677" s="1" t="n">
        <v>44971</v>
      </c>
      <c r="C5677" s="1" t="n">
        <v>46046</v>
      </c>
      <c r="D5677" t="inlineStr">
        <is>
          <t>NORRBOTTENS LÄN</t>
        </is>
      </c>
      <c r="E5677" t="inlineStr">
        <is>
          <t>PITEÅ</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43112-2025</t>
        </is>
      </c>
      <c r="B5678" s="1" t="n">
        <v>45909.66228009259</v>
      </c>
      <c r="C5678" s="1" t="n">
        <v>46046</v>
      </c>
      <c r="D5678" t="inlineStr">
        <is>
          <t>NORRBOTTENS LÄN</t>
        </is>
      </c>
      <c r="E5678" t="inlineStr">
        <is>
          <t>LULEÅ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43113-2025</t>
        </is>
      </c>
      <c r="B5679" s="1" t="n">
        <v>45909.6640625</v>
      </c>
      <c r="C5679" s="1" t="n">
        <v>46046</v>
      </c>
      <c r="D5679" t="inlineStr">
        <is>
          <t>NORRBOTTENS LÄN</t>
        </is>
      </c>
      <c r="E5679" t="inlineStr">
        <is>
          <t>LULEÅ</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43074-2025</t>
        </is>
      </c>
      <c r="B5680" s="1" t="n">
        <v>45909.60006944444</v>
      </c>
      <c r="C5680" s="1" t="n">
        <v>46046</v>
      </c>
      <c r="D5680" t="inlineStr">
        <is>
          <t>NORRBOTTENS LÄN</t>
        </is>
      </c>
      <c r="E5680" t="inlineStr">
        <is>
          <t>PAJALA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43081-2025</t>
        </is>
      </c>
      <c r="B5681" s="1" t="n">
        <v>45909.60957175926</v>
      </c>
      <c r="C5681" s="1" t="n">
        <v>46046</v>
      </c>
      <c r="D5681" t="inlineStr">
        <is>
          <t>NORRBOTTENS LÄN</t>
        </is>
      </c>
      <c r="E5681" t="inlineStr">
        <is>
          <t>KALIX</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30957-2025</t>
        </is>
      </c>
      <c r="B5682" s="1" t="n">
        <v>45831</v>
      </c>
      <c r="C5682" s="1" t="n">
        <v>46046</v>
      </c>
      <c r="D5682" t="inlineStr">
        <is>
          <t>NORRBOTTENS LÄN</t>
        </is>
      </c>
      <c r="E5682" t="inlineStr">
        <is>
          <t>ÖVERKALIX</t>
        </is>
      </c>
      <c r="G5682" t="n">
        <v>41.8</v>
      </c>
      <c r="H5682" t="n">
        <v>0</v>
      </c>
      <c r="I5682" t="n">
        <v>0</v>
      </c>
      <c r="J5682" t="n">
        <v>0</v>
      </c>
      <c r="K5682" t="n">
        <v>0</v>
      </c>
      <c r="L5682" t="n">
        <v>0</v>
      </c>
      <c r="M5682" t="n">
        <v>0</v>
      </c>
      <c r="N5682" t="n">
        <v>0</v>
      </c>
      <c r="O5682" t="n">
        <v>0</v>
      </c>
      <c r="P5682" t="n">
        <v>0</v>
      </c>
      <c r="Q5682" t="n">
        <v>0</v>
      </c>
      <c r="R5682" s="2" t="inlineStr"/>
    </row>
    <row r="5683" ht="15" customHeight="1">
      <c r="A5683" t="inlineStr">
        <is>
          <t>A 30993-2025</t>
        </is>
      </c>
      <c r="B5683" s="1" t="n">
        <v>45831</v>
      </c>
      <c r="C5683" s="1" t="n">
        <v>46046</v>
      </c>
      <c r="D5683" t="inlineStr">
        <is>
          <t>NORRBOTTENS LÄN</t>
        </is>
      </c>
      <c r="E5683" t="inlineStr">
        <is>
          <t>ÖVERKALIX</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21851-2022</t>
        </is>
      </c>
      <c r="B5684" s="1" t="n">
        <v>44708</v>
      </c>
      <c r="C5684" s="1" t="n">
        <v>46046</v>
      </c>
      <c r="D5684" t="inlineStr">
        <is>
          <t>NORRBOTTENS LÄN</t>
        </is>
      </c>
      <c r="E5684" t="inlineStr">
        <is>
          <t>PITEÅ</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43042-2025</t>
        </is>
      </c>
      <c r="B5685" s="1" t="n">
        <v>45909.55762731482</v>
      </c>
      <c r="C5685" s="1" t="n">
        <v>46046</v>
      </c>
      <c r="D5685" t="inlineStr">
        <is>
          <t>NORRBOTTENS LÄN</t>
        </is>
      </c>
      <c r="E5685" t="inlineStr">
        <is>
          <t>ÖVERKALIX</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49520-2024</t>
        </is>
      </c>
      <c r="B5686" s="1" t="n">
        <v>45596</v>
      </c>
      <c r="C5686" s="1" t="n">
        <v>46046</v>
      </c>
      <c r="D5686" t="inlineStr">
        <is>
          <t>NORRBOTTENS LÄN</t>
        </is>
      </c>
      <c r="E5686" t="inlineStr">
        <is>
          <t>PITEÅ</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43049-2025</t>
        </is>
      </c>
      <c r="B5687" s="1" t="n">
        <v>45909.56523148148</v>
      </c>
      <c r="C5687" s="1" t="n">
        <v>46046</v>
      </c>
      <c r="D5687" t="inlineStr">
        <is>
          <t>NORRBOTTENS LÄN</t>
        </is>
      </c>
      <c r="E5687" t="inlineStr">
        <is>
          <t>PITEÅ</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1507-2022</t>
        </is>
      </c>
      <c r="B5688" s="1" t="n">
        <v>44573</v>
      </c>
      <c r="C5688" s="1" t="n">
        <v>46046</v>
      </c>
      <c r="D5688" t="inlineStr">
        <is>
          <t>NORRBOTTENS LÄN</t>
        </is>
      </c>
      <c r="E5688" t="inlineStr">
        <is>
          <t>BODEN</t>
        </is>
      </c>
      <c r="F5688" t="inlineStr">
        <is>
          <t>Övriga statliga verk och myndigheter</t>
        </is>
      </c>
      <c r="G5688" t="n">
        <v>15.4</v>
      </c>
      <c r="H5688" t="n">
        <v>0</v>
      </c>
      <c r="I5688" t="n">
        <v>0</v>
      </c>
      <c r="J5688" t="n">
        <v>0</v>
      </c>
      <c r="K5688" t="n">
        <v>0</v>
      </c>
      <c r="L5688" t="n">
        <v>0</v>
      </c>
      <c r="M5688" t="n">
        <v>0</v>
      </c>
      <c r="N5688" t="n">
        <v>0</v>
      </c>
      <c r="O5688" t="n">
        <v>0</v>
      </c>
      <c r="P5688" t="n">
        <v>0</v>
      </c>
      <c r="Q5688" t="n">
        <v>0</v>
      </c>
      <c r="R5688" s="2" t="inlineStr"/>
    </row>
    <row r="5689" ht="15" customHeight="1">
      <c r="A5689" t="inlineStr">
        <is>
          <t>A 36286-2024</t>
        </is>
      </c>
      <c r="B5689" s="1" t="n">
        <v>45534</v>
      </c>
      <c r="C5689" s="1" t="n">
        <v>46046</v>
      </c>
      <c r="D5689" t="inlineStr">
        <is>
          <t>NORRBOTTENS LÄN</t>
        </is>
      </c>
      <c r="E5689" t="inlineStr">
        <is>
          <t>ÖVERTORNEÅ</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40345-2024</t>
        </is>
      </c>
      <c r="B5690" s="1" t="n">
        <v>45555.344375</v>
      </c>
      <c r="C5690" s="1" t="n">
        <v>46046</v>
      </c>
      <c r="D5690" t="inlineStr">
        <is>
          <t>NORRBOTTENS LÄN</t>
        </is>
      </c>
      <c r="E5690" t="inlineStr">
        <is>
          <t>JOKKMOKK</t>
        </is>
      </c>
      <c r="F5690" t="inlineStr">
        <is>
          <t>SCA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50691-2024</t>
        </is>
      </c>
      <c r="B5691" s="1" t="n">
        <v>45602</v>
      </c>
      <c r="C5691" s="1" t="n">
        <v>46046</v>
      </c>
      <c r="D5691" t="inlineStr">
        <is>
          <t>NORRBOTTENS LÄN</t>
        </is>
      </c>
      <c r="E5691" t="inlineStr">
        <is>
          <t>ÖVERKALIX</t>
        </is>
      </c>
      <c r="F5691" t="inlineStr">
        <is>
          <t>Sveaskog</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43070-2025</t>
        </is>
      </c>
      <c r="B5692" s="1" t="n">
        <v>45909.59554398148</v>
      </c>
      <c r="C5692" s="1" t="n">
        <v>46046</v>
      </c>
      <c r="D5692" t="inlineStr">
        <is>
          <t>NORRBOTTENS LÄN</t>
        </is>
      </c>
      <c r="E5692" t="inlineStr">
        <is>
          <t>GÄLLIVARE</t>
        </is>
      </c>
      <c r="G5692" t="n">
        <v>24.5</v>
      </c>
      <c r="H5692" t="n">
        <v>0</v>
      </c>
      <c r="I5692" t="n">
        <v>0</v>
      </c>
      <c r="J5692" t="n">
        <v>0</v>
      </c>
      <c r="K5692" t="n">
        <v>0</v>
      </c>
      <c r="L5692" t="n">
        <v>0</v>
      </c>
      <c r="M5692" t="n">
        <v>0</v>
      </c>
      <c r="N5692" t="n">
        <v>0</v>
      </c>
      <c r="O5692" t="n">
        <v>0</v>
      </c>
      <c r="P5692" t="n">
        <v>0</v>
      </c>
      <c r="Q5692" t="n">
        <v>0</v>
      </c>
      <c r="R5692" s="2" t="inlineStr"/>
    </row>
    <row r="5693" ht="15" customHeight="1">
      <c r="A5693" t="inlineStr">
        <is>
          <t>A 42974-2025</t>
        </is>
      </c>
      <c r="B5693" s="1" t="n">
        <v>45909.42157407408</v>
      </c>
      <c r="C5693" s="1" t="n">
        <v>46046</v>
      </c>
      <c r="D5693" t="inlineStr">
        <is>
          <t>NORRBOTTENS LÄN</t>
        </is>
      </c>
      <c r="E5693" t="inlineStr">
        <is>
          <t>KALIX</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31005-2025</t>
        </is>
      </c>
      <c r="B5694" s="1" t="n">
        <v>45831</v>
      </c>
      <c r="C5694" s="1" t="n">
        <v>46046</v>
      </c>
      <c r="D5694" t="inlineStr">
        <is>
          <t>NORRBOTTENS LÄN</t>
        </is>
      </c>
      <c r="E5694" t="inlineStr">
        <is>
          <t>ÖVERKALIX</t>
        </is>
      </c>
      <c r="G5694" t="n">
        <v>10.7</v>
      </c>
      <c r="H5694" t="n">
        <v>0</v>
      </c>
      <c r="I5694" t="n">
        <v>0</v>
      </c>
      <c r="J5694" t="n">
        <v>0</v>
      </c>
      <c r="K5694" t="n">
        <v>0</v>
      </c>
      <c r="L5694" t="n">
        <v>0</v>
      </c>
      <c r="M5694" t="n">
        <v>0</v>
      </c>
      <c r="N5694" t="n">
        <v>0</v>
      </c>
      <c r="O5694" t="n">
        <v>0</v>
      </c>
      <c r="P5694" t="n">
        <v>0</v>
      </c>
      <c r="Q5694" t="n">
        <v>0</v>
      </c>
      <c r="R5694" s="2" t="inlineStr"/>
    </row>
    <row r="5695" ht="15" customHeight="1">
      <c r="A5695" t="inlineStr">
        <is>
          <t>A 11242-2021</t>
        </is>
      </c>
      <c r="B5695" s="1" t="n">
        <v>44263.39423611111</v>
      </c>
      <c r="C5695" s="1" t="n">
        <v>46046</v>
      </c>
      <c r="D5695" t="inlineStr">
        <is>
          <t>NORRBOTTENS LÄN</t>
        </is>
      </c>
      <c r="E5695" t="inlineStr">
        <is>
          <t>LULEÅ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42656-2025</t>
        </is>
      </c>
      <c r="B5696" s="1" t="n">
        <v>45907.34451388889</v>
      </c>
      <c r="C5696" s="1" t="n">
        <v>46046</v>
      </c>
      <c r="D5696" t="inlineStr">
        <is>
          <t>NORRBOTTENS LÄN</t>
        </is>
      </c>
      <c r="E5696" t="inlineStr">
        <is>
          <t>BODEN</t>
        </is>
      </c>
      <c r="F5696" t="inlineStr">
        <is>
          <t>SCA</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43281-2025</t>
        </is>
      </c>
      <c r="B5697" s="1" t="n">
        <v>45910.59592592593</v>
      </c>
      <c r="C5697" s="1" t="n">
        <v>46046</v>
      </c>
      <c r="D5697" t="inlineStr">
        <is>
          <t>NORRBOTTENS LÄN</t>
        </is>
      </c>
      <c r="E5697" t="inlineStr">
        <is>
          <t>PAJALA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43198-2025</t>
        </is>
      </c>
      <c r="B5698" s="1" t="n">
        <v>45910.43453703704</v>
      </c>
      <c r="C5698" s="1" t="n">
        <v>46046</v>
      </c>
      <c r="D5698" t="inlineStr">
        <is>
          <t>NORRBOTTENS LÄN</t>
        </is>
      </c>
      <c r="E5698" t="inlineStr">
        <is>
          <t>ARVIDSJAUR</t>
        </is>
      </c>
      <c r="F5698" t="inlineStr">
        <is>
          <t>Sveaskog</t>
        </is>
      </c>
      <c r="G5698" t="n">
        <v>17.9</v>
      </c>
      <c r="H5698" t="n">
        <v>0</v>
      </c>
      <c r="I5698" t="n">
        <v>0</v>
      </c>
      <c r="J5698" t="n">
        <v>0</v>
      </c>
      <c r="K5698" t="n">
        <v>0</v>
      </c>
      <c r="L5698" t="n">
        <v>0</v>
      </c>
      <c r="M5698" t="n">
        <v>0</v>
      </c>
      <c r="N5698" t="n">
        <v>0</v>
      </c>
      <c r="O5698" t="n">
        <v>0</v>
      </c>
      <c r="P5698" t="n">
        <v>0</v>
      </c>
      <c r="Q5698" t="n">
        <v>0</v>
      </c>
      <c r="R5698" s="2" t="inlineStr"/>
    </row>
    <row r="5699" ht="15" customHeight="1">
      <c r="A5699" t="inlineStr">
        <is>
          <t>A 4123-2024</t>
        </is>
      </c>
      <c r="B5699" s="1" t="n">
        <v>45323</v>
      </c>
      <c r="C5699" s="1" t="n">
        <v>46046</v>
      </c>
      <c r="D5699" t="inlineStr">
        <is>
          <t>NORRBOTTENS LÄN</t>
        </is>
      </c>
      <c r="E5699" t="inlineStr">
        <is>
          <t>LULEÅ</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57815-2022</t>
        </is>
      </c>
      <c r="B5700" s="1" t="n">
        <v>44897.92459490741</v>
      </c>
      <c r="C5700" s="1" t="n">
        <v>46046</v>
      </c>
      <c r="D5700" t="inlineStr">
        <is>
          <t>NORRBOTTENS LÄN</t>
        </is>
      </c>
      <c r="E5700" t="inlineStr">
        <is>
          <t>LULEÅ</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17425-2023</t>
        </is>
      </c>
      <c r="B5701" s="1" t="n">
        <v>45035</v>
      </c>
      <c r="C5701" s="1" t="n">
        <v>46046</v>
      </c>
      <c r="D5701" t="inlineStr">
        <is>
          <t>NORRBOTTENS LÄN</t>
        </is>
      </c>
      <c r="E5701" t="inlineStr">
        <is>
          <t>LULEÅ</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43422-2025</t>
        </is>
      </c>
      <c r="B5702" s="1" t="n">
        <v>45911.40783564815</v>
      </c>
      <c r="C5702" s="1" t="n">
        <v>46046</v>
      </c>
      <c r="D5702" t="inlineStr">
        <is>
          <t>NORRBOTTENS LÄN</t>
        </is>
      </c>
      <c r="E5702" t="inlineStr">
        <is>
          <t>PITEÅ</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43402-2025</t>
        </is>
      </c>
      <c r="B5703" s="1" t="n">
        <v>45911.3857175926</v>
      </c>
      <c r="C5703" s="1" t="n">
        <v>46046</v>
      </c>
      <c r="D5703" t="inlineStr">
        <is>
          <t>NORRBOTTENS LÄN</t>
        </is>
      </c>
      <c r="E5703" t="inlineStr">
        <is>
          <t>BODEN</t>
        </is>
      </c>
      <c r="G5703" t="n">
        <v>9.699999999999999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43574-2025</t>
        </is>
      </c>
      <c r="B5704" s="1" t="n">
        <v>45911.63954861111</v>
      </c>
      <c r="C5704" s="1" t="n">
        <v>46046</v>
      </c>
      <c r="D5704" t="inlineStr">
        <is>
          <t>NORRBOTTENS LÄN</t>
        </is>
      </c>
      <c r="E5704" t="inlineStr">
        <is>
          <t>ARVIDSJAUR</t>
        </is>
      </c>
      <c r="G5704" t="n">
        <v>23.2</v>
      </c>
      <c r="H5704" t="n">
        <v>0</v>
      </c>
      <c r="I5704" t="n">
        <v>0</v>
      </c>
      <c r="J5704" t="n">
        <v>0</v>
      </c>
      <c r="K5704" t="n">
        <v>0</v>
      </c>
      <c r="L5704" t="n">
        <v>0</v>
      </c>
      <c r="M5704" t="n">
        <v>0</v>
      </c>
      <c r="N5704" t="n">
        <v>0</v>
      </c>
      <c r="O5704" t="n">
        <v>0</v>
      </c>
      <c r="P5704" t="n">
        <v>0</v>
      </c>
      <c r="Q5704" t="n">
        <v>0</v>
      </c>
      <c r="R5704" s="2" t="inlineStr"/>
    </row>
    <row r="5705" ht="15" customHeight="1">
      <c r="A5705" t="inlineStr">
        <is>
          <t>A 11512-2023</t>
        </is>
      </c>
      <c r="B5705" s="1" t="n">
        <v>44988</v>
      </c>
      <c r="C5705" s="1" t="n">
        <v>46046</v>
      </c>
      <c r="D5705" t="inlineStr">
        <is>
          <t>NORRBOTTENS LÄN</t>
        </is>
      </c>
      <c r="E5705" t="inlineStr">
        <is>
          <t>PAJALA</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43165-2025</t>
        </is>
      </c>
      <c r="B5706" s="1" t="n">
        <v>45910.37789351852</v>
      </c>
      <c r="C5706" s="1" t="n">
        <v>46046</v>
      </c>
      <c r="D5706" t="inlineStr">
        <is>
          <t>NORRBOTTENS LÄN</t>
        </is>
      </c>
      <c r="E5706" t="inlineStr">
        <is>
          <t>ARVIDSJAUR</t>
        </is>
      </c>
      <c r="F5706" t="inlineStr">
        <is>
          <t>Sveaskog</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32466-2024</t>
        </is>
      </c>
      <c r="B5707" s="1" t="n">
        <v>45512.96141203704</v>
      </c>
      <c r="C5707" s="1" t="n">
        <v>46046</v>
      </c>
      <c r="D5707" t="inlineStr">
        <is>
          <t>NORRBOTTENS LÄN</t>
        </is>
      </c>
      <c r="E5707" t="inlineStr">
        <is>
          <t>PITEÅ</t>
        </is>
      </c>
      <c r="F5707" t="inlineStr">
        <is>
          <t>SCA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28893-2025</t>
        </is>
      </c>
      <c r="B5708" s="1" t="n">
        <v>45820.63310185185</v>
      </c>
      <c r="C5708" s="1" t="n">
        <v>46046</v>
      </c>
      <c r="D5708" t="inlineStr">
        <is>
          <t>NORRBOTTENS LÄN</t>
        </is>
      </c>
      <c r="E5708" t="inlineStr">
        <is>
          <t>ÖVERKALIX</t>
        </is>
      </c>
      <c r="F5708" t="inlineStr">
        <is>
          <t>Sveaskog</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43626-2025</t>
        </is>
      </c>
      <c r="B5709" s="1" t="n">
        <v>45911.69827546296</v>
      </c>
      <c r="C5709" s="1" t="n">
        <v>46046</v>
      </c>
      <c r="D5709" t="inlineStr">
        <is>
          <t>NORRBOTTENS LÄN</t>
        </is>
      </c>
      <c r="E5709" t="inlineStr">
        <is>
          <t>ÖVERKALIX</t>
        </is>
      </c>
      <c r="F5709" t="inlineStr">
        <is>
          <t>SCA</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43627-2025</t>
        </is>
      </c>
      <c r="B5710" s="1" t="n">
        <v>45911.69847222222</v>
      </c>
      <c r="C5710" s="1" t="n">
        <v>46046</v>
      </c>
      <c r="D5710" t="inlineStr">
        <is>
          <t>NORRBOTTENS LÄN</t>
        </is>
      </c>
      <c r="E5710" t="inlineStr">
        <is>
          <t>PITEÅ</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23706-2024</t>
        </is>
      </c>
      <c r="B5711" s="1" t="n">
        <v>45454</v>
      </c>
      <c r="C5711" s="1" t="n">
        <v>46046</v>
      </c>
      <c r="D5711" t="inlineStr">
        <is>
          <t>NORRBOTTENS LÄN</t>
        </is>
      </c>
      <c r="E5711" t="inlineStr">
        <is>
          <t>BODEN</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43147-2025</t>
        </is>
      </c>
      <c r="B5712" s="1" t="n">
        <v>45910.31901620371</v>
      </c>
      <c r="C5712" s="1" t="n">
        <v>46046</v>
      </c>
      <c r="D5712" t="inlineStr">
        <is>
          <t>NORRBOTTENS LÄN</t>
        </is>
      </c>
      <c r="E5712" t="inlineStr">
        <is>
          <t>PITEÅ</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31242-2023</t>
        </is>
      </c>
      <c r="B5713" s="1" t="n">
        <v>45103</v>
      </c>
      <c r="C5713" s="1" t="n">
        <v>46046</v>
      </c>
      <c r="D5713" t="inlineStr">
        <is>
          <t>NORRBOTTENS LÄN</t>
        </is>
      </c>
      <c r="E5713" t="inlineStr">
        <is>
          <t>HAPARANDA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8776-2022</t>
        </is>
      </c>
      <c r="B5714" s="1" t="n">
        <v>44614.40652777778</v>
      </c>
      <c r="C5714" s="1" t="n">
        <v>46046</v>
      </c>
      <c r="D5714" t="inlineStr">
        <is>
          <t>NORRBOTTENS LÄN</t>
        </is>
      </c>
      <c r="E5714" t="inlineStr">
        <is>
          <t>BODEN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43191-2025</t>
        </is>
      </c>
      <c r="B5715" s="1" t="n">
        <v>45910.41881944444</v>
      </c>
      <c r="C5715" s="1" t="n">
        <v>46046</v>
      </c>
      <c r="D5715" t="inlineStr">
        <is>
          <t>NORRBOTTENS LÄN</t>
        </is>
      </c>
      <c r="E5715" t="inlineStr">
        <is>
          <t>KALIX</t>
        </is>
      </c>
      <c r="F5715" t="inlineStr">
        <is>
          <t>Kommuner</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65517-2021</t>
        </is>
      </c>
      <c r="B5716" s="1" t="n">
        <v>44516</v>
      </c>
      <c r="C5716" s="1" t="n">
        <v>46046</v>
      </c>
      <c r="D5716" t="inlineStr">
        <is>
          <t>NORRBOTTENS LÄN</t>
        </is>
      </c>
      <c r="E5716" t="inlineStr">
        <is>
          <t>GÄLLIVARE</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10652-2022</t>
        </is>
      </c>
      <c r="B5717" s="1" t="n">
        <v>44624</v>
      </c>
      <c r="C5717" s="1" t="n">
        <v>46046</v>
      </c>
      <c r="D5717" t="inlineStr">
        <is>
          <t>NORRBOTTENS LÄN</t>
        </is>
      </c>
      <c r="E5717" t="inlineStr">
        <is>
          <t>GÄLLIVARE</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43384-2025</t>
        </is>
      </c>
      <c r="B5718" s="1" t="n">
        <v>45911.36493055556</v>
      </c>
      <c r="C5718" s="1" t="n">
        <v>46046</v>
      </c>
      <c r="D5718" t="inlineStr">
        <is>
          <t>NORRBOTTENS LÄN</t>
        </is>
      </c>
      <c r="E5718" t="inlineStr">
        <is>
          <t>ÖVERKALIX</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47564-2021</t>
        </is>
      </c>
      <c r="B5719" s="1" t="n">
        <v>44447</v>
      </c>
      <c r="C5719" s="1" t="n">
        <v>46046</v>
      </c>
      <c r="D5719" t="inlineStr">
        <is>
          <t>NORRBOTTENS LÄN</t>
        </is>
      </c>
      <c r="E5719" t="inlineStr">
        <is>
          <t>PITEÅ</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40329-2023</t>
        </is>
      </c>
      <c r="B5720" s="1" t="n">
        <v>45169.62248842593</v>
      </c>
      <c r="C5720" s="1" t="n">
        <v>46046</v>
      </c>
      <c r="D5720" t="inlineStr">
        <is>
          <t>NORRBOTTENS LÄN</t>
        </is>
      </c>
      <c r="E5720" t="inlineStr">
        <is>
          <t>ÖVERKALIX</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43184-2025</t>
        </is>
      </c>
      <c r="B5721" s="1" t="n">
        <v>45910.41050925926</v>
      </c>
      <c r="C5721" s="1" t="n">
        <v>46046</v>
      </c>
      <c r="D5721" t="inlineStr">
        <is>
          <t>NORRBOTTENS LÄN</t>
        </is>
      </c>
      <c r="E5721" t="inlineStr">
        <is>
          <t>ARVIDSJAUR</t>
        </is>
      </c>
      <c r="F5721" t="inlineStr">
        <is>
          <t>Sveaskog</t>
        </is>
      </c>
      <c r="G5721" t="n">
        <v>18.8</v>
      </c>
      <c r="H5721" t="n">
        <v>0</v>
      </c>
      <c r="I5721" t="n">
        <v>0</v>
      </c>
      <c r="J5721" t="n">
        <v>0</v>
      </c>
      <c r="K5721" t="n">
        <v>0</v>
      </c>
      <c r="L5721" t="n">
        <v>0</v>
      </c>
      <c r="M5721" t="n">
        <v>0</v>
      </c>
      <c r="N5721" t="n">
        <v>0</v>
      </c>
      <c r="O5721" t="n">
        <v>0</v>
      </c>
      <c r="P5721" t="n">
        <v>0</v>
      </c>
      <c r="Q5721" t="n">
        <v>0</v>
      </c>
      <c r="R5721" s="2" t="inlineStr"/>
    </row>
    <row r="5722" ht="15" customHeight="1">
      <c r="A5722" t="inlineStr">
        <is>
          <t>A 25387-2023</t>
        </is>
      </c>
      <c r="B5722" s="1" t="n">
        <v>45079</v>
      </c>
      <c r="C5722" s="1" t="n">
        <v>46046</v>
      </c>
      <c r="D5722" t="inlineStr">
        <is>
          <t>NORRBOTTENS LÄN</t>
        </is>
      </c>
      <c r="E5722" t="inlineStr">
        <is>
          <t>BODEN</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58476-2023</t>
        </is>
      </c>
      <c r="B5723" s="1" t="n">
        <v>45246</v>
      </c>
      <c r="C5723" s="1" t="n">
        <v>46046</v>
      </c>
      <c r="D5723" t="inlineStr">
        <is>
          <t>NORRBOTTENS LÄN</t>
        </is>
      </c>
      <c r="E5723" t="inlineStr">
        <is>
          <t>ÄLVSBYN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43299-2025</t>
        </is>
      </c>
      <c r="B5724" s="1" t="n">
        <v>45910</v>
      </c>
      <c r="C5724" s="1" t="n">
        <v>46046</v>
      </c>
      <c r="D5724" t="inlineStr">
        <is>
          <t>NORRBOTTENS LÄN</t>
        </is>
      </c>
      <c r="E5724" t="inlineStr">
        <is>
          <t>BODEN</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44981-2023</t>
        </is>
      </c>
      <c r="B5725" s="1" t="n">
        <v>45190.95791666667</v>
      </c>
      <c r="C5725" s="1" t="n">
        <v>46046</v>
      </c>
      <c r="D5725" t="inlineStr">
        <is>
          <t>NORRBOTTENS LÄN</t>
        </is>
      </c>
      <c r="E5725" t="inlineStr">
        <is>
          <t>GÄLLIVARE</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43182-2025</t>
        </is>
      </c>
      <c r="B5726" s="1" t="n">
        <v>45910.40729166667</v>
      </c>
      <c r="C5726" s="1" t="n">
        <v>46046</v>
      </c>
      <c r="D5726" t="inlineStr">
        <is>
          <t>NORRBOTTENS LÄN</t>
        </is>
      </c>
      <c r="E5726" t="inlineStr">
        <is>
          <t>LULEÅ</t>
        </is>
      </c>
      <c r="G5726" t="n">
        <v>17.7</v>
      </c>
      <c r="H5726" t="n">
        <v>0</v>
      </c>
      <c r="I5726" t="n">
        <v>0</v>
      </c>
      <c r="J5726" t="n">
        <v>0</v>
      </c>
      <c r="K5726" t="n">
        <v>0</v>
      </c>
      <c r="L5726" t="n">
        <v>0</v>
      </c>
      <c r="M5726" t="n">
        <v>0</v>
      </c>
      <c r="N5726" t="n">
        <v>0</v>
      </c>
      <c r="O5726" t="n">
        <v>0</v>
      </c>
      <c r="P5726" t="n">
        <v>0</v>
      </c>
      <c r="Q5726" t="n">
        <v>0</v>
      </c>
      <c r="R5726" s="2" t="inlineStr"/>
    </row>
    <row r="5727" ht="15" customHeight="1">
      <c r="A5727" t="inlineStr">
        <is>
          <t>A 43236-2025</t>
        </is>
      </c>
      <c r="B5727" s="1" t="n">
        <v>45910.51210648148</v>
      </c>
      <c r="C5727" s="1" t="n">
        <v>46046</v>
      </c>
      <c r="D5727" t="inlineStr">
        <is>
          <t>NORRBOTTENS LÄN</t>
        </is>
      </c>
      <c r="E5727" t="inlineStr">
        <is>
          <t>ÖVERTORNEÅ</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60215-2023</t>
        </is>
      </c>
      <c r="B5728" s="1" t="n">
        <v>45258.60766203704</v>
      </c>
      <c r="C5728" s="1" t="n">
        <v>46046</v>
      </c>
      <c r="D5728" t="inlineStr">
        <is>
          <t>NORRBOTTENS LÄN</t>
        </is>
      </c>
      <c r="E5728" t="inlineStr">
        <is>
          <t>JOKKMOKK</t>
        </is>
      </c>
      <c r="F5728" t="inlineStr">
        <is>
          <t>Allmännings- och besparingsskogar</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6986-2025</t>
        </is>
      </c>
      <c r="B5729" s="1" t="n">
        <v>45701</v>
      </c>
      <c r="C5729" s="1" t="n">
        <v>46046</v>
      </c>
      <c r="D5729" t="inlineStr">
        <is>
          <t>NORRBOTTENS LÄN</t>
        </is>
      </c>
      <c r="E5729" t="inlineStr">
        <is>
          <t>LULEÅ</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43420-2025</t>
        </is>
      </c>
      <c r="B5730" s="1" t="n">
        <v>45911.40762731482</v>
      </c>
      <c r="C5730" s="1" t="n">
        <v>46046</v>
      </c>
      <c r="D5730" t="inlineStr">
        <is>
          <t>NORRBOTTENS LÄN</t>
        </is>
      </c>
      <c r="E5730" t="inlineStr">
        <is>
          <t>PITEÅ</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18428-2025</t>
        </is>
      </c>
      <c r="B5731" s="1" t="n">
        <v>45762</v>
      </c>
      <c r="C5731" s="1" t="n">
        <v>46046</v>
      </c>
      <c r="D5731" t="inlineStr">
        <is>
          <t>NORRBOTTENS LÄN</t>
        </is>
      </c>
      <c r="E5731" t="inlineStr">
        <is>
          <t>BODEN</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58096-2024</t>
        </is>
      </c>
      <c r="B5732" s="1" t="n">
        <v>45632.36008101852</v>
      </c>
      <c r="C5732" s="1" t="n">
        <v>46046</v>
      </c>
      <c r="D5732" t="inlineStr">
        <is>
          <t>NORRBOTTENS LÄN</t>
        </is>
      </c>
      <c r="E5732" t="inlineStr">
        <is>
          <t>ÖVERTORNEÅ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43235-2025</t>
        </is>
      </c>
      <c r="B5733" s="1" t="n">
        <v>45910.50967592592</v>
      </c>
      <c r="C5733" s="1" t="n">
        <v>46046</v>
      </c>
      <c r="D5733" t="inlineStr">
        <is>
          <t>NORRBOTTENS LÄN</t>
        </is>
      </c>
      <c r="E5733" t="inlineStr">
        <is>
          <t>ÖVERTORNEÅ</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43310-2025</t>
        </is>
      </c>
      <c r="B5734" s="1" t="n">
        <v>45910</v>
      </c>
      <c r="C5734" s="1" t="n">
        <v>46046</v>
      </c>
      <c r="D5734" t="inlineStr">
        <is>
          <t>NORRBOTTENS LÄN</t>
        </is>
      </c>
      <c r="E5734" t="inlineStr">
        <is>
          <t>BODEN</t>
        </is>
      </c>
      <c r="F5734" t="inlineStr">
        <is>
          <t>Sveaskog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43205-2025</t>
        </is>
      </c>
      <c r="B5735" s="1" t="n">
        <v>45910</v>
      </c>
      <c r="C5735" s="1" t="n">
        <v>46046</v>
      </c>
      <c r="D5735" t="inlineStr">
        <is>
          <t>NORRBOTTENS LÄN</t>
        </is>
      </c>
      <c r="E5735" t="inlineStr">
        <is>
          <t>BODEN</t>
        </is>
      </c>
      <c r="F5735" t="inlineStr">
        <is>
          <t>SCA</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43365-2025</t>
        </is>
      </c>
      <c r="B5736" s="1" t="n">
        <v>45911.34506944445</v>
      </c>
      <c r="C5736" s="1" t="n">
        <v>46046</v>
      </c>
      <c r="D5736" t="inlineStr">
        <is>
          <t>NORRBOTTENS LÄN</t>
        </is>
      </c>
      <c r="E5736" t="inlineStr">
        <is>
          <t>PITEÅ</t>
        </is>
      </c>
      <c r="G5736" t="n">
        <v>11.2</v>
      </c>
      <c r="H5736" t="n">
        <v>0</v>
      </c>
      <c r="I5736" t="n">
        <v>0</v>
      </c>
      <c r="J5736" t="n">
        <v>0</v>
      </c>
      <c r="K5736" t="n">
        <v>0</v>
      </c>
      <c r="L5736" t="n">
        <v>0</v>
      </c>
      <c r="M5736" t="n">
        <v>0</v>
      </c>
      <c r="N5736" t="n">
        <v>0</v>
      </c>
      <c r="O5736" t="n">
        <v>0</v>
      </c>
      <c r="P5736" t="n">
        <v>0</v>
      </c>
      <c r="Q5736" t="n">
        <v>0</v>
      </c>
      <c r="R5736" s="2" t="inlineStr"/>
    </row>
    <row r="5737" ht="15" customHeight="1">
      <c r="A5737" t="inlineStr">
        <is>
          <t>A 43366-2025</t>
        </is>
      </c>
      <c r="B5737" s="1" t="n">
        <v>45911.34520833333</v>
      </c>
      <c r="C5737" s="1" t="n">
        <v>46046</v>
      </c>
      <c r="D5737" t="inlineStr">
        <is>
          <t>NORRBOTTENS LÄN</t>
        </is>
      </c>
      <c r="E5737" t="inlineStr">
        <is>
          <t>PITEÅ</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54769-2024</t>
        </is>
      </c>
      <c r="B5738" s="1" t="n">
        <v>45618.47244212963</v>
      </c>
      <c r="C5738" s="1" t="n">
        <v>46046</v>
      </c>
      <c r="D5738" t="inlineStr">
        <is>
          <t>NORRBOTTENS LÄN</t>
        </is>
      </c>
      <c r="E5738" t="inlineStr">
        <is>
          <t>LULEÅ</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20357-2023</t>
        </is>
      </c>
      <c r="B5739" s="1" t="n">
        <v>45058</v>
      </c>
      <c r="C5739" s="1" t="n">
        <v>46046</v>
      </c>
      <c r="D5739" t="inlineStr">
        <is>
          <t>NORRBOTTENS LÄN</t>
        </is>
      </c>
      <c r="E5739" t="inlineStr">
        <is>
          <t>KALIX</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43270-2025</t>
        </is>
      </c>
      <c r="B5740" s="1" t="n">
        <v>45910.58450231481</v>
      </c>
      <c r="C5740" s="1" t="n">
        <v>46046</v>
      </c>
      <c r="D5740" t="inlineStr">
        <is>
          <t>NORRBOTTENS LÄN</t>
        </is>
      </c>
      <c r="E5740" t="inlineStr">
        <is>
          <t>PAJALA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43274-2025</t>
        </is>
      </c>
      <c r="B5741" s="1" t="n">
        <v>45910.59111111111</v>
      </c>
      <c r="C5741" s="1" t="n">
        <v>46046</v>
      </c>
      <c r="D5741" t="inlineStr">
        <is>
          <t>NORRBOTTENS LÄN</t>
        </is>
      </c>
      <c r="E5741" t="inlineStr">
        <is>
          <t>ARVIDSJAUR</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44411-2024</t>
        </is>
      </c>
      <c r="B5742" s="1" t="n">
        <v>45573</v>
      </c>
      <c r="C5742" s="1" t="n">
        <v>46046</v>
      </c>
      <c r="D5742" t="inlineStr">
        <is>
          <t>NORRBOTTENS LÄN</t>
        </is>
      </c>
      <c r="E5742" t="inlineStr">
        <is>
          <t>KALIX</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43215-2025</t>
        </is>
      </c>
      <c r="B5743" s="1" t="n">
        <v>45910</v>
      </c>
      <c r="C5743" s="1" t="n">
        <v>46046</v>
      </c>
      <c r="D5743" t="inlineStr">
        <is>
          <t>NORRBOTTENS LÄN</t>
        </is>
      </c>
      <c r="E5743" t="inlineStr">
        <is>
          <t>HAPARANDA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43421-2025</t>
        </is>
      </c>
      <c r="B5744" s="1" t="n">
        <v>45911.40780092592</v>
      </c>
      <c r="C5744" s="1" t="n">
        <v>46046</v>
      </c>
      <c r="D5744" t="inlineStr">
        <is>
          <t>NORRBOTTENS LÄN</t>
        </is>
      </c>
      <c r="E5744" t="inlineStr">
        <is>
          <t>PITEÅ</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43815-2025</t>
        </is>
      </c>
      <c r="B5745" s="1" t="n">
        <v>45912.59493055556</v>
      </c>
      <c r="C5745" s="1" t="n">
        <v>46046</v>
      </c>
      <c r="D5745" t="inlineStr">
        <is>
          <t>NORRBOTTENS LÄN</t>
        </is>
      </c>
      <c r="E5745" t="inlineStr">
        <is>
          <t>GÄLLIVARE</t>
        </is>
      </c>
      <c r="F5745" t="inlineStr">
        <is>
          <t>SCA</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44078-2025</t>
        </is>
      </c>
      <c r="B5746" s="1" t="n">
        <v>45915.55196759259</v>
      </c>
      <c r="C5746" s="1" t="n">
        <v>46046</v>
      </c>
      <c r="D5746" t="inlineStr">
        <is>
          <t>NORRBOTTENS LÄN</t>
        </is>
      </c>
      <c r="E5746" t="inlineStr">
        <is>
          <t>PITEÅ</t>
        </is>
      </c>
      <c r="F5746" t="inlineStr">
        <is>
          <t>Sveaskog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43995-2025</t>
        </is>
      </c>
      <c r="B5747" s="1" t="n">
        <v>45915.44668981482</v>
      </c>
      <c r="C5747" s="1" t="n">
        <v>46046</v>
      </c>
      <c r="D5747" t="inlineStr">
        <is>
          <t>NORRBOTTENS LÄN</t>
        </is>
      </c>
      <c r="E5747" t="inlineStr">
        <is>
          <t>PITEÅ</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43997-2025</t>
        </is>
      </c>
      <c r="B5748" s="1" t="n">
        <v>45915.44868055556</v>
      </c>
      <c r="C5748" s="1" t="n">
        <v>46046</v>
      </c>
      <c r="D5748" t="inlineStr">
        <is>
          <t>NORRBOTTENS LÄN</t>
        </is>
      </c>
      <c r="E5748" t="inlineStr">
        <is>
          <t>JOKKMOKK</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44058-2025</t>
        </is>
      </c>
      <c r="B5749" s="1" t="n">
        <v>45915.53155092592</v>
      </c>
      <c r="C5749" s="1" t="n">
        <v>46046</v>
      </c>
      <c r="D5749" t="inlineStr">
        <is>
          <t>NORRBOTTENS LÄN</t>
        </is>
      </c>
      <c r="E5749" t="inlineStr">
        <is>
          <t>PITEÅ</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43786-2025</t>
        </is>
      </c>
      <c r="B5750" s="1" t="n">
        <v>45912.53837962963</v>
      </c>
      <c r="C5750" s="1" t="n">
        <v>46046</v>
      </c>
      <c r="D5750" t="inlineStr">
        <is>
          <t>NORRBOTTENS LÄN</t>
        </is>
      </c>
      <c r="E5750" t="inlineStr">
        <is>
          <t>GÄLLIVARE</t>
        </is>
      </c>
      <c r="F5750" t="inlineStr">
        <is>
          <t>Sveaskog</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43813-2025</t>
        </is>
      </c>
      <c r="B5751" s="1" t="n">
        <v>45912.59456018519</v>
      </c>
      <c r="C5751" s="1" t="n">
        <v>46046</v>
      </c>
      <c r="D5751" t="inlineStr">
        <is>
          <t>NORRBOTTENS LÄN</t>
        </is>
      </c>
      <c r="E5751" t="inlineStr">
        <is>
          <t>GÄLLIVARE</t>
        </is>
      </c>
      <c r="F5751" t="inlineStr">
        <is>
          <t>SCA</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43816-2025</t>
        </is>
      </c>
      <c r="B5752" s="1" t="n">
        <v>45912.59518518519</v>
      </c>
      <c r="C5752" s="1" t="n">
        <v>46046</v>
      </c>
      <c r="D5752" t="inlineStr">
        <is>
          <t>NORRBOTTENS LÄN</t>
        </is>
      </c>
      <c r="E5752" t="inlineStr">
        <is>
          <t>GÄLLIVARE</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56785-2024</t>
        </is>
      </c>
      <c r="B5753" s="1" t="n">
        <v>45625</v>
      </c>
      <c r="C5753" s="1" t="n">
        <v>46046</v>
      </c>
      <c r="D5753" t="inlineStr">
        <is>
          <t>NORRBOTTENS LÄN</t>
        </is>
      </c>
      <c r="E5753" t="inlineStr">
        <is>
          <t>ARJEPLOG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62140-2024</t>
        </is>
      </c>
      <c r="B5754" s="1" t="n">
        <v>45646</v>
      </c>
      <c r="C5754" s="1" t="n">
        <v>46046</v>
      </c>
      <c r="D5754" t="inlineStr">
        <is>
          <t>NORRBOTTENS LÄN</t>
        </is>
      </c>
      <c r="E5754" t="inlineStr">
        <is>
          <t>BODEN</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17784-2025</t>
        </is>
      </c>
      <c r="B5755" s="1" t="n">
        <v>45758</v>
      </c>
      <c r="C5755" s="1" t="n">
        <v>46046</v>
      </c>
      <c r="D5755" t="inlineStr">
        <is>
          <t>NORRBOTTENS LÄN</t>
        </is>
      </c>
      <c r="E5755" t="inlineStr">
        <is>
          <t>JOKKMOKK</t>
        </is>
      </c>
      <c r="F5755" t="inlineStr">
        <is>
          <t>SCA</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43794-2025</t>
        </is>
      </c>
      <c r="B5756" s="1" t="n">
        <v>45912</v>
      </c>
      <c r="C5756" s="1" t="n">
        <v>46046</v>
      </c>
      <c r="D5756" t="inlineStr">
        <is>
          <t>NORRBOTTENS LÄN</t>
        </is>
      </c>
      <c r="E5756" t="inlineStr">
        <is>
          <t>ARVIDSJAUR</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39327-2024</t>
        </is>
      </c>
      <c r="B5757" s="1" t="n">
        <v>45551</v>
      </c>
      <c r="C5757" s="1" t="n">
        <v>46046</v>
      </c>
      <c r="D5757" t="inlineStr">
        <is>
          <t>NORRBOTTENS LÄN</t>
        </is>
      </c>
      <c r="E5757" t="inlineStr">
        <is>
          <t>ÖVERKALIX</t>
        </is>
      </c>
      <c r="F5757" t="inlineStr">
        <is>
          <t>SCA</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43915-2025</t>
        </is>
      </c>
      <c r="B5758" s="1" t="n">
        <v>45914.72663194445</v>
      </c>
      <c r="C5758" s="1" t="n">
        <v>46046</v>
      </c>
      <c r="D5758" t="inlineStr">
        <is>
          <t>NORRBOTTENS LÄN</t>
        </is>
      </c>
      <c r="E5758" t="inlineStr">
        <is>
          <t>PAJALA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44006-2025</t>
        </is>
      </c>
      <c r="B5759" s="1" t="n">
        <v>45915</v>
      </c>
      <c r="C5759" s="1" t="n">
        <v>46046</v>
      </c>
      <c r="D5759" t="inlineStr">
        <is>
          <t>NORRBOTTENS LÄN</t>
        </is>
      </c>
      <c r="E5759" t="inlineStr">
        <is>
          <t>LULEÅ</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48129-2023</t>
        </is>
      </c>
      <c r="B5760" s="1" t="n">
        <v>45205.37278935185</v>
      </c>
      <c r="C5760" s="1" t="n">
        <v>46046</v>
      </c>
      <c r="D5760" t="inlineStr">
        <is>
          <t>NORRBOTTENS LÄN</t>
        </is>
      </c>
      <c r="E5760" t="inlineStr">
        <is>
          <t>BODEN</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44246-2025</t>
        </is>
      </c>
      <c r="B5761" s="1" t="n">
        <v>45915.6815162037</v>
      </c>
      <c r="C5761" s="1" t="n">
        <v>46046</v>
      </c>
      <c r="D5761" t="inlineStr">
        <is>
          <t>NORRBOTTENS LÄN</t>
        </is>
      </c>
      <c r="E5761" t="inlineStr">
        <is>
          <t>KALIX</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43877-2025</t>
        </is>
      </c>
      <c r="B5762" s="1" t="n">
        <v>45912.67767361111</v>
      </c>
      <c r="C5762" s="1" t="n">
        <v>46046</v>
      </c>
      <c r="D5762" t="inlineStr">
        <is>
          <t>NORRBOTTENS LÄN</t>
        </is>
      </c>
      <c r="E5762" t="inlineStr">
        <is>
          <t>PITEÅ</t>
        </is>
      </c>
      <c r="F5762" t="inlineStr">
        <is>
          <t>SCA</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55044-2023</t>
        </is>
      </c>
      <c r="B5763" s="1" t="n">
        <v>45237</v>
      </c>
      <c r="C5763" s="1" t="n">
        <v>46046</v>
      </c>
      <c r="D5763" t="inlineStr">
        <is>
          <t>NORRBOTTENS LÄN</t>
        </is>
      </c>
      <c r="E5763" t="inlineStr">
        <is>
          <t>GÄLLIVARE</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58908-2022</t>
        </is>
      </c>
      <c r="B5764" s="1" t="n">
        <v>44896</v>
      </c>
      <c r="C5764" s="1" t="n">
        <v>46046</v>
      </c>
      <c r="D5764" t="inlineStr">
        <is>
          <t>NORRBOTTENS LÄN</t>
        </is>
      </c>
      <c r="E5764" t="inlineStr">
        <is>
          <t>ÄLVSBYN</t>
        </is>
      </c>
      <c r="G5764" t="n">
        <v>7.8</v>
      </c>
      <c r="H5764" t="n">
        <v>0</v>
      </c>
      <c r="I5764" t="n">
        <v>0</v>
      </c>
      <c r="J5764" t="n">
        <v>0</v>
      </c>
      <c r="K5764" t="n">
        <v>0</v>
      </c>
      <c r="L5764" t="n">
        <v>0</v>
      </c>
      <c r="M5764" t="n">
        <v>0</v>
      </c>
      <c r="N5764" t="n">
        <v>0</v>
      </c>
      <c r="O5764" t="n">
        <v>0</v>
      </c>
      <c r="P5764" t="n">
        <v>0</v>
      </c>
      <c r="Q5764" t="n">
        <v>0</v>
      </c>
      <c r="R5764" s="2" t="inlineStr"/>
    </row>
    <row r="5765" ht="15" customHeight="1">
      <c r="A5765" t="inlineStr">
        <is>
          <t>A 4558-2024</t>
        </is>
      </c>
      <c r="B5765" s="1" t="n">
        <v>45327</v>
      </c>
      <c r="C5765" s="1" t="n">
        <v>46046</v>
      </c>
      <c r="D5765" t="inlineStr">
        <is>
          <t>NORRBOTTENS LÄN</t>
        </is>
      </c>
      <c r="E5765" t="inlineStr">
        <is>
          <t>LULEÅ</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43955-2025</t>
        </is>
      </c>
      <c r="B5766" s="1" t="n">
        <v>45915</v>
      </c>
      <c r="C5766" s="1" t="n">
        <v>46046</v>
      </c>
      <c r="D5766" t="inlineStr">
        <is>
          <t>NORRBOTTENS LÄN</t>
        </is>
      </c>
      <c r="E5766" t="inlineStr">
        <is>
          <t>LULEÅ</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44059-2025</t>
        </is>
      </c>
      <c r="B5767" s="1" t="n">
        <v>45915.53157407408</v>
      </c>
      <c r="C5767" s="1" t="n">
        <v>46046</v>
      </c>
      <c r="D5767" t="inlineStr">
        <is>
          <t>NORRBOTTENS LÄN</t>
        </is>
      </c>
      <c r="E5767" t="inlineStr">
        <is>
          <t>PITEÅ</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44080-2025</t>
        </is>
      </c>
      <c r="B5768" s="1" t="n">
        <v>45915.55274305555</v>
      </c>
      <c r="C5768" s="1" t="n">
        <v>46046</v>
      </c>
      <c r="D5768" t="inlineStr">
        <is>
          <t>NORRBOTTENS LÄN</t>
        </is>
      </c>
      <c r="E5768" t="inlineStr">
        <is>
          <t>PITEÅ</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44120-2024</t>
        </is>
      </c>
      <c r="B5769" s="1" t="n">
        <v>45572.63810185185</v>
      </c>
      <c r="C5769" s="1" t="n">
        <v>46046</v>
      </c>
      <c r="D5769" t="inlineStr">
        <is>
          <t>NORRBOTTENS LÄN</t>
        </is>
      </c>
      <c r="E5769" t="inlineStr">
        <is>
          <t>PITEÅ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26359-2022</t>
        </is>
      </c>
      <c r="B5770" s="1" t="n">
        <v>44735</v>
      </c>
      <c r="C5770" s="1" t="n">
        <v>46046</v>
      </c>
      <c r="D5770" t="inlineStr">
        <is>
          <t>NORRBOTTENS LÄN</t>
        </is>
      </c>
      <c r="E5770" t="inlineStr">
        <is>
          <t>BODEN</t>
        </is>
      </c>
      <c r="F5770" t="inlineStr">
        <is>
          <t>Sveaskog</t>
        </is>
      </c>
      <c r="G5770" t="n">
        <v>11.4</v>
      </c>
      <c r="H5770" t="n">
        <v>0</v>
      </c>
      <c r="I5770" t="n">
        <v>0</v>
      </c>
      <c r="J5770" t="n">
        <v>0</v>
      </c>
      <c r="K5770" t="n">
        <v>0</v>
      </c>
      <c r="L5770" t="n">
        <v>0</v>
      </c>
      <c r="M5770" t="n">
        <v>0</v>
      </c>
      <c r="N5770" t="n">
        <v>0</v>
      </c>
      <c r="O5770" t="n">
        <v>0</v>
      </c>
      <c r="P5770" t="n">
        <v>0</v>
      </c>
      <c r="Q5770" t="n">
        <v>0</v>
      </c>
      <c r="R5770" s="2" t="inlineStr"/>
    </row>
    <row r="5771" ht="15" customHeight="1">
      <c r="A5771" t="inlineStr">
        <is>
          <t>A 43658-2025</t>
        </is>
      </c>
      <c r="B5771" s="1" t="n">
        <v>45912.34276620371</v>
      </c>
      <c r="C5771" s="1" t="n">
        <v>46046</v>
      </c>
      <c r="D5771" t="inlineStr">
        <is>
          <t>NORRBOTTENS LÄN</t>
        </is>
      </c>
      <c r="E5771" t="inlineStr">
        <is>
          <t>JOKKMOKK</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54616-2023</t>
        </is>
      </c>
      <c r="B5772" s="1" t="n">
        <v>45233.95826388889</v>
      </c>
      <c r="C5772" s="1" t="n">
        <v>46046</v>
      </c>
      <c r="D5772" t="inlineStr">
        <is>
          <t>NORRBOTTENS LÄN</t>
        </is>
      </c>
      <c r="E5772" t="inlineStr">
        <is>
          <t>BODEN</t>
        </is>
      </c>
      <c r="F5772" t="inlineStr">
        <is>
          <t>SCA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43838-2025</t>
        </is>
      </c>
      <c r="B5773" s="1" t="n">
        <v>45912.63472222222</v>
      </c>
      <c r="C5773" s="1" t="n">
        <v>46046</v>
      </c>
      <c r="D5773" t="inlineStr">
        <is>
          <t>NORRBOTTENS LÄN</t>
        </is>
      </c>
      <c r="E5773" t="inlineStr">
        <is>
          <t>BODEN</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20286-2025</t>
        </is>
      </c>
      <c r="B5774" s="1" t="n">
        <v>45774</v>
      </c>
      <c r="C5774" s="1" t="n">
        <v>46046</v>
      </c>
      <c r="D5774" t="inlineStr">
        <is>
          <t>NORRBOTTENS LÄN</t>
        </is>
      </c>
      <c r="E5774" t="inlineStr">
        <is>
          <t>GÄLLIVARE</t>
        </is>
      </c>
      <c r="F5774" t="inlineStr">
        <is>
          <t>SCA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22911-2024</t>
        </is>
      </c>
      <c r="B5775" s="1" t="n">
        <v>45448</v>
      </c>
      <c r="C5775" s="1" t="n">
        <v>46046</v>
      </c>
      <c r="D5775" t="inlineStr">
        <is>
          <t>NORRBOTTENS LÄN</t>
        </is>
      </c>
      <c r="E5775" t="inlineStr">
        <is>
          <t>ÖVERTORNEÅ</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16971-2024</t>
        </is>
      </c>
      <c r="B5776" s="1" t="n">
        <v>45411.96709490741</v>
      </c>
      <c r="C5776" s="1" t="n">
        <v>46046</v>
      </c>
      <c r="D5776" t="inlineStr">
        <is>
          <t>NORRBOTTENS LÄN</t>
        </is>
      </c>
      <c r="E5776" t="inlineStr">
        <is>
          <t>KALIX</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43910-2025</t>
        </is>
      </c>
      <c r="B5777" s="1" t="n">
        <v>45914</v>
      </c>
      <c r="C5777" s="1" t="n">
        <v>46046</v>
      </c>
      <c r="D5777" t="inlineStr">
        <is>
          <t>NORRBOTTENS LÄN</t>
        </is>
      </c>
      <c r="E5777" t="inlineStr">
        <is>
          <t>PITEÅ</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43803-2025</t>
        </is>
      </c>
      <c r="B5778" s="1" t="n">
        <v>45912</v>
      </c>
      <c r="C5778" s="1" t="n">
        <v>46046</v>
      </c>
      <c r="D5778" t="inlineStr">
        <is>
          <t>NORRBOTTENS LÄN</t>
        </is>
      </c>
      <c r="E5778" t="inlineStr">
        <is>
          <t>JOKKMOKK</t>
        </is>
      </c>
      <c r="F5778" t="inlineStr">
        <is>
          <t>SCA</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43820-2025</t>
        </is>
      </c>
      <c r="B5779" s="1" t="n">
        <v>45912.60663194444</v>
      </c>
      <c r="C5779" s="1" t="n">
        <v>46046</v>
      </c>
      <c r="D5779" t="inlineStr">
        <is>
          <t>NORRBOTTENS LÄN</t>
        </is>
      </c>
      <c r="E5779" t="inlineStr">
        <is>
          <t>PITEÅ</t>
        </is>
      </c>
      <c r="F5779" t="inlineStr">
        <is>
          <t>Sveaskog</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43821-2025</t>
        </is>
      </c>
      <c r="B5780" s="1" t="n">
        <v>45912.60855324074</v>
      </c>
      <c r="C5780" s="1" t="n">
        <v>46046</v>
      </c>
      <c r="D5780" t="inlineStr">
        <is>
          <t>NORRBOTTENS LÄN</t>
        </is>
      </c>
      <c r="E5780" t="inlineStr">
        <is>
          <t>PITEÅ</t>
        </is>
      </c>
      <c r="F5780" t="inlineStr">
        <is>
          <t>Sveaskog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31699-2023</t>
        </is>
      </c>
      <c r="B5781" s="1" t="n">
        <v>45117</v>
      </c>
      <c r="C5781" s="1" t="n">
        <v>46046</v>
      </c>
      <c r="D5781" t="inlineStr">
        <is>
          <t>NORRBOTTENS LÄN</t>
        </is>
      </c>
      <c r="E5781" t="inlineStr">
        <is>
          <t>ÖVERTORNEÅ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43973-2025</t>
        </is>
      </c>
      <c r="B5782" s="1" t="n">
        <v>45915.40732638889</v>
      </c>
      <c r="C5782" s="1" t="n">
        <v>46046</v>
      </c>
      <c r="D5782" t="inlineStr">
        <is>
          <t>NORRBOTTENS LÄN</t>
        </is>
      </c>
      <c r="E5782" t="inlineStr">
        <is>
          <t>BODEN</t>
        </is>
      </c>
      <c r="F5782" t="inlineStr">
        <is>
          <t>SCA</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36839-2023</t>
        </is>
      </c>
      <c r="B5783" s="1" t="n">
        <v>45153</v>
      </c>
      <c r="C5783" s="1" t="n">
        <v>46046</v>
      </c>
      <c r="D5783" t="inlineStr">
        <is>
          <t>NORRBOTTENS LÄN</t>
        </is>
      </c>
      <c r="E5783" t="inlineStr">
        <is>
          <t>ÖVERKALIX</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43993-2025</t>
        </is>
      </c>
      <c r="B5784" s="1" t="n">
        <v>45915</v>
      </c>
      <c r="C5784" s="1" t="n">
        <v>46046</v>
      </c>
      <c r="D5784" t="inlineStr">
        <is>
          <t>NORRBOTTENS LÄN</t>
        </is>
      </c>
      <c r="E5784" t="inlineStr">
        <is>
          <t>BODEN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43674-2025</t>
        </is>
      </c>
      <c r="B5785" s="1" t="n">
        <v>45912.36547453704</v>
      </c>
      <c r="C5785" s="1" t="n">
        <v>46046</v>
      </c>
      <c r="D5785" t="inlineStr">
        <is>
          <t>NORRBOTTENS LÄN</t>
        </is>
      </c>
      <c r="E5785" t="inlineStr">
        <is>
          <t>PITEÅ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43675-2025</t>
        </is>
      </c>
      <c r="B5786" s="1" t="n">
        <v>45912.36555555555</v>
      </c>
      <c r="C5786" s="1" t="n">
        <v>46046</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48373-2024</t>
        </is>
      </c>
      <c r="B5787" s="1" t="n">
        <v>45590</v>
      </c>
      <c r="C5787" s="1" t="n">
        <v>46046</v>
      </c>
      <c r="D5787" t="inlineStr">
        <is>
          <t>NORRBOTTENS LÄN</t>
        </is>
      </c>
      <c r="E5787" t="inlineStr">
        <is>
          <t>ARVIDSJAUR</t>
        </is>
      </c>
      <c r="F5787" t="inlineStr">
        <is>
          <t>Sveaskog</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43659-2025</t>
        </is>
      </c>
      <c r="B5788" s="1" t="n">
        <v>45912</v>
      </c>
      <c r="C5788" s="1" t="n">
        <v>46046</v>
      </c>
      <c r="D5788" t="inlineStr">
        <is>
          <t>NORRBOTTENS LÄN</t>
        </is>
      </c>
      <c r="E5788" t="inlineStr">
        <is>
          <t>PITEÅ</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43953-2025</t>
        </is>
      </c>
      <c r="B5789" s="1" t="n">
        <v>45915.38332175926</v>
      </c>
      <c r="C5789" s="1" t="n">
        <v>46046</v>
      </c>
      <c r="D5789" t="inlineStr">
        <is>
          <t>NORRBOTTENS LÄN</t>
        </is>
      </c>
      <c r="E5789" t="inlineStr">
        <is>
          <t>LULEÅ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52976-2024</t>
        </is>
      </c>
      <c r="B5790" s="1" t="n">
        <v>45611.34413194445</v>
      </c>
      <c r="C5790" s="1" t="n">
        <v>46046</v>
      </c>
      <c r="D5790" t="inlineStr">
        <is>
          <t>NORRBOTTENS LÄN</t>
        </is>
      </c>
      <c r="E5790" t="inlineStr">
        <is>
          <t>ÖVERKALIX</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14207-2024</t>
        </is>
      </c>
      <c r="B5791" s="1" t="n">
        <v>45393</v>
      </c>
      <c r="C5791" s="1" t="n">
        <v>46046</v>
      </c>
      <c r="D5791" t="inlineStr">
        <is>
          <t>NORRBOTTENS LÄN</t>
        </is>
      </c>
      <c r="E5791" t="inlineStr">
        <is>
          <t>KALIX</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43735-2025</t>
        </is>
      </c>
      <c r="B5792" s="1" t="n">
        <v>45912</v>
      </c>
      <c r="C5792" s="1" t="n">
        <v>46046</v>
      </c>
      <c r="D5792" t="inlineStr">
        <is>
          <t>NORRBOTTENS LÄN</t>
        </is>
      </c>
      <c r="E5792" t="inlineStr">
        <is>
          <t>PITEÅ</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61568-2024</t>
        </is>
      </c>
      <c r="B5793" s="1" t="n">
        <v>45646.61572916667</v>
      </c>
      <c r="C5793" s="1" t="n">
        <v>46046</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62406-2023</t>
        </is>
      </c>
      <c r="B5794" s="1" t="n">
        <v>45266</v>
      </c>
      <c r="C5794" s="1" t="n">
        <v>46046</v>
      </c>
      <c r="D5794" t="inlineStr">
        <is>
          <t>NORRBOTTENS LÄN</t>
        </is>
      </c>
      <c r="E5794" t="inlineStr">
        <is>
          <t>ÄLVSBYN</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43976-2025</t>
        </is>
      </c>
      <c r="B5795" s="1" t="n">
        <v>45915</v>
      </c>
      <c r="C5795" s="1" t="n">
        <v>46046</v>
      </c>
      <c r="D5795" t="inlineStr">
        <is>
          <t>NORRBOTTENS LÄN</t>
        </is>
      </c>
      <c r="E5795" t="inlineStr">
        <is>
          <t>LULEÅ</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54526-2024</t>
        </is>
      </c>
      <c r="B5796" s="1" t="n">
        <v>45617.60194444445</v>
      </c>
      <c r="C5796" s="1" t="n">
        <v>46046</v>
      </c>
      <c r="D5796" t="inlineStr">
        <is>
          <t>NORRBOTTENS LÄN</t>
        </is>
      </c>
      <c r="E5796" t="inlineStr">
        <is>
          <t>PITEÅ</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57939-2023</t>
        </is>
      </c>
      <c r="B5797" s="1" t="n">
        <v>45247</v>
      </c>
      <c r="C5797" s="1" t="n">
        <v>46046</v>
      </c>
      <c r="D5797" t="inlineStr">
        <is>
          <t>NORRBOTTENS LÄN</t>
        </is>
      </c>
      <c r="E5797" t="inlineStr">
        <is>
          <t>KALIX</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43711-2025</t>
        </is>
      </c>
      <c r="B5798" s="1" t="n">
        <v>45912.40695601852</v>
      </c>
      <c r="C5798" s="1" t="n">
        <v>46046</v>
      </c>
      <c r="D5798" t="inlineStr">
        <is>
          <t>NORRBOTTENS LÄN</t>
        </is>
      </c>
      <c r="E5798" t="inlineStr">
        <is>
          <t>BODEN</t>
        </is>
      </c>
      <c r="G5798" t="n">
        <v>10.1</v>
      </c>
      <c r="H5798" t="n">
        <v>0</v>
      </c>
      <c r="I5798" t="n">
        <v>0</v>
      </c>
      <c r="J5798" t="n">
        <v>0</v>
      </c>
      <c r="K5798" t="n">
        <v>0</v>
      </c>
      <c r="L5798" t="n">
        <v>0</v>
      </c>
      <c r="M5798" t="n">
        <v>0</v>
      </c>
      <c r="N5798" t="n">
        <v>0</v>
      </c>
      <c r="O5798" t="n">
        <v>0</v>
      </c>
      <c r="P5798" t="n">
        <v>0</v>
      </c>
      <c r="Q5798" t="n">
        <v>0</v>
      </c>
      <c r="R5798" s="2" t="inlineStr"/>
    </row>
    <row r="5799" ht="15" customHeight="1">
      <c r="A5799" t="inlineStr">
        <is>
          <t>A 43710-2025</t>
        </is>
      </c>
      <c r="B5799" s="1" t="n">
        <v>45912.40694444445</v>
      </c>
      <c r="C5799" s="1" t="n">
        <v>46046</v>
      </c>
      <c r="D5799" t="inlineStr">
        <is>
          <t>NORRBOTTENS LÄN</t>
        </is>
      </c>
      <c r="E5799" t="inlineStr">
        <is>
          <t>BODEN</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64262-2023</t>
        </is>
      </c>
      <c r="B5800" s="1" t="n">
        <v>45279</v>
      </c>
      <c r="C5800" s="1" t="n">
        <v>46046</v>
      </c>
      <c r="D5800" t="inlineStr">
        <is>
          <t>NORRBOTTENS LÄN</t>
        </is>
      </c>
      <c r="E5800" t="inlineStr">
        <is>
          <t>GÄLLIVARE</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59516-2022</t>
        </is>
      </c>
      <c r="B5801" s="1" t="n">
        <v>44907.52800925926</v>
      </c>
      <c r="C5801" s="1" t="n">
        <v>46046</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44239-2025</t>
        </is>
      </c>
      <c r="B5802" s="1" t="n">
        <v>45915.67467592593</v>
      </c>
      <c r="C5802" s="1" t="n">
        <v>46046</v>
      </c>
      <c r="D5802" t="inlineStr">
        <is>
          <t>NORRBOTTENS LÄN</t>
        </is>
      </c>
      <c r="E5802" t="inlineStr">
        <is>
          <t>KALIX</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44249-2025</t>
        </is>
      </c>
      <c r="B5803" s="1" t="n">
        <v>45915.69679398148</v>
      </c>
      <c r="C5803" s="1" t="n">
        <v>46046</v>
      </c>
      <c r="D5803" t="inlineStr">
        <is>
          <t>NORRBOTTENS LÄN</t>
        </is>
      </c>
      <c r="E5803" t="inlineStr">
        <is>
          <t>BODEN</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43719-2025</t>
        </is>
      </c>
      <c r="B5804" s="1" t="n">
        <v>45912</v>
      </c>
      <c r="C5804" s="1" t="n">
        <v>46046</v>
      </c>
      <c r="D5804" t="inlineStr">
        <is>
          <t>NORRBOTTENS LÄN</t>
        </is>
      </c>
      <c r="E5804" t="inlineStr">
        <is>
          <t>BODEN</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40017-2025</t>
        </is>
      </c>
      <c r="B5805" s="1" t="n">
        <v>45894.35148148148</v>
      </c>
      <c r="C5805" s="1" t="n">
        <v>46046</v>
      </c>
      <c r="D5805" t="inlineStr">
        <is>
          <t>NORRBOTTENS LÄN</t>
        </is>
      </c>
      <c r="E5805" t="inlineStr">
        <is>
          <t>KALIX</t>
        </is>
      </c>
      <c r="G5805" t="n">
        <v>9.199999999999999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19401-2021</t>
        </is>
      </c>
      <c r="B5806" s="1" t="n">
        <v>44309.91943287037</v>
      </c>
      <c r="C5806" s="1" t="n">
        <v>46046</v>
      </c>
      <c r="D5806" t="inlineStr">
        <is>
          <t>NORRBOTTENS LÄN</t>
        </is>
      </c>
      <c r="E5806" t="inlineStr">
        <is>
          <t>ÖVERTORNEÅ</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43671-2025</t>
        </is>
      </c>
      <c r="B5807" s="1" t="n">
        <v>45912.36501157407</v>
      </c>
      <c r="C5807" s="1" t="n">
        <v>46046</v>
      </c>
      <c r="D5807" t="inlineStr">
        <is>
          <t>NORRBOTTENS LÄN</t>
        </is>
      </c>
      <c r="E5807" t="inlineStr">
        <is>
          <t>KALIX</t>
        </is>
      </c>
      <c r="F5807" t="inlineStr">
        <is>
          <t>SCA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43673-2025</t>
        </is>
      </c>
      <c r="B5808" s="1" t="n">
        <v>45912</v>
      </c>
      <c r="C5808" s="1" t="n">
        <v>46046</v>
      </c>
      <c r="D5808" t="inlineStr">
        <is>
          <t>NORRBOTTENS LÄN</t>
        </is>
      </c>
      <c r="E5808" t="inlineStr">
        <is>
          <t>PITEÅ</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43676-2025</t>
        </is>
      </c>
      <c r="B5809" s="1" t="n">
        <v>45912.36561342593</v>
      </c>
      <c r="C5809" s="1" t="n">
        <v>46046</v>
      </c>
      <c r="D5809" t="inlineStr">
        <is>
          <t>NORRBOTTENS LÄN</t>
        </is>
      </c>
      <c r="E5809" t="inlineStr">
        <is>
          <t>PITEÅ</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44605-2025</t>
        </is>
      </c>
      <c r="B5810" s="1" t="n">
        <v>45917</v>
      </c>
      <c r="C5810" s="1" t="n">
        <v>46046</v>
      </c>
      <c r="D5810" t="inlineStr">
        <is>
          <t>NORRBOTTENS LÄN</t>
        </is>
      </c>
      <c r="E5810" t="inlineStr">
        <is>
          <t>BODEN</t>
        </is>
      </c>
      <c r="F5810" t="inlineStr">
        <is>
          <t>SCA</t>
        </is>
      </c>
      <c r="G5810" t="n">
        <v>1.7</v>
      </c>
      <c r="H5810" t="n">
        <v>0</v>
      </c>
      <c r="I5810" t="n">
        <v>0</v>
      </c>
      <c r="J5810" t="n">
        <v>0</v>
      </c>
      <c r="K5810" t="n">
        <v>0</v>
      </c>
      <c r="L5810" t="n">
        <v>0</v>
      </c>
      <c r="M5810" t="n">
        <v>0</v>
      </c>
      <c r="N5810" t="n">
        <v>0</v>
      </c>
      <c r="O5810" t="n">
        <v>0</v>
      </c>
      <c r="P5810" t="n">
        <v>0</v>
      </c>
      <c r="Q5810" t="n">
        <v>0</v>
      </c>
      <c r="R5810" s="2" t="inlineStr"/>
      <c r="U5810">
        <f>HYPERLINK("https://klasma.github.io/Logging_2582/knärot/A 44605-2025 karta knärot.png", "A 44605-2025")</f>
        <v/>
      </c>
      <c r="V5810">
        <f>HYPERLINK("https://klasma.github.io/Logging_2582/klagomål/A 44605-2025 FSC-klagomål.docx", "A 44605-2025")</f>
        <v/>
      </c>
      <c r="W5810">
        <f>HYPERLINK("https://klasma.github.io/Logging_2582/klagomålsmail/A 44605-2025 FSC-klagomål mail.docx", "A 44605-2025")</f>
        <v/>
      </c>
      <c r="X5810">
        <f>HYPERLINK("https://klasma.github.io/Logging_2582/tillsyn/A 44605-2025 tillsynsbegäran.docx", "A 44605-2025")</f>
        <v/>
      </c>
      <c r="Y5810">
        <f>HYPERLINK("https://klasma.github.io/Logging_2582/tillsynsmail/A 44605-2025 tillsynsbegäran mail.docx", "A 44605-2025")</f>
        <v/>
      </c>
    </row>
    <row r="5811" ht="15" customHeight="1">
      <c r="A5811" t="inlineStr">
        <is>
          <t>A 44662-2025</t>
        </is>
      </c>
      <c r="B5811" s="1" t="n">
        <v>45917.55898148148</v>
      </c>
      <c r="C5811" s="1" t="n">
        <v>46046</v>
      </c>
      <c r="D5811" t="inlineStr">
        <is>
          <t>NORRBOTTENS LÄN</t>
        </is>
      </c>
      <c r="E5811" t="inlineStr">
        <is>
          <t>LULEÅ</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32741-2024</t>
        </is>
      </c>
      <c r="B5812" s="1" t="n">
        <v>45516.43961805556</v>
      </c>
      <c r="C5812" s="1" t="n">
        <v>46046</v>
      </c>
      <c r="D5812" t="inlineStr">
        <is>
          <t>NORRBOTTENS LÄN</t>
        </is>
      </c>
      <c r="E5812" t="inlineStr">
        <is>
          <t>ÖVERTORNEÅ</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44462-2025</t>
        </is>
      </c>
      <c r="B5813" s="1" t="n">
        <v>45916</v>
      </c>
      <c r="C5813" s="1" t="n">
        <v>46046</v>
      </c>
      <c r="D5813" t="inlineStr">
        <is>
          <t>NORRBOTTENS LÄN</t>
        </is>
      </c>
      <c r="E5813" t="inlineStr">
        <is>
          <t>LULEÅ</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44754-2025</t>
        </is>
      </c>
      <c r="B5814" s="1" t="n">
        <v>45917</v>
      </c>
      <c r="C5814" s="1" t="n">
        <v>46046</v>
      </c>
      <c r="D5814" t="inlineStr">
        <is>
          <t>NORRBOTTENS LÄN</t>
        </is>
      </c>
      <c r="E5814" t="inlineStr">
        <is>
          <t>ÖVERKALIX</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54859-2023</t>
        </is>
      </c>
      <c r="B5815" s="1" t="n">
        <v>45229</v>
      </c>
      <c r="C5815" s="1" t="n">
        <v>46046</v>
      </c>
      <c r="D5815" t="inlineStr">
        <is>
          <t>NORRBOTTENS LÄN</t>
        </is>
      </c>
      <c r="E5815" t="inlineStr">
        <is>
          <t>PITEÅ</t>
        </is>
      </c>
      <c r="F5815" t="inlineStr">
        <is>
          <t>Kommuner</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44581-2025</t>
        </is>
      </c>
      <c r="B5816" s="1" t="n">
        <v>45917.40671296296</v>
      </c>
      <c r="C5816" s="1" t="n">
        <v>46046</v>
      </c>
      <c r="D5816" t="inlineStr">
        <is>
          <t>NORRBOTTENS LÄN</t>
        </is>
      </c>
      <c r="E5816" t="inlineStr">
        <is>
          <t>PITEÅ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34021-2021</t>
        </is>
      </c>
      <c r="B5817" s="1" t="n">
        <v>44378</v>
      </c>
      <c r="C5817" s="1" t="n">
        <v>46046</v>
      </c>
      <c r="D5817" t="inlineStr">
        <is>
          <t>NORRBOTTENS LÄN</t>
        </is>
      </c>
      <c r="E5817" t="inlineStr">
        <is>
          <t>BODEN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2234-2024</t>
        </is>
      </c>
      <c r="B5818" s="1" t="n">
        <v>45309.94634259259</v>
      </c>
      <c r="C5818" s="1" t="n">
        <v>46046</v>
      </c>
      <c r="D5818" t="inlineStr">
        <is>
          <t>NORRBOTTENS LÄN</t>
        </is>
      </c>
      <c r="E5818" t="inlineStr">
        <is>
          <t>PAJALA</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2235-2024</t>
        </is>
      </c>
      <c r="B5819" s="1" t="n">
        <v>45309.94641203704</v>
      </c>
      <c r="C5819" s="1" t="n">
        <v>46046</v>
      </c>
      <c r="D5819" t="inlineStr">
        <is>
          <t>NORRBOTTENS LÄN</t>
        </is>
      </c>
      <c r="E5819" t="inlineStr">
        <is>
          <t>PAJALA</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29960-2023</t>
        </is>
      </c>
      <c r="B5820" s="1" t="n">
        <v>45107.93924768519</v>
      </c>
      <c r="C5820" s="1" t="n">
        <v>46046</v>
      </c>
      <c r="D5820" t="inlineStr">
        <is>
          <t>NORRBOTTENS LÄN</t>
        </is>
      </c>
      <c r="E5820" t="inlineStr">
        <is>
          <t>ÖVERKALIX</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44500-2025</t>
        </is>
      </c>
      <c r="B5821" s="1" t="n">
        <v>45916.67736111111</v>
      </c>
      <c r="C5821" s="1" t="n">
        <v>46046</v>
      </c>
      <c r="D5821" t="inlineStr">
        <is>
          <t>NORRBOTTENS LÄN</t>
        </is>
      </c>
      <c r="E5821" t="inlineStr">
        <is>
          <t>ÄLVSBYN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44463-2025</t>
        </is>
      </c>
      <c r="B5822" s="1" t="n">
        <v>45916</v>
      </c>
      <c r="C5822" s="1" t="n">
        <v>46046</v>
      </c>
      <c r="D5822" t="inlineStr">
        <is>
          <t>NORRBOTTENS LÄN</t>
        </is>
      </c>
      <c r="E5822" t="inlineStr">
        <is>
          <t>LULEÅ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30305-2024</t>
        </is>
      </c>
      <c r="B5823" s="1" t="n">
        <v>45490</v>
      </c>
      <c r="C5823" s="1" t="n">
        <v>46046</v>
      </c>
      <c r="D5823" t="inlineStr">
        <is>
          <t>NORRBOTTENS LÄN</t>
        </is>
      </c>
      <c r="E5823" t="inlineStr">
        <is>
          <t>JOKKMOKK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30308-2024</t>
        </is>
      </c>
      <c r="B5824" s="1" t="n">
        <v>45490</v>
      </c>
      <c r="C5824" s="1" t="n">
        <v>46046</v>
      </c>
      <c r="D5824" t="inlineStr">
        <is>
          <t>NORRBOTTENS LÄN</t>
        </is>
      </c>
      <c r="E5824" t="inlineStr">
        <is>
          <t>JOKKMOKK</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30310-2024</t>
        </is>
      </c>
      <c r="B5825" s="1" t="n">
        <v>45490</v>
      </c>
      <c r="C5825" s="1" t="n">
        <v>46046</v>
      </c>
      <c r="D5825" t="inlineStr">
        <is>
          <t>NORRBOTTENS LÄN</t>
        </is>
      </c>
      <c r="E5825" t="inlineStr">
        <is>
          <t>JOKKMOKK</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30312-2024</t>
        </is>
      </c>
      <c r="B5826" s="1" t="n">
        <v>45490</v>
      </c>
      <c r="C5826" s="1" t="n">
        <v>46046</v>
      </c>
      <c r="D5826" t="inlineStr">
        <is>
          <t>NORRBOTTENS LÄN</t>
        </is>
      </c>
      <c r="E5826" t="inlineStr">
        <is>
          <t>JOKKMOKK</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44447-2025</t>
        </is>
      </c>
      <c r="B5827" s="1" t="n">
        <v>45916.5984837963</v>
      </c>
      <c r="C5827" s="1" t="n">
        <v>46046</v>
      </c>
      <c r="D5827" t="inlineStr">
        <is>
          <t>NORRBOTTENS LÄN</t>
        </is>
      </c>
      <c r="E5827" t="inlineStr">
        <is>
          <t>PITEÅ</t>
        </is>
      </c>
      <c r="F5827" t="inlineStr">
        <is>
          <t>Sveaskog</t>
        </is>
      </c>
      <c r="G5827" t="n">
        <v>35.9</v>
      </c>
      <c r="H5827" t="n">
        <v>0</v>
      </c>
      <c r="I5827" t="n">
        <v>0</v>
      </c>
      <c r="J5827" t="n">
        <v>0</v>
      </c>
      <c r="K5827" t="n">
        <v>0</v>
      </c>
      <c r="L5827" t="n">
        <v>0</v>
      </c>
      <c r="M5827" t="n">
        <v>0</v>
      </c>
      <c r="N5827" t="n">
        <v>0</v>
      </c>
      <c r="O5827" t="n">
        <v>0</v>
      </c>
      <c r="P5827" t="n">
        <v>0</v>
      </c>
      <c r="Q5827" t="n">
        <v>0</v>
      </c>
      <c r="R5827" s="2" t="inlineStr"/>
    </row>
    <row r="5828" ht="15" customHeight="1">
      <c r="A5828" t="inlineStr">
        <is>
          <t>A 44449-2025</t>
        </is>
      </c>
      <c r="B5828" s="1" t="n">
        <v>45916</v>
      </c>
      <c r="C5828" s="1" t="n">
        <v>46046</v>
      </c>
      <c r="D5828" t="inlineStr">
        <is>
          <t>NORRBOTTENS LÄN</t>
        </is>
      </c>
      <c r="E5828" t="inlineStr">
        <is>
          <t>GÄLLIVARE</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43672-2025</t>
        </is>
      </c>
      <c r="B5829" s="1" t="n">
        <v>45912</v>
      </c>
      <c r="C5829" s="1" t="n">
        <v>46046</v>
      </c>
      <c r="D5829" t="inlineStr">
        <is>
          <t>NORRBOTTENS LÄN</t>
        </is>
      </c>
      <c r="E5829" t="inlineStr">
        <is>
          <t>GÄLLIVARE</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49299-2024</t>
        </is>
      </c>
      <c r="B5830" s="1" t="n">
        <v>45595.54366898148</v>
      </c>
      <c r="C5830" s="1" t="n">
        <v>46046</v>
      </c>
      <c r="D5830" t="inlineStr">
        <is>
          <t>NORRBOTTENS LÄN</t>
        </is>
      </c>
      <c r="E5830" t="inlineStr">
        <is>
          <t>ÖVERTORNEÅ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57577-2024</t>
        </is>
      </c>
      <c r="B5831" s="1" t="n">
        <v>45630</v>
      </c>
      <c r="C5831" s="1" t="n">
        <v>46046</v>
      </c>
      <c r="D5831" t="inlineStr">
        <is>
          <t>NORRBOTTENS LÄN</t>
        </is>
      </c>
      <c r="E5831" t="inlineStr">
        <is>
          <t>PAJALA</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44640-2025</t>
        </is>
      </c>
      <c r="B5832" s="1" t="n">
        <v>45917.52008101852</v>
      </c>
      <c r="C5832" s="1" t="n">
        <v>46046</v>
      </c>
      <c r="D5832" t="inlineStr">
        <is>
          <t>NORRBOTTENS LÄN</t>
        </is>
      </c>
      <c r="E5832" t="inlineStr">
        <is>
          <t>ARVIDSJAUR</t>
        </is>
      </c>
      <c r="F5832" t="inlineStr">
        <is>
          <t>Övriga Aktiebolag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44375-2025</t>
        </is>
      </c>
      <c r="B5833" s="1" t="n">
        <v>45916.47452546296</v>
      </c>
      <c r="C5833" s="1" t="n">
        <v>46046</v>
      </c>
      <c r="D5833" t="inlineStr">
        <is>
          <t>NORRBOTTENS LÄN</t>
        </is>
      </c>
      <c r="E5833" t="inlineStr">
        <is>
          <t>ÄLVSBYN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44691-2025</t>
        </is>
      </c>
      <c r="B5834" s="1" t="n">
        <v>45917.59425925926</v>
      </c>
      <c r="C5834" s="1" t="n">
        <v>46046</v>
      </c>
      <c r="D5834" t="inlineStr">
        <is>
          <t>NORRBOTTENS LÄN</t>
        </is>
      </c>
      <c r="E5834" t="inlineStr">
        <is>
          <t>JOKKMOKK</t>
        </is>
      </c>
      <c r="F5834" t="inlineStr">
        <is>
          <t>SCA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7283-2025</t>
        </is>
      </c>
      <c r="B5835" s="1" t="n">
        <v>45702.63587962963</v>
      </c>
      <c r="C5835" s="1" t="n">
        <v>46046</v>
      </c>
      <c r="D5835" t="inlineStr">
        <is>
          <t>NORRBOTTENS LÄN</t>
        </is>
      </c>
      <c r="E5835" t="inlineStr">
        <is>
          <t>BODEN</t>
        </is>
      </c>
      <c r="F5835" t="inlineStr">
        <is>
          <t>SCA</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44440-2025</t>
        </is>
      </c>
      <c r="B5836" s="1" t="n">
        <v>45916.58972222222</v>
      </c>
      <c r="C5836" s="1" t="n">
        <v>46046</v>
      </c>
      <c r="D5836" t="inlineStr">
        <is>
          <t>NORRBOTTENS LÄN</t>
        </is>
      </c>
      <c r="E5836" t="inlineStr">
        <is>
          <t>GÄLLIVARE</t>
        </is>
      </c>
      <c r="F5836" t="inlineStr">
        <is>
          <t>Sveaskog</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12562-2024</t>
        </is>
      </c>
      <c r="B5837" s="1" t="n">
        <v>45379</v>
      </c>
      <c r="C5837" s="1" t="n">
        <v>46046</v>
      </c>
      <c r="D5837" t="inlineStr">
        <is>
          <t>NORRBOTTENS LÄN</t>
        </is>
      </c>
      <c r="E5837" t="inlineStr">
        <is>
          <t>BODEN</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44285-2025</t>
        </is>
      </c>
      <c r="B5838" s="1" t="n">
        <v>45916.34553240741</v>
      </c>
      <c r="C5838" s="1" t="n">
        <v>46046</v>
      </c>
      <c r="D5838" t="inlineStr">
        <is>
          <t>NORRBOTTENS LÄN</t>
        </is>
      </c>
      <c r="E5838" t="inlineStr">
        <is>
          <t>PITEÅ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44359-2025</t>
        </is>
      </c>
      <c r="B5839" s="1" t="n">
        <v>45916.45111111111</v>
      </c>
      <c r="C5839" s="1" t="n">
        <v>46046</v>
      </c>
      <c r="D5839" t="inlineStr">
        <is>
          <t>NORRBOTTENS LÄN</t>
        </is>
      </c>
      <c r="E5839" t="inlineStr">
        <is>
          <t>PITEÅ</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44373-2025</t>
        </is>
      </c>
      <c r="B5840" s="1" t="n">
        <v>45916.46555555556</v>
      </c>
      <c r="C5840" s="1" t="n">
        <v>46046</v>
      </c>
      <c r="D5840" t="inlineStr">
        <is>
          <t>NORRBOTTENS LÄN</t>
        </is>
      </c>
      <c r="E5840" t="inlineStr">
        <is>
          <t>GÄLLIVARE</t>
        </is>
      </c>
      <c r="F5840" t="inlineStr">
        <is>
          <t>Sveaskog</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31039-2024</t>
        </is>
      </c>
      <c r="B5841" s="1" t="n">
        <v>45501.91951388889</v>
      </c>
      <c r="C5841" s="1" t="n">
        <v>46046</v>
      </c>
      <c r="D5841" t="inlineStr">
        <is>
          <t>NORRBOTTENS LÄN</t>
        </is>
      </c>
      <c r="E5841" t="inlineStr">
        <is>
          <t>LULEÅ</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700-2025</t>
        </is>
      </c>
      <c r="B5842" s="1" t="n">
        <v>45663</v>
      </c>
      <c r="C5842" s="1" t="n">
        <v>46046</v>
      </c>
      <c r="D5842" t="inlineStr">
        <is>
          <t>NORRBOTTENS LÄN</t>
        </is>
      </c>
      <c r="E5842" t="inlineStr">
        <is>
          <t>LULEÅ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44732-2025</t>
        </is>
      </c>
      <c r="B5843" s="1" t="n">
        <v>45917.65427083334</v>
      </c>
      <c r="C5843" s="1" t="n">
        <v>46046</v>
      </c>
      <c r="D5843" t="inlineStr">
        <is>
          <t>NORRBOTTENS LÄN</t>
        </is>
      </c>
      <c r="E5843" t="inlineStr">
        <is>
          <t>PITEÅ</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44748-2025</t>
        </is>
      </c>
      <c r="B5844" s="1" t="n">
        <v>45917.67791666667</v>
      </c>
      <c r="C5844" s="1" t="n">
        <v>46046</v>
      </c>
      <c r="D5844" t="inlineStr">
        <is>
          <t>NORRBOTTENS LÄN</t>
        </is>
      </c>
      <c r="E5844" t="inlineStr">
        <is>
          <t>KALIX</t>
        </is>
      </c>
      <c r="F5844" t="inlineStr">
        <is>
          <t>SCA</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44749-2025</t>
        </is>
      </c>
      <c r="B5845" s="1" t="n">
        <v>45917.67810185185</v>
      </c>
      <c r="C5845" s="1" t="n">
        <v>46046</v>
      </c>
      <c r="D5845" t="inlineStr">
        <is>
          <t>NORRBOTTENS LÄN</t>
        </is>
      </c>
      <c r="E5845" t="inlineStr">
        <is>
          <t>KALIX</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4928-2025</t>
        </is>
      </c>
      <c r="B5846" s="1" t="n">
        <v>45688.68462962963</v>
      </c>
      <c r="C5846" s="1" t="n">
        <v>46046</v>
      </c>
      <c r="D5846" t="inlineStr">
        <is>
          <t>NORRBOTTENS LÄN</t>
        </is>
      </c>
      <c r="E5846" t="inlineStr">
        <is>
          <t>ÄLVSBYN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42796-2022</t>
        </is>
      </c>
      <c r="B5847" s="1" t="n">
        <v>44832.58216435185</v>
      </c>
      <c r="C5847" s="1" t="n">
        <v>46046</v>
      </c>
      <c r="D5847" t="inlineStr">
        <is>
          <t>NORRBOTTENS LÄN</t>
        </is>
      </c>
      <c r="E5847" t="inlineStr">
        <is>
          <t>PAJALA</t>
        </is>
      </c>
      <c r="G5847" t="n">
        <v>31.1</v>
      </c>
      <c r="H5847" t="n">
        <v>0</v>
      </c>
      <c r="I5847" t="n">
        <v>0</v>
      </c>
      <c r="J5847" t="n">
        <v>0</v>
      </c>
      <c r="K5847" t="n">
        <v>0</v>
      </c>
      <c r="L5847" t="n">
        <v>0</v>
      </c>
      <c r="M5847" t="n">
        <v>0</v>
      </c>
      <c r="N5847" t="n">
        <v>0</v>
      </c>
      <c r="O5847" t="n">
        <v>0</v>
      </c>
      <c r="P5847" t="n">
        <v>0</v>
      </c>
      <c r="Q5847" t="n">
        <v>0</v>
      </c>
      <c r="R5847" s="2" t="inlineStr"/>
    </row>
    <row r="5848" ht="15" customHeight="1">
      <c r="A5848" t="inlineStr">
        <is>
          <t>A 44350-2025</t>
        </is>
      </c>
      <c r="B5848" s="1" t="n">
        <v>45916</v>
      </c>
      <c r="C5848" s="1" t="n">
        <v>46046</v>
      </c>
      <c r="D5848" t="inlineStr">
        <is>
          <t>NORRBOTTENS LÄN</t>
        </is>
      </c>
      <c r="E5848" t="inlineStr">
        <is>
          <t>KALIX</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44378-2025</t>
        </is>
      </c>
      <c r="B5849" s="1" t="n">
        <v>45916.47724537037</v>
      </c>
      <c r="C5849" s="1" t="n">
        <v>46046</v>
      </c>
      <c r="D5849" t="inlineStr">
        <is>
          <t>NORRBOTTENS LÄN</t>
        </is>
      </c>
      <c r="E5849" t="inlineStr">
        <is>
          <t>ÄLVSBYN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6806-2025</t>
        </is>
      </c>
      <c r="B5850" s="1" t="n">
        <v>45700.68622685185</v>
      </c>
      <c r="C5850" s="1" t="n">
        <v>46046</v>
      </c>
      <c r="D5850" t="inlineStr">
        <is>
          <t>NORRBOTTENS LÄN</t>
        </is>
      </c>
      <c r="E5850" t="inlineStr">
        <is>
          <t>HAPARANDA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44443-2025</t>
        </is>
      </c>
      <c r="B5851" s="1" t="n">
        <v>45916</v>
      </c>
      <c r="C5851" s="1" t="n">
        <v>46046</v>
      </c>
      <c r="D5851" t="inlineStr">
        <is>
          <t>NORRBOTTENS LÄN</t>
        </is>
      </c>
      <c r="E5851" t="inlineStr">
        <is>
          <t>LULEÅ</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44444-2025</t>
        </is>
      </c>
      <c r="B5852" s="1" t="n">
        <v>45916.59509259259</v>
      </c>
      <c r="C5852" s="1" t="n">
        <v>46046</v>
      </c>
      <c r="D5852" t="inlineStr">
        <is>
          <t>NORRBOTTENS LÄN</t>
        </is>
      </c>
      <c r="E5852" t="inlineStr">
        <is>
          <t>GÄLLIVARE</t>
        </is>
      </c>
      <c r="F5852" t="inlineStr">
        <is>
          <t>Sveaskog</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44409-2025</t>
        </is>
      </c>
      <c r="B5853" s="1" t="n">
        <v>45916</v>
      </c>
      <c r="C5853" s="1" t="n">
        <v>46046</v>
      </c>
      <c r="D5853" t="inlineStr">
        <is>
          <t>NORRBOTTENS LÄN</t>
        </is>
      </c>
      <c r="E5853" t="inlineStr">
        <is>
          <t>ÄLVSBYN</t>
        </is>
      </c>
      <c r="F5853" t="inlineStr">
        <is>
          <t>SCA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5476-2024</t>
        </is>
      </c>
      <c r="B5854" s="1" t="n">
        <v>45333</v>
      </c>
      <c r="C5854" s="1" t="n">
        <v>46046</v>
      </c>
      <c r="D5854" t="inlineStr">
        <is>
          <t>NORRBOTTENS LÄN</t>
        </is>
      </c>
      <c r="E5854" t="inlineStr">
        <is>
          <t>KIRUNA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11856-2023</t>
        </is>
      </c>
      <c r="B5855" s="1" t="n">
        <v>44995</v>
      </c>
      <c r="C5855" s="1" t="n">
        <v>46046</v>
      </c>
      <c r="D5855" t="inlineStr">
        <is>
          <t>NORRBOTTENS LÄN</t>
        </is>
      </c>
      <c r="E5855" t="inlineStr">
        <is>
          <t>KALIX</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44613-2025</t>
        </is>
      </c>
      <c r="B5856" s="1" t="n">
        <v>45917.45298611111</v>
      </c>
      <c r="C5856" s="1" t="n">
        <v>46046</v>
      </c>
      <c r="D5856" t="inlineStr">
        <is>
          <t>NORRBOTTENS LÄN</t>
        </is>
      </c>
      <c r="E5856" t="inlineStr">
        <is>
          <t>ARVIDSJAUR</t>
        </is>
      </c>
      <c r="F5856" t="inlineStr">
        <is>
          <t>Övriga Aktiebolag</t>
        </is>
      </c>
      <c r="G5856" t="n">
        <v>11.6</v>
      </c>
      <c r="H5856" t="n">
        <v>0</v>
      </c>
      <c r="I5856" t="n">
        <v>0</v>
      </c>
      <c r="J5856" t="n">
        <v>0</v>
      </c>
      <c r="K5856" t="n">
        <v>0</v>
      </c>
      <c r="L5856" t="n">
        <v>0</v>
      </c>
      <c r="M5856" t="n">
        <v>0</v>
      </c>
      <c r="N5856" t="n">
        <v>0</v>
      </c>
      <c r="O5856" t="n">
        <v>0</v>
      </c>
      <c r="P5856" t="n">
        <v>0</v>
      </c>
      <c r="Q5856" t="n">
        <v>0</v>
      </c>
      <c r="R5856" s="2" t="inlineStr"/>
    </row>
    <row r="5857" ht="15" customHeight="1">
      <c r="A5857" t="inlineStr">
        <is>
          <t>A 44317-2025</t>
        </is>
      </c>
      <c r="B5857" s="1" t="n">
        <v>45916.39554398148</v>
      </c>
      <c r="C5857" s="1" t="n">
        <v>46046</v>
      </c>
      <c r="D5857" t="inlineStr">
        <is>
          <t>NORRBOTTENS LÄN</t>
        </is>
      </c>
      <c r="E5857" t="inlineStr">
        <is>
          <t>ARVIDSJAUR</t>
        </is>
      </c>
      <c r="F5857" t="inlineStr">
        <is>
          <t>Sveaskog</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46760-2024</t>
        </is>
      </c>
      <c r="B5858" s="1" t="n">
        <v>45583.49115740741</v>
      </c>
      <c r="C5858" s="1" t="n">
        <v>46046</v>
      </c>
      <c r="D5858" t="inlineStr">
        <is>
          <t>NORRBOTTENS LÄN</t>
        </is>
      </c>
      <c r="E5858" t="inlineStr">
        <is>
          <t>PAJALA</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44606-2025</t>
        </is>
      </c>
      <c r="B5859" s="1" t="n">
        <v>45917.4485300926</v>
      </c>
      <c r="C5859" s="1" t="n">
        <v>46046</v>
      </c>
      <c r="D5859" t="inlineStr">
        <is>
          <t>NORRBOTTENS LÄN</t>
        </is>
      </c>
      <c r="E5859" t="inlineStr">
        <is>
          <t>JOKKMOKK</t>
        </is>
      </c>
      <c r="F5859" t="inlineStr">
        <is>
          <t>SCA</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20259-2025</t>
        </is>
      </c>
      <c r="B5860" s="1" t="n">
        <v>45773.344375</v>
      </c>
      <c r="C5860" s="1" t="n">
        <v>46046</v>
      </c>
      <c r="D5860" t="inlineStr">
        <is>
          <t>NORRBOTTENS LÄN</t>
        </is>
      </c>
      <c r="E5860" t="inlineStr">
        <is>
          <t>GÄLLIVARE</t>
        </is>
      </c>
      <c r="F5860" t="inlineStr">
        <is>
          <t>SCA</t>
        </is>
      </c>
      <c r="G5860" t="n">
        <v>25.2</v>
      </c>
      <c r="H5860" t="n">
        <v>0</v>
      </c>
      <c r="I5860" t="n">
        <v>0</v>
      </c>
      <c r="J5860" t="n">
        <v>0</v>
      </c>
      <c r="K5860" t="n">
        <v>0</v>
      </c>
      <c r="L5860" t="n">
        <v>0</v>
      </c>
      <c r="M5860" t="n">
        <v>0</v>
      </c>
      <c r="N5860" t="n">
        <v>0</v>
      </c>
      <c r="O5860" t="n">
        <v>0</v>
      </c>
      <c r="P5860" t="n">
        <v>0</v>
      </c>
      <c r="Q5860" t="n">
        <v>0</v>
      </c>
      <c r="R5860" s="2" t="inlineStr"/>
    </row>
    <row r="5861" ht="15" customHeight="1">
      <c r="A5861" t="inlineStr">
        <is>
          <t>A 8551-2025</t>
        </is>
      </c>
      <c r="B5861" s="1" t="n">
        <v>45709</v>
      </c>
      <c r="C5861" s="1" t="n">
        <v>46046</v>
      </c>
      <c r="D5861" t="inlineStr">
        <is>
          <t>NORRBOTTENS LÄN</t>
        </is>
      </c>
      <c r="E5861" t="inlineStr">
        <is>
          <t>ÄLVSBYN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8554-2025</t>
        </is>
      </c>
      <c r="B5862" s="1" t="n">
        <v>45709</v>
      </c>
      <c r="C5862" s="1" t="n">
        <v>46046</v>
      </c>
      <c r="D5862" t="inlineStr">
        <is>
          <t>NORRBOTTENS LÄN</t>
        </is>
      </c>
      <c r="E5862" t="inlineStr">
        <is>
          <t>ÄLVSBYN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45062-2025</t>
        </is>
      </c>
      <c r="B5863" s="1" t="n">
        <v>45919.34480324074</v>
      </c>
      <c r="C5863" s="1" t="n">
        <v>46046</v>
      </c>
      <c r="D5863" t="inlineStr">
        <is>
          <t>NORRBOTTENS LÄN</t>
        </is>
      </c>
      <c r="E5863" t="inlineStr">
        <is>
          <t>PITEÅ</t>
        </is>
      </c>
      <c r="F5863" t="inlineStr">
        <is>
          <t>SCA</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45065-2025</t>
        </is>
      </c>
      <c r="B5864" s="1" t="n">
        <v>45919.34540509259</v>
      </c>
      <c r="C5864" s="1" t="n">
        <v>46046</v>
      </c>
      <c r="D5864" t="inlineStr">
        <is>
          <t>NORRBOTTENS LÄN</t>
        </is>
      </c>
      <c r="E5864" t="inlineStr">
        <is>
          <t>JOKKMOKK</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5435-2023</t>
        </is>
      </c>
      <c r="B5865" s="1" t="n">
        <v>44959</v>
      </c>
      <c r="C5865" s="1" t="n">
        <v>46046</v>
      </c>
      <c r="D5865" t="inlineStr">
        <is>
          <t>NORRBOTTENS LÄN</t>
        </is>
      </c>
      <c r="E5865" t="inlineStr">
        <is>
          <t>PAJALA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45187-2025</t>
        </is>
      </c>
      <c r="B5866" s="1" t="n">
        <v>45919.54172453703</v>
      </c>
      <c r="C5866" s="1" t="n">
        <v>46046</v>
      </c>
      <c r="D5866" t="inlineStr">
        <is>
          <t>NORRBOTTENS LÄN</t>
        </is>
      </c>
      <c r="E5866" t="inlineStr">
        <is>
          <t>ARVIDSJAUR</t>
        </is>
      </c>
      <c r="F5866" t="inlineStr">
        <is>
          <t>Sveaskog</t>
        </is>
      </c>
      <c r="G5866" t="n">
        <v>17.4</v>
      </c>
      <c r="H5866" t="n">
        <v>0</v>
      </c>
      <c r="I5866" t="n">
        <v>0</v>
      </c>
      <c r="J5866" t="n">
        <v>0</v>
      </c>
      <c r="K5866" t="n">
        <v>0</v>
      </c>
      <c r="L5866" t="n">
        <v>0</v>
      </c>
      <c r="M5866" t="n">
        <v>0</v>
      </c>
      <c r="N5866" t="n">
        <v>0</v>
      </c>
      <c r="O5866" t="n">
        <v>0</v>
      </c>
      <c r="P5866" t="n">
        <v>0</v>
      </c>
      <c r="Q5866" t="n">
        <v>0</v>
      </c>
      <c r="R5866" s="2" t="inlineStr"/>
    </row>
    <row r="5867" ht="15" customHeight="1">
      <c r="A5867" t="inlineStr">
        <is>
          <t>A 26119-2023</t>
        </is>
      </c>
      <c r="B5867" s="1" t="n">
        <v>45091.44225694444</v>
      </c>
      <c r="C5867" s="1" t="n">
        <v>46046</v>
      </c>
      <c r="D5867" t="inlineStr">
        <is>
          <t>NORRBOTTENS LÄN</t>
        </is>
      </c>
      <c r="E5867" t="inlineStr">
        <is>
          <t>PITEÅ</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45012-2025</t>
        </is>
      </c>
      <c r="B5868" s="1" t="n">
        <v>45918</v>
      </c>
      <c r="C5868" s="1" t="n">
        <v>46046</v>
      </c>
      <c r="D5868" t="inlineStr">
        <is>
          <t>NORRBOTTENS LÄN</t>
        </is>
      </c>
      <c r="E5868" t="inlineStr">
        <is>
          <t>KALIX</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44958-2025</t>
        </is>
      </c>
      <c r="B5869" s="1" t="n">
        <v>45918.61519675926</v>
      </c>
      <c r="C5869" s="1" t="n">
        <v>46046</v>
      </c>
      <c r="D5869" t="inlineStr">
        <is>
          <t>NORRBOTTENS LÄN</t>
        </is>
      </c>
      <c r="E5869" t="inlineStr">
        <is>
          <t>JOKKMOKK</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44985-2025</t>
        </is>
      </c>
      <c r="B5870" s="1" t="n">
        <v>45918.65290509259</v>
      </c>
      <c r="C5870" s="1" t="n">
        <v>46046</v>
      </c>
      <c r="D5870" t="inlineStr">
        <is>
          <t>NORRBOTTENS LÄN</t>
        </is>
      </c>
      <c r="E5870" t="inlineStr">
        <is>
          <t>PAJALA</t>
        </is>
      </c>
      <c r="F5870" t="inlineStr">
        <is>
          <t>Sveaskog</t>
        </is>
      </c>
      <c r="G5870" t="n">
        <v>17.8</v>
      </c>
      <c r="H5870" t="n">
        <v>0</v>
      </c>
      <c r="I5870" t="n">
        <v>0</v>
      </c>
      <c r="J5870" t="n">
        <v>0</v>
      </c>
      <c r="K5870" t="n">
        <v>0</v>
      </c>
      <c r="L5870" t="n">
        <v>0</v>
      </c>
      <c r="M5870" t="n">
        <v>0</v>
      </c>
      <c r="N5870" t="n">
        <v>0</v>
      </c>
      <c r="O5870" t="n">
        <v>0</v>
      </c>
      <c r="P5870" t="n">
        <v>0</v>
      </c>
      <c r="Q5870" t="n">
        <v>0</v>
      </c>
      <c r="R5870" s="2" t="inlineStr"/>
    </row>
    <row r="5871" ht="15" customHeight="1">
      <c r="A5871" t="inlineStr">
        <is>
          <t>A 27709-2022</t>
        </is>
      </c>
      <c r="B5871" s="1" t="n">
        <v>44743</v>
      </c>
      <c r="C5871" s="1" t="n">
        <v>46046</v>
      </c>
      <c r="D5871" t="inlineStr">
        <is>
          <t>NORRBOTTENS LÄN</t>
        </is>
      </c>
      <c r="E5871" t="inlineStr">
        <is>
          <t>PAJALA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45182-2025</t>
        </is>
      </c>
      <c r="B5872" s="1" t="n">
        <v>45919</v>
      </c>
      <c r="C5872" s="1" t="n">
        <v>46046</v>
      </c>
      <c r="D5872" t="inlineStr">
        <is>
          <t>NORRBOTTENS LÄN</t>
        </is>
      </c>
      <c r="E5872" t="inlineStr">
        <is>
          <t>ÄLVSBYN</t>
        </is>
      </c>
      <c r="G5872" t="n">
        <v>9.800000000000001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56470-2023</t>
        </is>
      </c>
      <c r="B5873" s="1" t="n">
        <v>45237</v>
      </c>
      <c r="C5873" s="1" t="n">
        <v>46046</v>
      </c>
      <c r="D5873" t="inlineStr">
        <is>
          <t>NORRBOTTENS LÄN</t>
        </is>
      </c>
      <c r="E5873" t="inlineStr">
        <is>
          <t>KALIX</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45200-2025</t>
        </is>
      </c>
      <c r="B5874" s="1" t="n">
        <v>45919.56200231481</v>
      </c>
      <c r="C5874" s="1" t="n">
        <v>46046</v>
      </c>
      <c r="D5874" t="inlineStr">
        <is>
          <t>NORRBOTTENS LÄN</t>
        </is>
      </c>
      <c r="E5874" t="inlineStr">
        <is>
          <t>ARVIDSJAUR</t>
        </is>
      </c>
      <c r="F5874" t="inlineStr">
        <is>
          <t>Sveaskog</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45227-2025</t>
        </is>
      </c>
      <c r="B5875" s="1" t="n">
        <v>45919.58480324074</v>
      </c>
      <c r="C5875" s="1" t="n">
        <v>46046</v>
      </c>
      <c r="D5875" t="inlineStr">
        <is>
          <t>NORRBOTTENS LÄN</t>
        </is>
      </c>
      <c r="E5875" t="inlineStr">
        <is>
          <t>ARVIDSJAUR</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45148-2025</t>
        </is>
      </c>
      <c r="B5876" s="1" t="n">
        <v>45919.46903935185</v>
      </c>
      <c r="C5876" s="1" t="n">
        <v>46046</v>
      </c>
      <c r="D5876" t="inlineStr">
        <is>
          <t>NORRBOTTENS LÄN</t>
        </is>
      </c>
      <c r="E5876" t="inlineStr">
        <is>
          <t>PITEÅ</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18008-2024</t>
        </is>
      </c>
      <c r="B5877" s="1" t="n">
        <v>45419.94920138889</v>
      </c>
      <c r="C5877" s="1" t="n">
        <v>46046</v>
      </c>
      <c r="D5877" t="inlineStr">
        <is>
          <t>NORRBOTTENS LÄN</t>
        </is>
      </c>
      <c r="E5877" t="inlineStr">
        <is>
          <t>KALIX</t>
        </is>
      </c>
      <c r="F5877" t="inlineStr">
        <is>
          <t>SCA</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18012-2024</t>
        </is>
      </c>
      <c r="B5878" s="1" t="n">
        <v>45419</v>
      </c>
      <c r="C5878" s="1" t="n">
        <v>46046</v>
      </c>
      <c r="D5878" t="inlineStr">
        <is>
          <t>NORRBOTTENS LÄN</t>
        </is>
      </c>
      <c r="E5878" t="inlineStr">
        <is>
          <t>KALIX</t>
        </is>
      </c>
      <c r="F5878" t="inlineStr">
        <is>
          <t>SCA</t>
        </is>
      </c>
      <c r="G5878" t="n">
        <v>12.2</v>
      </c>
      <c r="H5878" t="n">
        <v>0</v>
      </c>
      <c r="I5878" t="n">
        <v>0</v>
      </c>
      <c r="J5878" t="n">
        <v>0</v>
      </c>
      <c r="K5878" t="n">
        <v>0</v>
      </c>
      <c r="L5878" t="n">
        <v>0</v>
      </c>
      <c r="M5878" t="n">
        <v>0</v>
      </c>
      <c r="N5878" t="n">
        <v>0</v>
      </c>
      <c r="O5878" t="n">
        <v>0</v>
      </c>
      <c r="P5878" t="n">
        <v>0</v>
      </c>
      <c r="Q5878" t="n">
        <v>0</v>
      </c>
      <c r="R5878" s="2" t="inlineStr"/>
    </row>
    <row r="5879" ht="15" customHeight="1">
      <c r="A5879" t="inlineStr">
        <is>
          <t>A 64372-2023</t>
        </is>
      </c>
      <c r="B5879" s="1" t="n">
        <v>45280</v>
      </c>
      <c r="C5879" s="1" t="n">
        <v>46046</v>
      </c>
      <c r="D5879" t="inlineStr">
        <is>
          <t>NORRBOTTENS LÄN</t>
        </is>
      </c>
      <c r="E5879" t="inlineStr">
        <is>
          <t>GÄLLIVARE</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45104-2025</t>
        </is>
      </c>
      <c r="B5880" s="1" t="n">
        <v>45919</v>
      </c>
      <c r="C5880" s="1" t="n">
        <v>46046</v>
      </c>
      <c r="D5880" t="inlineStr">
        <is>
          <t>NORRBOTTENS LÄN</t>
        </is>
      </c>
      <c r="E5880" t="inlineStr">
        <is>
          <t>ARVIDSJAUR</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34693-2022</t>
        </is>
      </c>
      <c r="B5881" s="1" t="n">
        <v>44795</v>
      </c>
      <c r="C5881" s="1" t="n">
        <v>46046</v>
      </c>
      <c r="D5881" t="inlineStr">
        <is>
          <t>NORRBOTTENS LÄN</t>
        </is>
      </c>
      <c r="E5881" t="inlineStr">
        <is>
          <t>KIRUNA</t>
        </is>
      </c>
      <c r="G5881" t="n">
        <v>12.3</v>
      </c>
      <c r="H5881" t="n">
        <v>0</v>
      </c>
      <c r="I5881" t="n">
        <v>0</v>
      </c>
      <c r="J5881" t="n">
        <v>0</v>
      </c>
      <c r="K5881" t="n">
        <v>0</v>
      </c>
      <c r="L5881" t="n">
        <v>0</v>
      </c>
      <c r="M5881" t="n">
        <v>0</v>
      </c>
      <c r="N5881" t="n">
        <v>0</v>
      </c>
      <c r="O5881" t="n">
        <v>0</v>
      </c>
      <c r="P5881" t="n">
        <v>0</v>
      </c>
      <c r="Q5881" t="n">
        <v>0</v>
      </c>
      <c r="R5881" s="2" t="inlineStr"/>
    </row>
    <row r="5882" ht="15" customHeight="1">
      <c r="A5882" t="inlineStr">
        <is>
          <t>A 10832-2025</t>
        </is>
      </c>
      <c r="B5882" s="1" t="n">
        <v>45722</v>
      </c>
      <c r="C5882" s="1" t="n">
        <v>46046</v>
      </c>
      <c r="D5882" t="inlineStr">
        <is>
          <t>NORRBOTTENS LÄN</t>
        </is>
      </c>
      <c r="E5882" t="inlineStr">
        <is>
          <t>ARVIDSJAUR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10852-2025</t>
        </is>
      </c>
      <c r="B5883" s="1" t="n">
        <v>45722</v>
      </c>
      <c r="C5883" s="1" t="n">
        <v>46046</v>
      </c>
      <c r="D5883" t="inlineStr">
        <is>
          <t>NORRBOTTENS LÄN</t>
        </is>
      </c>
      <c r="E5883" t="inlineStr">
        <is>
          <t>ARVIDSJAUR</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11651-2023</t>
        </is>
      </c>
      <c r="B5884" s="1" t="n">
        <v>44994</v>
      </c>
      <c r="C5884" s="1" t="n">
        <v>46046</v>
      </c>
      <c r="D5884" t="inlineStr">
        <is>
          <t>NORRBOTTENS LÄN</t>
        </is>
      </c>
      <c r="E5884" t="inlineStr">
        <is>
          <t>BODEN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45261-2025</t>
        </is>
      </c>
      <c r="B5885" s="1" t="n">
        <v>45919</v>
      </c>
      <c r="C5885" s="1" t="n">
        <v>46046</v>
      </c>
      <c r="D5885" t="inlineStr">
        <is>
          <t>NORRBOTTENS LÄN</t>
        </is>
      </c>
      <c r="E5885" t="inlineStr">
        <is>
          <t>ÖVERTORNEÅ</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45186-2025</t>
        </is>
      </c>
      <c r="B5886" s="1" t="n">
        <v>45919</v>
      </c>
      <c r="C5886" s="1" t="n">
        <v>46046</v>
      </c>
      <c r="D5886" t="inlineStr">
        <is>
          <t>NORRBOTTENS LÄN</t>
        </is>
      </c>
      <c r="E5886" t="inlineStr">
        <is>
          <t>ÄLVSBYN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45197-2025</t>
        </is>
      </c>
      <c r="B5887" s="1" t="n">
        <v>45919</v>
      </c>
      <c r="C5887" s="1" t="n">
        <v>46046</v>
      </c>
      <c r="D5887" t="inlineStr">
        <is>
          <t>NORRBOTTENS LÄN</t>
        </is>
      </c>
      <c r="E5887" t="inlineStr">
        <is>
          <t>ARVIDSJAUR</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45209-2025</t>
        </is>
      </c>
      <c r="B5888" s="1" t="n">
        <v>45919.56777777777</v>
      </c>
      <c r="C5888" s="1" t="n">
        <v>46046</v>
      </c>
      <c r="D5888" t="inlineStr">
        <is>
          <t>NORRBOTTENS LÄN</t>
        </is>
      </c>
      <c r="E5888" t="inlineStr">
        <is>
          <t>BODEN</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45211-2025</t>
        </is>
      </c>
      <c r="B5889" s="1" t="n">
        <v>45919.57042824074</v>
      </c>
      <c r="C5889" s="1" t="n">
        <v>46046</v>
      </c>
      <c r="D5889" t="inlineStr">
        <is>
          <t>NORRBOTTENS LÄN</t>
        </is>
      </c>
      <c r="E5889" t="inlineStr">
        <is>
          <t>BODEN</t>
        </is>
      </c>
      <c r="F5889" t="inlineStr">
        <is>
          <t>Sveaskog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45061-2025</t>
        </is>
      </c>
      <c r="B5890" s="1" t="n">
        <v>45919.34473379629</v>
      </c>
      <c r="C5890" s="1" t="n">
        <v>46046</v>
      </c>
      <c r="D5890" t="inlineStr">
        <is>
          <t>NORRBOTTENS LÄN</t>
        </is>
      </c>
      <c r="E5890" t="inlineStr">
        <is>
          <t>PITEÅ</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19317-2025</t>
        </is>
      </c>
      <c r="B5891" s="1" t="n">
        <v>45769</v>
      </c>
      <c r="C5891" s="1" t="n">
        <v>46046</v>
      </c>
      <c r="D5891" t="inlineStr">
        <is>
          <t>NORRBOTTENS LÄN</t>
        </is>
      </c>
      <c r="E5891" t="inlineStr">
        <is>
          <t>PAJALA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45219-2025</t>
        </is>
      </c>
      <c r="B5892" s="1" t="n">
        <v>45919.57630787037</v>
      </c>
      <c r="C5892" s="1" t="n">
        <v>46046</v>
      </c>
      <c r="D5892" t="inlineStr">
        <is>
          <t>NORRBOTTENS LÄN</t>
        </is>
      </c>
      <c r="E5892" t="inlineStr">
        <is>
          <t>ARVIDSJAUR</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45215-2025</t>
        </is>
      </c>
      <c r="B5893" s="1" t="n">
        <v>45919.57234953704</v>
      </c>
      <c r="C5893" s="1" t="n">
        <v>46046</v>
      </c>
      <c r="D5893" t="inlineStr">
        <is>
          <t>NORRBOTTENS LÄN</t>
        </is>
      </c>
      <c r="E5893" t="inlineStr">
        <is>
          <t>ARVIDSJAUR</t>
        </is>
      </c>
      <c r="F5893" t="inlineStr">
        <is>
          <t>Sveaskog</t>
        </is>
      </c>
      <c r="G5893" t="n">
        <v>12.9</v>
      </c>
      <c r="H5893" t="n">
        <v>0</v>
      </c>
      <c r="I5893" t="n">
        <v>0</v>
      </c>
      <c r="J5893" t="n">
        <v>0</v>
      </c>
      <c r="K5893" t="n">
        <v>0</v>
      </c>
      <c r="L5893" t="n">
        <v>0</v>
      </c>
      <c r="M5893" t="n">
        <v>0</v>
      </c>
      <c r="N5893" t="n">
        <v>0</v>
      </c>
      <c r="O5893" t="n">
        <v>0</v>
      </c>
      <c r="P5893" t="n">
        <v>0</v>
      </c>
      <c r="Q5893" t="n">
        <v>0</v>
      </c>
      <c r="R5893" s="2" t="inlineStr"/>
    </row>
    <row r="5894" ht="15" customHeight="1">
      <c r="A5894" t="inlineStr">
        <is>
          <t>A 57117-2024</t>
        </is>
      </c>
      <c r="B5894" s="1" t="n">
        <v>45629</v>
      </c>
      <c r="C5894" s="1" t="n">
        <v>46046</v>
      </c>
      <c r="D5894" t="inlineStr">
        <is>
          <t>NORRBOTTENS LÄN</t>
        </is>
      </c>
      <c r="E5894" t="inlineStr">
        <is>
          <t>KALIX</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45064-2025</t>
        </is>
      </c>
      <c r="B5895" s="1" t="n">
        <v>45919.34533564815</v>
      </c>
      <c r="C5895" s="1" t="n">
        <v>46046</v>
      </c>
      <c r="D5895" t="inlineStr">
        <is>
          <t>NORRBOTTENS LÄN</t>
        </is>
      </c>
      <c r="E5895" t="inlineStr">
        <is>
          <t>JOKKMOKK</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45066-2025</t>
        </is>
      </c>
      <c r="B5896" s="1" t="n">
        <v>45919.34554398148</v>
      </c>
      <c r="C5896" s="1" t="n">
        <v>46046</v>
      </c>
      <c r="D5896" t="inlineStr">
        <is>
          <t>NORRBOTTENS LÄN</t>
        </is>
      </c>
      <c r="E5896" t="inlineStr">
        <is>
          <t>ÄLVSBYN</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56800-2024</t>
        </is>
      </c>
      <c r="B5897" s="1" t="n">
        <v>45625</v>
      </c>
      <c r="C5897" s="1" t="n">
        <v>46046</v>
      </c>
      <c r="D5897" t="inlineStr">
        <is>
          <t>NORRBOTTENS LÄN</t>
        </is>
      </c>
      <c r="E5897" t="inlineStr">
        <is>
          <t>ARJEPLOG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63221-2023</t>
        </is>
      </c>
      <c r="B5898" s="1" t="n">
        <v>45273.63354166667</v>
      </c>
      <c r="C5898" s="1" t="n">
        <v>46046</v>
      </c>
      <c r="D5898" t="inlineStr">
        <is>
          <t>NORRBOTTENS LÄN</t>
        </is>
      </c>
      <c r="E5898" t="inlineStr">
        <is>
          <t>PITEÅ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45067-2025</t>
        </is>
      </c>
      <c r="B5899" s="1" t="n">
        <v>45919.34576388889</v>
      </c>
      <c r="C5899" s="1" t="n">
        <v>46046</v>
      </c>
      <c r="D5899" t="inlineStr">
        <is>
          <t>NORRBOTTENS LÄN</t>
        </is>
      </c>
      <c r="E5899" t="inlineStr">
        <is>
          <t>PITEÅ</t>
        </is>
      </c>
      <c r="F5899" t="inlineStr">
        <is>
          <t>SCA</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45107-2025</t>
        </is>
      </c>
      <c r="B5900" s="1" t="n">
        <v>45919</v>
      </c>
      <c r="C5900" s="1" t="n">
        <v>46046</v>
      </c>
      <c r="D5900" t="inlineStr">
        <is>
          <t>NORRBOTTENS LÄN</t>
        </is>
      </c>
      <c r="E5900" t="inlineStr">
        <is>
          <t>ARVIDSJAUR</t>
        </is>
      </c>
      <c r="F5900" t="inlineStr">
        <is>
          <t>Allmännings- och besparingsskogar</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35220-2022</t>
        </is>
      </c>
      <c r="B5901" s="1" t="n">
        <v>44797.92714120371</v>
      </c>
      <c r="C5901" s="1" t="n">
        <v>46046</v>
      </c>
      <c r="D5901" t="inlineStr">
        <is>
          <t>NORRBOTTENS LÄN</t>
        </is>
      </c>
      <c r="E5901" t="inlineStr">
        <is>
          <t>ÖVERTORNEÅ</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45138-2025</t>
        </is>
      </c>
      <c r="B5902" s="1" t="n">
        <v>45919.45427083333</v>
      </c>
      <c r="C5902" s="1" t="n">
        <v>46046</v>
      </c>
      <c r="D5902" t="inlineStr">
        <is>
          <t>NORRBOTTENS LÄN</t>
        </is>
      </c>
      <c r="E5902" t="inlineStr">
        <is>
          <t>ARVIDSJAUR</t>
        </is>
      </c>
      <c r="F5902" t="inlineStr">
        <is>
          <t>Sveaskog</t>
        </is>
      </c>
      <c r="G5902" t="n">
        <v>30.7</v>
      </c>
      <c r="H5902" t="n">
        <v>0</v>
      </c>
      <c r="I5902" t="n">
        <v>0</v>
      </c>
      <c r="J5902" t="n">
        <v>0</v>
      </c>
      <c r="K5902" t="n">
        <v>0</v>
      </c>
      <c r="L5902" t="n">
        <v>0</v>
      </c>
      <c r="M5902" t="n">
        <v>0</v>
      </c>
      <c r="N5902" t="n">
        <v>0</v>
      </c>
      <c r="O5902" t="n">
        <v>0</v>
      </c>
      <c r="P5902" t="n">
        <v>0</v>
      </c>
      <c r="Q5902" t="n">
        <v>0</v>
      </c>
      <c r="R5902" s="2" t="inlineStr"/>
    </row>
    <row r="5903" ht="15" customHeight="1">
      <c r="A5903" t="inlineStr">
        <is>
          <t>A 10377-2025</t>
        </is>
      </c>
      <c r="B5903" s="1" t="n">
        <v>45720.5630787037</v>
      </c>
      <c r="C5903" s="1" t="n">
        <v>46046</v>
      </c>
      <c r="D5903" t="inlineStr">
        <is>
          <t>NORRBOTTENS LÄN</t>
        </is>
      </c>
      <c r="E5903" t="inlineStr">
        <is>
          <t>LULEÅ</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16052-2025</t>
        </is>
      </c>
      <c r="B5904" s="1" t="n">
        <v>45749.64261574074</v>
      </c>
      <c r="C5904" s="1" t="n">
        <v>46046</v>
      </c>
      <c r="D5904" t="inlineStr">
        <is>
          <t>NORRBOTTENS LÄN</t>
        </is>
      </c>
      <c r="E5904" t="inlineStr">
        <is>
          <t>LULEÅ</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45285-2025</t>
        </is>
      </c>
      <c r="B5905" s="1" t="n">
        <v>45919</v>
      </c>
      <c r="C5905" s="1" t="n">
        <v>46046</v>
      </c>
      <c r="D5905" t="inlineStr">
        <is>
          <t>NORRBOTTENS LÄN</t>
        </is>
      </c>
      <c r="E5905" t="inlineStr">
        <is>
          <t>PAJALA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44842-2025</t>
        </is>
      </c>
      <c r="B5906" s="1" t="n">
        <v>45918.42957175926</v>
      </c>
      <c r="C5906" s="1" t="n">
        <v>46046</v>
      </c>
      <c r="D5906" t="inlineStr">
        <is>
          <t>NORRBOTTENS LÄN</t>
        </is>
      </c>
      <c r="E5906" t="inlineStr">
        <is>
          <t>JOKKMOKK</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45000-2025</t>
        </is>
      </c>
      <c r="B5907" s="1" t="n">
        <v>45918</v>
      </c>
      <c r="C5907" s="1" t="n">
        <v>46046</v>
      </c>
      <c r="D5907" t="inlineStr">
        <is>
          <t>NORRBOTTENS LÄN</t>
        </is>
      </c>
      <c r="E5907" t="inlineStr">
        <is>
          <t>LULEÅ</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45072-2025</t>
        </is>
      </c>
      <c r="B5908" s="1" t="n">
        <v>45919.35890046296</v>
      </c>
      <c r="C5908" s="1" t="n">
        <v>46046</v>
      </c>
      <c r="D5908" t="inlineStr">
        <is>
          <t>NORRBOTTENS LÄN</t>
        </is>
      </c>
      <c r="E5908" t="inlineStr">
        <is>
          <t>PITEÅ</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44943-2025</t>
        </is>
      </c>
      <c r="B5909" s="1" t="n">
        <v>45918</v>
      </c>
      <c r="C5909" s="1" t="n">
        <v>46046</v>
      </c>
      <c r="D5909" t="inlineStr">
        <is>
          <t>NORRBOTTENS LÄN</t>
        </is>
      </c>
      <c r="E5909" t="inlineStr">
        <is>
          <t>ARJEPLOG</t>
        </is>
      </c>
      <c r="F5909" t="inlineStr">
        <is>
          <t>Sveaskog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45106-2025</t>
        </is>
      </c>
      <c r="B5910" s="1" t="n">
        <v>45919.4040625</v>
      </c>
      <c r="C5910" s="1" t="n">
        <v>46046</v>
      </c>
      <c r="D5910" t="inlineStr">
        <is>
          <t>NORRBOTTENS LÄN</t>
        </is>
      </c>
      <c r="E5910" t="inlineStr">
        <is>
          <t>PAJALA</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45217-2025</t>
        </is>
      </c>
      <c r="B5911" s="1" t="n">
        <v>45919.57429398148</v>
      </c>
      <c r="C5911" s="1" t="n">
        <v>46046</v>
      </c>
      <c r="D5911" t="inlineStr">
        <is>
          <t>NORRBOTTENS LÄN</t>
        </is>
      </c>
      <c r="E5911" t="inlineStr">
        <is>
          <t>ARVIDSJAUR</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15201-2023</t>
        </is>
      </c>
      <c r="B5912" s="1" t="n">
        <v>45017.71431712963</v>
      </c>
      <c r="C5912" s="1" t="n">
        <v>46046</v>
      </c>
      <c r="D5912" t="inlineStr">
        <is>
          <t>NORRBOTTENS LÄN</t>
        </is>
      </c>
      <c r="E5912" t="inlineStr">
        <is>
          <t>ÖVERTORNEÅ</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15255-2023</t>
        </is>
      </c>
      <c r="B5913" s="1" t="n">
        <v>45016</v>
      </c>
      <c r="C5913" s="1" t="n">
        <v>46046</v>
      </c>
      <c r="D5913" t="inlineStr">
        <is>
          <t>NORRBOTTENS LÄN</t>
        </is>
      </c>
      <c r="E5913" t="inlineStr">
        <is>
          <t>ÄLVSBYN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55606-2023</t>
        </is>
      </c>
      <c r="B5914" s="1" t="n">
        <v>45238</v>
      </c>
      <c r="C5914" s="1" t="n">
        <v>46046</v>
      </c>
      <c r="D5914" t="inlineStr">
        <is>
          <t>NORRBOTTENS LÄN</t>
        </is>
      </c>
      <c r="E5914" t="inlineStr">
        <is>
          <t>GÄLLIVARE</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30756-2023</t>
        </is>
      </c>
      <c r="B5915" s="1" t="n">
        <v>45103</v>
      </c>
      <c r="C5915" s="1" t="n">
        <v>46046</v>
      </c>
      <c r="D5915" t="inlineStr">
        <is>
          <t>NORRBOTTENS LÄN</t>
        </is>
      </c>
      <c r="E5915" t="inlineStr">
        <is>
          <t>ARVIDSJAUR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30781-2023</t>
        </is>
      </c>
      <c r="B5916" s="1" t="n">
        <v>45112</v>
      </c>
      <c r="C5916" s="1" t="n">
        <v>46046</v>
      </c>
      <c r="D5916" t="inlineStr">
        <is>
          <t>NORRBOTTENS LÄN</t>
        </is>
      </c>
      <c r="E5916" t="inlineStr">
        <is>
          <t>GÄLLIVARE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718-2022</t>
        </is>
      </c>
      <c r="B5917" s="1" t="n">
        <v>44568</v>
      </c>
      <c r="C5917" s="1" t="n">
        <v>46046</v>
      </c>
      <c r="D5917" t="inlineStr">
        <is>
          <t>NORRBOTTENS LÄN</t>
        </is>
      </c>
      <c r="E5917" t="inlineStr">
        <is>
          <t>BODEN</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44982-2025</t>
        </is>
      </c>
      <c r="B5918" s="1" t="n">
        <v>45918</v>
      </c>
      <c r="C5918" s="1" t="n">
        <v>46046</v>
      </c>
      <c r="D5918" t="inlineStr">
        <is>
          <t>NORRBOTTENS LÄN</t>
        </is>
      </c>
      <c r="E5918" t="inlineStr">
        <is>
          <t>LULEÅ</t>
        </is>
      </c>
      <c r="G5918" t="n">
        <v>13.7</v>
      </c>
      <c r="H5918" t="n">
        <v>0</v>
      </c>
      <c r="I5918" t="n">
        <v>0</v>
      </c>
      <c r="J5918" t="n">
        <v>0</v>
      </c>
      <c r="K5918" t="n">
        <v>0</v>
      </c>
      <c r="L5918" t="n">
        <v>0</v>
      </c>
      <c r="M5918" t="n">
        <v>0</v>
      </c>
      <c r="N5918" t="n">
        <v>0</v>
      </c>
      <c r="O5918" t="n">
        <v>0</v>
      </c>
      <c r="P5918" t="n">
        <v>0</v>
      </c>
      <c r="Q5918" t="n">
        <v>0</v>
      </c>
      <c r="R5918" s="2" t="inlineStr"/>
    </row>
    <row r="5919" ht="15" customHeight="1">
      <c r="A5919" t="inlineStr">
        <is>
          <t>A 44999-2025</t>
        </is>
      </c>
      <c r="B5919" s="1" t="n">
        <v>45918.66138888889</v>
      </c>
      <c r="C5919" s="1" t="n">
        <v>46046</v>
      </c>
      <c r="D5919" t="inlineStr">
        <is>
          <t>NORRBOTTENS LÄN</t>
        </is>
      </c>
      <c r="E5919" t="inlineStr">
        <is>
          <t>PAJALA</t>
        </is>
      </c>
      <c r="F5919" t="inlineStr">
        <is>
          <t>Sveaskog</t>
        </is>
      </c>
      <c r="G5919" t="n">
        <v>14.4</v>
      </c>
      <c r="H5919" t="n">
        <v>0</v>
      </c>
      <c r="I5919" t="n">
        <v>0</v>
      </c>
      <c r="J5919" t="n">
        <v>0</v>
      </c>
      <c r="K5919" t="n">
        <v>0</v>
      </c>
      <c r="L5919" t="n">
        <v>0</v>
      </c>
      <c r="M5919" t="n">
        <v>0</v>
      </c>
      <c r="N5919" t="n">
        <v>0</v>
      </c>
      <c r="O5919" t="n">
        <v>0</v>
      </c>
      <c r="P5919" t="n">
        <v>0</v>
      </c>
      <c r="Q5919" t="n">
        <v>0</v>
      </c>
      <c r="R5919" s="2" t="inlineStr"/>
    </row>
    <row r="5920" ht="15" customHeight="1">
      <c r="A5920" t="inlineStr">
        <is>
          <t>A 45206-2025</t>
        </is>
      </c>
      <c r="B5920" s="1" t="n">
        <v>45919.5649537037</v>
      </c>
      <c r="C5920" s="1" t="n">
        <v>46046</v>
      </c>
      <c r="D5920" t="inlineStr">
        <is>
          <t>NORRBOTTENS LÄN</t>
        </is>
      </c>
      <c r="E5920" t="inlineStr">
        <is>
          <t>ARVIDSJAUR</t>
        </is>
      </c>
      <c r="F5920" t="inlineStr">
        <is>
          <t>Sveaskog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4280-2025</t>
        </is>
      </c>
      <c r="B5921" s="1" t="n">
        <v>45685</v>
      </c>
      <c r="C5921" s="1" t="n">
        <v>46046</v>
      </c>
      <c r="D5921" t="inlineStr">
        <is>
          <t>NORRBOTTENS LÄN</t>
        </is>
      </c>
      <c r="E5921" t="inlineStr">
        <is>
          <t>ÖVERTORNEÅ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45218-2025</t>
        </is>
      </c>
      <c r="B5922" s="1" t="n">
        <v>45919.57530092593</v>
      </c>
      <c r="C5922" s="1" t="n">
        <v>46046</v>
      </c>
      <c r="D5922" t="inlineStr">
        <is>
          <t>NORRBOTTENS LÄN</t>
        </is>
      </c>
      <c r="E5922" t="inlineStr">
        <is>
          <t>ARVIDSJAUR</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45222-2025</t>
        </is>
      </c>
      <c r="B5923" s="1" t="n">
        <v>45919.57869212963</v>
      </c>
      <c r="C5923" s="1" t="n">
        <v>46046</v>
      </c>
      <c r="D5923" t="inlineStr">
        <is>
          <t>NORRBOTTENS LÄN</t>
        </is>
      </c>
      <c r="E5923" t="inlineStr">
        <is>
          <t>ARVIDSJAUR</t>
        </is>
      </c>
      <c r="F5923" t="inlineStr">
        <is>
          <t>Sveaskog</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4323-2025</t>
        </is>
      </c>
      <c r="B5924" s="1" t="n">
        <v>45685.71274305556</v>
      </c>
      <c r="C5924" s="1" t="n">
        <v>46046</v>
      </c>
      <c r="D5924" t="inlineStr">
        <is>
          <t>NORRBOTTENS LÄN</t>
        </is>
      </c>
      <c r="E5924" t="inlineStr">
        <is>
          <t>HAPARANDA</t>
        </is>
      </c>
      <c r="G5924" t="n">
        <v>11.1</v>
      </c>
      <c r="H5924" t="n">
        <v>0</v>
      </c>
      <c r="I5924" t="n">
        <v>0</v>
      </c>
      <c r="J5924" t="n">
        <v>0</v>
      </c>
      <c r="K5924" t="n">
        <v>0</v>
      </c>
      <c r="L5924" t="n">
        <v>0</v>
      </c>
      <c r="M5924" t="n">
        <v>0</v>
      </c>
      <c r="N5924" t="n">
        <v>0</v>
      </c>
      <c r="O5924" t="n">
        <v>0</v>
      </c>
      <c r="P5924" t="n">
        <v>0</v>
      </c>
      <c r="Q5924" t="n">
        <v>0</v>
      </c>
      <c r="R5924" s="2" t="inlineStr"/>
    </row>
    <row r="5925" ht="15" customHeight="1">
      <c r="A5925" t="inlineStr">
        <is>
          <t>A 45080-2025</t>
        </is>
      </c>
      <c r="B5925" s="1" t="n">
        <v>45919</v>
      </c>
      <c r="C5925" s="1" t="n">
        <v>46046</v>
      </c>
      <c r="D5925" t="inlineStr">
        <is>
          <t>NORRBOTTENS LÄN</t>
        </is>
      </c>
      <c r="E5925" t="inlineStr">
        <is>
          <t>KALIX</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41599-2024</t>
        </is>
      </c>
      <c r="B5926" s="1" t="n">
        <v>45560</v>
      </c>
      <c r="C5926" s="1" t="n">
        <v>46046</v>
      </c>
      <c r="D5926" t="inlineStr">
        <is>
          <t>NORRBOTTENS LÄN</t>
        </is>
      </c>
      <c r="E5926" t="inlineStr">
        <is>
          <t>ARVIDSJAUR</t>
        </is>
      </c>
      <c r="F5926" t="inlineStr">
        <is>
          <t>Sveaskog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43969-2024</t>
        </is>
      </c>
      <c r="B5927" s="1" t="n">
        <v>45572.48857638889</v>
      </c>
      <c r="C5927" s="1" t="n">
        <v>46046</v>
      </c>
      <c r="D5927" t="inlineStr">
        <is>
          <t>NORRBOTTENS LÄN</t>
        </is>
      </c>
      <c r="E5927" t="inlineStr">
        <is>
          <t>BODEN</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45799-2025</t>
        </is>
      </c>
      <c r="B5928" s="1" t="n">
        <v>45923.5744675926</v>
      </c>
      <c r="C5928" s="1" t="n">
        <v>46046</v>
      </c>
      <c r="D5928" t="inlineStr">
        <is>
          <t>NORRBOTTENS LÄN</t>
        </is>
      </c>
      <c r="E5928" t="inlineStr">
        <is>
          <t>PAJALA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23324-2023</t>
        </is>
      </c>
      <c r="B5929" s="1" t="n">
        <v>45076</v>
      </c>
      <c r="C5929" s="1" t="n">
        <v>46046</v>
      </c>
      <c r="D5929" t="inlineStr">
        <is>
          <t>NORRBOTTENS LÄN</t>
        </is>
      </c>
      <c r="E5929" t="inlineStr">
        <is>
          <t>ÖVERKALIX</t>
        </is>
      </c>
      <c r="F5929" t="inlineStr">
        <is>
          <t>Övriga statliga verk och myndigheter</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54210-2023</t>
        </is>
      </c>
      <c r="B5930" s="1" t="n">
        <v>45232.56853009259</v>
      </c>
      <c r="C5930" s="1" t="n">
        <v>46046</v>
      </c>
      <c r="D5930" t="inlineStr">
        <is>
          <t>NORRBOTTENS LÄN</t>
        </is>
      </c>
      <c r="E5930" t="inlineStr">
        <is>
          <t>PITEÅ</t>
        </is>
      </c>
      <c r="F5930" t="inlineStr">
        <is>
          <t>Sveaskog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45358-2025</t>
        </is>
      </c>
      <c r="B5931" s="1" t="n">
        <v>45922.36961805556</v>
      </c>
      <c r="C5931" s="1" t="n">
        <v>46046</v>
      </c>
      <c r="D5931" t="inlineStr">
        <is>
          <t>NORRBOTTENS LÄN</t>
        </is>
      </c>
      <c r="E5931" t="inlineStr">
        <is>
          <t>HAPARANDA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45576-2025</t>
        </is>
      </c>
      <c r="B5932" s="1" t="n">
        <v>45922.66208333334</v>
      </c>
      <c r="C5932" s="1" t="n">
        <v>46046</v>
      </c>
      <c r="D5932" t="inlineStr">
        <is>
          <t>NORRBOTTENS LÄN</t>
        </is>
      </c>
      <c r="E5932" t="inlineStr">
        <is>
          <t>ARVIDSJAUR</t>
        </is>
      </c>
      <c r="F5932" t="inlineStr">
        <is>
          <t>Sveaskog</t>
        </is>
      </c>
      <c r="G5932" t="n">
        <v>13.5</v>
      </c>
      <c r="H5932" t="n">
        <v>0</v>
      </c>
      <c r="I5932" t="n">
        <v>0</v>
      </c>
      <c r="J5932" t="n">
        <v>0</v>
      </c>
      <c r="K5932" t="n">
        <v>0</v>
      </c>
      <c r="L5932" t="n">
        <v>0</v>
      </c>
      <c r="M5932" t="n">
        <v>0</v>
      </c>
      <c r="N5932" t="n">
        <v>0</v>
      </c>
      <c r="O5932" t="n">
        <v>0</v>
      </c>
      <c r="P5932" t="n">
        <v>0</v>
      </c>
      <c r="Q5932" t="n">
        <v>0</v>
      </c>
      <c r="R5932" s="2" t="inlineStr"/>
    </row>
    <row r="5933" ht="15" customHeight="1">
      <c r="A5933" t="inlineStr">
        <is>
          <t>A 45493-2025</t>
        </is>
      </c>
      <c r="B5933" s="1" t="n">
        <v>45922.55875</v>
      </c>
      <c r="C5933" s="1" t="n">
        <v>46046</v>
      </c>
      <c r="D5933" t="inlineStr">
        <is>
          <t>NORRBOTTENS LÄN</t>
        </is>
      </c>
      <c r="E5933" t="inlineStr">
        <is>
          <t>ARVIDSJAUR</t>
        </is>
      </c>
      <c r="F5933" t="inlineStr">
        <is>
          <t>Sveaskog</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45535-2025</t>
        </is>
      </c>
      <c r="B5934" s="1" t="n">
        <v>45922</v>
      </c>
      <c r="C5934" s="1" t="n">
        <v>46046</v>
      </c>
      <c r="D5934" t="inlineStr">
        <is>
          <t>NORRBOTTENS LÄN</t>
        </is>
      </c>
      <c r="E5934" t="inlineStr">
        <is>
          <t>ÖVERKALIX</t>
        </is>
      </c>
      <c r="F5934" t="inlineStr">
        <is>
          <t>Sveaskog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45573-2025</t>
        </is>
      </c>
      <c r="B5935" s="1" t="n">
        <v>45922.65756944445</v>
      </c>
      <c r="C5935" s="1" t="n">
        <v>46046</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49746-2022</t>
        </is>
      </c>
      <c r="B5936" s="1" t="n">
        <v>44859</v>
      </c>
      <c r="C5936" s="1" t="n">
        <v>46046</v>
      </c>
      <c r="D5936" t="inlineStr">
        <is>
          <t>NORRBOTTENS LÄN</t>
        </is>
      </c>
      <c r="E5936" t="inlineStr">
        <is>
          <t>LULEÅ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45647-2025</t>
        </is>
      </c>
      <c r="B5937" s="1" t="n">
        <v>45923</v>
      </c>
      <c r="C5937" s="1" t="n">
        <v>46046</v>
      </c>
      <c r="D5937" t="inlineStr">
        <is>
          <t>NORRBOTTENS LÄN</t>
        </is>
      </c>
      <c r="E5937" t="inlineStr">
        <is>
          <t>PITEÅ</t>
        </is>
      </c>
      <c r="F5937" t="inlineStr">
        <is>
          <t>Sveaskog</t>
        </is>
      </c>
      <c r="G5937" t="n">
        <v>18.9</v>
      </c>
      <c r="H5937" t="n">
        <v>0</v>
      </c>
      <c r="I5937" t="n">
        <v>0</v>
      </c>
      <c r="J5937" t="n">
        <v>0</v>
      </c>
      <c r="K5937" t="n">
        <v>0</v>
      </c>
      <c r="L5937" t="n">
        <v>0</v>
      </c>
      <c r="M5937" t="n">
        <v>0</v>
      </c>
      <c r="N5937" t="n">
        <v>0</v>
      </c>
      <c r="O5937" t="n">
        <v>0</v>
      </c>
      <c r="P5937" t="n">
        <v>0</v>
      </c>
      <c r="Q5937" t="n">
        <v>0</v>
      </c>
      <c r="R5937" s="2" t="inlineStr"/>
    </row>
    <row r="5938" ht="15" customHeight="1">
      <c r="A5938" t="inlineStr">
        <is>
          <t>A 45362-2025</t>
        </is>
      </c>
      <c r="B5938" s="1" t="n">
        <v>45922.37399305555</v>
      </c>
      <c r="C5938" s="1" t="n">
        <v>46046</v>
      </c>
      <c r="D5938" t="inlineStr">
        <is>
          <t>NORRBOTTENS LÄN</t>
        </is>
      </c>
      <c r="E5938" t="inlineStr">
        <is>
          <t>HAPARANDA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45472-2025</t>
        </is>
      </c>
      <c r="B5939" s="1" t="n">
        <v>45922.5109837963</v>
      </c>
      <c r="C5939" s="1" t="n">
        <v>46046</v>
      </c>
      <c r="D5939" t="inlineStr">
        <is>
          <t>NORRBOTTENS LÄN</t>
        </is>
      </c>
      <c r="E5939" t="inlineStr">
        <is>
          <t>LULEÅ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11831-2022</t>
        </is>
      </c>
      <c r="B5940" s="1" t="n">
        <v>44634</v>
      </c>
      <c r="C5940" s="1" t="n">
        <v>46046</v>
      </c>
      <c r="D5940" t="inlineStr">
        <is>
          <t>NORRBOTTENS LÄN</t>
        </is>
      </c>
      <c r="E5940" t="inlineStr">
        <is>
          <t>ÖVERTORNEÅ</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33740-2025</t>
        </is>
      </c>
      <c r="B5941" s="1" t="n">
        <v>45842.34456018519</v>
      </c>
      <c r="C5941" s="1" t="n">
        <v>46046</v>
      </c>
      <c r="D5941" t="inlineStr">
        <is>
          <t>NORRBOTTENS LÄN</t>
        </is>
      </c>
      <c r="E5941" t="inlineStr">
        <is>
          <t>JOKKMOKK</t>
        </is>
      </c>
      <c r="F5941" t="inlineStr">
        <is>
          <t>SCA</t>
        </is>
      </c>
      <c r="G5941" t="n">
        <v>23.3</v>
      </c>
      <c r="H5941" t="n">
        <v>0</v>
      </c>
      <c r="I5941" t="n">
        <v>0</v>
      </c>
      <c r="J5941" t="n">
        <v>0</v>
      </c>
      <c r="K5941" t="n">
        <v>0</v>
      </c>
      <c r="L5941" t="n">
        <v>0</v>
      </c>
      <c r="M5941" t="n">
        <v>0</v>
      </c>
      <c r="N5941" t="n">
        <v>0</v>
      </c>
      <c r="O5941" t="n">
        <v>0</v>
      </c>
      <c r="P5941" t="n">
        <v>0</v>
      </c>
      <c r="Q5941" t="n">
        <v>0</v>
      </c>
      <c r="R5941" s="2" t="inlineStr"/>
    </row>
    <row r="5942" ht="15" customHeight="1">
      <c r="A5942" t="inlineStr">
        <is>
          <t>A 19048-2025</t>
        </is>
      </c>
      <c r="B5942" s="1" t="n">
        <v>45764</v>
      </c>
      <c r="C5942" s="1" t="n">
        <v>46046</v>
      </c>
      <c r="D5942" t="inlineStr">
        <is>
          <t>NORRBOTTENS LÄN</t>
        </is>
      </c>
      <c r="E5942" t="inlineStr">
        <is>
          <t>BODEN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19050-2025</t>
        </is>
      </c>
      <c r="B5943" s="1" t="n">
        <v>45764</v>
      </c>
      <c r="C5943" s="1" t="n">
        <v>46046</v>
      </c>
      <c r="D5943" t="inlineStr">
        <is>
          <t>NORRBOTTENS LÄN</t>
        </is>
      </c>
      <c r="E5943" t="inlineStr">
        <is>
          <t>BODEN</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45783-2025</t>
        </is>
      </c>
      <c r="B5944" s="1" t="n">
        <v>45923.5582175926</v>
      </c>
      <c r="C5944" s="1" t="n">
        <v>46046</v>
      </c>
      <c r="D5944" t="inlineStr">
        <is>
          <t>NORRBOTTENS LÄN</t>
        </is>
      </c>
      <c r="E5944" t="inlineStr">
        <is>
          <t>PAJALA</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45356-2025</t>
        </is>
      </c>
      <c r="B5945" s="1" t="n">
        <v>45922.36626157408</v>
      </c>
      <c r="C5945" s="1" t="n">
        <v>46046</v>
      </c>
      <c r="D5945" t="inlineStr">
        <is>
          <t>NORRBOTTENS LÄN</t>
        </is>
      </c>
      <c r="E5945" t="inlineStr">
        <is>
          <t>HAPARANDA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45387-2025</t>
        </is>
      </c>
      <c r="B5946" s="1" t="n">
        <v>45922</v>
      </c>
      <c r="C5946" s="1" t="n">
        <v>46046</v>
      </c>
      <c r="D5946" t="inlineStr">
        <is>
          <t>NORRBOTTENS LÄN</t>
        </is>
      </c>
      <c r="E5946" t="inlineStr">
        <is>
          <t>GÄLLIVARE</t>
        </is>
      </c>
      <c r="F5946" t="inlineStr">
        <is>
          <t>SCA</t>
        </is>
      </c>
      <c r="G5946" t="n">
        <v>28.4</v>
      </c>
      <c r="H5946" t="n">
        <v>0</v>
      </c>
      <c r="I5946" t="n">
        <v>0</v>
      </c>
      <c r="J5946" t="n">
        <v>0</v>
      </c>
      <c r="K5946" t="n">
        <v>0</v>
      </c>
      <c r="L5946" t="n">
        <v>0</v>
      </c>
      <c r="M5946" t="n">
        <v>0</v>
      </c>
      <c r="N5946" t="n">
        <v>0</v>
      </c>
      <c r="O5946" t="n">
        <v>0</v>
      </c>
      <c r="P5946" t="n">
        <v>0</v>
      </c>
      <c r="Q5946" t="n">
        <v>0</v>
      </c>
      <c r="R5946" s="2" t="inlineStr"/>
    </row>
    <row r="5947" ht="15" customHeight="1">
      <c r="A5947" t="inlineStr">
        <is>
          <t>A 45544-2025</t>
        </is>
      </c>
      <c r="B5947" s="1" t="n">
        <v>45922</v>
      </c>
      <c r="C5947" s="1" t="n">
        <v>46046</v>
      </c>
      <c r="D5947" t="inlineStr">
        <is>
          <t>NORRBOTTENS LÄN</t>
        </is>
      </c>
      <c r="E5947" t="inlineStr">
        <is>
          <t>BODEN</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45583-2025</t>
        </is>
      </c>
      <c r="B5948" s="1" t="n">
        <v>45922</v>
      </c>
      <c r="C5948" s="1" t="n">
        <v>46046</v>
      </c>
      <c r="D5948" t="inlineStr">
        <is>
          <t>NORRBOTTENS LÄN</t>
        </is>
      </c>
      <c r="E5948" t="inlineStr">
        <is>
          <t>PITEÅ</t>
        </is>
      </c>
      <c r="F5948" t="inlineStr">
        <is>
          <t>Sveaskog</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9631-2022</t>
        </is>
      </c>
      <c r="B5949" s="1" t="n">
        <v>44617</v>
      </c>
      <c r="C5949" s="1" t="n">
        <v>46046</v>
      </c>
      <c r="D5949" t="inlineStr">
        <is>
          <t>NORRBOTTENS LÄN</t>
        </is>
      </c>
      <c r="E5949" t="inlineStr">
        <is>
          <t>ÄLVSBYN</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9643-2022</t>
        </is>
      </c>
      <c r="B5950" s="1" t="n">
        <v>44617</v>
      </c>
      <c r="C5950" s="1" t="n">
        <v>46046</v>
      </c>
      <c r="D5950" t="inlineStr">
        <is>
          <t>NORRBOTTENS LÄN</t>
        </is>
      </c>
      <c r="E5950" t="inlineStr">
        <is>
          <t>ÄLVSBYN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45591-2025</t>
        </is>
      </c>
      <c r="B5951" s="1" t="n">
        <v>45922</v>
      </c>
      <c r="C5951" s="1" t="n">
        <v>46046</v>
      </c>
      <c r="D5951" t="inlineStr">
        <is>
          <t>NORRBOTTENS LÄN</t>
        </is>
      </c>
      <c r="E5951" t="inlineStr">
        <is>
          <t>PAJALA</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45594-2025</t>
        </is>
      </c>
      <c r="B5952" s="1" t="n">
        <v>45922.67793981481</v>
      </c>
      <c r="C5952" s="1" t="n">
        <v>46046</v>
      </c>
      <c r="D5952" t="inlineStr">
        <is>
          <t>NORRBOTTENS LÄN</t>
        </is>
      </c>
      <c r="E5952" t="inlineStr">
        <is>
          <t>PITEÅ</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5502-2024</t>
        </is>
      </c>
      <c r="B5953" s="1" t="n">
        <v>45331</v>
      </c>
      <c r="C5953" s="1" t="n">
        <v>46046</v>
      </c>
      <c r="D5953" t="inlineStr">
        <is>
          <t>NORRBOTTENS LÄN</t>
        </is>
      </c>
      <c r="E5953" t="inlineStr">
        <is>
          <t>PITEÅ</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45673-2025</t>
        </is>
      </c>
      <c r="B5954" s="1" t="n">
        <v>45922</v>
      </c>
      <c r="C5954" s="1" t="n">
        <v>46046</v>
      </c>
      <c r="D5954" t="inlineStr">
        <is>
          <t>NORRBOTTENS LÄN</t>
        </is>
      </c>
      <c r="E5954" t="inlineStr">
        <is>
          <t>LULEÅ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54718-2024</t>
        </is>
      </c>
      <c r="B5955" s="1" t="n">
        <v>45618.43688657408</v>
      </c>
      <c r="C5955" s="1" t="n">
        <v>46046</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45478-2025</t>
        </is>
      </c>
      <c r="B5956" s="1" t="n">
        <v>45922</v>
      </c>
      <c r="C5956" s="1" t="n">
        <v>46046</v>
      </c>
      <c r="D5956" t="inlineStr">
        <is>
          <t>NORRBOTTENS LÄN</t>
        </is>
      </c>
      <c r="E5956" t="inlineStr">
        <is>
          <t>BODEN</t>
        </is>
      </c>
      <c r="F5956" t="inlineStr">
        <is>
          <t>Sveaskog</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45480-2025</t>
        </is>
      </c>
      <c r="B5957" s="1" t="n">
        <v>45922.53164351852</v>
      </c>
      <c r="C5957" s="1" t="n">
        <v>46046</v>
      </c>
      <c r="D5957" t="inlineStr">
        <is>
          <t>NORRBOTTENS LÄN</t>
        </is>
      </c>
      <c r="E5957" t="inlineStr">
        <is>
          <t>PITEÅ</t>
        </is>
      </c>
      <c r="G5957" t="n">
        <v>7.7</v>
      </c>
      <c r="H5957" t="n">
        <v>0</v>
      </c>
      <c r="I5957" t="n">
        <v>0</v>
      </c>
      <c r="J5957" t="n">
        <v>0</v>
      </c>
      <c r="K5957" t="n">
        <v>0</v>
      </c>
      <c r="L5957" t="n">
        <v>0</v>
      </c>
      <c r="M5957" t="n">
        <v>0</v>
      </c>
      <c r="N5957" t="n">
        <v>0</v>
      </c>
      <c r="O5957" t="n">
        <v>0</v>
      </c>
      <c r="P5957" t="n">
        <v>0</v>
      </c>
      <c r="Q5957" t="n">
        <v>0</v>
      </c>
      <c r="R5957" s="2" t="inlineStr"/>
    </row>
    <row r="5958" ht="15" customHeight="1">
      <c r="A5958" t="inlineStr">
        <is>
          <t>A 45471-2025</t>
        </is>
      </c>
      <c r="B5958" s="1" t="n">
        <v>45922.51094907407</v>
      </c>
      <c r="C5958" s="1" t="n">
        <v>46046</v>
      </c>
      <c r="D5958" t="inlineStr">
        <is>
          <t>NORRBOTTENS LÄN</t>
        </is>
      </c>
      <c r="E5958" t="inlineStr">
        <is>
          <t>LULEÅ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45616-2025</t>
        </is>
      </c>
      <c r="B5959" s="1" t="n">
        <v>45922</v>
      </c>
      <c r="C5959" s="1" t="n">
        <v>46046</v>
      </c>
      <c r="D5959" t="inlineStr">
        <is>
          <t>NORRBOTTENS LÄN</t>
        </is>
      </c>
      <c r="E5959" t="inlineStr">
        <is>
          <t>BODEN</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45617-2025</t>
        </is>
      </c>
      <c r="B5960" s="1" t="n">
        <v>45922</v>
      </c>
      <c r="C5960" s="1" t="n">
        <v>46046</v>
      </c>
      <c r="D5960" t="inlineStr">
        <is>
          <t>NORRBOTTENS LÄN</t>
        </is>
      </c>
      <c r="E5960" t="inlineStr">
        <is>
          <t>BODEN</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45643-2025</t>
        </is>
      </c>
      <c r="B5961" s="1" t="n">
        <v>45923.28857638889</v>
      </c>
      <c r="C5961" s="1" t="n">
        <v>46046</v>
      </c>
      <c r="D5961" t="inlineStr">
        <is>
          <t>NORRBOTTENS LÄN</t>
        </is>
      </c>
      <c r="E5961" t="inlineStr">
        <is>
          <t>ARVIDSJAUR</t>
        </is>
      </c>
      <c r="F5961" t="inlineStr">
        <is>
          <t>Sveaskog</t>
        </is>
      </c>
      <c r="G5961" t="n">
        <v>38.5</v>
      </c>
      <c r="H5961" t="n">
        <v>0</v>
      </c>
      <c r="I5961" t="n">
        <v>0</v>
      </c>
      <c r="J5961" t="n">
        <v>0</v>
      </c>
      <c r="K5961" t="n">
        <v>0</v>
      </c>
      <c r="L5961" t="n">
        <v>0</v>
      </c>
      <c r="M5961" t="n">
        <v>0</v>
      </c>
      <c r="N5961" t="n">
        <v>0</v>
      </c>
      <c r="O5961" t="n">
        <v>0</v>
      </c>
      <c r="P5961" t="n">
        <v>0</v>
      </c>
      <c r="Q5961" t="n">
        <v>0</v>
      </c>
      <c r="R5961" s="2" t="inlineStr"/>
    </row>
    <row r="5962" ht="15" customHeight="1">
      <c r="A5962" t="inlineStr">
        <is>
          <t>A 56448-2022</t>
        </is>
      </c>
      <c r="B5962" s="1" t="n">
        <v>44892.82552083334</v>
      </c>
      <c r="C5962" s="1" t="n">
        <v>46046</v>
      </c>
      <c r="D5962" t="inlineStr">
        <is>
          <t>NORRBOTTENS LÄN</t>
        </is>
      </c>
      <c r="E5962" t="inlineStr">
        <is>
          <t>PAJALA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45286-2025</t>
        </is>
      </c>
      <c r="B5963" s="1" t="n">
        <v>45919.92413194444</v>
      </c>
      <c r="C5963" s="1" t="n">
        <v>46046</v>
      </c>
      <c r="D5963" t="inlineStr">
        <is>
          <t>NORRBOTTENS LÄN</t>
        </is>
      </c>
      <c r="E5963" t="inlineStr">
        <is>
          <t>PAJALA</t>
        </is>
      </c>
      <c r="G5963" t="n">
        <v>24.4</v>
      </c>
      <c r="H5963" t="n">
        <v>0</v>
      </c>
      <c r="I5963" t="n">
        <v>0</v>
      </c>
      <c r="J5963" t="n">
        <v>0</v>
      </c>
      <c r="K5963" t="n">
        <v>0</v>
      </c>
      <c r="L5963" t="n">
        <v>0</v>
      </c>
      <c r="M5963" t="n">
        <v>0</v>
      </c>
      <c r="N5963" t="n">
        <v>0</v>
      </c>
      <c r="O5963" t="n">
        <v>0</v>
      </c>
      <c r="P5963" t="n">
        <v>0</v>
      </c>
      <c r="Q5963" t="n">
        <v>0</v>
      </c>
      <c r="R5963" s="2" t="inlineStr"/>
    </row>
    <row r="5964" ht="15" customHeight="1">
      <c r="A5964" t="inlineStr">
        <is>
          <t>A 45620-2025</t>
        </is>
      </c>
      <c r="B5964" s="1" t="n">
        <v>45922.76864583333</v>
      </c>
      <c r="C5964" s="1" t="n">
        <v>46046</v>
      </c>
      <c r="D5964" t="inlineStr">
        <is>
          <t>NORRBOTTENS LÄN</t>
        </is>
      </c>
      <c r="E5964" t="inlineStr">
        <is>
          <t>PITEÅ</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45684-2025</t>
        </is>
      </c>
      <c r="B5965" s="1" t="n">
        <v>45918</v>
      </c>
      <c r="C5965" s="1" t="n">
        <v>46046</v>
      </c>
      <c r="D5965" t="inlineStr">
        <is>
          <t>NORRBOTTENS LÄN</t>
        </is>
      </c>
      <c r="E5965" t="inlineStr">
        <is>
          <t>LULEÅ</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1476-2023</t>
        </is>
      </c>
      <c r="B5966" s="1" t="n">
        <v>44937.45194444444</v>
      </c>
      <c r="C5966" s="1" t="n">
        <v>46046</v>
      </c>
      <c r="D5966" t="inlineStr">
        <is>
          <t>NORRBOTTENS LÄN</t>
        </is>
      </c>
      <c r="E5966" t="inlineStr">
        <is>
          <t>ÖVERTORNEÅ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45523-2025</t>
        </is>
      </c>
      <c r="B5967" s="1" t="n">
        <v>45922.59516203704</v>
      </c>
      <c r="C5967" s="1" t="n">
        <v>46046</v>
      </c>
      <c r="D5967" t="inlineStr">
        <is>
          <t>NORRBOTTENS LÄN</t>
        </is>
      </c>
      <c r="E5967" t="inlineStr">
        <is>
          <t>BODEN</t>
        </is>
      </c>
      <c r="F5967" t="inlineStr">
        <is>
          <t>Sveaskog</t>
        </is>
      </c>
      <c r="G5967" t="n">
        <v>2.4</v>
      </c>
      <c r="H5967" t="n">
        <v>0</v>
      </c>
      <c r="I5967" t="n">
        <v>0</v>
      </c>
      <c r="J5967" t="n">
        <v>0</v>
      </c>
      <c r="K5967" t="n">
        <v>0</v>
      </c>
      <c r="L5967" t="n">
        <v>0</v>
      </c>
      <c r="M5967" t="n">
        <v>0</v>
      </c>
      <c r="N5967" t="n">
        <v>0</v>
      </c>
      <c r="O5967" t="n">
        <v>0</v>
      </c>
      <c r="P5967" t="n">
        <v>0</v>
      </c>
      <c r="Q5967" t="n">
        <v>0</v>
      </c>
      <c r="R5967" s="2" t="inlineStr"/>
      <c r="U5967">
        <f>HYPERLINK("https://klasma.github.io/Logging_2582/knärot/A 45523-2025 karta knärot.png", "A 45523-2025")</f>
        <v/>
      </c>
      <c r="V5967">
        <f>HYPERLINK("https://klasma.github.io/Logging_2582/klagomål/A 45523-2025 FSC-klagomål.docx", "A 45523-2025")</f>
        <v/>
      </c>
      <c r="W5967">
        <f>HYPERLINK("https://klasma.github.io/Logging_2582/klagomålsmail/A 45523-2025 FSC-klagomål mail.docx", "A 45523-2025")</f>
        <v/>
      </c>
      <c r="X5967">
        <f>HYPERLINK("https://klasma.github.io/Logging_2582/tillsyn/A 45523-2025 tillsynsbegäran.docx", "A 45523-2025")</f>
        <v/>
      </c>
      <c r="Y5967">
        <f>HYPERLINK("https://klasma.github.io/Logging_2582/tillsynsmail/A 45523-2025 tillsynsbegäran mail.docx", "A 45523-2025")</f>
        <v/>
      </c>
    </row>
    <row r="5968" ht="15" customHeight="1">
      <c r="A5968" t="inlineStr">
        <is>
          <t>A 45527-2025</t>
        </is>
      </c>
      <c r="B5968" s="1" t="n">
        <v>45922.59851851852</v>
      </c>
      <c r="C5968" s="1" t="n">
        <v>46046</v>
      </c>
      <c r="D5968" t="inlineStr">
        <is>
          <t>NORRBOTTENS LÄN</t>
        </is>
      </c>
      <c r="E5968" t="inlineStr">
        <is>
          <t>BODEN</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3310-2025</t>
        </is>
      </c>
      <c r="B5969" s="1" t="n">
        <v>45679.6761574074</v>
      </c>
      <c r="C5969" s="1" t="n">
        <v>46046</v>
      </c>
      <c r="D5969" t="inlineStr">
        <is>
          <t>NORRBOTTENS LÄN</t>
        </is>
      </c>
      <c r="E5969" t="inlineStr">
        <is>
          <t>KALIX</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5336-2023</t>
        </is>
      </c>
      <c r="B5970" s="1" t="n">
        <v>44959</v>
      </c>
      <c r="C5970" s="1" t="n">
        <v>46046</v>
      </c>
      <c r="D5970" t="inlineStr">
        <is>
          <t>NORRBOTTENS LÄN</t>
        </is>
      </c>
      <c r="E5970" t="inlineStr">
        <is>
          <t>PAJALA</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45470-2025</t>
        </is>
      </c>
      <c r="B5971" s="1" t="n">
        <v>45922.51091435185</v>
      </c>
      <c r="C5971" s="1" t="n">
        <v>46046</v>
      </c>
      <c r="D5971" t="inlineStr">
        <is>
          <t>NORRBOTTENS LÄN</t>
        </is>
      </c>
      <c r="E5971" t="inlineStr">
        <is>
          <t>LULEÅ</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45476-2025</t>
        </is>
      </c>
      <c r="B5972" s="1" t="n">
        <v>45922.5191550926</v>
      </c>
      <c r="C5972" s="1" t="n">
        <v>46046</v>
      </c>
      <c r="D5972" t="inlineStr">
        <is>
          <t>NORRBOTTENS LÄN</t>
        </is>
      </c>
      <c r="E5972" t="inlineStr">
        <is>
          <t>ARVIDSJAUR</t>
        </is>
      </c>
      <c r="F5972" t="inlineStr">
        <is>
          <t>Sveaskog</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45561-2025</t>
        </is>
      </c>
      <c r="B5973" s="1" t="n">
        <v>45922.64684027778</v>
      </c>
      <c r="C5973" s="1" t="n">
        <v>46046</v>
      </c>
      <c r="D5973" t="inlineStr">
        <is>
          <t>NORRBOTTENS LÄN</t>
        </is>
      </c>
      <c r="E5973" t="inlineStr">
        <is>
          <t>ARVIDSJAUR</t>
        </is>
      </c>
      <c r="F5973" t="inlineStr">
        <is>
          <t>Sveaskog</t>
        </is>
      </c>
      <c r="G5973" t="n">
        <v>44.6</v>
      </c>
      <c r="H5973" t="n">
        <v>0</v>
      </c>
      <c r="I5973" t="n">
        <v>0</v>
      </c>
      <c r="J5973" t="n">
        <v>0</v>
      </c>
      <c r="K5973" t="n">
        <v>0</v>
      </c>
      <c r="L5973" t="n">
        <v>0</v>
      </c>
      <c r="M5973" t="n">
        <v>0</v>
      </c>
      <c r="N5973" t="n">
        <v>0</v>
      </c>
      <c r="O5973" t="n">
        <v>0</v>
      </c>
      <c r="P5973" t="n">
        <v>0</v>
      </c>
      <c r="Q5973" t="n">
        <v>0</v>
      </c>
      <c r="R5973" s="2" t="inlineStr"/>
    </row>
    <row r="5974" ht="15" customHeight="1">
      <c r="A5974" t="inlineStr">
        <is>
          <t>A 45709-2025</t>
        </is>
      </c>
      <c r="B5974" s="1" t="n">
        <v>45923</v>
      </c>
      <c r="C5974" s="1" t="n">
        <v>46046</v>
      </c>
      <c r="D5974" t="inlineStr">
        <is>
          <t>NORRBOTTENS LÄN</t>
        </is>
      </c>
      <c r="E5974" t="inlineStr">
        <is>
          <t>JOKKMOKK</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62446-2022</t>
        </is>
      </c>
      <c r="B5975" s="1" t="n">
        <v>44924</v>
      </c>
      <c r="C5975" s="1" t="n">
        <v>46046</v>
      </c>
      <c r="D5975" t="inlineStr">
        <is>
          <t>NORRBOTTENS LÄN</t>
        </is>
      </c>
      <c r="E5975" t="inlineStr">
        <is>
          <t>KALIX</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19529-2024</t>
        </is>
      </c>
      <c r="B5976" s="1" t="n">
        <v>45429.64071759259</v>
      </c>
      <c r="C5976" s="1" t="n">
        <v>46046</v>
      </c>
      <c r="D5976" t="inlineStr">
        <is>
          <t>NORRBOTTENS LÄN</t>
        </is>
      </c>
      <c r="E5976" t="inlineStr">
        <is>
          <t>ÖVERKALIX</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19536-2024</t>
        </is>
      </c>
      <c r="B5977" s="1" t="n">
        <v>45429</v>
      </c>
      <c r="C5977" s="1" t="n">
        <v>46046</v>
      </c>
      <c r="D5977" t="inlineStr">
        <is>
          <t>NORRBOTTENS LÄN</t>
        </is>
      </c>
      <c r="E5977" t="inlineStr">
        <is>
          <t>KALIX</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50255-2023</t>
        </is>
      </c>
      <c r="B5978" s="1" t="n">
        <v>45216</v>
      </c>
      <c r="C5978" s="1" t="n">
        <v>46046</v>
      </c>
      <c r="D5978" t="inlineStr">
        <is>
          <t>NORRBOTTENS LÄN</t>
        </is>
      </c>
      <c r="E5978" t="inlineStr">
        <is>
          <t>ARJEPLOG</t>
        </is>
      </c>
      <c r="G5978" t="n">
        <v>20</v>
      </c>
      <c r="H5978" t="n">
        <v>0</v>
      </c>
      <c r="I5978" t="n">
        <v>0</v>
      </c>
      <c r="J5978" t="n">
        <v>0</v>
      </c>
      <c r="K5978" t="n">
        <v>0</v>
      </c>
      <c r="L5978" t="n">
        <v>0</v>
      </c>
      <c r="M5978" t="n">
        <v>0</v>
      </c>
      <c r="N5978" t="n">
        <v>0</v>
      </c>
      <c r="O5978" t="n">
        <v>0</v>
      </c>
      <c r="P5978" t="n">
        <v>0</v>
      </c>
      <c r="Q5978" t="n">
        <v>0</v>
      </c>
      <c r="R5978" s="2" t="inlineStr"/>
    </row>
    <row r="5979" ht="15" customHeight="1">
      <c r="A5979" t="inlineStr">
        <is>
          <t>A 45001-2025</t>
        </is>
      </c>
      <c r="B5979" s="1" t="n">
        <v>45918</v>
      </c>
      <c r="C5979" s="1" t="n">
        <v>46046</v>
      </c>
      <c r="D5979" t="inlineStr">
        <is>
          <t>NORRBOTTENS LÄN</t>
        </is>
      </c>
      <c r="E5979" t="inlineStr">
        <is>
          <t>LULEÅ</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45696-2025</t>
        </is>
      </c>
      <c r="B5980" s="1" t="n">
        <v>45923.39789351852</v>
      </c>
      <c r="C5980" s="1" t="n">
        <v>46046</v>
      </c>
      <c r="D5980" t="inlineStr">
        <is>
          <t>NORRBOTTENS LÄN</t>
        </is>
      </c>
      <c r="E5980" t="inlineStr">
        <is>
          <t>BODEN</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5628-2024</t>
        </is>
      </c>
      <c r="B5981" s="1" t="n">
        <v>45334</v>
      </c>
      <c r="C5981" s="1" t="n">
        <v>46046</v>
      </c>
      <c r="D5981" t="inlineStr">
        <is>
          <t>NORRBOTTENS LÄN</t>
        </is>
      </c>
      <c r="E5981" t="inlineStr">
        <is>
          <t>ÄLVSBYN</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5650-2024</t>
        </is>
      </c>
      <c r="B5982" s="1" t="n">
        <v>45334</v>
      </c>
      <c r="C5982" s="1" t="n">
        <v>46046</v>
      </c>
      <c r="D5982" t="inlineStr">
        <is>
          <t>NORRBOTTENS LÄN</t>
        </is>
      </c>
      <c r="E5982" t="inlineStr">
        <is>
          <t>ÄLVSBYN</t>
        </is>
      </c>
      <c r="G5982" t="n">
        <v>11.8</v>
      </c>
      <c r="H5982" t="n">
        <v>0</v>
      </c>
      <c r="I5982" t="n">
        <v>0</v>
      </c>
      <c r="J5982" t="n">
        <v>0</v>
      </c>
      <c r="K5982" t="n">
        <v>0</v>
      </c>
      <c r="L5982" t="n">
        <v>0</v>
      </c>
      <c r="M5982" t="n">
        <v>0</v>
      </c>
      <c r="N5982" t="n">
        <v>0</v>
      </c>
      <c r="O5982" t="n">
        <v>0</v>
      </c>
      <c r="P5982" t="n">
        <v>0</v>
      </c>
      <c r="Q5982" t="n">
        <v>0</v>
      </c>
      <c r="R5982" s="2" t="inlineStr"/>
    </row>
    <row r="5983" ht="15" customHeight="1">
      <c r="A5983" t="inlineStr">
        <is>
          <t>A 46401-2025</t>
        </is>
      </c>
      <c r="B5983" s="1" t="n">
        <v>45925.55935185185</v>
      </c>
      <c r="C5983" s="1" t="n">
        <v>46046</v>
      </c>
      <c r="D5983" t="inlineStr">
        <is>
          <t>NORRBOTTENS LÄN</t>
        </is>
      </c>
      <c r="E5983" t="inlineStr">
        <is>
          <t>ÄLVSBYN</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46117-2025</t>
        </is>
      </c>
      <c r="B5984" s="1" t="n">
        <v>45924.5737962963</v>
      </c>
      <c r="C5984" s="1" t="n">
        <v>46046</v>
      </c>
      <c r="D5984" t="inlineStr">
        <is>
          <t>NORRBOTTENS LÄN</t>
        </is>
      </c>
      <c r="E5984" t="inlineStr">
        <is>
          <t>LULEÅ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19975-2025</t>
        </is>
      </c>
      <c r="B5985" s="1" t="n">
        <v>45771.69822916666</v>
      </c>
      <c r="C5985" s="1" t="n">
        <v>46046</v>
      </c>
      <c r="D5985" t="inlineStr">
        <is>
          <t>NORRBOTTENS LÄN</t>
        </is>
      </c>
      <c r="E5985" t="inlineStr">
        <is>
          <t>KALIX</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28357-2023</t>
        </is>
      </c>
      <c r="B5986" s="1" t="n">
        <v>45099.9296412037</v>
      </c>
      <c r="C5986" s="1" t="n">
        <v>46046</v>
      </c>
      <c r="D5986" t="inlineStr">
        <is>
          <t>NORRBOTTENS LÄN</t>
        </is>
      </c>
      <c r="E5986" t="inlineStr">
        <is>
          <t>BODEN</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32061-2024</t>
        </is>
      </c>
      <c r="B5987" s="1" t="n">
        <v>45510</v>
      </c>
      <c r="C5987" s="1" t="n">
        <v>46046</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46020-2025</t>
        </is>
      </c>
      <c r="B5988" s="1" t="n">
        <v>45924</v>
      </c>
      <c r="C5988" s="1" t="n">
        <v>46046</v>
      </c>
      <c r="D5988" t="inlineStr">
        <is>
          <t>NORRBOTTENS LÄN</t>
        </is>
      </c>
      <c r="E5988" t="inlineStr">
        <is>
          <t>PITEÅ</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45956-2025</t>
        </is>
      </c>
      <c r="B5989" s="1" t="n">
        <v>45924.34490740741</v>
      </c>
      <c r="C5989" s="1" t="n">
        <v>46046</v>
      </c>
      <c r="D5989" t="inlineStr">
        <is>
          <t>NORRBOTTENS LÄN</t>
        </is>
      </c>
      <c r="E5989" t="inlineStr">
        <is>
          <t>PITEÅ</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60064-2022</t>
        </is>
      </c>
      <c r="B5990" s="1" t="n">
        <v>44902</v>
      </c>
      <c r="C5990" s="1" t="n">
        <v>46046</v>
      </c>
      <c r="D5990" t="inlineStr">
        <is>
          <t>NORRBOTTENS LÄN</t>
        </is>
      </c>
      <c r="E5990" t="inlineStr">
        <is>
          <t>HAPARANDA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46423-2025</t>
        </is>
      </c>
      <c r="B5991" s="1" t="n">
        <v>45925.60002314814</v>
      </c>
      <c r="C5991" s="1" t="n">
        <v>46046</v>
      </c>
      <c r="D5991" t="inlineStr">
        <is>
          <t>NORRBOTTENS LÄN</t>
        </is>
      </c>
      <c r="E5991" t="inlineStr">
        <is>
          <t>PITEÅ</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46427-2025</t>
        </is>
      </c>
      <c r="B5992" s="1" t="n">
        <v>45925.60152777778</v>
      </c>
      <c r="C5992" s="1" t="n">
        <v>46046</v>
      </c>
      <c r="D5992" t="inlineStr">
        <is>
          <t>NORRBOTTENS LÄN</t>
        </is>
      </c>
      <c r="E5992" t="inlineStr">
        <is>
          <t>PITEÅ</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46453-2025</t>
        </is>
      </c>
      <c r="B5993" s="1" t="n">
        <v>45925.65667824074</v>
      </c>
      <c r="C5993" s="1" t="n">
        <v>46046</v>
      </c>
      <c r="D5993" t="inlineStr">
        <is>
          <t>NORRBOTTENS LÄN</t>
        </is>
      </c>
      <c r="E5993" t="inlineStr">
        <is>
          <t>PITEÅ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46454-2025</t>
        </is>
      </c>
      <c r="B5994" s="1" t="n">
        <v>45925.65679398148</v>
      </c>
      <c r="C5994" s="1" t="n">
        <v>46046</v>
      </c>
      <c r="D5994" t="inlineStr">
        <is>
          <t>NORRBOTTENS LÄN</t>
        </is>
      </c>
      <c r="E5994" t="inlineStr">
        <is>
          <t>BODEN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46455-2025</t>
        </is>
      </c>
      <c r="B5995" s="1" t="n">
        <v>45925.65686342592</v>
      </c>
      <c r="C5995" s="1" t="n">
        <v>46046</v>
      </c>
      <c r="D5995" t="inlineStr">
        <is>
          <t>NORRBOTTENS LÄN</t>
        </is>
      </c>
      <c r="E5995" t="inlineStr">
        <is>
          <t>BODEN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25497-2024</t>
        </is>
      </c>
      <c r="B5996" s="1" t="n">
        <v>45463</v>
      </c>
      <c r="C5996" s="1" t="n">
        <v>46046</v>
      </c>
      <c r="D5996" t="inlineStr">
        <is>
          <t>NORRBOTTENS LÄN</t>
        </is>
      </c>
      <c r="E5996" t="inlineStr">
        <is>
          <t>PAJALA</t>
        </is>
      </c>
      <c r="F5996" t="inlineStr">
        <is>
          <t>Sveaskog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3804-2025</t>
        </is>
      </c>
      <c r="B5997" s="1" t="n">
        <v>45681.67023148148</v>
      </c>
      <c r="C5997" s="1" t="n">
        <v>46046</v>
      </c>
      <c r="D5997" t="inlineStr">
        <is>
          <t>NORRBOTTENS LÄN</t>
        </is>
      </c>
      <c r="E5997" t="inlineStr">
        <is>
          <t>KALIX</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48561-2024</t>
        </is>
      </c>
      <c r="B5998" s="1" t="n">
        <v>45593.38583333333</v>
      </c>
      <c r="C5998" s="1" t="n">
        <v>46046</v>
      </c>
      <c r="D5998" t="inlineStr">
        <is>
          <t>NORRBOTTENS LÄN</t>
        </is>
      </c>
      <c r="E5998" t="inlineStr">
        <is>
          <t>ÖVERKALIX</t>
        </is>
      </c>
      <c r="F5998" t="inlineStr">
        <is>
          <t>SCA</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46425-2025</t>
        </is>
      </c>
      <c r="B5999" s="1" t="n">
        <v>45925.60075231481</v>
      </c>
      <c r="C5999" s="1" t="n">
        <v>46046</v>
      </c>
      <c r="D5999" t="inlineStr">
        <is>
          <t>NORRBOTTENS LÄN</t>
        </is>
      </c>
      <c r="E5999" t="inlineStr">
        <is>
          <t>PITEÅ</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46254-2025</t>
        </is>
      </c>
      <c r="B6000" s="1" t="n">
        <v>45925.34530092592</v>
      </c>
      <c r="C6000" s="1" t="n">
        <v>46046</v>
      </c>
      <c r="D6000" t="inlineStr">
        <is>
          <t>NORRBOTTENS LÄN</t>
        </is>
      </c>
      <c r="E6000" t="inlineStr">
        <is>
          <t>PITEÅ</t>
        </is>
      </c>
      <c r="F6000" t="inlineStr">
        <is>
          <t>SCA</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42826-2024</t>
        </is>
      </c>
      <c r="B6001" s="1" t="n">
        <v>45566</v>
      </c>
      <c r="C6001" s="1" t="n">
        <v>46046</v>
      </c>
      <c r="D6001" t="inlineStr">
        <is>
          <t>NORRBOTTENS LÄN</t>
        </is>
      </c>
      <c r="E6001" t="inlineStr">
        <is>
          <t>KALIX</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2237-2023</t>
        </is>
      </c>
      <c r="B6002" s="1" t="n">
        <v>44942.46430555556</v>
      </c>
      <c r="C6002" s="1" t="n">
        <v>46046</v>
      </c>
      <c r="D6002" t="inlineStr">
        <is>
          <t>NORRBOTTENS LÄN</t>
        </is>
      </c>
      <c r="E6002" t="inlineStr">
        <is>
          <t>GÄLLIVARE</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46490-2025</t>
        </is>
      </c>
      <c r="B6003" s="1" t="n">
        <v>45925</v>
      </c>
      <c r="C6003" s="1" t="n">
        <v>46046</v>
      </c>
      <c r="D6003" t="inlineStr">
        <is>
          <t>NORRBOTTENS LÄN</t>
        </is>
      </c>
      <c r="E6003" t="inlineStr">
        <is>
          <t>PAJALA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45957-2025</t>
        </is>
      </c>
      <c r="B6004" s="1" t="n">
        <v>45924.34506944445</v>
      </c>
      <c r="C6004" s="1" t="n">
        <v>46046</v>
      </c>
      <c r="D6004" t="inlineStr">
        <is>
          <t>NORRBOTTENS LÄN</t>
        </is>
      </c>
      <c r="E6004" t="inlineStr">
        <is>
          <t>PITEÅ</t>
        </is>
      </c>
      <c r="F6004" t="inlineStr">
        <is>
          <t>SCA</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14558-2025</t>
        </is>
      </c>
      <c r="B6005" s="1" t="n">
        <v>45741.75050925926</v>
      </c>
      <c r="C6005" s="1" t="n">
        <v>46046</v>
      </c>
      <c r="D6005" t="inlineStr">
        <is>
          <t>NORRBOTTENS LÄN</t>
        </is>
      </c>
      <c r="E6005" t="inlineStr">
        <is>
          <t>PITEÅ</t>
        </is>
      </c>
      <c r="G6005" t="n">
        <v>11.4</v>
      </c>
      <c r="H6005" t="n">
        <v>0</v>
      </c>
      <c r="I6005" t="n">
        <v>0</v>
      </c>
      <c r="J6005" t="n">
        <v>0</v>
      </c>
      <c r="K6005" t="n">
        <v>0</v>
      </c>
      <c r="L6005" t="n">
        <v>0</v>
      </c>
      <c r="M6005" t="n">
        <v>0</v>
      </c>
      <c r="N6005" t="n">
        <v>0</v>
      </c>
      <c r="O6005" t="n">
        <v>0</v>
      </c>
      <c r="P6005" t="n">
        <v>0</v>
      </c>
      <c r="Q6005" t="n">
        <v>0</v>
      </c>
      <c r="R6005" s="2" t="inlineStr"/>
    </row>
    <row r="6006" ht="15" customHeight="1">
      <c r="A6006" t="inlineStr">
        <is>
          <t>A 14559-2025</t>
        </is>
      </c>
      <c r="B6006" s="1" t="n">
        <v>45741.76587962963</v>
      </c>
      <c r="C6006" s="1" t="n">
        <v>46046</v>
      </c>
      <c r="D6006" t="inlineStr">
        <is>
          <t>NORRBOTTENS LÄN</t>
        </is>
      </c>
      <c r="E6006" t="inlineStr">
        <is>
          <t>PITEÅ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46460-2025</t>
        </is>
      </c>
      <c r="B6007" s="1" t="n">
        <v>45925.66606481482</v>
      </c>
      <c r="C6007" s="1" t="n">
        <v>46046</v>
      </c>
      <c r="D6007" t="inlineStr">
        <is>
          <t>NORRBOTTENS LÄN</t>
        </is>
      </c>
      <c r="E6007" t="inlineStr">
        <is>
          <t>JOKKMOKK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46400-2025</t>
        </is>
      </c>
      <c r="B6008" s="1" t="n">
        <v>45925.55700231482</v>
      </c>
      <c r="C6008" s="1" t="n">
        <v>46046</v>
      </c>
      <c r="D6008" t="inlineStr">
        <is>
          <t>NORRBOTTENS LÄN</t>
        </is>
      </c>
      <c r="E6008" t="inlineStr">
        <is>
          <t>ÄLVSBYN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46403-2025</t>
        </is>
      </c>
      <c r="B6009" s="1" t="n">
        <v>45925.56111111111</v>
      </c>
      <c r="C6009" s="1" t="n">
        <v>46046</v>
      </c>
      <c r="D6009" t="inlineStr">
        <is>
          <t>NORRBOTTENS LÄN</t>
        </is>
      </c>
      <c r="E6009" t="inlineStr">
        <is>
          <t>PITEÅ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46170-2025</t>
        </is>
      </c>
      <c r="B6010" s="1" t="n">
        <v>45924.64552083334</v>
      </c>
      <c r="C6010" s="1" t="n">
        <v>46046</v>
      </c>
      <c r="D6010" t="inlineStr">
        <is>
          <t>NORRBOTTENS LÄN</t>
        </is>
      </c>
      <c r="E6010" t="inlineStr">
        <is>
          <t>ARVIDSJAUR</t>
        </is>
      </c>
      <c r="F6010" t="inlineStr">
        <is>
          <t>Övriga Aktiebolag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46465-2025</t>
        </is>
      </c>
      <c r="B6011" s="1" t="n">
        <v>45925.67710648148</v>
      </c>
      <c r="C6011" s="1" t="n">
        <v>46046</v>
      </c>
      <c r="D6011" t="inlineStr">
        <is>
          <t>NORRBOTTENS LÄN</t>
        </is>
      </c>
      <c r="E6011" t="inlineStr">
        <is>
          <t>JOKKMOKK</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46386-2025</t>
        </is>
      </c>
      <c r="B6012" s="1" t="n">
        <v>45925.53197916667</v>
      </c>
      <c r="C6012" s="1" t="n">
        <v>46046</v>
      </c>
      <c r="D6012" t="inlineStr">
        <is>
          <t>NORRBOTTENS LÄN</t>
        </is>
      </c>
      <c r="E6012" t="inlineStr">
        <is>
          <t>GÄLLIVARE</t>
        </is>
      </c>
      <c r="F6012" t="inlineStr">
        <is>
          <t>SCA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46422-2025</t>
        </is>
      </c>
      <c r="B6013" s="1" t="n">
        <v>45925.59945601852</v>
      </c>
      <c r="C6013" s="1" t="n">
        <v>46046</v>
      </c>
      <c r="D6013" t="inlineStr">
        <is>
          <t>NORRBOTTENS LÄN</t>
        </is>
      </c>
      <c r="E6013" t="inlineStr">
        <is>
          <t>PITEÅ</t>
        </is>
      </c>
      <c r="G6013" t="n">
        <v>17.8</v>
      </c>
      <c r="H6013" t="n">
        <v>0</v>
      </c>
      <c r="I6013" t="n">
        <v>0</v>
      </c>
      <c r="J6013" t="n">
        <v>0</v>
      </c>
      <c r="K6013" t="n">
        <v>0</v>
      </c>
      <c r="L6013" t="n">
        <v>0</v>
      </c>
      <c r="M6013" t="n">
        <v>0</v>
      </c>
      <c r="N6013" t="n">
        <v>0</v>
      </c>
      <c r="O6013" t="n">
        <v>0</v>
      </c>
      <c r="P6013" t="n">
        <v>0</v>
      </c>
      <c r="Q6013" t="n">
        <v>0</v>
      </c>
      <c r="R6013" s="2" t="inlineStr"/>
    </row>
    <row r="6014" ht="15" customHeight="1">
      <c r="A6014" t="inlineStr">
        <is>
          <t>A 30416-2024</t>
        </is>
      </c>
      <c r="B6014" s="1" t="n">
        <v>45491.64596064815</v>
      </c>
      <c r="C6014" s="1" t="n">
        <v>46046</v>
      </c>
      <c r="D6014" t="inlineStr">
        <is>
          <t>NORRBOTTENS LÄN</t>
        </is>
      </c>
      <c r="E6014" t="inlineStr">
        <is>
          <t>PAJALA</t>
        </is>
      </c>
      <c r="G6014" t="n">
        <v>61.1</v>
      </c>
      <c r="H6014" t="n">
        <v>0</v>
      </c>
      <c r="I6014" t="n">
        <v>0</v>
      </c>
      <c r="J6014" t="n">
        <v>0</v>
      </c>
      <c r="K6014" t="n">
        <v>0</v>
      </c>
      <c r="L6014" t="n">
        <v>0</v>
      </c>
      <c r="M6014" t="n">
        <v>0</v>
      </c>
      <c r="N6014" t="n">
        <v>0</v>
      </c>
      <c r="O6014" t="n">
        <v>0</v>
      </c>
      <c r="P6014" t="n">
        <v>0</v>
      </c>
      <c r="Q6014" t="n">
        <v>0</v>
      </c>
      <c r="R6014" s="2" t="inlineStr"/>
    </row>
    <row r="6015" ht="15" customHeight="1">
      <c r="A6015" t="inlineStr">
        <is>
          <t>A 46469-2025</t>
        </is>
      </c>
      <c r="B6015" s="1" t="n">
        <v>45925.68186342593</v>
      </c>
      <c r="C6015" s="1" t="n">
        <v>46046</v>
      </c>
      <c r="D6015" t="inlineStr">
        <is>
          <t>NORRBOTTENS LÄN</t>
        </is>
      </c>
      <c r="E6015" t="inlineStr">
        <is>
          <t>LULEÅ</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46488-2025</t>
        </is>
      </c>
      <c r="B6016" s="1" t="n">
        <v>45925.71914351852</v>
      </c>
      <c r="C6016" s="1" t="n">
        <v>46046</v>
      </c>
      <c r="D6016" t="inlineStr">
        <is>
          <t>NORRBOTTENS LÄN</t>
        </is>
      </c>
      <c r="E6016" t="inlineStr">
        <is>
          <t>KALIX</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46106-2025</t>
        </is>
      </c>
      <c r="B6017" s="1" t="n">
        <v>45924.55252314815</v>
      </c>
      <c r="C6017" s="1" t="n">
        <v>46046</v>
      </c>
      <c r="D6017" t="inlineStr">
        <is>
          <t>NORRBOTTENS LÄN</t>
        </is>
      </c>
      <c r="E6017" t="inlineStr">
        <is>
          <t>PITEÅ</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5382-2025</t>
        </is>
      </c>
      <c r="B6018" s="1" t="n">
        <v>45692.61486111111</v>
      </c>
      <c r="C6018" s="1" t="n">
        <v>46046</v>
      </c>
      <c r="D6018" t="inlineStr">
        <is>
          <t>NORRBOTTENS LÄN</t>
        </is>
      </c>
      <c r="E6018" t="inlineStr">
        <is>
          <t>ÖVERKALIX</t>
        </is>
      </c>
      <c r="F6018" t="inlineStr">
        <is>
          <t>SCA</t>
        </is>
      </c>
      <c r="G6018" t="n">
        <v>10.1</v>
      </c>
      <c r="H6018" t="n">
        <v>0</v>
      </c>
      <c r="I6018" t="n">
        <v>0</v>
      </c>
      <c r="J6018" t="n">
        <v>0</v>
      </c>
      <c r="K6018" t="n">
        <v>0</v>
      </c>
      <c r="L6018" t="n">
        <v>0</v>
      </c>
      <c r="M6018" t="n">
        <v>0</v>
      </c>
      <c r="N6018" t="n">
        <v>0</v>
      </c>
      <c r="O6018" t="n">
        <v>0</v>
      </c>
      <c r="P6018" t="n">
        <v>0</v>
      </c>
      <c r="Q6018" t="n">
        <v>0</v>
      </c>
      <c r="R6018" s="2" t="inlineStr"/>
    </row>
    <row r="6019" ht="15" customHeight="1">
      <c r="A6019" t="inlineStr">
        <is>
          <t>A 46314-2025</t>
        </is>
      </c>
      <c r="B6019" s="1" t="n">
        <v>45925</v>
      </c>
      <c r="C6019" s="1" t="n">
        <v>46046</v>
      </c>
      <c r="D6019" t="inlineStr">
        <is>
          <t>NORRBOTTENS LÄN</t>
        </is>
      </c>
      <c r="E6019" t="inlineStr">
        <is>
          <t>LULEÅ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46318-2025</t>
        </is>
      </c>
      <c r="B6020" s="1" t="n">
        <v>45925</v>
      </c>
      <c r="C6020" s="1" t="n">
        <v>46046</v>
      </c>
      <c r="D6020" t="inlineStr">
        <is>
          <t>NORRBOTTENS LÄN</t>
        </is>
      </c>
      <c r="E6020" t="inlineStr">
        <is>
          <t>GÄLLIVARE</t>
        </is>
      </c>
      <c r="G6020" t="n">
        <v>10.2</v>
      </c>
      <c r="H6020" t="n">
        <v>0</v>
      </c>
      <c r="I6020" t="n">
        <v>0</v>
      </c>
      <c r="J6020" t="n">
        <v>0</v>
      </c>
      <c r="K6020" t="n">
        <v>0</v>
      </c>
      <c r="L6020" t="n">
        <v>0</v>
      </c>
      <c r="M6020" t="n">
        <v>0</v>
      </c>
      <c r="N6020" t="n">
        <v>0</v>
      </c>
      <c r="O6020" t="n">
        <v>0</v>
      </c>
      <c r="P6020" t="n">
        <v>0</v>
      </c>
      <c r="Q6020" t="n">
        <v>0</v>
      </c>
      <c r="R6020" s="2" t="inlineStr"/>
    </row>
    <row r="6021" ht="15" customHeight="1">
      <c r="A6021" t="inlineStr">
        <is>
          <t>A 46392-2025</t>
        </is>
      </c>
      <c r="B6021" s="1" t="n">
        <v>45925.54362268518</v>
      </c>
      <c r="C6021" s="1" t="n">
        <v>46046</v>
      </c>
      <c r="D6021" t="inlineStr">
        <is>
          <t>NORRBOTTENS LÄN</t>
        </is>
      </c>
      <c r="E6021" t="inlineStr">
        <is>
          <t>ÄLVSBYN</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32681-2024</t>
        </is>
      </c>
      <c r="B6022" s="1" t="n">
        <v>45515</v>
      </c>
      <c r="C6022" s="1" t="n">
        <v>46046</v>
      </c>
      <c r="D6022" t="inlineStr">
        <is>
          <t>NORRBOTTENS LÄN</t>
        </is>
      </c>
      <c r="E6022" t="inlineStr">
        <is>
          <t>ÖVERTORNEÅ</t>
        </is>
      </c>
      <c r="G6022" t="n">
        <v>8.4</v>
      </c>
      <c r="H6022" t="n">
        <v>0</v>
      </c>
      <c r="I6022" t="n">
        <v>0</v>
      </c>
      <c r="J6022" t="n">
        <v>0</v>
      </c>
      <c r="K6022" t="n">
        <v>0</v>
      </c>
      <c r="L6022" t="n">
        <v>0</v>
      </c>
      <c r="M6022" t="n">
        <v>0</v>
      </c>
      <c r="N6022" t="n">
        <v>0</v>
      </c>
      <c r="O6022" t="n">
        <v>0</v>
      </c>
      <c r="P6022" t="n">
        <v>0</v>
      </c>
      <c r="Q6022" t="n">
        <v>0</v>
      </c>
      <c r="R6022" s="2" t="inlineStr"/>
    </row>
    <row r="6023" ht="15" customHeight="1">
      <c r="A6023" t="inlineStr">
        <is>
          <t>A 46344-2025</t>
        </is>
      </c>
      <c r="B6023" s="1" t="n">
        <v>45925</v>
      </c>
      <c r="C6023" s="1" t="n">
        <v>46046</v>
      </c>
      <c r="D6023" t="inlineStr">
        <is>
          <t>NORRBOTTENS LÄN</t>
        </is>
      </c>
      <c r="E6023" t="inlineStr">
        <is>
          <t>LULEÅ</t>
        </is>
      </c>
      <c r="F6023" t="inlineStr">
        <is>
          <t>SCA</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45953-2025</t>
        </is>
      </c>
      <c r="B6024" s="1" t="n">
        <v>45924.34458333333</v>
      </c>
      <c r="C6024" s="1" t="n">
        <v>46046</v>
      </c>
      <c r="D6024" t="inlineStr">
        <is>
          <t>NORRBOTTENS LÄN</t>
        </is>
      </c>
      <c r="E6024" t="inlineStr">
        <is>
          <t>PITEÅ</t>
        </is>
      </c>
      <c r="F6024" t="inlineStr">
        <is>
          <t>SCA</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45954-2025</t>
        </is>
      </c>
      <c r="B6025" s="1" t="n">
        <v>45924.34474537037</v>
      </c>
      <c r="C6025" s="1" t="n">
        <v>46046</v>
      </c>
      <c r="D6025" t="inlineStr">
        <is>
          <t>NORRBOTTENS LÄN</t>
        </is>
      </c>
      <c r="E6025" t="inlineStr">
        <is>
          <t>PITEÅ</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45984-2025</t>
        </is>
      </c>
      <c r="B6026" s="1" t="n">
        <v>45924.38020833334</v>
      </c>
      <c r="C6026" s="1" t="n">
        <v>46046</v>
      </c>
      <c r="D6026" t="inlineStr">
        <is>
          <t>NORRBOTTENS LÄN</t>
        </is>
      </c>
      <c r="E6026" t="inlineStr">
        <is>
          <t>ARVIDSJAUR</t>
        </is>
      </c>
      <c r="F6026" t="inlineStr">
        <is>
          <t>Sveaskog</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39893-2024</t>
        </is>
      </c>
      <c r="B6027" s="1" t="n">
        <v>45553.47987268519</v>
      </c>
      <c r="C6027" s="1" t="n">
        <v>46046</v>
      </c>
      <c r="D6027" t="inlineStr">
        <is>
          <t>NORRBOTTENS LÄN</t>
        </is>
      </c>
      <c r="E6027" t="inlineStr">
        <is>
          <t>HAPARANDA</t>
        </is>
      </c>
      <c r="G6027" t="n">
        <v>11.7</v>
      </c>
      <c r="H6027" t="n">
        <v>0</v>
      </c>
      <c r="I6027" t="n">
        <v>0</v>
      </c>
      <c r="J6027" t="n">
        <v>0</v>
      </c>
      <c r="K6027" t="n">
        <v>0</v>
      </c>
      <c r="L6027" t="n">
        <v>0</v>
      </c>
      <c r="M6027" t="n">
        <v>0</v>
      </c>
      <c r="N6027" t="n">
        <v>0</v>
      </c>
      <c r="O6027" t="n">
        <v>0</v>
      </c>
      <c r="P6027" t="n">
        <v>0</v>
      </c>
      <c r="Q6027" t="n">
        <v>0</v>
      </c>
      <c r="R6027" s="2" t="inlineStr"/>
    </row>
    <row r="6028" ht="15" customHeight="1">
      <c r="A6028" t="inlineStr">
        <is>
          <t>A 46053-2025</t>
        </is>
      </c>
      <c r="B6028" s="1" t="n">
        <v>45924</v>
      </c>
      <c r="C6028" s="1" t="n">
        <v>46046</v>
      </c>
      <c r="D6028" t="inlineStr">
        <is>
          <t>NORRBOTTENS LÄN</t>
        </is>
      </c>
      <c r="E6028" t="inlineStr">
        <is>
          <t>BODEN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46430-2025</t>
        </is>
      </c>
      <c r="B6029" s="1" t="n">
        <v>45925.61494212963</v>
      </c>
      <c r="C6029" s="1" t="n">
        <v>46046</v>
      </c>
      <c r="D6029" t="inlineStr">
        <is>
          <t>NORRBOTTENS LÄN</t>
        </is>
      </c>
      <c r="E6029" t="inlineStr">
        <is>
          <t>LULEÅ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46458-2025</t>
        </is>
      </c>
      <c r="B6030" s="1" t="n">
        <v>45925.66335648148</v>
      </c>
      <c r="C6030" s="1" t="n">
        <v>46046</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46478-2025</t>
        </is>
      </c>
      <c r="B6031" s="1" t="n">
        <v>45925.69836805556</v>
      </c>
      <c r="C6031" s="1" t="n">
        <v>46046</v>
      </c>
      <c r="D6031" t="inlineStr">
        <is>
          <t>NORRBOTTENS LÄN</t>
        </is>
      </c>
      <c r="E6031" t="inlineStr">
        <is>
          <t>KALIX</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46418-2025</t>
        </is>
      </c>
      <c r="B6032" s="1" t="n">
        <v>45925.59481481482</v>
      </c>
      <c r="C6032" s="1" t="n">
        <v>46046</v>
      </c>
      <c r="D6032" t="inlineStr">
        <is>
          <t>NORRBOTTENS LÄN</t>
        </is>
      </c>
      <c r="E6032" t="inlineStr">
        <is>
          <t>GÄLLIVARE</t>
        </is>
      </c>
      <c r="F6032" t="inlineStr">
        <is>
          <t>SCA</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55343-2024</t>
        </is>
      </c>
      <c r="B6033" s="1" t="n">
        <v>45621.71971064815</v>
      </c>
      <c r="C6033" s="1" t="n">
        <v>46046</v>
      </c>
      <c r="D6033" t="inlineStr">
        <is>
          <t>NORRBOTTENS LÄN</t>
        </is>
      </c>
      <c r="E6033" t="inlineStr">
        <is>
          <t>PAJALA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46143-2025</t>
        </is>
      </c>
      <c r="B6034" s="1" t="n">
        <v>45924.60710648148</v>
      </c>
      <c r="C6034" s="1" t="n">
        <v>46046</v>
      </c>
      <c r="D6034" t="inlineStr">
        <is>
          <t>NORRBOTTENS LÄN</t>
        </is>
      </c>
      <c r="E6034" t="inlineStr">
        <is>
          <t>PITEÅ</t>
        </is>
      </c>
      <c r="F6034" t="inlineStr">
        <is>
          <t>Sveaskog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45958-2025</t>
        </is>
      </c>
      <c r="B6035" s="1" t="n">
        <v>45924.34524305556</v>
      </c>
      <c r="C6035" s="1" t="n">
        <v>46046</v>
      </c>
      <c r="D6035" t="inlineStr">
        <is>
          <t>NORRBOTTENS LÄN</t>
        </is>
      </c>
      <c r="E6035" t="inlineStr">
        <is>
          <t>PITEÅ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22480-2024</t>
        </is>
      </c>
      <c r="B6036" s="1" t="n">
        <v>45446</v>
      </c>
      <c r="C6036" s="1" t="n">
        <v>46046</v>
      </c>
      <c r="D6036" t="inlineStr">
        <is>
          <t>NORRBOTTENS LÄN</t>
        </is>
      </c>
      <c r="E6036" t="inlineStr">
        <is>
          <t>KALIX</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7236-2022</t>
        </is>
      </c>
      <c r="B6037" s="1" t="n">
        <v>44603</v>
      </c>
      <c r="C6037" s="1" t="n">
        <v>46046</v>
      </c>
      <c r="D6037" t="inlineStr">
        <is>
          <t>NORRBOTTENS LÄN</t>
        </is>
      </c>
      <c r="E6037" t="inlineStr">
        <is>
          <t>KALIX</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8521-2022</t>
        </is>
      </c>
      <c r="B6038" s="1" t="n">
        <v>44610</v>
      </c>
      <c r="C6038" s="1" t="n">
        <v>46046</v>
      </c>
      <c r="D6038" t="inlineStr">
        <is>
          <t>NORRBOTTENS LÄN</t>
        </is>
      </c>
      <c r="E6038" t="inlineStr">
        <is>
          <t>LULEÅ</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17803-2024</t>
        </is>
      </c>
      <c r="B6039" s="1" t="n">
        <v>45418</v>
      </c>
      <c r="C6039" s="1" t="n">
        <v>46046</v>
      </c>
      <c r="D6039" t="inlineStr">
        <is>
          <t>NORRBOTTENS LÄN</t>
        </is>
      </c>
      <c r="E6039" t="inlineStr">
        <is>
          <t>PAJALA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17807-2024</t>
        </is>
      </c>
      <c r="B6040" s="1" t="n">
        <v>45418.92701388889</v>
      </c>
      <c r="C6040" s="1" t="n">
        <v>46046</v>
      </c>
      <c r="D6040" t="inlineStr">
        <is>
          <t>NORRBOTTENS LÄN</t>
        </is>
      </c>
      <c r="E6040" t="inlineStr">
        <is>
          <t>ÖVERTORNEÅ</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46213-2025</t>
        </is>
      </c>
      <c r="B6041" s="1" t="n">
        <v>45924</v>
      </c>
      <c r="C6041" s="1" t="n">
        <v>46046</v>
      </c>
      <c r="D6041" t="inlineStr">
        <is>
          <t>NORRBOTTENS LÄN</t>
        </is>
      </c>
      <c r="E6041" t="inlineStr">
        <is>
          <t>PITEÅ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30690-2024</t>
        </is>
      </c>
      <c r="B6042" s="1" t="n">
        <v>45495</v>
      </c>
      <c r="C6042" s="1" t="n">
        <v>46046</v>
      </c>
      <c r="D6042" t="inlineStr">
        <is>
          <t>NORRBOTTENS LÄN</t>
        </is>
      </c>
      <c r="E6042" t="inlineStr">
        <is>
          <t>ÄLVSBYN</t>
        </is>
      </c>
      <c r="F6042" t="inlineStr">
        <is>
          <t>SCA</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46052-2025</t>
        </is>
      </c>
      <c r="B6043" s="1" t="n">
        <v>45924</v>
      </c>
      <c r="C6043" s="1" t="n">
        <v>46046</v>
      </c>
      <c r="D6043" t="inlineStr">
        <is>
          <t>NORRBOTTENS LÄN</t>
        </is>
      </c>
      <c r="E6043" t="inlineStr">
        <is>
          <t>BODEN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46250-2025</t>
        </is>
      </c>
      <c r="B6044" s="1" t="n">
        <v>45925.34460648148</v>
      </c>
      <c r="C6044" s="1" t="n">
        <v>46046</v>
      </c>
      <c r="D6044" t="inlineStr">
        <is>
          <t>NORRBOTTENS LÄN</t>
        </is>
      </c>
      <c r="E6044" t="inlineStr">
        <is>
          <t>PITEÅ</t>
        </is>
      </c>
      <c r="F6044" t="inlineStr">
        <is>
          <t>SCA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46307-2025</t>
        </is>
      </c>
      <c r="B6045" s="1" t="n">
        <v>45925</v>
      </c>
      <c r="C6045" s="1" t="n">
        <v>46046</v>
      </c>
      <c r="D6045" t="inlineStr">
        <is>
          <t>NORRBOTTENS LÄN</t>
        </is>
      </c>
      <c r="E6045" t="inlineStr">
        <is>
          <t>PAJALA</t>
        </is>
      </c>
      <c r="G6045" t="n">
        <v>23.8</v>
      </c>
      <c r="H6045" t="n">
        <v>0</v>
      </c>
      <c r="I6045" t="n">
        <v>0</v>
      </c>
      <c r="J6045" t="n">
        <v>0</v>
      </c>
      <c r="K6045" t="n">
        <v>0</v>
      </c>
      <c r="L6045" t="n">
        <v>0</v>
      </c>
      <c r="M6045" t="n">
        <v>0</v>
      </c>
      <c r="N6045" t="n">
        <v>0</v>
      </c>
      <c r="O6045" t="n">
        <v>0</v>
      </c>
      <c r="P6045" t="n">
        <v>0</v>
      </c>
      <c r="Q6045" t="n">
        <v>0</v>
      </c>
      <c r="R6045" s="2" t="inlineStr"/>
    </row>
    <row r="6046" ht="15" customHeight="1">
      <c r="A6046" t="inlineStr">
        <is>
          <t>A 46951-2024</t>
        </is>
      </c>
      <c r="B6046" s="1" t="n">
        <v>45585</v>
      </c>
      <c r="C6046" s="1" t="n">
        <v>46046</v>
      </c>
      <c r="D6046" t="inlineStr">
        <is>
          <t>NORRBOTTENS LÄN</t>
        </is>
      </c>
      <c r="E6046" t="inlineStr">
        <is>
          <t>PAJALA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14159-2024</t>
        </is>
      </c>
      <c r="B6047" s="1" t="n">
        <v>45392.92930555555</v>
      </c>
      <c r="C6047" s="1" t="n">
        <v>46046</v>
      </c>
      <c r="D6047" t="inlineStr">
        <is>
          <t>NORRBOTTENS LÄN</t>
        </is>
      </c>
      <c r="E6047" t="inlineStr">
        <is>
          <t>LULEÅ</t>
        </is>
      </c>
      <c r="G6047" t="n">
        <v>33.9</v>
      </c>
      <c r="H6047" t="n">
        <v>0</v>
      </c>
      <c r="I6047" t="n">
        <v>0</v>
      </c>
      <c r="J6047" t="n">
        <v>0</v>
      </c>
      <c r="K6047" t="n">
        <v>0</v>
      </c>
      <c r="L6047" t="n">
        <v>0</v>
      </c>
      <c r="M6047" t="n">
        <v>0</v>
      </c>
      <c r="N6047" t="n">
        <v>0</v>
      </c>
      <c r="O6047" t="n">
        <v>0</v>
      </c>
      <c r="P6047" t="n">
        <v>0</v>
      </c>
      <c r="Q6047" t="n">
        <v>0</v>
      </c>
      <c r="R6047" s="2" t="inlineStr"/>
    </row>
    <row r="6048" ht="15" customHeight="1">
      <c r="A6048" t="inlineStr">
        <is>
          <t>A 2452-2024</t>
        </is>
      </c>
      <c r="B6048" s="1" t="n">
        <v>45312</v>
      </c>
      <c r="C6048" s="1" t="n">
        <v>46046</v>
      </c>
      <c r="D6048" t="inlineStr">
        <is>
          <t>NORRBOTTENS LÄN</t>
        </is>
      </c>
      <c r="E6048" t="inlineStr">
        <is>
          <t>PITEÅ</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20593-2023</t>
        </is>
      </c>
      <c r="B6049" s="1" t="n">
        <v>45057</v>
      </c>
      <c r="C6049" s="1" t="n">
        <v>46046</v>
      </c>
      <c r="D6049" t="inlineStr">
        <is>
          <t>NORRBOTTENS LÄN</t>
        </is>
      </c>
      <c r="E6049" t="inlineStr">
        <is>
          <t>JOKKMOKK</t>
        </is>
      </c>
      <c r="F6049" t="inlineStr">
        <is>
          <t>SCA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46491-2025</t>
        </is>
      </c>
      <c r="B6050" s="1" t="n">
        <v>45925</v>
      </c>
      <c r="C6050" s="1" t="n">
        <v>46046</v>
      </c>
      <c r="D6050" t="inlineStr">
        <is>
          <t>NORRBOTTENS LÄN</t>
        </is>
      </c>
      <c r="E6050" t="inlineStr">
        <is>
          <t>PAJALA</t>
        </is>
      </c>
      <c r="G6050" t="n">
        <v>50.7</v>
      </c>
      <c r="H6050" t="n">
        <v>0</v>
      </c>
      <c r="I6050" t="n">
        <v>0</v>
      </c>
      <c r="J6050" t="n">
        <v>0</v>
      </c>
      <c r="K6050" t="n">
        <v>0</v>
      </c>
      <c r="L6050" t="n">
        <v>0</v>
      </c>
      <c r="M6050" t="n">
        <v>0</v>
      </c>
      <c r="N6050" t="n">
        <v>0</v>
      </c>
      <c r="O6050" t="n">
        <v>0</v>
      </c>
      <c r="P6050" t="n">
        <v>0</v>
      </c>
      <c r="Q6050" t="n">
        <v>0</v>
      </c>
      <c r="R6050" s="2" t="inlineStr"/>
    </row>
    <row r="6051" ht="15" customHeight="1">
      <c r="A6051" t="inlineStr">
        <is>
          <t>A 45959-2025</t>
        </is>
      </c>
      <c r="B6051" s="1" t="n">
        <v>45924</v>
      </c>
      <c r="C6051" s="1" t="n">
        <v>46046</v>
      </c>
      <c r="D6051" t="inlineStr">
        <is>
          <t>NORRBOTTENS LÄN</t>
        </is>
      </c>
      <c r="E6051" t="inlineStr">
        <is>
          <t>ÄLVSBYN</t>
        </is>
      </c>
      <c r="F6051" t="inlineStr">
        <is>
          <t>SCA</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45969-2025</t>
        </is>
      </c>
      <c r="B6052" s="1" t="n">
        <v>45924</v>
      </c>
      <c r="C6052" s="1" t="n">
        <v>46046</v>
      </c>
      <c r="D6052" t="inlineStr">
        <is>
          <t>NORRBOTTENS LÄN</t>
        </is>
      </c>
      <c r="E6052" t="inlineStr">
        <is>
          <t>BODEN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54879-2021</t>
        </is>
      </c>
      <c r="B6053" s="1" t="n">
        <v>44473</v>
      </c>
      <c r="C6053" s="1" t="n">
        <v>46046</v>
      </c>
      <c r="D6053" t="inlineStr">
        <is>
          <t>NORRBOTTENS LÄN</t>
        </is>
      </c>
      <c r="E6053" t="inlineStr">
        <is>
          <t>LULEÅ</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35051-2023</t>
        </is>
      </c>
      <c r="B6054" s="1" t="n">
        <v>45145.38618055556</v>
      </c>
      <c r="C6054" s="1" t="n">
        <v>46046</v>
      </c>
      <c r="D6054" t="inlineStr">
        <is>
          <t>NORRBOTTENS LÄN</t>
        </is>
      </c>
      <c r="E6054" t="inlineStr">
        <is>
          <t>KALIX</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46398-2025</t>
        </is>
      </c>
      <c r="B6055" s="1" t="n">
        <v>45925</v>
      </c>
      <c r="C6055" s="1" t="n">
        <v>46046</v>
      </c>
      <c r="D6055" t="inlineStr">
        <is>
          <t>NORRBOTTENS LÄN</t>
        </is>
      </c>
      <c r="E6055" t="inlineStr">
        <is>
          <t>PAJALA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57816-2022</t>
        </is>
      </c>
      <c r="B6056" s="1" t="n">
        <v>44897.92487268519</v>
      </c>
      <c r="C6056" s="1" t="n">
        <v>46046</v>
      </c>
      <c r="D6056" t="inlineStr">
        <is>
          <t>NORRBOTTENS LÄN</t>
        </is>
      </c>
      <c r="E6056" t="inlineStr">
        <is>
          <t>LULEÅ</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3220-2024</t>
        </is>
      </c>
      <c r="B6057" s="1" t="n">
        <v>45316</v>
      </c>
      <c r="C6057" s="1" t="n">
        <v>46046</v>
      </c>
      <c r="D6057" t="inlineStr">
        <is>
          <t>NORRBOTTENS LÄN</t>
        </is>
      </c>
      <c r="E6057" t="inlineStr">
        <is>
          <t>PITEÅ</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46060-2025</t>
        </is>
      </c>
      <c r="B6058" s="1" t="n">
        <v>45924</v>
      </c>
      <c r="C6058" s="1" t="n">
        <v>46046</v>
      </c>
      <c r="D6058" t="inlineStr">
        <is>
          <t>NORRBOTTENS LÄN</t>
        </is>
      </c>
      <c r="E6058" t="inlineStr">
        <is>
          <t>LULEÅ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46151-2025</t>
        </is>
      </c>
      <c r="B6059" s="1" t="n">
        <v>45924.61495370371</v>
      </c>
      <c r="C6059" s="1" t="n">
        <v>46046</v>
      </c>
      <c r="D6059" t="inlineStr">
        <is>
          <t>NORRBOTTENS LÄN</t>
        </is>
      </c>
      <c r="E6059" t="inlineStr">
        <is>
          <t>PITEÅ</t>
        </is>
      </c>
      <c r="F6059" t="inlineStr">
        <is>
          <t>SCA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3265-2024</t>
        </is>
      </c>
      <c r="B6060" s="1" t="n">
        <v>45316</v>
      </c>
      <c r="C6060" s="1" t="n">
        <v>46046</v>
      </c>
      <c r="D6060" t="inlineStr">
        <is>
          <t>NORRBOTTENS LÄN</t>
        </is>
      </c>
      <c r="E6060" t="inlineStr">
        <is>
          <t>ARVIDSJAUR</t>
        </is>
      </c>
      <c r="F6060" t="inlineStr">
        <is>
          <t>Allmännings- och besparingsskogar</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46215-2025</t>
        </is>
      </c>
      <c r="B6061" s="1" t="n">
        <v>45924.81440972222</v>
      </c>
      <c r="C6061" s="1" t="n">
        <v>46046</v>
      </c>
      <c r="D6061" t="inlineStr">
        <is>
          <t>NORRBOTTENS LÄN</t>
        </is>
      </c>
      <c r="E6061" t="inlineStr">
        <is>
          <t>PITEÅ</t>
        </is>
      </c>
      <c r="F6061" t="inlineStr">
        <is>
          <t>Sveaskog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46549-2025</t>
        </is>
      </c>
      <c r="B6062" s="1" t="n">
        <v>45926.34545138889</v>
      </c>
      <c r="C6062" s="1" t="n">
        <v>46046</v>
      </c>
      <c r="D6062" t="inlineStr">
        <is>
          <t>NORRBOTTENS LÄN</t>
        </is>
      </c>
      <c r="E6062" t="inlineStr">
        <is>
          <t>PITEÅ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23023-2023</t>
        </is>
      </c>
      <c r="B6063" s="1" t="n">
        <v>45073</v>
      </c>
      <c r="C6063" s="1" t="n">
        <v>46046</v>
      </c>
      <c r="D6063" t="inlineStr">
        <is>
          <t>NORRBOTTENS LÄN</t>
        </is>
      </c>
      <c r="E6063" t="inlineStr">
        <is>
          <t>JOKKMOKK</t>
        </is>
      </c>
      <c r="F6063" t="inlineStr">
        <is>
          <t>SCA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38928-2025</t>
        </is>
      </c>
      <c r="B6064" s="1" t="n">
        <v>45887</v>
      </c>
      <c r="C6064" s="1" t="n">
        <v>46046</v>
      </c>
      <c r="D6064" t="inlineStr">
        <is>
          <t>NORRBOTTENS LÄN</t>
        </is>
      </c>
      <c r="E6064" t="inlineStr">
        <is>
          <t>JOKKMOKK</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46747-2025</t>
        </is>
      </c>
      <c r="B6065" s="1" t="n">
        <v>45926</v>
      </c>
      <c r="C6065" s="1" t="n">
        <v>46046</v>
      </c>
      <c r="D6065" t="inlineStr">
        <is>
          <t>NORRBOTTENS LÄN</t>
        </is>
      </c>
      <c r="E6065" t="inlineStr">
        <is>
          <t>ARJEPLOG</t>
        </is>
      </c>
      <c r="G6065" t="n">
        <v>19.7</v>
      </c>
      <c r="H6065" t="n">
        <v>0</v>
      </c>
      <c r="I6065" t="n">
        <v>0</v>
      </c>
      <c r="J6065" t="n">
        <v>0</v>
      </c>
      <c r="K6065" t="n">
        <v>0</v>
      </c>
      <c r="L6065" t="n">
        <v>0</v>
      </c>
      <c r="M6065" t="n">
        <v>0</v>
      </c>
      <c r="N6065" t="n">
        <v>0</v>
      </c>
      <c r="O6065" t="n">
        <v>0</v>
      </c>
      <c r="P6065" t="n">
        <v>0</v>
      </c>
      <c r="Q6065" t="n">
        <v>0</v>
      </c>
      <c r="R6065" s="2" t="inlineStr"/>
    </row>
    <row r="6066" ht="15" customHeight="1">
      <c r="A6066" t="inlineStr">
        <is>
          <t>A 38219-2022</t>
        </is>
      </c>
      <c r="B6066" s="1" t="n">
        <v>44812</v>
      </c>
      <c r="C6066" s="1" t="n">
        <v>46046</v>
      </c>
      <c r="D6066" t="inlineStr">
        <is>
          <t>NORRBOTTENS LÄN</t>
        </is>
      </c>
      <c r="E6066" t="inlineStr">
        <is>
          <t>BODEN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7390-2023</t>
        </is>
      </c>
      <c r="B6067" s="1" t="n">
        <v>44966</v>
      </c>
      <c r="C6067" s="1" t="n">
        <v>46046</v>
      </c>
      <c r="D6067" t="inlineStr">
        <is>
          <t>NORRBOTTENS LÄN</t>
        </is>
      </c>
      <c r="E6067" t="inlineStr">
        <is>
          <t>LULEÅ</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55491-2024</t>
        </is>
      </c>
      <c r="B6068" s="1" t="n">
        <v>45622</v>
      </c>
      <c r="C6068" s="1" t="n">
        <v>46046</v>
      </c>
      <c r="D6068" t="inlineStr">
        <is>
          <t>NORRBOTTENS LÄN</t>
        </is>
      </c>
      <c r="E6068" t="inlineStr">
        <is>
          <t>JOKKMOKK</t>
        </is>
      </c>
      <c r="F6068" t="inlineStr">
        <is>
          <t>Allmännings- och besparingsskogar</t>
        </is>
      </c>
      <c r="G6068" t="n">
        <v>25.2</v>
      </c>
      <c r="H6068" t="n">
        <v>0</v>
      </c>
      <c r="I6068" t="n">
        <v>0</v>
      </c>
      <c r="J6068" t="n">
        <v>0</v>
      </c>
      <c r="K6068" t="n">
        <v>0</v>
      </c>
      <c r="L6068" t="n">
        <v>0</v>
      </c>
      <c r="M6068" t="n">
        <v>0</v>
      </c>
      <c r="N6068" t="n">
        <v>0</v>
      </c>
      <c r="O6068" t="n">
        <v>0</v>
      </c>
      <c r="P6068" t="n">
        <v>0</v>
      </c>
      <c r="Q6068" t="n">
        <v>0</v>
      </c>
      <c r="R6068" s="2" t="inlineStr"/>
    </row>
    <row r="6069" ht="15" customHeight="1">
      <c r="A6069" t="inlineStr">
        <is>
          <t>A 57897-2023</t>
        </is>
      </c>
      <c r="B6069" s="1" t="n">
        <v>45244</v>
      </c>
      <c r="C6069" s="1" t="n">
        <v>46046</v>
      </c>
      <c r="D6069" t="inlineStr">
        <is>
          <t>NORRBOTTENS LÄN</t>
        </is>
      </c>
      <c r="E6069" t="inlineStr">
        <is>
          <t>PITEÅ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41843-2024</t>
        </is>
      </c>
      <c r="B6070" s="1" t="n">
        <v>45561</v>
      </c>
      <c r="C6070" s="1" t="n">
        <v>46046</v>
      </c>
      <c r="D6070" t="inlineStr">
        <is>
          <t>NORRBOTTENS LÄN</t>
        </is>
      </c>
      <c r="E6070" t="inlineStr">
        <is>
          <t>GÄLLIVARE</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41870-2024</t>
        </is>
      </c>
      <c r="B6071" s="1" t="n">
        <v>45561</v>
      </c>
      <c r="C6071" s="1" t="n">
        <v>46046</v>
      </c>
      <c r="D6071" t="inlineStr">
        <is>
          <t>NORRBOTTENS LÄN</t>
        </is>
      </c>
      <c r="E6071" t="inlineStr">
        <is>
          <t>GÄLLIVARE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46903-2025</t>
        </is>
      </c>
      <c r="B6072" s="1" t="n">
        <v>45929.39351851852</v>
      </c>
      <c r="C6072" s="1" t="n">
        <v>46046</v>
      </c>
      <c r="D6072" t="inlineStr">
        <is>
          <t>NORRBOTTENS LÄN</t>
        </is>
      </c>
      <c r="E6072" t="inlineStr">
        <is>
          <t>ARVIDSJAUR</t>
        </is>
      </c>
      <c r="F6072" t="inlineStr">
        <is>
          <t>Sveaskog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46917-2025</t>
        </is>
      </c>
      <c r="B6073" s="1" t="n">
        <v>45929.42951388889</v>
      </c>
      <c r="C6073" s="1" t="n">
        <v>46046</v>
      </c>
      <c r="D6073" t="inlineStr">
        <is>
          <t>NORRBOTTENS LÄN</t>
        </is>
      </c>
      <c r="E6073" t="inlineStr">
        <is>
          <t>BODEN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20448-2023</t>
        </is>
      </c>
      <c r="B6074" s="1" t="n">
        <v>45056.93006944445</v>
      </c>
      <c r="C6074" s="1" t="n">
        <v>46046</v>
      </c>
      <c r="D6074" t="inlineStr">
        <is>
          <t>NORRBOTTENS LÄN</t>
        </is>
      </c>
      <c r="E6074" t="inlineStr">
        <is>
          <t>PITEÅ</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20449-2023</t>
        </is>
      </c>
      <c r="B6075" s="1" t="n">
        <v>45056</v>
      </c>
      <c r="C6075" s="1" t="n">
        <v>46046</v>
      </c>
      <c r="D6075" t="inlineStr">
        <is>
          <t>NORRBOTTENS LÄN</t>
        </is>
      </c>
      <c r="E6075" t="inlineStr">
        <is>
          <t>PITEÅ</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47088-2025</t>
        </is>
      </c>
      <c r="B6076" s="1" t="n">
        <v>45929.64570601852</v>
      </c>
      <c r="C6076" s="1" t="n">
        <v>46046</v>
      </c>
      <c r="D6076" t="inlineStr">
        <is>
          <t>NORRBOTTENS LÄN</t>
        </is>
      </c>
      <c r="E6076" t="inlineStr">
        <is>
          <t>PITEÅ</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8125-2025</t>
        </is>
      </c>
      <c r="B6077" s="1" t="n">
        <v>45707</v>
      </c>
      <c r="C6077" s="1" t="n">
        <v>46046</v>
      </c>
      <c r="D6077" t="inlineStr">
        <is>
          <t>NORRBOTTENS LÄN</t>
        </is>
      </c>
      <c r="E6077" t="inlineStr">
        <is>
          <t>ÖVERTORNEÅ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46601-2025</t>
        </is>
      </c>
      <c r="B6078" s="1" t="n">
        <v>45926.40671296296</v>
      </c>
      <c r="C6078" s="1" t="n">
        <v>46046</v>
      </c>
      <c r="D6078" t="inlineStr">
        <is>
          <t>NORRBOTTENS LÄN</t>
        </is>
      </c>
      <c r="E6078" t="inlineStr">
        <is>
          <t>PITEÅ</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46700-2025</t>
        </is>
      </c>
      <c r="B6079" s="1" t="n">
        <v>45926.56126157408</v>
      </c>
      <c r="C6079" s="1" t="n">
        <v>46046</v>
      </c>
      <c r="D6079" t="inlineStr">
        <is>
          <t>NORRBOTTENS LÄN</t>
        </is>
      </c>
      <c r="E6079" t="inlineStr">
        <is>
          <t>BODEN</t>
        </is>
      </c>
      <c r="F6079" t="inlineStr">
        <is>
          <t>Övriga Aktiebolag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46770-2025</t>
        </is>
      </c>
      <c r="B6080" s="1" t="n">
        <v>45926.6309375</v>
      </c>
      <c r="C6080" s="1" t="n">
        <v>46046</v>
      </c>
      <c r="D6080" t="inlineStr">
        <is>
          <t>NORRBOTTENS LÄN</t>
        </is>
      </c>
      <c r="E6080" t="inlineStr">
        <is>
          <t>BODEN</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7033-2023</t>
        </is>
      </c>
      <c r="B6081" s="1" t="n">
        <v>44968</v>
      </c>
      <c r="C6081" s="1" t="n">
        <v>46046</v>
      </c>
      <c r="D6081" t="inlineStr">
        <is>
          <t>NORRBOTTENS LÄN</t>
        </is>
      </c>
      <c r="E6081" t="inlineStr">
        <is>
          <t>PAJALA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38751-2022</t>
        </is>
      </c>
      <c r="B6082" s="1" t="n">
        <v>44813</v>
      </c>
      <c r="C6082" s="1" t="n">
        <v>46046</v>
      </c>
      <c r="D6082" t="inlineStr">
        <is>
          <t>NORRBOTTENS LÄN</t>
        </is>
      </c>
      <c r="E6082" t="inlineStr">
        <is>
          <t>PITEÅ</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46703-2025</t>
        </is>
      </c>
      <c r="B6083" s="1" t="n">
        <v>45926</v>
      </c>
      <c r="C6083" s="1" t="n">
        <v>46046</v>
      </c>
      <c r="D6083" t="inlineStr">
        <is>
          <t>NORRBOTTENS LÄN</t>
        </is>
      </c>
      <c r="E6083" t="inlineStr">
        <is>
          <t>ÖVERTORNEÅ</t>
        </is>
      </c>
      <c r="F6083" t="inlineStr">
        <is>
          <t>Sveaskog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58699-2023</t>
        </is>
      </c>
      <c r="B6084" s="1" t="n">
        <v>45251.68087962963</v>
      </c>
      <c r="C6084" s="1" t="n">
        <v>46046</v>
      </c>
      <c r="D6084" t="inlineStr">
        <is>
          <t>NORRBOTTENS LÄN</t>
        </is>
      </c>
      <c r="E6084" t="inlineStr">
        <is>
          <t>PAJALA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46585-2025</t>
        </is>
      </c>
      <c r="B6085" s="1" t="n">
        <v>45926</v>
      </c>
      <c r="C6085" s="1" t="n">
        <v>46046</v>
      </c>
      <c r="D6085" t="inlineStr">
        <is>
          <t>NORRBOTTENS LÄN</t>
        </is>
      </c>
      <c r="E6085" t="inlineStr">
        <is>
          <t>BODEN</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40624-2022</t>
        </is>
      </c>
      <c r="B6086" s="1" t="n">
        <v>44823</v>
      </c>
      <c r="C6086" s="1" t="n">
        <v>46046</v>
      </c>
      <c r="D6086" t="inlineStr">
        <is>
          <t>NORRBOTTENS LÄN</t>
        </is>
      </c>
      <c r="E6086" t="inlineStr">
        <is>
          <t>BODEN</t>
        </is>
      </c>
      <c r="F6086" t="inlineStr">
        <is>
          <t>SCA</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46498-2025</t>
        </is>
      </c>
      <c r="B6087" s="1" t="n">
        <v>45925.84547453704</v>
      </c>
      <c r="C6087" s="1" t="n">
        <v>46046</v>
      </c>
      <c r="D6087" t="inlineStr">
        <is>
          <t>NORRBOTTENS LÄN</t>
        </is>
      </c>
      <c r="E6087" t="inlineStr">
        <is>
          <t>PITEÅ</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47074-2025</t>
        </is>
      </c>
      <c r="B6088" s="1" t="n">
        <v>45929.63689814815</v>
      </c>
      <c r="C6088" s="1" t="n">
        <v>46046</v>
      </c>
      <c r="D6088" t="inlineStr">
        <is>
          <t>NORRBOTTENS LÄN</t>
        </is>
      </c>
      <c r="E6088" t="inlineStr">
        <is>
          <t>KALIX</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47080-2025</t>
        </is>
      </c>
      <c r="B6089" s="1" t="n">
        <v>45929.64083333333</v>
      </c>
      <c r="C6089" s="1" t="n">
        <v>46046</v>
      </c>
      <c r="D6089" t="inlineStr">
        <is>
          <t>NORRBOTTENS LÄN</t>
        </is>
      </c>
      <c r="E6089" t="inlineStr">
        <is>
          <t>PITEÅ</t>
        </is>
      </c>
      <c r="F6089" t="inlineStr">
        <is>
          <t>Sveaskog</t>
        </is>
      </c>
      <c r="G6089" t="n">
        <v>14.9</v>
      </c>
      <c r="H6089" t="n">
        <v>0</v>
      </c>
      <c r="I6089" t="n">
        <v>0</v>
      </c>
      <c r="J6089" t="n">
        <v>0</v>
      </c>
      <c r="K6089" t="n">
        <v>0</v>
      </c>
      <c r="L6089" t="n">
        <v>0</v>
      </c>
      <c r="M6089" t="n">
        <v>0</v>
      </c>
      <c r="N6089" t="n">
        <v>0</v>
      </c>
      <c r="O6089" t="n">
        <v>0</v>
      </c>
      <c r="P6089" t="n">
        <v>0</v>
      </c>
      <c r="Q6089" t="n">
        <v>0</v>
      </c>
      <c r="R6089" s="2" t="inlineStr"/>
    </row>
    <row r="6090" ht="15" customHeight="1">
      <c r="A6090" t="inlineStr">
        <is>
          <t>A 46697-2025</t>
        </is>
      </c>
      <c r="B6090" s="1" t="n">
        <v>45926</v>
      </c>
      <c r="C6090" s="1" t="n">
        <v>46046</v>
      </c>
      <c r="D6090" t="inlineStr">
        <is>
          <t>NORRBOTTENS LÄN</t>
        </is>
      </c>
      <c r="E6090" t="inlineStr">
        <is>
          <t>PAJALA</t>
        </is>
      </c>
      <c r="F6090" t="inlineStr">
        <is>
          <t>Sveaskog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42639-2024</t>
        </is>
      </c>
      <c r="B6091" s="1" t="n">
        <v>45565.91135416667</v>
      </c>
      <c r="C6091" s="1" t="n">
        <v>46046</v>
      </c>
      <c r="D6091" t="inlineStr">
        <is>
          <t>NORRBOTTENS LÄN</t>
        </is>
      </c>
      <c r="E6091" t="inlineStr">
        <is>
          <t>JOKKMOKK</t>
        </is>
      </c>
      <c r="G6091" t="n">
        <v>34.5</v>
      </c>
      <c r="H6091" t="n">
        <v>0</v>
      </c>
      <c r="I6091" t="n">
        <v>0</v>
      </c>
      <c r="J6091" t="n">
        <v>0</v>
      </c>
      <c r="K6091" t="n">
        <v>0</v>
      </c>
      <c r="L6091" t="n">
        <v>0</v>
      </c>
      <c r="M6091" t="n">
        <v>0</v>
      </c>
      <c r="N6091" t="n">
        <v>0</v>
      </c>
      <c r="O6091" t="n">
        <v>0</v>
      </c>
      <c r="P6091" t="n">
        <v>0</v>
      </c>
      <c r="Q6091" t="n">
        <v>0</v>
      </c>
      <c r="R6091" s="2" t="inlineStr"/>
    </row>
    <row r="6092" ht="15" customHeight="1">
      <c r="A6092" t="inlineStr">
        <is>
          <t>A 46982-2025</t>
        </is>
      </c>
      <c r="B6092" s="1" t="n">
        <v>45929.53196759259</v>
      </c>
      <c r="C6092" s="1" t="n">
        <v>46046</v>
      </c>
      <c r="D6092" t="inlineStr">
        <is>
          <t>NORRBOTTENS LÄN</t>
        </is>
      </c>
      <c r="E6092" t="inlineStr">
        <is>
          <t>KALIX</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34354-2024</t>
        </is>
      </c>
      <c r="B6093" s="1" t="n">
        <v>45525</v>
      </c>
      <c r="C6093" s="1" t="n">
        <v>46046</v>
      </c>
      <c r="D6093" t="inlineStr">
        <is>
          <t>NORRBOTTENS LÄN</t>
        </is>
      </c>
      <c r="E6093" t="inlineStr">
        <is>
          <t>PITEÅ</t>
        </is>
      </c>
      <c r="F6093" t="inlineStr">
        <is>
          <t>Sveaskog</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61500-2024</t>
        </is>
      </c>
      <c r="B6094" s="1" t="n">
        <v>45645</v>
      </c>
      <c r="C6094" s="1" t="n">
        <v>46046</v>
      </c>
      <c r="D6094" t="inlineStr">
        <is>
          <t>NORRBOTTENS LÄN</t>
        </is>
      </c>
      <c r="E6094" t="inlineStr">
        <is>
          <t>JOKKMOKK</t>
        </is>
      </c>
      <c r="G6094" t="n">
        <v>39.8</v>
      </c>
      <c r="H6094" t="n">
        <v>0</v>
      </c>
      <c r="I6094" t="n">
        <v>0</v>
      </c>
      <c r="J6094" t="n">
        <v>0</v>
      </c>
      <c r="K6094" t="n">
        <v>0</v>
      </c>
      <c r="L6094" t="n">
        <v>0</v>
      </c>
      <c r="M6094" t="n">
        <v>0</v>
      </c>
      <c r="N6094" t="n">
        <v>0</v>
      </c>
      <c r="O6094" t="n">
        <v>0</v>
      </c>
      <c r="P6094" t="n">
        <v>0</v>
      </c>
      <c r="Q6094" t="n">
        <v>0</v>
      </c>
      <c r="R6094" s="2" t="inlineStr"/>
    </row>
    <row r="6095" ht="15" customHeight="1">
      <c r="A6095" t="inlineStr">
        <is>
          <t>A 61513-2024</t>
        </is>
      </c>
      <c r="B6095" s="1" t="n">
        <v>45646.57136574074</v>
      </c>
      <c r="C6095" s="1" t="n">
        <v>46046</v>
      </c>
      <c r="D6095" t="inlineStr">
        <is>
          <t>NORRBOTTENS LÄN</t>
        </is>
      </c>
      <c r="E6095" t="inlineStr">
        <is>
          <t>BODEN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46547-2025</t>
        </is>
      </c>
      <c r="B6096" s="1" t="n">
        <v>45926.34532407407</v>
      </c>
      <c r="C6096" s="1" t="n">
        <v>46046</v>
      </c>
      <c r="D6096" t="inlineStr">
        <is>
          <t>NORRBOTTENS LÄN</t>
        </is>
      </c>
      <c r="E6096" t="inlineStr">
        <is>
          <t>PITEÅ</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41127-2023</t>
        </is>
      </c>
      <c r="B6097" s="1" t="n">
        <v>45173</v>
      </c>
      <c r="C6097" s="1" t="n">
        <v>46046</v>
      </c>
      <c r="D6097" t="inlineStr">
        <is>
          <t>NORRBOTTENS LÄN</t>
        </is>
      </c>
      <c r="E6097" t="inlineStr">
        <is>
          <t>KIRUNA</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47124-2025</t>
        </is>
      </c>
      <c r="B6098" s="1" t="n">
        <v>45929.68081018519</v>
      </c>
      <c r="C6098" s="1" t="n">
        <v>46046</v>
      </c>
      <c r="D6098" t="inlineStr">
        <is>
          <t>NORRBOTTENS LÄN</t>
        </is>
      </c>
      <c r="E6098" t="inlineStr">
        <is>
          <t>PITEÅ</t>
        </is>
      </c>
      <c r="F6098" t="inlineStr">
        <is>
          <t>Sveaskog</t>
        </is>
      </c>
      <c r="G6098" t="n">
        <v>49.2</v>
      </c>
      <c r="H6098" t="n">
        <v>0</v>
      </c>
      <c r="I6098" t="n">
        <v>0</v>
      </c>
      <c r="J6098" t="n">
        <v>0</v>
      </c>
      <c r="K6098" t="n">
        <v>0</v>
      </c>
      <c r="L6098" t="n">
        <v>0</v>
      </c>
      <c r="M6098" t="n">
        <v>0</v>
      </c>
      <c r="N6098" t="n">
        <v>0</v>
      </c>
      <c r="O6098" t="n">
        <v>0</v>
      </c>
      <c r="P6098" t="n">
        <v>0</v>
      </c>
      <c r="Q6098" t="n">
        <v>0</v>
      </c>
      <c r="R6098" s="2" t="inlineStr"/>
    </row>
    <row r="6099" ht="15" customHeight="1">
      <c r="A6099" t="inlineStr">
        <is>
          <t>A 47144-2025</t>
        </is>
      </c>
      <c r="B6099" s="1" t="n">
        <v>45929.70978009259</v>
      </c>
      <c r="C6099" s="1" t="n">
        <v>46046</v>
      </c>
      <c r="D6099" t="inlineStr">
        <is>
          <t>NORRBOTTENS LÄN</t>
        </is>
      </c>
      <c r="E6099" t="inlineStr">
        <is>
          <t>PITEÅ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47106-2025</t>
        </is>
      </c>
      <c r="B6100" s="1" t="n">
        <v>45929</v>
      </c>
      <c r="C6100" s="1" t="n">
        <v>46046</v>
      </c>
      <c r="D6100" t="inlineStr">
        <is>
          <t>NORRBOTTENS LÄN</t>
        </is>
      </c>
      <c r="E6100" t="inlineStr">
        <is>
          <t>ARVIDSJAUR</t>
        </is>
      </c>
      <c r="F6100" t="inlineStr">
        <is>
          <t>Sveaskog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46981-2025</t>
        </is>
      </c>
      <c r="B6101" s="1" t="n">
        <v>45929.53166666667</v>
      </c>
      <c r="C6101" s="1" t="n">
        <v>46046</v>
      </c>
      <c r="D6101" t="inlineStr">
        <is>
          <t>NORRBOTTENS LÄN</t>
        </is>
      </c>
      <c r="E6101" t="inlineStr">
        <is>
          <t>ÄLVSBYN</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47078-2025</t>
        </is>
      </c>
      <c r="B6102" s="1" t="n">
        <v>45929.63853009259</v>
      </c>
      <c r="C6102" s="1" t="n">
        <v>46046</v>
      </c>
      <c r="D6102" t="inlineStr">
        <is>
          <t>NORRBOTTENS LÄN</t>
        </is>
      </c>
      <c r="E6102" t="inlineStr">
        <is>
          <t>PITEÅ</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58537-2023</t>
        </is>
      </c>
      <c r="B6103" s="1" t="n">
        <v>45251</v>
      </c>
      <c r="C6103" s="1" t="n">
        <v>46046</v>
      </c>
      <c r="D6103" t="inlineStr">
        <is>
          <t>NORRBOTTENS LÄN</t>
        </is>
      </c>
      <c r="E6103" t="inlineStr">
        <is>
          <t>PITEÅ</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56457-2024</t>
        </is>
      </c>
      <c r="B6104" s="1" t="n">
        <v>45625</v>
      </c>
      <c r="C6104" s="1" t="n">
        <v>46046</v>
      </c>
      <c r="D6104" t="inlineStr">
        <is>
          <t>NORRBOTTENS LÄN</t>
        </is>
      </c>
      <c r="E6104" t="inlineStr">
        <is>
          <t>BODEN</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46542-2025</t>
        </is>
      </c>
      <c r="B6105" s="1" t="n">
        <v>45926.34465277778</v>
      </c>
      <c r="C6105" s="1" t="n">
        <v>46046</v>
      </c>
      <c r="D6105" t="inlineStr">
        <is>
          <t>NORRBOTTENS LÄN</t>
        </is>
      </c>
      <c r="E6105" t="inlineStr">
        <is>
          <t>PITEÅ</t>
        </is>
      </c>
      <c r="F6105" t="inlineStr">
        <is>
          <t>SCA</t>
        </is>
      </c>
      <c r="G6105" t="n">
        <v>9.199999999999999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46544-2025</t>
        </is>
      </c>
      <c r="B6106" s="1" t="n">
        <v>45926.34493055556</v>
      </c>
      <c r="C6106" s="1" t="n">
        <v>46046</v>
      </c>
      <c r="D6106" t="inlineStr">
        <is>
          <t>NORRBOTTENS LÄN</t>
        </is>
      </c>
      <c r="E6106" t="inlineStr">
        <is>
          <t>PITEÅ</t>
        </is>
      </c>
      <c r="F6106" t="inlineStr">
        <is>
          <t>SCA</t>
        </is>
      </c>
      <c r="G6106" t="n">
        <v>9.300000000000001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8226-2025</t>
        </is>
      </c>
      <c r="B6107" s="1" t="n">
        <v>45708.46348379629</v>
      </c>
      <c r="C6107" s="1" t="n">
        <v>46046</v>
      </c>
      <c r="D6107" t="inlineStr">
        <is>
          <t>NORRBOTTENS LÄN</t>
        </is>
      </c>
      <c r="E6107" t="inlineStr">
        <is>
          <t>PITEÅ</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46665-2025</t>
        </is>
      </c>
      <c r="B6108" s="1" t="n">
        <v>45926.50899305556</v>
      </c>
      <c r="C6108" s="1" t="n">
        <v>46046</v>
      </c>
      <c r="D6108" t="inlineStr">
        <is>
          <t>NORRBOTTENS LÄN</t>
        </is>
      </c>
      <c r="E6108" t="inlineStr">
        <is>
          <t>KALIX</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46569-2025</t>
        </is>
      </c>
      <c r="B6109" s="1" t="n">
        <v>45926.3659375</v>
      </c>
      <c r="C6109" s="1" t="n">
        <v>46046</v>
      </c>
      <c r="D6109" t="inlineStr">
        <is>
          <t>NORRBOTTENS LÄN</t>
        </is>
      </c>
      <c r="E6109" t="inlineStr">
        <is>
          <t>PITEÅ</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19623-2025</t>
        </is>
      </c>
      <c r="B6110" s="1" t="n">
        <v>45770.63237268518</v>
      </c>
      <c r="C6110" s="1" t="n">
        <v>46046</v>
      </c>
      <c r="D6110" t="inlineStr">
        <is>
          <t>NORRBOTTENS LÄN</t>
        </is>
      </c>
      <c r="E6110" t="inlineStr">
        <is>
          <t>BODEN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46803-2025</t>
        </is>
      </c>
      <c r="B6111" s="1" t="n">
        <v>45926</v>
      </c>
      <c r="C6111" s="1" t="n">
        <v>46046</v>
      </c>
      <c r="D6111" t="inlineStr">
        <is>
          <t>NORRBOTTENS LÄN</t>
        </is>
      </c>
      <c r="E6111" t="inlineStr">
        <is>
          <t>PITEÅ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46806-2025</t>
        </is>
      </c>
      <c r="B6112" s="1" t="n">
        <v>45926</v>
      </c>
      <c r="C6112" s="1" t="n">
        <v>46046</v>
      </c>
      <c r="D6112" t="inlineStr">
        <is>
          <t>NORRBOTTENS LÄN</t>
        </is>
      </c>
      <c r="E6112" t="inlineStr">
        <is>
          <t>PITEÅ</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11617-2025</t>
        </is>
      </c>
      <c r="B6113" s="1" t="n">
        <v>45727</v>
      </c>
      <c r="C6113" s="1" t="n">
        <v>46046</v>
      </c>
      <c r="D6113" t="inlineStr">
        <is>
          <t>NORRBOTTENS LÄN</t>
        </is>
      </c>
      <c r="E6113" t="inlineStr">
        <is>
          <t>ÖVERTORNEÅ</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11158-2025</t>
        </is>
      </c>
      <c r="B6114" s="1" t="n">
        <v>45723</v>
      </c>
      <c r="C6114" s="1" t="n">
        <v>46046</v>
      </c>
      <c r="D6114" t="inlineStr">
        <is>
          <t>NORRBOTTENS LÄN</t>
        </is>
      </c>
      <c r="E6114" t="inlineStr">
        <is>
          <t>BODEN</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47153-2025</t>
        </is>
      </c>
      <c r="B6115" s="1" t="n">
        <v>45929.72967592593</v>
      </c>
      <c r="C6115" s="1" t="n">
        <v>46046</v>
      </c>
      <c r="D6115" t="inlineStr">
        <is>
          <t>NORRBOTTENS LÄN</t>
        </is>
      </c>
      <c r="E6115" t="inlineStr">
        <is>
          <t>PITEÅ</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11159-2025</t>
        </is>
      </c>
      <c r="B6116" s="1" t="n">
        <v>45723</v>
      </c>
      <c r="C6116" s="1" t="n">
        <v>46046</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46851-2024</t>
        </is>
      </c>
      <c r="B6117" s="1" t="n">
        <v>45583.61528935185</v>
      </c>
      <c r="C6117" s="1" t="n">
        <v>46046</v>
      </c>
      <c r="D6117" t="inlineStr">
        <is>
          <t>NORRBOTTENS LÄN</t>
        </is>
      </c>
      <c r="E6117" t="inlineStr">
        <is>
          <t>PAJALA</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12532-2024</t>
        </is>
      </c>
      <c r="B6118" s="1" t="n">
        <v>45379</v>
      </c>
      <c r="C6118" s="1" t="n">
        <v>46046</v>
      </c>
      <c r="D6118" t="inlineStr">
        <is>
          <t>NORRBOTTENS LÄN</t>
        </is>
      </c>
      <c r="E6118" t="inlineStr">
        <is>
          <t>ÖVERTORNEÅ</t>
        </is>
      </c>
      <c r="G6118" t="n">
        <v>10.3</v>
      </c>
      <c r="H6118" t="n">
        <v>0</v>
      </c>
      <c r="I6118" t="n">
        <v>0</v>
      </c>
      <c r="J6118" t="n">
        <v>0</v>
      </c>
      <c r="K6118" t="n">
        <v>0</v>
      </c>
      <c r="L6118" t="n">
        <v>0</v>
      </c>
      <c r="M6118" t="n">
        <v>0</v>
      </c>
      <c r="N6118" t="n">
        <v>0</v>
      </c>
      <c r="O6118" t="n">
        <v>0</v>
      </c>
      <c r="P6118" t="n">
        <v>0</v>
      </c>
      <c r="Q6118" t="n">
        <v>0</v>
      </c>
      <c r="R6118" s="2" t="inlineStr"/>
    </row>
    <row r="6119" ht="15" customHeight="1">
      <c r="A6119" t="inlineStr">
        <is>
          <t>A 12552-2024</t>
        </is>
      </c>
      <c r="B6119" s="1" t="n">
        <v>45379</v>
      </c>
      <c r="C6119" s="1" t="n">
        <v>46046</v>
      </c>
      <c r="D6119" t="inlineStr">
        <is>
          <t>NORRBOTTENS LÄN</t>
        </is>
      </c>
      <c r="E6119" t="inlineStr">
        <is>
          <t>LULEÅ</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55407-2023</t>
        </is>
      </c>
      <c r="B6120" s="1" t="n">
        <v>45231</v>
      </c>
      <c r="C6120" s="1" t="n">
        <v>46046</v>
      </c>
      <c r="D6120" t="inlineStr">
        <is>
          <t>NORRBOTTENS LÄN</t>
        </is>
      </c>
      <c r="E6120" t="inlineStr">
        <is>
          <t>GÄLLIVARE</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51631-2023</t>
        </is>
      </c>
      <c r="B6121" s="1" t="n">
        <v>45222.53628472222</v>
      </c>
      <c r="C6121" s="1" t="n">
        <v>46046</v>
      </c>
      <c r="D6121" t="inlineStr">
        <is>
          <t>NORRBOTTENS LÄN</t>
        </is>
      </c>
      <c r="E6121" t="inlineStr">
        <is>
          <t>ARVIDSJAUR</t>
        </is>
      </c>
      <c r="F6121" t="inlineStr">
        <is>
          <t>Sveaskog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46808-2025</t>
        </is>
      </c>
      <c r="B6122" s="1" t="n">
        <v>45926</v>
      </c>
      <c r="C6122" s="1" t="n">
        <v>46046</v>
      </c>
      <c r="D6122" t="inlineStr">
        <is>
          <t>NORRBOTTENS LÄN</t>
        </is>
      </c>
      <c r="E6122" t="inlineStr">
        <is>
          <t>PITEÅ</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59505-2023</t>
        </is>
      </c>
      <c r="B6123" s="1" t="n">
        <v>45254</v>
      </c>
      <c r="C6123" s="1" t="n">
        <v>46046</v>
      </c>
      <c r="D6123" t="inlineStr">
        <is>
          <t>NORRBOTTENS LÄN</t>
        </is>
      </c>
      <c r="E6123" t="inlineStr">
        <is>
          <t>PITEÅ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46837-2025</t>
        </is>
      </c>
      <c r="B6124" s="1" t="n">
        <v>45928.34450231482</v>
      </c>
      <c r="C6124" s="1" t="n">
        <v>46046</v>
      </c>
      <c r="D6124" t="inlineStr">
        <is>
          <t>NORRBOTTENS LÄN</t>
        </is>
      </c>
      <c r="E6124" t="inlineStr">
        <is>
          <t>JOKKMOKK</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46572-2025</t>
        </is>
      </c>
      <c r="B6125" s="1" t="n">
        <v>45926.3683912037</v>
      </c>
      <c r="C6125" s="1" t="n">
        <v>46046</v>
      </c>
      <c r="D6125" t="inlineStr">
        <is>
          <t>NORRBOTTENS LÄN</t>
        </is>
      </c>
      <c r="E6125" t="inlineStr">
        <is>
          <t>LULEÅ</t>
        </is>
      </c>
      <c r="G6125" t="n">
        <v>15.1</v>
      </c>
      <c r="H6125" t="n">
        <v>0</v>
      </c>
      <c r="I6125" t="n">
        <v>0</v>
      </c>
      <c r="J6125" t="n">
        <v>0</v>
      </c>
      <c r="K6125" t="n">
        <v>0</v>
      </c>
      <c r="L6125" t="n">
        <v>0</v>
      </c>
      <c r="M6125" t="n">
        <v>0</v>
      </c>
      <c r="N6125" t="n">
        <v>0</v>
      </c>
      <c r="O6125" t="n">
        <v>0</v>
      </c>
      <c r="P6125" t="n">
        <v>0</v>
      </c>
      <c r="Q6125" t="n">
        <v>0</v>
      </c>
      <c r="R6125" s="2" t="inlineStr"/>
    </row>
    <row r="6126" ht="15" customHeight="1">
      <c r="A6126" t="inlineStr">
        <is>
          <t>A 47039-2025</t>
        </is>
      </c>
      <c r="B6126" s="1" t="n">
        <v>45929</v>
      </c>
      <c r="C6126" s="1" t="n">
        <v>46046</v>
      </c>
      <c r="D6126" t="inlineStr">
        <is>
          <t>NORRBOTTENS LÄN</t>
        </is>
      </c>
      <c r="E6126" t="inlineStr">
        <is>
          <t>ARVIDSJAUR</t>
        </is>
      </c>
      <c r="F6126" t="inlineStr">
        <is>
          <t>Sveaskog</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60928-2022</t>
        </is>
      </c>
      <c r="B6127" s="1" t="n">
        <v>44907</v>
      </c>
      <c r="C6127" s="1" t="n">
        <v>46046</v>
      </c>
      <c r="D6127" t="inlineStr">
        <is>
          <t>NORRBOTTENS LÄN</t>
        </is>
      </c>
      <c r="E6127" t="inlineStr">
        <is>
          <t>HAPARANDA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48107-2022</t>
        </is>
      </c>
      <c r="B6128" s="1" t="n">
        <v>44856.89673611111</v>
      </c>
      <c r="C6128" s="1" t="n">
        <v>46046</v>
      </c>
      <c r="D6128" t="inlineStr">
        <is>
          <t>NORRBOTTENS LÄN</t>
        </is>
      </c>
      <c r="E6128" t="inlineStr">
        <is>
          <t>BODEN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36599-2023</t>
        </is>
      </c>
      <c r="B6129" s="1" t="n">
        <v>45152</v>
      </c>
      <c r="C6129" s="1" t="n">
        <v>46046</v>
      </c>
      <c r="D6129" t="inlineStr">
        <is>
          <t>NORRBOTTENS LÄN</t>
        </is>
      </c>
      <c r="E6129" t="inlineStr">
        <is>
          <t>BODEN</t>
        </is>
      </c>
      <c r="G6129" t="n">
        <v>9.699999999999999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8287-2025</t>
        </is>
      </c>
      <c r="B6130" s="1" t="n">
        <v>45708.57165509259</v>
      </c>
      <c r="C6130" s="1" t="n">
        <v>46046</v>
      </c>
      <c r="D6130" t="inlineStr">
        <is>
          <t>NORRBOTTENS LÄN</t>
        </is>
      </c>
      <c r="E6130" t="inlineStr">
        <is>
          <t>KALIX</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60926-2023</t>
        </is>
      </c>
      <c r="B6131" s="1" t="n">
        <v>45261.41116898148</v>
      </c>
      <c r="C6131" s="1" t="n">
        <v>46046</v>
      </c>
      <c r="D6131" t="inlineStr">
        <is>
          <t>NORRBOTTENS LÄN</t>
        </is>
      </c>
      <c r="E6131" t="inlineStr">
        <is>
          <t>KALIX</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18721-2024</t>
        </is>
      </c>
      <c r="B6132" s="1" t="n">
        <v>45426</v>
      </c>
      <c r="C6132" s="1" t="n">
        <v>46046</v>
      </c>
      <c r="D6132" t="inlineStr">
        <is>
          <t>NORRBOTTENS LÄN</t>
        </is>
      </c>
      <c r="E6132" t="inlineStr">
        <is>
          <t>KIRUNA</t>
        </is>
      </c>
      <c r="G6132" t="n">
        <v>62.1</v>
      </c>
      <c r="H6132" t="n">
        <v>0</v>
      </c>
      <c r="I6132" t="n">
        <v>0</v>
      </c>
      <c r="J6132" t="n">
        <v>0</v>
      </c>
      <c r="K6132" t="n">
        <v>0</v>
      </c>
      <c r="L6132" t="n">
        <v>0</v>
      </c>
      <c r="M6132" t="n">
        <v>0</v>
      </c>
      <c r="N6132" t="n">
        <v>0</v>
      </c>
      <c r="O6132" t="n">
        <v>0</v>
      </c>
      <c r="P6132" t="n">
        <v>0</v>
      </c>
      <c r="Q6132" t="n">
        <v>0</v>
      </c>
      <c r="R6132" s="2" t="inlineStr"/>
    </row>
    <row r="6133" ht="15" customHeight="1">
      <c r="A6133" t="inlineStr">
        <is>
          <t>A 14743-2023</t>
        </is>
      </c>
      <c r="B6133" s="1" t="n">
        <v>45013</v>
      </c>
      <c r="C6133" s="1" t="n">
        <v>46046</v>
      </c>
      <c r="D6133" t="inlineStr">
        <is>
          <t>NORRBOTTENS LÄN</t>
        </is>
      </c>
      <c r="E6133" t="inlineStr">
        <is>
          <t>BODEN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8903-2025</t>
        </is>
      </c>
      <c r="B6134" s="1" t="n">
        <v>45712</v>
      </c>
      <c r="C6134" s="1" t="n">
        <v>46046</v>
      </c>
      <c r="D6134" t="inlineStr">
        <is>
          <t>NORRBOTTENS LÄN</t>
        </is>
      </c>
      <c r="E6134" t="inlineStr">
        <is>
          <t>LULEÅ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34370-2021</t>
        </is>
      </c>
      <c r="B6135" s="1" t="n">
        <v>44379</v>
      </c>
      <c r="C6135" s="1" t="n">
        <v>46046</v>
      </c>
      <c r="D6135" t="inlineStr">
        <is>
          <t>NORRBOTTENS LÄN</t>
        </is>
      </c>
      <c r="E6135" t="inlineStr">
        <is>
          <t>KALIX</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3462-2022</t>
        </is>
      </c>
      <c r="B6136" s="1" t="n">
        <v>44585</v>
      </c>
      <c r="C6136" s="1" t="n">
        <v>46046</v>
      </c>
      <c r="D6136" t="inlineStr">
        <is>
          <t>NORRBOTTENS LÄN</t>
        </is>
      </c>
      <c r="E6136" t="inlineStr">
        <is>
          <t>BODEN</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42590-2024</t>
        </is>
      </c>
      <c r="B6137" s="1" t="n">
        <v>45565.67741898148</v>
      </c>
      <c r="C6137" s="1" t="n">
        <v>46046</v>
      </c>
      <c r="D6137" t="inlineStr">
        <is>
          <t>NORRBOTTENS LÄN</t>
        </is>
      </c>
      <c r="E6137" t="inlineStr">
        <is>
          <t>PITEÅ</t>
        </is>
      </c>
      <c r="F6137" t="inlineStr">
        <is>
          <t>Sveaskog</t>
        </is>
      </c>
      <c r="G6137" t="n">
        <v>22.8</v>
      </c>
      <c r="H6137" t="n">
        <v>0</v>
      </c>
      <c r="I6137" t="n">
        <v>0</v>
      </c>
      <c r="J6137" t="n">
        <v>0</v>
      </c>
      <c r="K6137" t="n">
        <v>0</v>
      </c>
      <c r="L6137" t="n">
        <v>0</v>
      </c>
      <c r="M6137" t="n">
        <v>0</v>
      </c>
      <c r="N6137" t="n">
        <v>0</v>
      </c>
      <c r="O6137" t="n">
        <v>0</v>
      </c>
      <c r="P6137" t="n">
        <v>0</v>
      </c>
      <c r="Q6137" t="n">
        <v>0</v>
      </c>
      <c r="R6137" s="2" t="inlineStr"/>
    </row>
    <row r="6138" ht="15" customHeight="1">
      <c r="A6138" t="inlineStr">
        <is>
          <t>A 47323-2025</t>
        </is>
      </c>
      <c r="B6138" s="1" t="n">
        <v>45930.55295138889</v>
      </c>
      <c r="C6138" s="1" t="n">
        <v>46046</v>
      </c>
      <c r="D6138" t="inlineStr">
        <is>
          <t>NORRBOTTENS LÄN</t>
        </is>
      </c>
      <c r="E6138" t="inlineStr">
        <is>
          <t>PITEÅ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47529-2025</t>
        </is>
      </c>
      <c r="B6139" s="1" t="n">
        <v>45931</v>
      </c>
      <c r="C6139" s="1" t="n">
        <v>46046</v>
      </c>
      <c r="D6139" t="inlineStr">
        <is>
          <t>NORRBOTTENS LÄN</t>
        </is>
      </c>
      <c r="E6139" t="inlineStr">
        <is>
          <t>JOKKMOKK</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42888-2024</t>
        </is>
      </c>
      <c r="B6140" s="1" t="n">
        <v>45566</v>
      </c>
      <c r="C6140" s="1" t="n">
        <v>46046</v>
      </c>
      <c r="D6140" t="inlineStr">
        <is>
          <t>NORRBOTTENS LÄN</t>
        </is>
      </c>
      <c r="E6140" t="inlineStr">
        <is>
          <t>PAJALA</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50015-2021</t>
        </is>
      </c>
      <c r="B6141" s="1" t="n">
        <v>44454</v>
      </c>
      <c r="C6141" s="1" t="n">
        <v>46046</v>
      </c>
      <c r="D6141" t="inlineStr">
        <is>
          <t>NORRBOTTENS LÄN</t>
        </is>
      </c>
      <c r="E6141" t="inlineStr">
        <is>
          <t>PITEÅ</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47530-2025</t>
        </is>
      </c>
      <c r="B6142" s="1" t="n">
        <v>45931</v>
      </c>
      <c r="C6142" s="1" t="n">
        <v>46046</v>
      </c>
      <c r="D6142" t="inlineStr">
        <is>
          <t>NORRBOTTENS LÄN</t>
        </is>
      </c>
      <c r="E6142" t="inlineStr">
        <is>
          <t>JOKKMOKK</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16566-2022</t>
        </is>
      </c>
      <c r="B6143" s="1" t="n">
        <v>44672</v>
      </c>
      <c r="C6143" s="1" t="n">
        <v>46046</v>
      </c>
      <c r="D6143" t="inlineStr">
        <is>
          <t>NORRBOTTENS LÄN</t>
        </is>
      </c>
      <c r="E6143" t="inlineStr">
        <is>
          <t>ÖVERTORNEÅ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47429-2025</t>
        </is>
      </c>
      <c r="B6144" s="1" t="n">
        <v>45930.63586805556</v>
      </c>
      <c r="C6144" s="1" t="n">
        <v>46046</v>
      </c>
      <c r="D6144" t="inlineStr">
        <is>
          <t>NORRBOTTENS LÄN</t>
        </is>
      </c>
      <c r="E6144" t="inlineStr">
        <is>
          <t>KALIX</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41504-2022</t>
        </is>
      </c>
      <c r="B6145" s="1" t="n">
        <v>44824</v>
      </c>
      <c r="C6145" s="1" t="n">
        <v>46046</v>
      </c>
      <c r="D6145" t="inlineStr">
        <is>
          <t>NORRBOTTENS LÄN</t>
        </is>
      </c>
      <c r="E6145" t="inlineStr">
        <is>
          <t>PAJALA</t>
        </is>
      </c>
      <c r="G6145" t="n">
        <v>15.4</v>
      </c>
      <c r="H6145" t="n">
        <v>0</v>
      </c>
      <c r="I6145" t="n">
        <v>0</v>
      </c>
      <c r="J6145" t="n">
        <v>0</v>
      </c>
      <c r="K6145" t="n">
        <v>0</v>
      </c>
      <c r="L6145" t="n">
        <v>0</v>
      </c>
      <c r="M6145" t="n">
        <v>0</v>
      </c>
      <c r="N6145" t="n">
        <v>0</v>
      </c>
      <c r="O6145" t="n">
        <v>0</v>
      </c>
      <c r="P6145" t="n">
        <v>0</v>
      </c>
      <c r="Q6145" t="n">
        <v>0</v>
      </c>
      <c r="R6145" s="2" t="inlineStr"/>
    </row>
    <row r="6146" ht="15" customHeight="1">
      <c r="A6146" t="inlineStr">
        <is>
          <t>A 7289-2024</t>
        </is>
      </c>
      <c r="B6146" s="1" t="n">
        <v>45344</v>
      </c>
      <c r="C6146" s="1" t="n">
        <v>46046</v>
      </c>
      <c r="D6146" t="inlineStr">
        <is>
          <t>NORRBOTTENS LÄN</t>
        </is>
      </c>
      <c r="E6146" t="inlineStr">
        <is>
          <t>ÄLVSBYN</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47208-2025</t>
        </is>
      </c>
      <c r="B6147" s="1" t="n">
        <v>45930.37351851852</v>
      </c>
      <c r="C6147" s="1" t="n">
        <v>46046</v>
      </c>
      <c r="D6147" t="inlineStr">
        <is>
          <t>NORRBOTTENS LÄN</t>
        </is>
      </c>
      <c r="E6147" t="inlineStr">
        <is>
          <t>GÄLLIVARE</t>
        </is>
      </c>
      <c r="F6147" t="inlineStr">
        <is>
          <t>Sveaskog</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47595-2025</t>
        </is>
      </c>
      <c r="B6148" s="1" t="n">
        <v>45931.45284722222</v>
      </c>
      <c r="C6148" s="1" t="n">
        <v>46046</v>
      </c>
      <c r="D6148" t="inlineStr">
        <is>
          <t>NORRBOTTENS LÄN</t>
        </is>
      </c>
      <c r="E6148" t="inlineStr">
        <is>
          <t>BODEN</t>
        </is>
      </c>
      <c r="F6148" t="inlineStr">
        <is>
          <t>Övriga Aktiebolag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47306-2025</t>
        </is>
      </c>
      <c r="B6149" s="1" t="n">
        <v>45930.52233796296</v>
      </c>
      <c r="C6149" s="1" t="n">
        <v>46046</v>
      </c>
      <c r="D6149" t="inlineStr">
        <is>
          <t>NORRBOTTENS LÄN</t>
        </is>
      </c>
      <c r="E6149" t="inlineStr">
        <is>
          <t>BODEN</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47321-2025</t>
        </is>
      </c>
      <c r="B6150" s="1" t="n">
        <v>45930.55292824074</v>
      </c>
      <c r="C6150" s="1" t="n">
        <v>46046</v>
      </c>
      <c r="D6150" t="inlineStr">
        <is>
          <t>NORRBOTTENS LÄN</t>
        </is>
      </c>
      <c r="E6150" t="inlineStr">
        <is>
          <t>PITEÅ</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42095-2025</t>
        </is>
      </c>
      <c r="B6151" s="1" t="n">
        <v>45903</v>
      </c>
      <c r="C6151" s="1" t="n">
        <v>46046</v>
      </c>
      <c r="D6151" t="inlineStr">
        <is>
          <t>NORRBOTTENS LÄN</t>
        </is>
      </c>
      <c r="E6151" t="inlineStr">
        <is>
          <t>JOKKMOKK</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47302-2025</t>
        </is>
      </c>
      <c r="B6152" s="1" t="n">
        <v>45930.51315972222</v>
      </c>
      <c r="C6152" s="1" t="n">
        <v>46046</v>
      </c>
      <c r="D6152" t="inlineStr">
        <is>
          <t>NORRBOTTENS LÄN</t>
        </is>
      </c>
      <c r="E6152" t="inlineStr">
        <is>
          <t>BODEN</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47472-2025</t>
        </is>
      </c>
      <c r="B6153" s="1" t="n">
        <v>45930.67752314815</v>
      </c>
      <c r="C6153" s="1" t="n">
        <v>46046</v>
      </c>
      <c r="D6153" t="inlineStr">
        <is>
          <t>NORRBOTTENS LÄN</t>
        </is>
      </c>
      <c r="E6153" t="inlineStr">
        <is>
          <t>JOKKMOKK</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48128-2024</t>
        </is>
      </c>
      <c r="B6154" s="1" t="n">
        <v>45589.64586805556</v>
      </c>
      <c r="C6154" s="1" t="n">
        <v>46046</v>
      </c>
      <c r="D6154" t="inlineStr">
        <is>
          <t>NORRBOTTENS LÄN</t>
        </is>
      </c>
      <c r="E6154" t="inlineStr">
        <is>
          <t>KALIX</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47204-2025</t>
        </is>
      </c>
      <c r="B6155" s="1" t="n">
        <v>45930.36501157407</v>
      </c>
      <c r="C6155" s="1" t="n">
        <v>46046</v>
      </c>
      <c r="D6155" t="inlineStr">
        <is>
          <t>NORRBOTTENS LÄN</t>
        </is>
      </c>
      <c r="E6155" t="inlineStr">
        <is>
          <t>BODEN</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47527-2025</t>
        </is>
      </c>
      <c r="B6156" s="1" t="n">
        <v>45931</v>
      </c>
      <c r="C6156" s="1" t="n">
        <v>46046</v>
      </c>
      <c r="D6156" t="inlineStr">
        <is>
          <t>NORRBOTTENS LÄN</t>
        </is>
      </c>
      <c r="E6156" t="inlineStr">
        <is>
          <t>ÄLVSBYN</t>
        </is>
      </c>
      <c r="F6156" t="inlineStr">
        <is>
          <t>SCA</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47190-2025</t>
        </is>
      </c>
      <c r="B6157" s="1" t="n">
        <v>45930</v>
      </c>
      <c r="C6157" s="1" t="n">
        <v>46046</v>
      </c>
      <c r="D6157" t="inlineStr">
        <is>
          <t>NORRBOTTENS LÄN</t>
        </is>
      </c>
      <c r="E6157" t="inlineStr">
        <is>
          <t>GÄLLIVARE</t>
        </is>
      </c>
      <c r="F6157" t="inlineStr">
        <is>
          <t>Sveaskog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47205-2025</t>
        </is>
      </c>
      <c r="B6158" s="1" t="n">
        <v>45930.36988425926</v>
      </c>
      <c r="C6158" s="1" t="n">
        <v>46046</v>
      </c>
      <c r="D6158" t="inlineStr">
        <is>
          <t>NORRBOTTENS LÄN</t>
        </is>
      </c>
      <c r="E6158" t="inlineStr">
        <is>
          <t>GÄLLIVARE</t>
        </is>
      </c>
      <c r="F6158" t="inlineStr">
        <is>
          <t>Sveaskog</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14803-2023</t>
        </is>
      </c>
      <c r="B6159" s="1" t="n">
        <v>45013</v>
      </c>
      <c r="C6159" s="1" t="n">
        <v>46046</v>
      </c>
      <c r="D6159" t="inlineStr">
        <is>
          <t>NORRBOTTENS LÄN</t>
        </is>
      </c>
      <c r="E6159" t="inlineStr">
        <is>
          <t>LULEÅ</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47713-2025</t>
        </is>
      </c>
      <c r="B6160" s="1" t="n">
        <v>45931.61518518518</v>
      </c>
      <c r="C6160" s="1" t="n">
        <v>46046</v>
      </c>
      <c r="D6160" t="inlineStr">
        <is>
          <t>NORRBOTTENS LÄN</t>
        </is>
      </c>
      <c r="E6160" t="inlineStr">
        <is>
          <t>KALIX</t>
        </is>
      </c>
      <c r="F6160" t="inlineStr">
        <is>
          <t>SCA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47483-2025</t>
        </is>
      </c>
      <c r="B6161" s="1" t="n">
        <v>45930</v>
      </c>
      <c r="C6161" s="1" t="n">
        <v>46046</v>
      </c>
      <c r="D6161" t="inlineStr">
        <is>
          <t>NORRBOTTENS LÄN</t>
        </is>
      </c>
      <c r="E6161" t="inlineStr">
        <is>
          <t>BODEN</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47436-2025</t>
        </is>
      </c>
      <c r="B6162" s="1" t="n">
        <v>45930.63688657407</v>
      </c>
      <c r="C6162" s="1" t="n">
        <v>46046</v>
      </c>
      <c r="D6162" t="inlineStr">
        <is>
          <t>NORRBOTTENS LÄN</t>
        </is>
      </c>
      <c r="E6162" t="inlineStr">
        <is>
          <t>KALIX</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60661-2024</t>
        </is>
      </c>
      <c r="B6163" s="1" t="n">
        <v>45644.44634259259</v>
      </c>
      <c r="C6163" s="1" t="n">
        <v>46046</v>
      </c>
      <c r="D6163" t="inlineStr">
        <is>
          <t>NORRBOTTENS LÄN</t>
        </is>
      </c>
      <c r="E6163" t="inlineStr">
        <is>
          <t>KALIX</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47177-2025</t>
        </is>
      </c>
      <c r="B6164" s="1" t="n">
        <v>45930</v>
      </c>
      <c r="C6164" s="1" t="n">
        <v>46046</v>
      </c>
      <c r="D6164" t="inlineStr">
        <is>
          <t>NORRBOTTENS LÄN</t>
        </is>
      </c>
      <c r="E6164" t="inlineStr">
        <is>
          <t>ARVIDSJAUR</t>
        </is>
      </c>
      <c r="F6164" t="inlineStr">
        <is>
          <t>Sveaskog</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48057-2023</t>
        </is>
      </c>
      <c r="B6165" s="1" t="n">
        <v>45204</v>
      </c>
      <c r="C6165" s="1" t="n">
        <v>46046</v>
      </c>
      <c r="D6165" t="inlineStr">
        <is>
          <t>NORRBOTTENS LÄN</t>
        </is>
      </c>
      <c r="E6165" t="inlineStr">
        <is>
          <t>KALIX</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50375-2023</t>
        </is>
      </c>
      <c r="B6166" s="1" t="n">
        <v>45216</v>
      </c>
      <c r="C6166" s="1" t="n">
        <v>46046</v>
      </c>
      <c r="D6166" t="inlineStr">
        <is>
          <t>NORRBOTTENS LÄN</t>
        </is>
      </c>
      <c r="E6166" t="inlineStr">
        <is>
          <t>ÄLVSBYN</t>
        </is>
      </c>
      <c r="G6166" t="n">
        <v>10.3</v>
      </c>
      <c r="H6166" t="n">
        <v>0</v>
      </c>
      <c r="I6166" t="n">
        <v>0</v>
      </c>
      <c r="J6166" t="n">
        <v>0</v>
      </c>
      <c r="K6166" t="n">
        <v>0</v>
      </c>
      <c r="L6166" t="n">
        <v>0</v>
      </c>
      <c r="M6166" t="n">
        <v>0</v>
      </c>
      <c r="N6166" t="n">
        <v>0</v>
      </c>
      <c r="O6166" t="n">
        <v>0</v>
      </c>
      <c r="P6166" t="n">
        <v>0</v>
      </c>
      <c r="Q6166" t="n">
        <v>0</v>
      </c>
      <c r="R6166" s="2" t="inlineStr"/>
    </row>
    <row r="6167" ht="15" customHeight="1">
      <c r="A6167" t="inlineStr">
        <is>
          <t>A 9621-2024</t>
        </is>
      </c>
      <c r="B6167" s="1" t="n">
        <v>45361</v>
      </c>
      <c r="C6167" s="1" t="n">
        <v>46046</v>
      </c>
      <c r="D6167" t="inlineStr">
        <is>
          <t>NORRBOTTENS LÄN</t>
        </is>
      </c>
      <c r="E6167" t="inlineStr">
        <is>
          <t>ARVIDSJAUR</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4278-2025</t>
        </is>
      </c>
      <c r="B6168" s="1" t="n">
        <v>45685.638125</v>
      </c>
      <c r="C6168" s="1" t="n">
        <v>46046</v>
      </c>
      <c r="D6168" t="inlineStr">
        <is>
          <t>NORRBOTTENS LÄN</t>
        </is>
      </c>
      <c r="E6168" t="inlineStr">
        <is>
          <t>KALIX</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36962-2023</t>
        </is>
      </c>
      <c r="B6169" s="1" t="n">
        <v>45154.93099537037</v>
      </c>
      <c r="C6169" s="1" t="n">
        <v>46046</v>
      </c>
      <c r="D6169" t="inlineStr">
        <is>
          <t>NORRBOTTENS LÄN</t>
        </is>
      </c>
      <c r="E6169" t="inlineStr">
        <is>
          <t>PAJALA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41661-2023</t>
        </is>
      </c>
      <c r="B6170" s="1" t="n">
        <v>45175.95792824074</v>
      </c>
      <c r="C6170" s="1" t="n">
        <v>46046</v>
      </c>
      <c r="D6170" t="inlineStr">
        <is>
          <t>NORRBOTTENS LÄN</t>
        </is>
      </c>
      <c r="E6170" t="inlineStr">
        <is>
          <t>KALIX</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54281-2024</t>
        </is>
      </c>
      <c r="B6171" s="1" t="n">
        <v>45616</v>
      </c>
      <c r="C6171" s="1" t="n">
        <v>46046</v>
      </c>
      <c r="D6171" t="inlineStr">
        <is>
          <t>NORRBOTTENS LÄN</t>
        </is>
      </c>
      <c r="E6171" t="inlineStr">
        <is>
          <t>GÄLLIVARE</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47444-2025</t>
        </is>
      </c>
      <c r="B6172" s="1" t="n">
        <v>45930.64141203704</v>
      </c>
      <c r="C6172" s="1" t="n">
        <v>46046</v>
      </c>
      <c r="D6172" t="inlineStr">
        <is>
          <t>NORRBOTTENS LÄN</t>
        </is>
      </c>
      <c r="E6172" t="inlineStr">
        <is>
          <t>GÄLLIVARE</t>
        </is>
      </c>
      <c r="F6172" t="inlineStr">
        <is>
          <t>Sveaskog</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2659-2025</t>
        </is>
      </c>
      <c r="B6173" s="1" t="n">
        <v>45676.8134375</v>
      </c>
      <c r="C6173" s="1" t="n">
        <v>46046</v>
      </c>
      <c r="D6173" t="inlineStr">
        <is>
          <t>NORRBOTTENS LÄN</t>
        </is>
      </c>
      <c r="E6173" t="inlineStr">
        <is>
          <t>LULEÅ</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47509-2025</t>
        </is>
      </c>
      <c r="B6174" s="1" t="n">
        <v>45930.90633101852</v>
      </c>
      <c r="C6174" s="1" t="n">
        <v>46046</v>
      </c>
      <c r="D6174" t="inlineStr">
        <is>
          <t>NORRBOTTENS LÄN</t>
        </is>
      </c>
      <c r="E6174" t="inlineStr">
        <is>
          <t>PAJALA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46404-2023</t>
        </is>
      </c>
      <c r="B6175" s="1" t="n">
        <v>45194</v>
      </c>
      <c r="C6175" s="1" t="n">
        <v>46046</v>
      </c>
      <c r="D6175" t="inlineStr">
        <is>
          <t>NORRBOTTENS LÄN</t>
        </is>
      </c>
      <c r="E6175" t="inlineStr">
        <is>
          <t>ÄLVSBYN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46418-2023</t>
        </is>
      </c>
      <c r="B6176" s="1" t="n">
        <v>45197</v>
      </c>
      <c r="C6176" s="1" t="n">
        <v>46046</v>
      </c>
      <c r="D6176" t="inlineStr">
        <is>
          <t>NORRBOTTENS LÄN</t>
        </is>
      </c>
      <c r="E6176" t="inlineStr">
        <is>
          <t>JOKKMOKK</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47537-2025</t>
        </is>
      </c>
      <c r="B6177" s="1" t="n">
        <v>45931.34706018519</v>
      </c>
      <c r="C6177" s="1" t="n">
        <v>46046</v>
      </c>
      <c r="D6177" t="inlineStr">
        <is>
          <t>NORRBOTTENS LÄN</t>
        </is>
      </c>
      <c r="E6177" t="inlineStr">
        <is>
          <t>ÄLVSBYN</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8928-2025</t>
        </is>
      </c>
      <c r="B6178" s="1" t="n">
        <v>45712</v>
      </c>
      <c r="C6178" s="1" t="n">
        <v>46046</v>
      </c>
      <c r="D6178" t="inlineStr">
        <is>
          <t>NORRBOTTENS LÄN</t>
        </is>
      </c>
      <c r="E6178" t="inlineStr">
        <is>
          <t>LULEÅ</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47512-2025</t>
        </is>
      </c>
      <c r="B6179" s="1" t="n">
        <v>45930</v>
      </c>
      <c r="C6179" s="1" t="n">
        <v>46046</v>
      </c>
      <c r="D6179" t="inlineStr">
        <is>
          <t>NORRBOTTENS LÄN</t>
        </is>
      </c>
      <c r="E6179" t="inlineStr">
        <is>
          <t>LULEÅ</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47375-2025</t>
        </is>
      </c>
      <c r="B6180" s="1" t="n">
        <v>45930.59421296296</v>
      </c>
      <c r="C6180" s="1" t="n">
        <v>46046</v>
      </c>
      <c r="D6180" t="inlineStr">
        <is>
          <t>NORRBOTTENS LÄN</t>
        </is>
      </c>
      <c r="E6180" t="inlineStr">
        <is>
          <t>KALIX</t>
        </is>
      </c>
      <c r="F6180" t="inlineStr">
        <is>
          <t>SCA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61462-2024</t>
        </is>
      </c>
      <c r="B6181" s="1" t="n">
        <v>45646.50115740741</v>
      </c>
      <c r="C6181" s="1" t="n">
        <v>46046</v>
      </c>
      <c r="D6181" t="inlineStr">
        <is>
          <t>NORRBOTTENS LÄN</t>
        </is>
      </c>
      <c r="E6181" t="inlineStr">
        <is>
          <t>PITEÅ</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61468-2024</t>
        </is>
      </c>
      <c r="B6182" s="1" t="n">
        <v>45646</v>
      </c>
      <c r="C6182" s="1" t="n">
        <v>46046</v>
      </c>
      <c r="D6182" t="inlineStr">
        <is>
          <t>NORRBOTTENS LÄN</t>
        </is>
      </c>
      <c r="E6182" t="inlineStr">
        <is>
          <t>GÄLLIVARE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47822-2025</t>
        </is>
      </c>
      <c r="B6183" s="1" t="n">
        <v>45932.34443287037</v>
      </c>
      <c r="C6183" s="1" t="n">
        <v>46046</v>
      </c>
      <c r="D6183" t="inlineStr">
        <is>
          <t>NORRBOTTENS LÄN</t>
        </is>
      </c>
      <c r="E6183" t="inlineStr">
        <is>
          <t>PITEÅ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7553-2023</t>
        </is>
      </c>
      <c r="B6184" s="1" t="n">
        <v>44972.32969907407</v>
      </c>
      <c r="C6184" s="1" t="n">
        <v>46046</v>
      </c>
      <c r="D6184" t="inlineStr">
        <is>
          <t>NORRBOTTENS LÄN</t>
        </is>
      </c>
      <c r="E6184" t="inlineStr">
        <is>
          <t>PITEÅ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47842-2025</t>
        </is>
      </c>
      <c r="B6185" s="1" t="n">
        <v>45932.37545138889</v>
      </c>
      <c r="C6185" s="1" t="n">
        <v>46046</v>
      </c>
      <c r="D6185" t="inlineStr">
        <is>
          <t>NORRBOTTENS LÄN</t>
        </is>
      </c>
      <c r="E6185" t="inlineStr">
        <is>
          <t>ÄLVSBYN</t>
        </is>
      </c>
      <c r="F6185" t="inlineStr">
        <is>
          <t>Sveaskog</t>
        </is>
      </c>
      <c r="G6185" t="n">
        <v>37.9</v>
      </c>
      <c r="H6185" t="n">
        <v>0</v>
      </c>
      <c r="I6185" t="n">
        <v>0</v>
      </c>
      <c r="J6185" t="n">
        <v>0</v>
      </c>
      <c r="K6185" t="n">
        <v>0</v>
      </c>
      <c r="L6185" t="n">
        <v>0</v>
      </c>
      <c r="M6185" t="n">
        <v>0</v>
      </c>
      <c r="N6185" t="n">
        <v>0</v>
      </c>
      <c r="O6185" t="n">
        <v>0</v>
      </c>
      <c r="P6185" t="n">
        <v>0</v>
      </c>
      <c r="Q6185" t="n">
        <v>0</v>
      </c>
      <c r="R6185" s="2" t="inlineStr"/>
    </row>
    <row r="6186" ht="15" customHeight="1">
      <c r="A6186" t="inlineStr">
        <is>
          <t>A 48005-2025</t>
        </is>
      </c>
      <c r="B6186" s="1" t="n">
        <v>45932.63599537037</v>
      </c>
      <c r="C6186" s="1" t="n">
        <v>46046</v>
      </c>
      <c r="D6186" t="inlineStr">
        <is>
          <t>NORRBOTTENS LÄN</t>
        </is>
      </c>
      <c r="E6186" t="inlineStr">
        <is>
          <t>ARVIDSJAUR</t>
        </is>
      </c>
      <c r="F6186" t="inlineStr">
        <is>
          <t>Sveaskog</t>
        </is>
      </c>
      <c r="G6186" t="n">
        <v>24.3</v>
      </c>
      <c r="H6186" t="n">
        <v>0</v>
      </c>
      <c r="I6186" t="n">
        <v>0</v>
      </c>
      <c r="J6186" t="n">
        <v>0</v>
      </c>
      <c r="K6186" t="n">
        <v>0</v>
      </c>
      <c r="L6186" t="n">
        <v>0</v>
      </c>
      <c r="M6186" t="n">
        <v>0</v>
      </c>
      <c r="N6186" t="n">
        <v>0</v>
      </c>
      <c r="O6186" t="n">
        <v>0</v>
      </c>
      <c r="P6186" t="n">
        <v>0</v>
      </c>
      <c r="Q6186" t="n">
        <v>0</v>
      </c>
      <c r="R6186" s="2" t="inlineStr"/>
    </row>
    <row r="6187" ht="15" customHeight="1">
      <c r="A6187" t="inlineStr">
        <is>
          <t>A 48001-2025</t>
        </is>
      </c>
      <c r="B6187" s="1" t="n">
        <v>45932.6296875</v>
      </c>
      <c r="C6187" s="1" t="n">
        <v>46046</v>
      </c>
      <c r="D6187" t="inlineStr">
        <is>
          <t>NORRBOTTENS LÄN</t>
        </is>
      </c>
      <c r="E6187" t="inlineStr">
        <is>
          <t>BODEN</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48326-2025</t>
        </is>
      </c>
      <c r="B6188" s="1" t="n">
        <v>45933</v>
      </c>
      <c r="C6188" s="1" t="n">
        <v>46046</v>
      </c>
      <c r="D6188" t="inlineStr">
        <is>
          <t>NORRBOTTENS LÄN</t>
        </is>
      </c>
      <c r="E6188" t="inlineStr">
        <is>
          <t>ARVIDSJAUR</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29677-2024</t>
        </is>
      </c>
      <c r="B6189" s="1" t="n">
        <v>45484</v>
      </c>
      <c r="C6189" s="1" t="n">
        <v>46046</v>
      </c>
      <c r="D6189" t="inlineStr">
        <is>
          <t>NORRBOTTENS LÄN</t>
        </is>
      </c>
      <c r="E6189" t="inlineStr">
        <is>
          <t>ARVIDSJAUR</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47888-2025</t>
        </is>
      </c>
      <c r="B6190" s="1" t="n">
        <v>45932.46949074074</v>
      </c>
      <c r="C6190" s="1" t="n">
        <v>46046</v>
      </c>
      <c r="D6190" t="inlineStr">
        <is>
          <t>NORRBOTTENS LÄN</t>
        </is>
      </c>
      <c r="E6190" t="inlineStr">
        <is>
          <t>LULEÅ</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22810-2024</t>
        </is>
      </c>
      <c r="B6191" s="1" t="n">
        <v>45448</v>
      </c>
      <c r="C6191" s="1" t="n">
        <v>46046</v>
      </c>
      <c r="D6191" t="inlineStr">
        <is>
          <t>NORRBOTTENS LÄN</t>
        </is>
      </c>
      <c r="E6191" t="inlineStr">
        <is>
          <t>ÄLVSBYN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48331-2025</t>
        </is>
      </c>
      <c r="B6192" s="1" t="n">
        <v>45933</v>
      </c>
      <c r="C6192" s="1" t="n">
        <v>46046</v>
      </c>
      <c r="D6192" t="inlineStr">
        <is>
          <t>NORRBOTTENS LÄN</t>
        </is>
      </c>
      <c r="E6192" t="inlineStr">
        <is>
          <t>ARVIDSJAUR</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47865-2025</t>
        </is>
      </c>
      <c r="B6193" s="1" t="n">
        <v>45932.43586805555</v>
      </c>
      <c r="C6193" s="1" t="n">
        <v>46046</v>
      </c>
      <c r="D6193" t="inlineStr">
        <is>
          <t>NORRBOTTENS LÄN</t>
        </is>
      </c>
      <c r="E6193" t="inlineStr">
        <is>
          <t>KALIX</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48236-2025</t>
        </is>
      </c>
      <c r="B6194" s="1" t="n">
        <v>45933</v>
      </c>
      <c r="C6194" s="1" t="n">
        <v>46046</v>
      </c>
      <c r="D6194" t="inlineStr">
        <is>
          <t>NORRBOTTENS LÄN</t>
        </is>
      </c>
      <c r="E6194" t="inlineStr">
        <is>
          <t>ÄLVSBYN</t>
        </is>
      </c>
      <c r="F6194" t="inlineStr">
        <is>
          <t>SCA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49113-2023</t>
        </is>
      </c>
      <c r="B6195" s="1" t="n">
        <v>45204</v>
      </c>
      <c r="C6195" s="1" t="n">
        <v>46046</v>
      </c>
      <c r="D6195" t="inlineStr">
        <is>
          <t>NORRBOTTENS LÄN</t>
        </is>
      </c>
      <c r="E6195" t="inlineStr">
        <is>
          <t>BODEN</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48091-2025</t>
        </is>
      </c>
      <c r="B6196" s="1" t="n">
        <v>45933.27458333333</v>
      </c>
      <c r="C6196" s="1" t="n">
        <v>46046</v>
      </c>
      <c r="D6196" t="inlineStr">
        <is>
          <t>NORRBOTTENS LÄN</t>
        </is>
      </c>
      <c r="E6196" t="inlineStr">
        <is>
          <t>BODEN</t>
        </is>
      </c>
      <c r="F6196" t="inlineStr">
        <is>
          <t>Sveaskog</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19046-2024</t>
        </is>
      </c>
      <c r="B6197" s="1" t="n">
        <v>45427.7460300926</v>
      </c>
      <c r="C6197" s="1" t="n">
        <v>46046</v>
      </c>
      <c r="D6197" t="inlineStr">
        <is>
          <t>NORRBOTTENS LÄN</t>
        </is>
      </c>
      <c r="E6197" t="inlineStr">
        <is>
          <t>PAJALA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61202-2022</t>
        </is>
      </c>
      <c r="B6198" s="1" t="n">
        <v>44915</v>
      </c>
      <c r="C6198" s="1" t="n">
        <v>46046</v>
      </c>
      <c r="D6198" t="inlineStr">
        <is>
          <t>NORRBOTTENS LÄN</t>
        </is>
      </c>
      <c r="E6198" t="inlineStr">
        <is>
          <t>ARVIDSJAUR</t>
        </is>
      </c>
      <c r="F6198" t="inlineStr">
        <is>
          <t>Sveaskog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47909-2025</t>
        </is>
      </c>
      <c r="B6199" s="1" t="n">
        <v>45932.51157407407</v>
      </c>
      <c r="C6199" s="1" t="n">
        <v>46046</v>
      </c>
      <c r="D6199" t="inlineStr">
        <is>
          <t>NORRBOTTENS LÄN</t>
        </is>
      </c>
      <c r="E6199" t="inlineStr">
        <is>
          <t>ÖVERTORNEÅ</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58575-2022</t>
        </is>
      </c>
      <c r="B6200" s="1" t="n">
        <v>44894</v>
      </c>
      <c r="C6200" s="1" t="n">
        <v>46046</v>
      </c>
      <c r="D6200" t="inlineStr">
        <is>
          <t>NORRBOTTENS LÄN</t>
        </is>
      </c>
      <c r="E6200" t="inlineStr">
        <is>
          <t>KALIX</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10073-2025</t>
        </is>
      </c>
      <c r="B6201" s="1" t="n">
        <v>45719</v>
      </c>
      <c r="C6201" s="1" t="n">
        <v>46046</v>
      </c>
      <c r="D6201" t="inlineStr">
        <is>
          <t>NORRBOTTENS LÄN</t>
        </is>
      </c>
      <c r="E6201" t="inlineStr">
        <is>
          <t>KALIX</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4630-2025</t>
        </is>
      </c>
      <c r="B6202" s="1" t="n">
        <v>45687</v>
      </c>
      <c r="C6202" s="1" t="n">
        <v>46046</v>
      </c>
      <c r="D6202" t="inlineStr">
        <is>
          <t>NORRBOTTENS LÄN</t>
        </is>
      </c>
      <c r="E6202" t="inlineStr">
        <is>
          <t>BODEN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4633-2025</t>
        </is>
      </c>
      <c r="B6203" s="1" t="n">
        <v>45687</v>
      </c>
      <c r="C6203" s="1" t="n">
        <v>46046</v>
      </c>
      <c r="D6203" t="inlineStr">
        <is>
          <t>NORRBOTTENS LÄN</t>
        </is>
      </c>
      <c r="E6203" t="inlineStr">
        <is>
          <t>GÄLLIVARE</t>
        </is>
      </c>
      <c r="G6203" t="n">
        <v>11.8</v>
      </c>
      <c r="H6203" t="n">
        <v>0</v>
      </c>
      <c r="I6203" t="n">
        <v>0</v>
      </c>
      <c r="J6203" t="n">
        <v>0</v>
      </c>
      <c r="K6203" t="n">
        <v>0</v>
      </c>
      <c r="L6203" t="n">
        <v>0</v>
      </c>
      <c r="M6203" t="n">
        <v>0</v>
      </c>
      <c r="N6203" t="n">
        <v>0</v>
      </c>
      <c r="O6203" t="n">
        <v>0</v>
      </c>
      <c r="P6203" t="n">
        <v>0</v>
      </c>
      <c r="Q6203" t="n">
        <v>0</v>
      </c>
      <c r="R6203" s="2" t="inlineStr"/>
    </row>
    <row r="6204" ht="15" customHeight="1">
      <c r="A6204" t="inlineStr">
        <is>
          <t>A 42653-2025</t>
        </is>
      </c>
      <c r="B6204" s="1" t="n">
        <v>45906</v>
      </c>
      <c r="C6204" s="1" t="n">
        <v>46046</v>
      </c>
      <c r="D6204" t="inlineStr">
        <is>
          <t>NORRBOTTENS LÄN</t>
        </is>
      </c>
      <c r="E6204" t="inlineStr">
        <is>
          <t>BODEN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47983-2025</t>
        </is>
      </c>
      <c r="B6205" s="1" t="n">
        <v>45932</v>
      </c>
      <c r="C6205" s="1" t="n">
        <v>46046</v>
      </c>
      <c r="D6205" t="inlineStr">
        <is>
          <t>NORRBOTTENS LÄN</t>
        </is>
      </c>
      <c r="E6205" t="inlineStr">
        <is>
          <t>KALIX</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4673-2025</t>
        </is>
      </c>
      <c r="B6206" s="1" t="n">
        <v>45687</v>
      </c>
      <c r="C6206" s="1" t="n">
        <v>46046</v>
      </c>
      <c r="D6206" t="inlineStr">
        <is>
          <t>NORRBOTTENS LÄN</t>
        </is>
      </c>
      <c r="E6206" t="inlineStr">
        <is>
          <t>PITEÅ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4675-2025</t>
        </is>
      </c>
      <c r="B6207" s="1" t="n">
        <v>45687.82303240741</v>
      </c>
      <c r="C6207" s="1" t="n">
        <v>46046</v>
      </c>
      <c r="D6207" t="inlineStr">
        <is>
          <t>NORRBOTTENS LÄN</t>
        </is>
      </c>
      <c r="E6207" t="inlineStr">
        <is>
          <t>PITEÅ</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47935-2025</t>
        </is>
      </c>
      <c r="B6208" s="1" t="n">
        <v>45932.55758101852</v>
      </c>
      <c r="C6208" s="1" t="n">
        <v>46046</v>
      </c>
      <c r="D6208" t="inlineStr">
        <is>
          <t>NORRBOTTENS LÄN</t>
        </is>
      </c>
      <c r="E6208" t="inlineStr">
        <is>
          <t>BODEN</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18489-2024</t>
        </is>
      </c>
      <c r="B6209" s="1" t="n">
        <v>45425</v>
      </c>
      <c r="C6209" s="1" t="n">
        <v>46046</v>
      </c>
      <c r="D6209" t="inlineStr">
        <is>
          <t>NORRBOTTENS LÄN</t>
        </is>
      </c>
      <c r="E6209" t="inlineStr">
        <is>
          <t>ÖVERTORNEÅ</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56412-2021</t>
        </is>
      </c>
      <c r="B6210" s="1" t="n">
        <v>44477</v>
      </c>
      <c r="C6210" s="1" t="n">
        <v>46046</v>
      </c>
      <c r="D6210" t="inlineStr">
        <is>
          <t>NORRBOTTENS LÄN</t>
        </is>
      </c>
      <c r="E6210" t="inlineStr">
        <is>
          <t>JOKKMOKK</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47811-2025</t>
        </is>
      </c>
      <c r="B6211" s="1" t="n">
        <v>45932.31650462963</v>
      </c>
      <c r="C6211" s="1" t="n">
        <v>46046</v>
      </c>
      <c r="D6211" t="inlineStr">
        <is>
          <t>NORRBOTTENS LÄN</t>
        </is>
      </c>
      <c r="E6211" t="inlineStr">
        <is>
          <t>KALIX</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48383-2025</t>
        </is>
      </c>
      <c r="B6212" s="1" t="n">
        <v>45933</v>
      </c>
      <c r="C6212" s="1" t="n">
        <v>46046</v>
      </c>
      <c r="D6212" t="inlineStr">
        <is>
          <t>NORRBOTTENS LÄN</t>
        </is>
      </c>
      <c r="E6212" t="inlineStr">
        <is>
          <t>KALIX</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48312-2025</t>
        </is>
      </c>
      <c r="B6213" s="1" t="n">
        <v>45933</v>
      </c>
      <c r="C6213" s="1" t="n">
        <v>46046</v>
      </c>
      <c r="D6213" t="inlineStr">
        <is>
          <t>NORRBOTTENS LÄN</t>
        </is>
      </c>
      <c r="E6213" t="inlineStr">
        <is>
          <t>ARVIDSJAUR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48301-2025</t>
        </is>
      </c>
      <c r="B6214" s="1" t="n">
        <v>45933</v>
      </c>
      <c r="C6214" s="1" t="n">
        <v>46046</v>
      </c>
      <c r="D6214" t="inlineStr">
        <is>
          <t>NORRBOTTENS LÄN</t>
        </is>
      </c>
      <c r="E6214" t="inlineStr">
        <is>
          <t>ARVIDSJAUR</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60773-2024</t>
        </is>
      </c>
      <c r="B6215" s="1" t="n">
        <v>45644.58398148148</v>
      </c>
      <c r="C6215" s="1" t="n">
        <v>46046</v>
      </c>
      <c r="D6215" t="inlineStr">
        <is>
          <t>NORRBOTTENS LÄN</t>
        </is>
      </c>
      <c r="E6215" t="inlineStr">
        <is>
          <t>ÄLVSBYN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48221-2025</t>
        </is>
      </c>
      <c r="B6216" s="1" t="n">
        <v>45933</v>
      </c>
      <c r="C6216" s="1" t="n">
        <v>46046</v>
      </c>
      <c r="D6216" t="inlineStr">
        <is>
          <t>NORRBOTTENS LÄN</t>
        </is>
      </c>
      <c r="E6216" t="inlineStr">
        <is>
          <t>ÖVERKALIX</t>
        </is>
      </c>
      <c r="F6216" t="inlineStr">
        <is>
          <t>Sveaskog</t>
        </is>
      </c>
      <c r="G6216" t="n">
        <v>11.8</v>
      </c>
      <c r="H6216" t="n">
        <v>0</v>
      </c>
      <c r="I6216" t="n">
        <v>0</v>
      </c>
      <c r="J6216" t="n">
        <v>0</v>
      </c>
      <c r="K6216" t="n">
        <v>0</v>
      </c>
      <c r="L6216" t="n">
        <v>0</v>
      </c>
      <c r="M6216" t="n">
        <v>0</v>
      </c>
      <c r="N6216" t="n">
        <v>0</v>
      </c>
      <c r="O6216" t="n">
        <v>0</v>
      </c>
      <c r="P6216" t="n">
        <v>0</v>
      </c>
      <c r="Q6216" t="n">
        <v>0</v>
      </c>
      <c r="R6216" s="2" t="inlineStr"/>
    </row>
    <row r="6217" ht="15" customHeight="1">
      <c r="A6217" t="inlineStr">
        <is>
          <t>A 39003-2023</t>
        </is>
      </c>
      <c r="B6217" s="1" t="n">
        <v>45163.6749537037</v>
      </c>
      <c r="C6217" s="1" t="n">
        <v>46046</v>
      </c>
      <c r="D6217" t="inlineStr">
        <is>
          <t>NORRBOTTENS LÄN</t>
        </is>
      </c>
      <c r="E6217" t="inlineStr">
        <is>
          <t>KALIX</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1195-2025</t>
        </is>
      </c>
      <c r="B6218" s="1" t="n">
        <v>45667.37811342593</v>
      </c>
      <c r="C6218" s="1" t="n">
        <v>46046</v>
      </c>
      <c r="D6218" t="inlineStr">
        <is>
          <t>NORRBOTTENS LÄN</t>
        </is>
      </c>
      <c r="E6218" t="inlineStr">
        <is>
          <t>BODEN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11571-2025</t>
        </is>
      </c>
      <c r="B6219" s="1" t="n">
        <v>45726</v>
      </c>
      <c r="C6219" s="1" t="n">
        <v>46046</v>
      </c>
      <c r="D6219" t="inlineStr">
        <is>
          <t>NORRBOTTENS LÄN</t>
        </is>
      </c>
      <c r="E6219" t="inlineStr">
        <is>
          <t>ARVIDSJAUR</t>
        </is>
      </c>
      <c r="F6219" t="inlineStr">
        <is>
          <t>Allmännings- och besparingsskogar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48220-2025</t>
        </is>
      </c>
      <c r="B6220" s="1" t="n">
        <v>45933.50032407408</v>
      </c>
      <c r="C6220" s="1" t="n">
        <v>46046</v>
      </c>
      <c r="D6220" t="inlineStr">
        <is>
          <t>NORRBOTTENS LÄN</t>
        </is>
      </c>
      <c r="E6220" t="inlineStr">
        <is>
          <t>BODEN</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48286-2025</t>
        </is>
      </c>
      <c r="B6221" s="1" t="n">
        <v>45933</v>
      </c>
      <c r="C6221" s="1" t="n">
        <v>46046</v>
      </c>
      <c r="D6221" t="inlineStr">
        <is>
          <t>NORRBOTTENS LÄN</t>
        </is>
      </c>
      <c r="E6221" t="inlineStr">
        <is>
          <t>ARVIDSJAUR</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48287-2025</t>
        </is>
      </c>
      <c r="B6222" s="1" t="n">
        <v>45933.59439814815</v>
      </c>
      <c r="C6222" s="1" t="n">
        <v>46046</v>
      </c>
      <c r="D6222" t="inlineStr">
        <is>
          <t>NORRBOTTENS LÄN</t>
        </is>
      </c>
      <c r="E6222" t="inlineStr">
        <is>
          <t>ÄLVSBYN</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59885-2024</t>
        </is>
      </c>
      <c r="B6223" s="1" t="n">
        <v>45641.50518518518</v>
      </c>
      <c r="C6223" s="1" t="n">
        <v>46046</v>
      </c>
      <c r="D6223" t="inlineStr">
        <is>
          <t>NORRBOTTENS LÄN</t>
        </is>
      </c>
      <c r="E6223" t="inlineStr">
        <is>
          <t>KALIX</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48163-2025</t>
        </is>
      </c>
      <c r="B6224" s="1" t="n">
        <v>45933.42769675926</v>
      </c>
      <c r="C6224" s="1" t="n">
        <v>46046</v>
      </c>
      <c r="D6224" t="inlineStr">
        <is>
          <t>NORRBOTTENS LÄN</t>
        </is>
      </c>
      <c r="E6224" t="inlineStr">
        <is>
          <t>ÄLVSBYN</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48166-2025</t>
        </is>
      </c>
      <c r="B6225" s="1" t="n">
        <v>45933</v>
      </c>
      <c r="C6225" s="1" t="n">
        <v>46046</v>
      </c>
      <c r="D6225" t="inlineStr">
        <is>
          <t>NORRBOTTENS LÄN</t>
        </is>
      </c>
      <c r="E6225" t="inlineStr">
        <is>
          <t>JOKKMOKK</t>
        </is>
      </c>
      <c r="G6225" t="n">
        <v>41.8</v>
      </c>
      <c r="H6225" t="n">
        <v>0</v>
      </c>
      <c r="I6225" t="n">
        <v>0</v>
      </c>
      <c r="J6225" t="n">
        <v>0</v>
      </c>
      <c r="K6225" t="n">
        <v>0</v>
      </c>
      <c r="L6225" t="n">
        <v>0</v>
      </c>
      <c r="M6225" t="n">
        <v>0</v>
      </c>
      <c r="N6225" t="n">
        <v>0</v>
      </c>
      <c r="O6225" t="n">
        <v>0</v>
      </c>
      <c r="P6225" t="n">
        <v>0</v>
      </c>
      <c r="Q6225" t="n">
        <v>0</v>
      </c>
      <c r="R6225" s="2" t="inlineStr"/>
    </row>
    <row r="6226" ht="15" customHeight="1">
      <c r="A6226" t="inlineStr">
        <is>
          <t>A 48167-2025</t>
        </is>
      </c>
      <c r="B6226" s="1" t="n">
        <v>45933</v>
      </c>
      <c r="C6226" s="1" t="n">
        <v>46046</v>
      </c>
      <c r="D6226" t="inlineStr">
        <is>
          <t>NORRBOTTENS LÄN</t>
        </is>
      </c>
      <c r="E6226" t="inlineStr">
        <is>
          <t>JOKKMOKK</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48172-2025</t>
        </is>
      </c>
      <c r="B6227" s="1" t="n">
        <v>45933.43833333333</v>
      </c>
      <c r="C6227" s="1" t="n">
        <v>46046</v>
      </c>
      <c r="D6227" t="inlineStr">
        <is>
          <t>NORRBOTTENS LÄN</t>
        </is>
      </c>
      <c r="E6227" t="inlineStr">
        <is>
          <t>BODEN</t>
        </is>
      </c>
      <c r="F6227" t="inlineStr">
        <is>
          <t>Sveaskog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48107-2025</t>
        </is>
      </c>
      <c r="B6228" s="1" t="n">
        <v>45933.34452546296</v>
      </c>
      <c r="C6228" s="1" t="n">
        <v>46046</v>
      </c>
      <c r="D6228" t="inlineStr">
        <is>
          <t>NORRBOTTENS LÄN</t>
        </is>
      </c>
      <c r="E6228" t="inlineStr">
        <is>
          <t>PITEÅ</t>
        </is>
      </c>
      <c r="F6228" t="inlineStr">
        <is>
          <t>SCA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61942-2024</t>
        </is>
      </c>
      <c r="B6229" s="1" t="n">
        <v>45653.48405092592</v>
      </c>
      <c r="C6229" s="1" t="n">
        <v>46046</v>
      </c>
      <c r="D6229" t="inlineStr">
        <is>
          <t>NORRBOTTENS LÄN</t>
        </is>
      </c>
      <c r="E6229" t="inlineStr">
        <is>
          <t>LULEÅ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14449-2025</t>
        </is>
      </c>
      <c r="B6230" s="1" t="n">
        <v>45741</v>
      </c>
      <c r="C6230" s="1" t="n">
        <v>46046</v>
      </c>
      <c r="D6230" t="inlineStr">
        <is>
          <t>NORRBOTTENS LÄN</t>
        </is>
      </c>
      <c r="E6230" t="inlineStr">
        <is>
          <t>ÄLVSBYN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13464-2025</t>
        </is>
      </c>
      <c r="B6231" s="1" t="n">
        <v>45736</v>
      </c>
      <c r="C6231" s="1" t="n">
        <v>46046</v>
      </c>
      <c r="D6231" t="inlineStr">
        <is>
          <t>NORRBOTTENS LÄN</t>
        </is>
      </c>
      <c r="E6231" t="inlineStr">
        <is>
          <t>PAJALA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48173-2025</t>
        </is>
      </c>
      <c r="B6232" s="1" t="n">
        <v>45933.44135416667</v>
      </c>
      <c r="C6232" s="1" t="n">
        <v>46046</v>
      </c>
      <c r="D6232" t="inlineStr">
        <is>
          <t>NORRBOTTENS LÄN</t>
        </is>
      </c>
      <c r="E6232" t="inlineStr">
        <is>
          <t>BODEN</t>
        </is>
      </c>
      <c r="F6232" t="inlineStr">
        <is>
          <t>Sveaskog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47849-2025</t>
        </is>
      </c>
      <c r="B6233" s="1" t="n">
        <v>45932.38608796296</v>
      </c>
      <c r="C6233" s="1" t="n">
        <v>46046</v>
      </c>
      <c r="D6233" t="inlineStr">
        <is>
          <t>NORRBOTTENS LÄN</t>
        </is>
      </c>
      <c r="E6233" t="inlineStr">
        <is>
          <t>LULEÅ</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12041-2025</t>
        </is>
      </c>
      <c r="B6234" s="1" t="n">
        <v>45728.65701388889</v>
      </c>
      <c r="C6234" s="1" t="n">
        <v>46046</v>
      </c>
      <c r="D6234" t="inlineStr">
        <is>
          <t>NORRBOTTENS LÄN</t>
        </is>
      </c>
      <c r="E6234" t="inlineStr">
        <is>
          <t>KALIX</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21639-2022</t>
        </is>
      </c>
      <c r="B6235" s="1" t="n">
        <v>44706.92644675926</v>
      </c>
      <c r="C6235" s="1" t="n">
        <v>46046</v>
      </c>
      <c r="D6235" t="inlineStr">
        <is>
          <t>NORRBOTTENS LÄN</t>
        </is>
      </c>
      <c r="E6235" t="inlineStr">
        <is>
          <t>KALIX</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21640-2022</t>
        </is>
      </c>
      <c r="B6236" s="1" t="n">
        <v>44706.92648148148</v>
      </c>
      <c r="C6236" s="1" t="n">
        <v>46046</v>
      </c>
      <c r="D6236" t="inlineStr">
        <is>
          <t>NORRBOTTENS LÄN</t>
        </is>
      </c>
      <c r="E6236" t="inlineStr">
        <is>
          <t>KALIX</t>
        </is>
      </c>
      <c r="F6236" t="inlineStr">
        <is>
          <t>Sveaskog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48008-2025</t>
        </is>
      </c>
      <c r="B6237" s="1" t="n">
        <v>45932.64015046296</v>
      </c>
      <c r="C6237" s="1" t="n">
        <v>46046</v>
      </c>
      <c r="D6237" t="inlineStr">
        <is>
          <t>NORRBOTTENS LÄN</t>
        </is>
      </c>
      <c r="E6237" t="inlineStr">
        <is>
          <t>ARVIDSJAUR</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56794-2024</t>
        </is>
      </c>
      <c r="B6238" s="1" t="n">
        <v>45625</v>
      </c>
      <c r="C6238" s="1" t="n">
        <v>46046</v>
      </c>
      <c r="D6238" t="inlineStr">
        <is>
          <t>NORRBOTTENS LÄN</t>
        </is>
      </c>
      <c r="E6238" t="inlineStr">
        <is>
          <t>ARJEPLOG</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48141-2025</t>
        </is>
      </c>
      <c r="B6239" s="1" t="n">
        <v>45933</v>
      </c>
      <c r="C6239" s="1" t="n">
        <v>46046</v>
      </c>
      <c r="D6239" t="inlineStr">
        <is>
          <t>NORRBOTTENS LÄN</t>
        </is>
      </c>
      <c r="E6239" t="inlineStr">
        <is>
          <t>JOKKMOKK</t>
        </is>
      </c>
      <c r="G6239" t="n">
        <v>17.7</v>
      </c>
      <c r="H6239" t="n">
        <v>0</v>
      </c>
      <c r="I6239" t="n">
        <v>0</v>
      </c>
      <c r="J6239" t="n">
        <v>0</v>
      </c>
      <c r="K6239" t="n">
        <v>0</v>
      </c>
      <c r="L6239" t="n">
        <v>0</v>
      </c>
      <c r="M6239" t="n">
        <v>0</v>
      </c>
      <c r="N6239" t="n">
        <v>0</v>
      </c>
      <c r="O6239" t="n">
        <v>0</v>
      </c>
      <c r="P6239" t="n">
        <v>0</v>
      </c>
      <c r="Q6239" t="n">
        <v>0</v>
      </c>
      <c r="R6239" s="2" t="inlineStr"/>
    </row>
    <row r="6240" ht="15" customHeight="1">
      <c r="A6240" t="inlineStr">
        <is>
          <t>A 5570-2025</t>
        </is>
      </c>
      <c r="B6240" s="1" t="n">
        <v>45693.51109953703</v>
      </c>
      <c r="C6240" s="1" t="n">
        <v>46046</v>
      </c>
      <c r="D6240" t="inlineStr">
        <is>
          <t>NORRBOTTENS LÄN</t>
        </is>
      </c>
      <c r="E6240" t="inlineStr">
        <is>
          <t>ÖVERKALIX</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11845-2025</t>
        </is>
      </c>
      <c r="B6241" s="1" t="n">
        <v>45727</v>
      </c>
      <c r="C6241" s="1" t="n">
        <v>46046</v>
      </c>
      <c r="D6241" t="inlineStr">
        <is>
          <t>NORRBOTTENS LÄN</t>
        </is>
      </c>
      <c r="E6241" t="inlineStr">
        <is>
          <t>LULEÅ</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47928-2025</t>
        </is>
      </c>
      <c r="B6242" s="1" t="n">
        <v>45932.54988425926</v>
      </c>
      <c r="C6242" s="1" t="n">
        <v>46046</v>
      </c>
      <c r="D6242" t="inlineStr">
        <is>
          <t>NORRBOTTENS LÄN</t>
        </is>
      </c>
      <c r="E6242" t="inlineStr">
        <is>
          <t>LULEÅ</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47937-2025</t>
        </is>
      </c>
      <c r="B6243" s="1" t="n">
        <v>45932.56042824074</v>
      </c>
      <c r="C6243" s="1" t="n">
        <v>46046</v>
      </c>
      <c r="D6243" t="inlineStr">
        <is>
          <t>NORRBOTTENS LÄN</t>
        </is>
      </c>
      <c r="E6243" t="inlineStr">
        <is>
          <t>LULEÅ</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47912-2025</t>
        </is>
      </c>
      <c r="B6244" s="1" t="n">
        <v>45932.51309027777</v>
      </c>
      <c r="C6244" s="1" t="n">
        <v>46046</v>
      </c>
      <c r="D6244" t="inlineStr">
        <is>
          <t>NORRBOTTENS LÄN</t>
        </is>
      </c>
      <c r="E6244" t="inlineStr">
        <is>
          <t>ÖVERTORNEÅ</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33761-2024</t>
        </is>
      </c>
      <c r="B6245" s="1" t="n">
        <v>45520.56951388889</v>
      </c>
      <c r="C6245" s="1" t="n">
        <v>46046</v>
      </c>
      <c r="D6245" t="inlineStr">
        <is>
          <t>NORRBOTTENS LÄN</t>
        </is>
      </c>
      <c r="E6245" t="inlineStr">
        <is>
          <t>ÖVERKALIX</t>
        </is>
      </c>
      <c r="F6245" t="inlineStr">
        <is>
          <t>Sveaskog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47948-2025</t>
        </is>
      </c>
      <c r="B6246" s="1" t="n">
        <v>45932.57424768519</v>
      </c>
      <c r="C6246" s="1" t="n">
        <v>46046</v>
      </c>
      <c r="D6246" t="inlineStr">
        <is>
          <t>NORRBOTTENS LÄN</t>
        </is>
      </c>
      <c r="E6246" t="inlineStr">
        <is>
          <t>PITEÅ</t>
        </is>
      </c>
      <c r="F6246" t="inlineStr">
        <is>
          <t>SCA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13526-2024</t>
        </is>
      </c>
      <c r="B6247" s="1" t="n">
        <v>45387</v>
      </c>
      <c r="C6247" s="1" t="n">
        <v>46046</v>
      </c>
      <c r="D6247" t="inlineStr">
        <is>
          <t>NORRBOTTENS LÄN</t>
        </is>
      </c>
      <c r="E6247" t="inlineStr">
        <is>
          <t>KIRUNA</t>
        </is>
      </c>
      <c r="G6247" t="n">
        <v>8.199999999999999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57559-2024</t>
        </is>
      </c>
      <c r="B6248" s="1" t="n">
        <v>45630</v>
      </c>
      <c r="C6248" s="1" t="n">
        <v>46046</v>
      </c>
      <c r="D6248" t="inlineStr">
        <is>
          <t>NORRBOTTENS LÄN</t>
        </is>
      </c>
      <c r="E6248" t="inlineStr">
        <is>
          <t>PAJALA</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4731-2024</t>
        </is>
      </c>
      <c r="B6249" s="1" t="n">
        <v>45328</v>
      </c>
      <c r="C6249" s="1" t="n">
        <v>46046</v>
      </c>
      <c r="D6249" t="inlineStr">
        <is>
          <t>NORRBOTTENS LÄN</t>
        </is>
      </c>
      <c r="E6249" t="inlineStr">
        <is>
          <t>PAJALA</t>
        </is>
      </c>
      <c r="F6249" t="inlineStr">
        <is>
          <t>Sveaskog</t>
        </is>
      </c>
      <c r="G6249" t="n">
        <v>15.6</v>
      </c>
      <c r="H6249" t="n">
        <v>0</v>
      </c>
      <c r="I6249" t="n">
        <v>0</v>
      </c>
      <c r="J6249" t="n">
        <v>0</v>
      </c>
      <c r="K6249" t="n">
        <v>0</v>
      </c>
      <c r="L6249" t="n">
        <v>0</v>
      </c>
      <c r="M6249" t="n">
        <v>0</v>
      </c>
      <c r="N6249" t="n">
        <v>0</v>
      </c>
      <c r="O6249" t="n">
        <v>0</v>
      </c>
      <c r="P6249" t="n">
        <v>0</v>
      </c>
      <c r="Q6249" t="n">
        <v>0</v>
      </c>
      <c r="R6249" s="2" t="inlineStr"/>
    </row>
    <row r="6250" ht="15" customHeight="1">
      <c r="A6250" t="inlineStr">
        <is>
          <t>A 4771-2024</t>
        </is>
      </c>
      <c r="B6250" s="1" t="n">
        <v>45328</v>
      </c>
      <c r="C6250" s="1" t="n">
        <v>46046</v>
      </c>
      <c r="D6250" t="inlineStr">
        <is>
          <t>NORRBOTTENS LÄN</t>
        </is>
      </c>
      <c r="E6250" t="inlineStr">
        <is>
          <t>LULEÅ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16897-2025</t>
        </is>
      </c>
      <c r="B6251" s="1" t="n">
        <v>45755.33635416667</v>
      </c>
      <c r="C6251" s="1" t="n">
        <v>46046</v>
      </c>
      <c r="D6251" t="inlineStr">
        <is>
          <t>NORRBOTTENS LÄN</t>
        </is>
      </c>
      <c r="E6251" t="inlineStr">
        <is>
          <t>KALIX</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16906-2025</t>
        </is>
      </c>
      <c r="B6252" s="1" t="n">
        <v>45755.34925925926</v>
      </c>
      <c r="C6252" s="1" t="n">
        <v>46046</v>
      </c>
      <c r="D6252" t="inlineStr">
        <is>
          <t>NORRBOTTENS LÄN</t>
        </is>
      </c>
      <c r="E6252" t="inlineStr">
        <is>
          <t>PITEÅ</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62496-2022</t>
        </is>
      </c>
      <c r="B6253" s="1" t="n">
        <v>44916</v>
      </c>
      <c r="C6253" s="1" t="n">
        <v>46046</v>
      </c>
      <c r="D6253" t="inlineStr">
        <is>
          <t>NORRBOTTENS LÄN</t>
        </is>
      </c>
      <c r="E6253" t="inlineStr">
        <is>
          <t>GÄLLIVARE</t>
        </is>
      </c>
      <c r="G6253" t="n">
        <v>23.4</v>
      </c>
      <c r="H6253" t="n">
        <v>0</v>
      </c>
      <c r="I6253" t="n">
        <v>0</v>
      </c>
      <c r="J6253" t="n">
        <v>0</v>
      </c>
      <c r="K6253" t="n">
        <v>0</v>
      </c>
      <c r="L6253" t="n">
        <v>0</v>
      </c>
      <c r="M6253" t="n">
        <v>0</v>
      </c>
      <c r="N6253" t="n">
        <v>0</v>
      </c>
      <c r="O6253" t="n">
        <v>0</v>
      </c>
      <c r="P6253" t="n">
        <v>0</v>
      </c>
      <c r="Q6253" t="n">
        <v>0</v>
      </c>
      <c r="R6253" s="2" t="inlineStr"/>
    </row>
    <row r="6254" ht="15" customHeight="1">
      <c r="A6254" t="inlineStr">
        <is>
          <t>A 62139-2023</t>
        </is>
      </c>
      <c r="B6254" s="1" t="n">
        <v>45266</v>
      </c>
      <c r="C6254" s="1" t="n">
        <v>46046</v>
      </c>
      <c r="D6254" t="inlineStr">
        <is>
          <t>NORRBOTTENS LÄN</t>
        </is>
      </c>
      <c r="E6254" t="inlineStr">
        <is>
          <t>KALIX</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62150-2023</t>
        </is>
      </c>
      <c r="B6255" s="1" t="n">
        <v>45266</v>
      </c>
      <c r="C6255" s="1" t="n">
        <v>46046</v>
      </c>
      <c r="D6255" t="inlineStr">
        <is>
          <t>NORRBOTTENS LÄN</t>
        </is>
      </c>
      <c r="E6255" t="inlineStr">
        <is>
          <t>KALIX</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36463-2021</t>
        </is>
      </c>
      <c r="B6256" s="1" t="n">
        <v>44391</v>
      </c>
      <c r="C6256" s="1" t="n">
        <v>46046</v>
      </c>
      <c r="D6256" t="inlineStr">
        <is>
          <t>NORRBOTTENS LÄN</t>
        </is>
      </c>
      <c r="E6256" t="inlineStr">
        <is>
          <t>BODEN</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6463-2023</t>
        </is>
      </c>
      <c r="B6257" s="1" t="n">
        <v>44965.94059027778</v>
      </c>
      <c r="C6257" s="1" t="n">
        <v>46046</v>
      </c>
      <c r="D6257" t="inlineStr">
        <is>
          <t>NORRBOTTENS LÄN</t>
        </is>
      </c>
      <c r="E6257" t="inlineStr">
        <is>
          <t>KALIX</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59697-2024</t>
        </is>
      </c>
      <c r="B6258" s="1" t="n">
        <v>45639</v>
      </c>
      <c r="C6258" s="1" t="n">
        <v>46046</v>
      </c>
      <c r="D6258" t="inlineStr">
        <is>
          <t>NORRBOTTENS LÄN</t>
        </is>
      </c>
      <c r="E6258" t="inlineStr">
        <is>
          <t>GÄLLIVARE</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30814-2023</t>
        </is>
      </c>
      <c r="B6259" s="1" t="n">
        <v>45112</v>
      </c>
      <c r="C6259" s="1" t="n">
        <v>46046</v>
      </c>
      <c r="D6259" t="inlineStr">
        <is>
          <t>NORRBOTTENS LÄN</t>
        </is>
      </c>
      <c r="E6259" t="inlineStr">
        <is>
          <t>KALIX</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38860-2023</t>
        </is>
      </c>
      <c r="B6260" s="1" t="n">
        <v>45163.50519675926</v>
      </c>
      <c r="C6260" s="1" t="n">
        <v>46046</v>
      </c>
      <c r="D6260" t="inlineStr">
        <is>
          <t>NORRBOTTENS LÄN</t>
        </is>
      </c>
      <c r="E6260" t="inlineStr">
        <is>
          <t>PAJALA</t>
        </is>
      </c>
      <c r="F6260" t="inlineStr">
        <is>
          <t>Sveaskog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57849-2021</t>
        </is>
      </c>
      <c r="B6261" s="1" t="n">
        <v>44484</v>
      </c>
      <c r="C6261" s="1" t="n">
        <v>46046</v>
      </c>
      <c r="D6261" t="inlineStr">
        <is>
          <t>NORRBOTTENS LÄN</t>
        </is>
      </c>
      <c r="E6261" t="inlineStr">
        <is>
          <t>ÖVERTORNEÅ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32924-2021</t>
        </is>
      </c>
      <c r="B6262" s="1" t="n">
        <v>44375.93804398148</v>
      </c>
      <c r="C6262" s="1" t="n">
        <v>46046</v>
      </c>
      <c r="D6262" t="inlineStr">
        <is>
          <t>NORRBOTTENS LÄN</t>
        </is>
      </c>
      <c r="E6262" t="inlineStr">
        <is>
          <t>PITEÅ</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33539-2021</t>
        </is>
      </c>
      <c r="B6263" s="1" t="n">
        <v>44377.92153935185</v>
      </c>
      <c r="C6263" s="1" t="n">
        <v>46046</v>
      </c>
      <c r="D6263" t="inlineStr">
        <is>
          <t>NORRBOTTENS LÄN</t>
        </is>
      </c>
      <c r="E6263" t="inlineStr">
        <is>
          <t>PITEÅ</t>
        </is>
      </c>
      <c r="G6263" t="n">
        <v>15.5</v>
      </c>
      <c r="H6263" t="n">
        <v>0</v>
      </c>
      <c r="I6263" t="n">
        <v>0</v>
      </c>
      <c r="J6263" t="n">
        <v>0</v>
      </c>
      <c r="K6263" t="n">
        <v>0</v>
      </c>
      <c r="L6263" t="n">
        <v>0</v>
      </c>
      <c r="M6263" t="n">
        <v>0</v>
      </c>
      <c r="N6263" t="n">
        <v>0</v>
      </c>
      <c r="O6263" t="n">
        <v>0</v>
      </c>
      <c r="P6263" t="n">
        <v>0</v>
      </c>
      <c r="Q6263" t="n">
        <v>0</v>
      </c>
      <c r="R6263" s="2" t="inlineStr"/>
    </row>
    <row r="6264" ht="15" customHeight="1">
      <c r="A6264" t="inlineStr">
        <is>
          <t>A 38660-2023</t>
        </is>
      </c>
      <c r="B6264" s="1" t="n">
        <v>45162.85289351852</v>
      </c>
      <c r="C6264" s="1" t="n">
        <v>46046</v>
      </c>
      <c r="D6264" t="inlineStr">
        <is>
          <t>NORRBOTTENS LÄN</t>
        </is>
      </c>
      <c r="E6264" t="inlineStr">
        <is>
          <t>PAJALA</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56782-2024</t>
        </is>
      </c>
      <c r="B6265" s="1" t="n">
        <v>45625</v>
      </c>
      <c r="C6265" s="1" t="n">
        <v>46046</v>
      </c>
      <c r="D6265" t="inlineStr">
        <is>
          <t>NORRBOTTENS LÄN</t>
        </is>
      </c>
      <c r="E6265" t="inlineStr">
        <is>
          <t>ARJEPLOG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11783-2025</t>
        </is>
      </c>
      <c r="B6266" s="1" t="n">
        <v>45727.71951388889</v>
      </c>
      <c r="C6266" s="1" t="n">
        <v>46046</v>
      </c>
      <c r="D6266" t="inlineStr">
        <is>
          <t>NORRBOTTENS LÄN</t>
        </is>
      </c>
      <c r="E6266" t="inlineStr">
        <is>
          <t>GÄLLIVARE</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33207-2024</t>
        </is>
      </c>
      <c r="B6267" s="1" t="n">
        <v>45518</v>
      </c>
      <c r="C6267" s="1" t="n">
        <v>46046</v>
      </c>
      <c r="D6267" t="inlineStr">
        <is>
          <t>NORRBOTTENS LÄN</t>
        </is>
      </c>
      <c r="E6267" t="inlineStr">
        <is>
          <t>PITEÅ</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39399-2022</t>
        </is>
      </c>
      <c r="B6268" s="1" t="n">
        <v>44817.94883101852</v>
      </c>
      <c r="C6268" s="1" t="n">
        <v>46046</v>
      </c>
      <c r="D6268" t="inlineStr">
        <is>
          <t>NORRBOTTENS LÄN</t>
        </is>
      </c>
      <c r="E6268" t="inlineStr">
        <is>
          <t>PITEÅ</t>
        </is>
      </c>
      <c r="F6268" t="inlineStr">
        <is>
          <t>SCA</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48484-2024</t>
        </is>
      </c>
      <c r="B6269" s="1" t="n">
        <v>45592.36651620371</v>
      </c>
      <c r="C6269" s="1" t="n">
        <v>46046</v>
      </c>
      <c r="D6269" t="inlineStr">
        <is>
          <t>NORRBOTTENS LÄN</t>
        </is>
      </c>
      <c r="E6269" t="inlineStr">
        <is>
          <t>PAJALA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855-2024</t>
        </is>
      </c>
      <c r="B6270" s="1" t="n">
        <v>45300.93476851852</v>
      </c>
      <c r="C6270" s="1" t="n">
        <v>46046</v>
      </c>
      <c r="D6270" t="inlineStr">
        <is>
          <t>NORRBOTTENS LÄN</t>
        </is>
      </c>
      <c r="E6270" t="inlineStr">
        <is>
          <t>ÖVERTORNEÅ</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34617-2023</t>
        </is>
      </c>
      <c r="B6271" s="1" t="n">
        <v>45138</v>
      </c>
      <c r="C6271" s="1" t="n">
        <v>46046</v>
      </c>
      <c r="D6271" t="inlineStr">
        <is>
          <t>NORRBOTTENS LÄN</t>
        </is>
      </c>
      <c r="E6271" t="inlineStr">
        <is>
          <t>PITEÅ</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21597-2024</t>
        </is>
      </c>
      <c r="B6272" s="1" t="n">
        <v>45441.9291087963</v>
      </c>
      <c r="C6272" s="1" t="n">
        <v>46046</v>
      </c>
      <c r="D6272" t="inlineStr">
        <is>
          <t>NORRBOTTENS LÄN</t>
        </is>
      </c>
      <c r="E6272" t="inlineStr">
        <is>
          <t>LULEÅ</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47166-2023</t>
        </is>
      </c>
      <c r="B6273" s="1" t="n">
        <v>45201</v>
      </c>
      <c r="C6273" s="1" t="n">
        <v>46046</v>
      </c>
      <c r="D6273" t="inlineStr">
        <is>
          <t>NORRBOTTENS LÄN</t>
        </is>
      </c>
      <c r="E6273" t="inlineStr">
        <is>
          <t>GÄLLIVARE</t>
        </is>
      </c>
      <c r="F6273" t="inlineStr">
        <is>
          <t>SCA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59656-2024</t>
        </is>
      </c>
      <c r="B6274" s="1" t="n">
        <v>45639</v>
      </c>
      <c r="C6274" s="1" t="n">
        <v>46046</v>
      </c>
      <c r="D6274" t="inlineStr">
        <is>
          <t>NORRBOTTENS LÄN</t>
        </is>
      </c>
      <c r="E6274" t="inlineStr">
        <is>
          <t>LULEÅ</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46765-2023</t>
        </is>
      </c>
      <c r="B6275" s="1" t="n">
        <v>45198.62413194445</v>
      </c>
      <c r="C6275" s="1" t="n">
        <v>46046</v>
      </c>
      <c r="D6275" t="inlineStr">
        <is>
          <t>NORRBOTTENS LÄN</t>
        </is>
      </c>
      <c r="E6275" t="inlineStr">
        <is>
          <t>KALIX</t>
        </is>
      </c>
      <c r="F6275" t="inlineStr">
        <is>
          <t>Sveaskog</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23878-2022</t>
        </is>
      </c>
      <c r="B6276" s="1" t="n">
        <v>44722.56104166667</v>
      </c>
      <c r="C6276" s="1" t="n">
        <v>46046</v>
      </c>
      <c r="D6276" t="inlineStr">
        <is>
          <t>NORRBOTTENS LÄN</t>
        </is>
      </c>
      <c r="E6276" t="inlineStr">
        <is>
          <t>KALIX</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47914-2025</t>
        </is>
      </c>
      <c r="B6277" s="1" t="n">
        <v>45932.51431712963</v>
      </c>
      <c r="C6277" s="1" t="n">
        <v>46046</v>
      </c>
      <c r="D6277" t="inlineStr">
        <is>
          <t>NORRBOTTENS LÄN</t>
        </is>
      </c>
      <c r="E6277" t="inlineStr">
        <is>
          <t>ÖVERTORNEÅ</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47924-2025</t>
        </is>
      </c>
      <c r="B6278" s="1" t="n">
        <v>45932.53887731482</v>
      </c>
      <c r="C6278" s="1" t="n">
        <v>46046</v>
      </c>
      <c r="D6278" t="inlineStr">
        <is>
          <t>NORRBOTTENS LÄN</t>
        </is>
      </c>
      <c r="E6278" t="inlineStr">
        <is>
          <t>KALIX</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48050-2025</t>
        </is>
      </c>
      <c r="B6279" s="1" t="n">
        <v>45932.67795138889</v>
      </c>
      <c r="C6279" s="1" t="n">
        <v>46046</v>
      </c>
      <c r="D6279" t="inlineStr">
        <is>
          <t>NORRBOTTENS LÄN</t>
        </is>
      </c>
      <c r="E6279" t="inlineStr">
        <is>
          <t>BODEN</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20445-2025</t>
        </is>
      </c>
      <c r="B6280" s="1" t="n">
        <v>45775</v>
      </c>
      <c r="C6280" s="1" t="n">
        <v>46046</v>
      </c>
      <c r="D6280" t="inlineStr">
        <is>
          <t>NORRBOTTENS LÄN</t>
        </is>
      </c>
      <c r="E6280" t="inlineStr">
        <is>
          <t>PITEÅ</t>
        </is>
      </c>
      <c r="F6280" t="inlineStr">
        <is>
          <t>SCA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48701-2025</t>
        </is>
      </c>
      <c r="B6281" s="1" t="n">
        <v>45936</v>
      </c>
      <c r="C6281" s="1" t="n">
        <v>46046</v>
      </c>
      <c r="D6281" t="inlineStr">
        <is>
          <t>NORRBOTTENS LÄN</t>
        </is>
      </c>
      <c r="E6281" t="inlineStr">
        <is>
          <t>ÖVERTORNEÅ</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48726-2025</t>
        </is>
      </c>
      <c r="B6282" s="1" t="n">
        <v>45936.65599537037</v>
      </c>
      <c r="C6282" s="1" t="n">
        <v>46046</v>
      </c>
      <c r="D6282" t="inlineStr">
        <is>
          <t>NORRBOTTENS LÄN</t>
        </is>
      </c>
      <c r="E6282" t="inlineStr">
        <is>
          <t>LULEÅ</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48521-2025</t>
        </is>
      </c>
      <c r="B6283" s="1" t="n">
        <v>45936.39930555555</v>
      </c>
      <c r="C6283" s="1" t="n">
        <v>46046</v>
      </c>
      <c r="D6283" t="inlineStr">
        <is>
          <t>NORRBOTTENS LÄN</t>
        </is>
      </c>
      <c r="E6283" t="inlineStr">
        <is>
          <t>KALIX</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48533-2025</t>
        </is>
      </c>
      <c r="B6284" s="1" t="n">
        <v>45936.4080787037</v>
      </c>
      <c r="C6284" s="1" t="n">
        <v>46046</v>
      </c>
      <c r="D6284" t="inlineStr">
        <is>
          <t>NORRBOTTENS LÄN</t>
        </is>
      </c>
      <c r="E6284" t="inlineStr">
        <is>
          <t>PITEÅ</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48568-2025</t>
        </is>
      </c>
      <c r="B6285" s="1" t="n">
        <v>45936.44825231482</v>
      </c>
      <c r="C6285" s="1" t="n">
        <v>46046</v>
      </c>
      <c r="D6285" t="inlineStr">
        <is>
          <t>NORRBOTTENS LÄN</t>
        </is>
      </c>
      <c r="E6285" t="inlineStr">
        <is>
          <t>PITEÅ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48522-2025</t>
        </is>
      </c>
      <c r="B6286" s="1" t="n">
        <v>45936</v>
      </c>
      <c r="C6286" s="1" t="n">
        <v>46046</v>
      </c>
      <c r="D6286" t="inlineStr">
        <is>
          <t>NORRBOTTENS LÄN</t>
        </is>
      </c>
      <c r="E6286" t="inlineStr">
        <is>
          <t>ÄLVSBYN</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8516-2025</t>
        </is>
      </c>
      <c r="B6287" s="1" t="n">
        <v>45709</v>
      </c>
      <c r="C6287" s="1" t="n">
        <v>46046</v>
      </c>
      <c r="D6287" t="inlineStr">
        <is>
          <t>NORRBOTTENS LÄN</t>
        </is>
      </c>
      <c r="E6287" t="inlineStr">
        <is>
          <t>GÄLLIVARE</t>
        </is>
      </c>
      <c r="F6287" t="inlineStr">
        <is>
          <t>SCA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55755-2024</t>
        </is>
      </c>
      <c r="B6288" s="1" t="n">
        <v>45623</v>
      </c>
      <c r="C6288" s="1" t="n">
        <v>46046</v>
      </c>
      <c r="D6288" t="inlineStr">
        <is>
          <t>NORRBOTTENS LÄN</t>
        </is>
      </c>
      <c r="E6288" t="inlineStr">
        <is>
          <t>GÄLLIVARE</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53893-2024</t>
        </is>
      </c>
      <c r="B6289" s="1" t="n">
        <v>45615</v>
      </c>
      <c r="C6289" s="1" t="n">
        <v>46046</v>
      </c>
      <c r="D6289" t="inlineStr">
        <is>
          <t>NORRBOTTENS LÄN</t>
        </is>
      </c>
      <c r="E6289" t="inlineStr">
        <is>
          <t>GÄLLIVARE</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48662-2025</t>
        </is>
      </c>
      <c r="B6290" s="1" t="n">
        <v>45936.57127314815</v>
      </c>
      <c r="C6290" s="1" t="n">
        <v>46046</v>
      </c>
      <c r="D6290" t="inlineStr">
        <is>
          <t>NORRBOTTENS LÄN</t>
        </is>
      </c>
      <c r="E6290" t="inlineStr">
        <is>
          <t>PAJALA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48664-2025</t>
        </is>
      </c>
      <c r="B6291" s="1" t="n">
        <v>45936.57346064815</v>
      </c>
      <c r="C6291" s="1" t="n">
        <v>46046</v>
      </c>
      <c r="D6291" t="inlineStr">
        <is>
          <t>NORRBOTTENS LÄN</t>
        </is>
      </c>
      <c r="E6291" t="inlineStr">
        <is>
          <t>GÄLLIVARE</t>
        </is>
      </c>
      <c r="F6291" t="inlineStr">
        <is>
          <t>SCA</t>
        </is>
      </c>
      <c r="G6291" t="n">
        <v>16.5</v>
      </c>
      <c r="H6291" t="n">
        <v>0</v>
      </c>
      <c r="I6291" t="n">
        <v>0</v>
      </c>
      <c r="J6291" t="n">
        <v>0</v>
      </c>
      <c r="K6291" t="n">
        <v>0</v>
      </c>
      <c r="L6291" t="n">
        <v>0</v>
      </c>
      <c r="M6291" t="n">
        <v>0</v>
      </c>
      <c r="N6291" t="n">
        <v>0</v>
      </c>
      <c r="O6291" t="n">
        <v>0</v>
      </c>
      <c r="P6291" t="n">
        <v>0</v>
      </c>
      <c r="Q6291" t="n">
        <v>0</v>
      </c>
      <c r="R6291" s="2" t="inlineStr"/>
    </row>
    <row r="6292" ht="15" customHeight="1">
      <c r="A6292" t="inlineStr">
        <is>
          <t>A 48714-2025</t>
        </is>
      </c>
      <c r="B6292" s="1" t="n">
        <v>45936.63619212963</v>
      </c>
      <c r="C6292" s="1" t="n">
        <v>46046</v>
      </c>
      <c r="D6292" t="inlineStr">
        <is>
          <t>NORRBOTTENS LÄN</t>
        </is>
      </c>
      <c r="E6292" t="inlineStr">
        <is>
          <t>LULEÅ</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49007-2025</t>
        </is>
      </c>
      <c r="B6293" s="1" t="n">
        <v>45934</v>
      </c>
      <c r="C6293" s="1" t="n">
        <v>46046</v>
      </c>
      <c r="D6293" t="inlineStr">
        <is>
          <t>NORRBOTTENS LÄN</t>
        </is>
      </c>
      <c r="E6293" t="inlineStr">
        <is>
          <t>PAJALA</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48667-2025</t>
        </is>
      </c>
      <c r="B6294" s="1" t="n">
        <v>45936.57395833333</v>
      </c>
      <c r="C6294" s="1" t="n">
        <v>46046</v>
      </c>
      <c r="D6294" t="inlineStr">
        <is>
          <t>NORRBOTTENS LÄN</t>
        </is>
      </c>
      <c r="E6294" t="inlineStr">
        <is>
          <t>ÖVERKALIX</t>
        </is>
      </c>
      <c r="F6294" t="inlineStr">
        <is>
          <t>SCA</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48602-2025</t>
        </is>
      </c>
      <c r="B6295" s="1" t="n">
        <v>45936.46914351852</v>
      </c>
      <c r="C6295" s="1" t="n">
        <v>46046</v>
      </c>
      <c r="D6295" t="inlineStr">
        <is>
          <t>NORRBOTTENS LÄN</t>
        </is>
      </c>
      <c r="E6295" t="inlineStr">
        <is>
          <t>KALIX</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48642-2025</t>
        </is>
      </c>
      <c r="B6296" s="1" t="n">
        <v>45936.53765046296</v>
      </c>
      <c r="C6296" s="1" t="n">
        <v>46046</v>
      </c>
      <c r="D6296" t="inlineStr">
        <is>
          <t>NORRBOTTENS LÄN</t>
        </is>
      </c>
      <c r="E6296" t="inlineStr">
        <is>
          <t>KALIX</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48570-2025</t>
        </is>
      </c>
      <c r="B6297" s="1" t="n">
        <v>45936.44833333333</v>
      </c>
      <c r="C6297" s="1" t="n">
        <v>46046</v>
      </c>
      <c r="D6297" t="inlineStr">
        <is>
          <t>NORRBOTTENS LÄN</t>
        </is>
      </c>
      <c r="E6297" t="inlineStr">
        <is>
          <t>PITEÅ</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48627-2025</t>
        </is>
      </c>
      <c r="B6298" s="1" t="n">
        <v>45936.51128472222</v>
      </c>
      <c r="C6298" s="1" t="n">
        <v>46046</v>
      </c>
      <c r="D6298" t="inlineStr">
        <is>
          <t>NORRBOTTENS LÄN</t>
        </is>
      </c>
      <c r="E6298" t="inlineStr">
        <is>
          <t>GÄLLIVARE</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48648-2025</t>
        </is>
      </c>
      <c r="B6299" s="1" t="n">
        <v>45936.54777777778</v>
      </c>
      <c r="C6299" s="1" t="n">
        <v>46046</v>
      </c>
      <c r="D6299" t="inlineStr">
        <is>
          <t>NORRBOTTENS LÄN</t>
        </is>
      </c>
      <c r="E6299" t="inlineStr">
        <is>
          <t>PAJALA</t>
        </is>
      </c>
      <c r="G6299" t="n">
        <v>19.6</v>
      </c>
      <c r="H6299" t="n">
        <v>0</v>
      </c>
      <c r="I6299" t="n">
        <v>0</v>
      </c>
      <c r="J6299" t="n">
        <v>0</v>
      </c>
      <c r="K6299" t="n">
        <v>0</v>
      </c>
      <c r="L6299" t="n">
        <v>0</v>
      </c>
      <c r="M6299" t="n">
        <v>0</v>
      </c>
      <c r="N6299" t="n">
        <v>0</v>
      </c>
      <c r="O6299" t="n">
        <v>0</v>
      </c>
      <c r="P6299" t="n">
        <v>0</v>
      </c>
      <c r="Q6299" t="n">
        <v>0</v>
      </c>
      <c r="R6299" s="2" t="inlineStr"/>
    </row>
    <row r="6300" ht="15" customHeight="1">
      <c r="A6300" t="inlineStr">
        <is>
          <t>A 30120-2025</t>
        </is>
      </c>
      <c r="B6300" s="1" t="n">
        <v>45826</v>
      </c>
      <c r="C6300" s="1" t="n">
        <v>46046</v>
      </c>
      <c r="D6300" t="inlineStr">
        <is>
          <t>NORRBOTTENS LÄN</t>
        </is>
      </c>
      <c r="E6300" t="inlineStr">
        <is>
          <t>LULEÅ</t>
        </is>
      </c>
      <c r="G6300" t="n">
        <v>1.1</v>
      </c>
      <c r="H6300" t="n">
        <v>0</v>
      </c>
      <c r="I6300" t="n">
        <v>0</v>
      </c>
      <c r="J6300" t="n">
        <v>0</v>
      </c>
      <c r="K6300" t="n">
        <v>0</v>
      </c>
      <c r="L6300" t="n">
        <v>0</v>
      </c>
      <c r="M6300" t="n">
        <v>0</v>
      </c>
      <c r="N6300" t="n">
        <v>0</v>
      </c>
      <c r="O6300" t="n">
        <v>0</v>
      </c>
      <c r="P6300" t="n">
        <v>0</v>
      </c>
      <c r="Q6300" t="n">
        <v>0</v>
      </c>
      <c r="R6300" s="2" t="inlineStr"/>
      <c r="U6300">
        <f>HYPERLINK("https://klasma.github.io/Logging_2580/knärot/A 30120-2025 karta knärot.png", "A 30120-2025")</f>
        <v/>
      </c>
      <c r="V6300">
        <f>HYPERLINK("https://klasma.github.io/Logging_2580/klagomål/A 30120-2025 FSC-klagomål.docx", "A 30120-2025")</f>
        <v/>
      </c>
      <c r="W6300">
        <f>HYPERLINK("https://klasma.github.io/Logging_2580/klagomålsmail/A 30120-2025 FSC-klagomål mail.docx", "A 30120-2025")</f>
        <v/>
      </c>
      <c r="X6300">
        <f>HYPERLINK("https://klasma.github.io/Logging_2580/tillsyn/A 30120-2025 tillsynsbegäran.docx", "A 30120-2025")</f>
        <v/>
      </c>
      <c r="Y6300">
        <f>HYPERLINK("https://klasma.github.io/Logging_2580/tillsynsmail/A 30120-2025 tillsynsbegäran mail.docx", "A 30120-2025")</f>
        <v/>
      </c>
    </row>
    <row r="6301" ht="15" customHeight="1">
      <c r="A6301" t="inlineStr">
        <is>
          <t>A 48430-2025</t>
        </is>
      </c>
      <c r="B6301" s="1" t="n">
        <v>45934.87321759259</v>
      </c>
      <c r="C6301" s="1" t="n">
        <v>46046</v>
      </c>
      <c r="D6301" t="inlineStr">
        <is>
          <t>NORRBOTTENS LÄN</t>
        </is>
      </c>
      <c r="E6301" t="inlineStr">
        <is>
          <t>PITEÅ</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48431-2025</t>
        </is>
      </c>
      <c r="B6302" s="1" t="n">
        <v>45934.88195601852</v>
      </c>
      <c r="C6302" s="1" t="n">
        <v>46046</v>
      </c>
      <c r="D6302" t="inlineStr">
        <is>
          <t>NORRBOTTENS LÄN</t>
        </is>
      </c>
      <c r="E6302" t="inlineStr">
        <is>
          <t>PITEÅ</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48436-2025</t>
        </is>
      </c>
      <c r="B6303" s="1" t="n">
        <v>45935.34542824074</v>
      </c>
      <c r="C6303" s="1" t="n">
        <v>46046</v>
      </c>
      <c r="D6303" t="inlineStr">
        <is>
          <t>NORRBOTTENS LÄN</t>
        </is>
      </c>
      <c r="E6303" t="inlineStr">
        <is>
          <t>PITEÅ</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48446-2025</t>
        </is>
      </c>
      <c r="B6304" s="1" t="n">
        <v>45935.59422453704</v>
      </c>
      <c r="C6304" s="1" t="n">
        <v>46046</v>
      </c>
      <c r="D6304" t="inlineStr">
        <is>
          <t>NORRBOTTENS LÄN</t>
        </is>
      </c>
      <c r="E6304" t="inlineStr">
        <is>
          <t>PITEÅ</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48457-2025</t>
        </is>
      </c>
      <c r="B6305" s="1" t="n">
        <v>45935.85989583333</v>
      </c>
      <c r="C6305" s="1" t="n">
        <v>46046</v>
      </c>
      <c r="D6305" t="inlineStr">
        <is>
          <t>NORRBOTTENS LÄN</t>
        </is>
      </c>
      <c r="E6305" t="inlineStr">
        <is>
          <t>BODEN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48403-2025</t>
        </is>
      </c>
      <c r="B6306" s="1" t="n">
        <v>45934.34480324074</v>
      </c>
      <c r="C6306" s="1" t="n">
        <v>46046</v>
      </c>
      <c r="D6306" t="inlineStr">
        <is>
          <t>NORRBOTTENS LÄN</t>
        </is>
      </c>
      <c r="E6306" t="inlineStr">
        <is>
          <t>PITEÅ</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48435-2025</t>
        </is>
      </c>
      <c r="B6307" s="1" t="n">
        <v>45935.34520833333</v>
      </c>
      <c r="C6307" s="1" t="n">
        <v>46046</v>
      </c>
      <c r="D6307" t="inlineStr">
        <is>
          <t>NORRBOTTENS LÄN</t>
        </is>
      </c>
      <c r="E6307" t="inlineStr">
        <is>
          <t>PITEÅ</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48458-2025</t>
        </is>
      </c>
      <c r="B6308" s="1" t="n">
        <v>45935.86195601852</v>
      </c>
      <c r="C6308" s="1" t="n">
        <v>46046</v>
      </c>
      <c r="D6308" t="inlineStr">
        <is>
          <t>NORRBOTTENS LÄN</t>
        </is>
      </c>
      <c r="E6308" t="inlineStr">
        <is>
          <t>BODEN</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48547-2025</t>
        </is>
      </c>
      <c r="B6309" s="1" t="n">
        <v>45936.42197916667</v>
      </c>
      <c r="C6309" s="1" t="n">
        <v>46046</v>
      </c>
      <c r="D6309" t="inlineStr">
        <is>
          <t>NORRBOTTENS LÄN</t>
        </is>
      </c>
      <c r="E6309" t="inlineStr">
        <is>
          <t>LULEÅ</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48549-2025</t>
        </is>
      </c>
      <c r="B6310" s="1" t="n">
        <v>45936.42548611111</v>
      </c>
      <c r="C6310" s="1" t="n">
        <v>46046</v>
      </c>
      <c r="D6310" t="inlineStr">
        <is>
          <t>NORRBOTTENS LÄN</t>
        </is>
      </c>
      <c r="E6310" t="inlineStr">
        <is>
          <t>BODEN</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48551-2025</t>
        </is>
      </c>
      <c r="B6311" s="1" t="n">
        <v>45936.42710648148</v>
      </c>
      <c r="C6311" s="1" t="n">
        <v>46046</v>
      </c>
      <c r="D6311" t="inlineStr">
        <is>
          <t>NORRBOTTENS LÄN</t>
        </is>
      </c>
      <c r="E6311" t="inlineStr">
        <is>
          <t>BODEN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48556-2025</t>
        </is>
      </c>
      <c r="B6312" s="1" t="n">
        <v>45936.42798611111</v>
      </c>
      <c r="C6312" s="1" t="n">
        <v>46046</v>
      </c>
      <c r="D6312" t="inlineStr">
        <is>
          <t>NORRBOTTENS LÄN</t>
        </is>
      </c>
      <c r="E6312" t="inlineStr">
        <is>
          <t>PITEÅ</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48640-2025</t>
        </is>
      </c>
      <c r="B6313" s="1" t="n">
        <v>45936.53575231481</v>
      </c>
      <c r="C6313" s="1" t="n">
        <v>46046</v>
      </c>
      <c r="D6313" t="inlineStr">
        <is>
          <t>NORRBOTTENS LÄN</t>
        </is>
      </c>
      <c r="E6313" t="inlineStr">
        <is>
          <t>PAJALA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48384-2025</t>
        </is>
      </c>
      <c r="B6314" s="1" t="n">
        <v>45933.83770833333</v>
      </c>
      <c r="C6314" s="1" t="n">
        <v>46046</v>
      </c>
      <c r="D6314" t="inlineStr">
        <is>
          <t>NORRBOTTENS LÄN</t>
        </is>
      </c>
      <c r="E6314" t="inlineStr">
        <is>
          <t>KALIX</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48404-2025</t>
        </is>
      </c>
      <c r="B6315" s="1" t="n">
        <v>45934.34547453704</v>
      </c>
      <c r="C6315" s="1" t="n">
        <v>46046</v>
      </c>
      <c r="D6315" t="inlineStr">
        <is>
          <t>NORRBOTTENS LÄN</t>
        </is>
      </c>
      <c r="E6315" t="inlineStr">
        <is>
          <t>PITEÅ</t>
        </is>
      </c>
      <c r="F6315" t="inlineStr">
        <is>
          <t>SCA</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48437-2025</t>
        </is>
      </c>
      <c r="B6316" s="1" t="n">
        <v>45935.34575231482</v>
      </c>
      <c r="C6316" s="1" t="n">
        <v>46046</v>
      </c>
      <c r="D6316" t="inlineStr">
        <is>
          <t>NORRBOTTENS LÄN</t>
        </is>
      </c>
      <c r="E6316" t="inlineStr">
        <is>
          <t>PITEÅ</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48459-2025</t>
        </is>
      </c>
      <c r="B6317" s="1" t="n">
        <v>45935.86399305556</v>
      </c>
      <c r="C6317" s="1" t="n">
        <v>46046</v>
      </c>
      <c r="D6317" t="inlineStr">
        <is>
          <t>NORRBOTTENS LÄN</t>
        </is>
      </c>
      <c r="E6317" t="inlineStr">
        <is>
          <t>BODEN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48661-2025</t>
        </is>
      </c>
      <c r="B6318" s="1" t="n">
        <v>45936.56884259259</v>
      </c>
      <c r="C6318" s="1" t="n">
        <v>46046</v>
      </c>
      <c r="D6318" t="inlineStr">
        <is>
          <t>NORRBOTTENS LÄN</t>
        </is>
      </c>
      <c r="E6318" t="inlineStr">
        <is>
          <t>PAJALA</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48692-2025</t>
        </is>
      </c>
      <c r="B6319" s="1" t="n">
        <v>45936.61344907407</v>
      </c>
      <c r="C6319" s="1" t="n">
        <v>46046</v>
      </c>
      <c r="D6319" t="inlineStr">
        <is>
          <t>NORRBOTTENS LÄN</t>
        </is>
      </c>
      <c r="E6319" t="inlineStr">
        <is>
          <t>LULEÅ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48565-2025</t>
        </is>
      </c>
      <c r="B6320" s="1" t="n">
        <v>45936.44674768519</v>
      </c>
      <c r="C6320" s="1" t="n">
        <v>46046</v>
      </c>
      <c r="D6320" t="inlineStr">
        <is>
          <t>NORRBOTTENS LÄN</t>
        </is>
      </c>
      <c r="E6320" t="inlineStr">
        <is>
          <t>KALIX</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48581-2025</t>
        </is>
      </c>
      <c r="B6321" s="1" t="n">
        <v>45936.45769675926</v>
      </c>
      <c r="C6321" s="1" t="n">
        <v>46046</v>
      </c>
      <c r="D6321" t="inlineStr">
        <is>
          <t>NORRBOTTENS LÄN</t>
        </is>
      </c>
      <c r="E6321" t="inlineStr">
        <is>
          <t>KALIX</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48587-2025</t>
        </is>
      </c>
      <c r="B6322" s="1" t="n">
        <v>45936.45960648148</v>
      </c>
      <c r="C6322" s="1" t="n">
        <v>46046</v>
      </c>
      <c r="D6322" t="inlineStr">
        <is>
          <t>NORRBOTTENS LÄN</t>
        </is>
      </c>
      <c r="E6322" t="inlineStr">
        <is>
          <t>PAJALA</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48599-2025</t>
        </is>
      </c>
      <c r="B6323" s="1" t="n">
        <v>45936.46731481481</v>
      </c>
      <c r="C6323" s="1" t="n">
        <v>46046</v>
      </c>
      <c r="D6323" t="inlineStr">
        <is>
          <t>NORRBOTTENS LÄN</t>
        </is>
      </c>
      <c r="E6323" t="inlineStr">
        <is>
          <t>HAPARANDA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48519-2025</t>
        </is>
      </c>
      <c r="B6324" s="1" t="n">
        <v>45936.39701388889</v>
      </c>
      <c r="C6324" s="1" t="n">
        <v>46046</v>
      </c>
      <c r="D6324" t="inlineStr">
        <is>
          <t>NORRBOTTENS LÄN</t>
        </is>
      </c>
      <c r="E6324" t="inlineStr">
        <is>
          <t>KALIX</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48524-2025</t>
        </is>
      </c>
      <c r="B6325" s="1" t="n">
        <v>45936.40606481482</v>
      </c>
      <c r="C6325" s="1" t="n">
        <v>46046</v>
      </c>
      <c r="D6325" t="inlineStr">
        <is>
          <t>NORRBOTTENS LÄN</t>
        </is>
      </c>
      <c r="E6325" t="inlineStr">
        <is>
          <t>KALIX</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48554-2025</t>
        </is>
      </c>
      <c r="B6326" s="1" t="n">
        <v>45936.4278587963</v>
      </c>
      <c r="C6326" s="1" t="n">
        <v>46046</v>
      </c>
      <c r="D6326" t="inlineStr">
        <is>
          <t>NORRBOTTENS LÄN</t>
        </is>
      </c>
      <c r="E6326" t="inlineStr">
        <is>
          <t>PITEÅ</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48555-2025</t>
        </is>
      </c>
      <c r="B6327" s="1" t="n">
        <v>45936.42791666667</v>
      </c>
      <c r="C6327" s="1" t="n">
        <v>46046</v>
      </c>
      <c r="D6327" t="inlineStr">
        <is>
          <t>NORRBOTTENS LÄN</t>
        </is>
      </c>
      <c r="E6327" t="inlineStr">
        <is>
          <t>PITEÅ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48691-2025</t>
        </is>
      </c>
      <c r="B6328" s="1" t="n">
        <v>45936.61145833333</v>
      </c>
      <c r="C6328" s="1" t="n">
        <v>46046</v>
      </c>
      <c r="D6328" t="inlineStr">
        <is>
          <t>NORRBOTTENS LÄN</t>
        </is>
      </c>
      <c r="E6328" t="inlineStr">
        <is>
          <t>ÖVERTORNEÅ</t>
        </is>
      </c>
      <c r="F6328" t="inlineStr">
        <is>
          <t>Sveaskog</t>
        </is>
      </c>
      <c r="G6328" t="n">
        <v>7.8</v>
      </c>
      <c r="H6328" t="n">
        <v>0</v>
      </c>
      <c r="I6328" t="n">
        <v>0</v>
      </c>
      <c r="J6328" t="n">
        <v>0</v>
      </c>
      <c r="K6328" t="n">
        <v>0</v>
      </c>
      <c r="L6328" t="n">
        <v>0</v>
      </c>
      <c r="M6328" t="n">
        <v>0</v>
      </c>
      <c r="N6328" t="n">
        <v>0</v>
      </c>
      <c r="O6328" t="n">
        <v>0</v>
      </c>
      <c r="P6328" t="n">
        <v>0</v>
      </c>
      <c r="Q6328" t="n">
        <v>0</v>
      </c>
      <c r="R6328" s="2" t="inlineStr"/>
    </row>
    <row r="6329" ht="15" customHeight="1">
      <c r="A6329" t="inlineStr">
        <is>
          <t>A 48695-2025</t>
        </is>
      </c>
      <c r="B6329" s="1" t="n">
        <v>45936.61523148148</v>
      </c>
      <c r="C6329" s="1" t="n">
        <v>46046</v>
      </c>
      <c r="D6329" t="inlineStr">
        <is>
          <t>NORRBOTTENS LÄN</t>
        </is>
      </c>
      <c r="E6329" t="inlineStr">
        <is>
          <t>PITEÅ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48644-2025</t>
        </is>
      </c>
      <c r="B6330" s="1" t="n">
        <v>45936.54344907407</v>
      </c>
      <c r="C6330" s="1" t="n">
        <v>46046</v>
      </c>
      <c r="D6330" t="inlineStr">
        <is>
          <t>NORRBOTTENS LÄN</t>
        </is>
      </c>
      <c r="E6330" t="inlineStr">
        <is>
          <t>KALIX</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48610-2025</t>
        </is>
      </c>
      <c r="B6331" s="1" t="n">
        <v>45936</v>
      </c>
      <c r="C6331" s="1" t="n">
        <v>46046</v>
      </c>
      <c r="D6331" t="inlineStr">
        <is>
          <t>NORRBOTTENS LÄN</t>
        </is>
      </c>
      <c r="E6331" t="inlineStr">
        <is>
          <t>ÖVERTORNEÅ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48626-2025</t>
        </is>
      </c>
      <c r="B6332" s="1" t="n">
        <v>45936</v>
      </c>
      <c r="C6332" s="1" t="n">
        <v>46046</v>
      </c>
      <c r="D6332" t="inlineStr">
        <is>
          <t>NORRBOTTENS LÄN</t>
        </is>
      </c>
      <c r="E6332" t="inlineStr">
        <is>
          <t>GÄLLIVARE</t>
        </is>
      </c>
      <c r="F6332" t="inlineStr">
        <is>
          <t>SCA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48636-2025</t>
        </is>
      </c>
      <c r="B6333" s="1" t="n">
        <v>45936.52267361111</v>
      </c>
      <c r="C6333" s="1" t="n">
        <v>46046</v>
      </c>
      <c r="D6333" t="inlineStr">
        <is>
          <t>NORRBOTTENS LÄN</t>
        </is>
      </c>
      <c r="E6333" t="inlineStr">
        <is>
          <t>PAJALA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48532-2025</t>
        </is>
      </c>
      <c r="B6334" s="1" t="n">
        <v>45936.40799768519</v>
      </c>
      <c r="C6334" s="1" t="n">
        <v>46046</v>
      </c>
      <c r="D6334" t="inlineStr">
        <is>
          <t>NORRBOTTENS LÄN</t>
        </is>
      </c>
      <c r="E6334" t="inlineStr">
        <is>
          <t>PITEÅ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48563-2025</t>
        </is>
      </c>
      <c r="B6335" s="1" t="n">
        <v>45936</v>
      </c>
      <c r="C6335" s="1" t="n">
        <v>46046</v>
      </c>
      <c r="D6335" t="inlineStr">
        <is>
          <t>NORRBOTTENS LÄN</t>
        </is>
      </c>
      <c r="E6335" t="inlineStr">
        <is>
          <t>GÄLLIVARE</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48569-2025</t>
        </is>
      </c>
      <c r="B6336" s="1" t="n">
        <v>45936.44826388889</v>
      </c>
      <c r="C6336" s="1" t="n">
        <v>46046</v>
      </c>
      <c r="D6336" t="inlineStr">
        <is>
          <t>NORRBOTTENS LÄN</t>
        </is>
      </c>
      <c r="E6336" t="inlineStr">
        <is>
          <t>PITEÅ</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43886-2025</t>
        </is>
      </c>
      <c r="B6337" s="1" t="n">
        <v>45912</v>
      </c>
      <c r="C6337" s="1" t="n">
        <v>46046</v>
      </c>
      <c r="D6337" t="inlineStr">
        <is>
          <t>NORRBOTTENS LÄN</t>
        </is>
      </c>
      <c r="E6337" t="inlineStr">
        <is>
          <t>JOKKMOKK</t>
        </is>
      </c>
      <c r="G6337" t="n">
        <v>38.1</v>
      </c>
      <c r="H6337" t="n">
        <v>0</v>
      </c>
      <c r="I6337" t="n">
        <v>0</v>
      </c>
      <c r="J6337" t="n">
        <v>0</v>
      </c>
      <c r="K6337" t="n">
        <v>0</v>
      </c>
      <c r="L6337" t="n">
        <v>0</v>
      </c>
      <c r="M6337" t="n">
        <v>0</v>
      </c>
      <c r="N6337" t="n">
        <v>0</v>
      </c>
      <c r="O6337" t="n">
        <v>0</v>
      </c>
      <c r="P6337" t="n">
        <v>0</v>
      </c>
      <c r="Q6337" t="n">
        <v>0</v>
      </c>
      <c r="R6337" s="2" t="inlineStr"/>
    </row>
    <row r="6338" ht="15" customHeight="1">
      <c r="A6338" t="inlineStr">
        <is>
          <t>A 48992-2025</t>
        </is>
      </c>
      <c r="B6338" s="1" t="n">
        <v>45937.58351851852</v>
      </c>
      <c r="C6338" s="1" t="n">
        <v>46046</v>
      </c>
      <c r="D6338" t="inlineStr">
        <is>
          <t>NORRBOTTENS LÄN</t>
        </is>
      </c>
      <c r="E6338" t="inlineStr">
        <is>
          <t>ARJEPLOG</t>
        </is>
      </c>
      <c r="F6338" t="inlineStr">
        <is>
          <t>Sveaskog</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49357-2025</t>
        </is>
      </c>
      <c r="B6339" s="1" t="n">
        <v>45938.61608796296</v>
      </c>
      <c r="C6339" s="1" t="n">
        <v>46046</v>
      </c>
      <c r="D6339" t="inlineStr">
        <is>
          <t>NORRBOTTENS LÄN</t>
        </is>
      </c>
      <c r="E6339" t="inlineStr">
        <is>
          <t>BODEN</t>
        </is>
      </c>
      <c r="F6339" t="inlineStr">
        <is>
          <t>SCA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49359-2025</t>
        </is>
      </c>
      <c r="B6340" s="1" t="n">
        <v>45938.61662037037</v>
      </c>
      <c r="C6340" s="1" t="n">
        <v>46046</v>
      </c>
      <c r="D6340" t="inlineStr">
        <is>
          <t>NORRBOTTENS LÄN</t>
        </is>
      </c>
      <c r="E6340" t="inlineStr">
        <is>
          <t>GÄLLIVARE</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49368-2025</t>
        </is>
      </c>
      <c r="B6341" s="1" t="n">
        <v>45938.62539351852</v>
      </c>
      <c r="C6341" s="1" t="n">
        <v>46046</v>
      </c>
      <c r="D6341" t="inlineStr">
        <is>
          <t>NORRBOTTENS LÄN</t>
        </is>
      </c>
      <c r="E6341" t="inlineStr">
        <is>
          <t>ÖVERTORNEÅ</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49435-2025</t>
        </is>
      </c>
      <c r="B6342" s="1" t="n">
        <v>45938.87472222222</v>
      </c>
      <c r="C6342" s="1" t="n">
        <v>46046</v>
      </c>
      <c r="D6342" t="inlineStr">
        <is>
          <t>NORRBOTTENS LÄN</t>
        </is>
      </c>
      <c r="E6342" t="inlineStr">
        <is>
          <t>PAJALA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49440-2025</t>
        </is>
      </c>
      <c r="B6343" s="1" t="n">
        <v>45938.88337962963</v>
      </c>
      <c r="C6343" s="1" t="n">
        <v>46046</v>
      </c>
      <c r="D6343" t="inlineStr">
        <is>
          <t>NORRBOTTENS LÄN</t>
        </is>
      </c>
      <c r="E6343" t="inlineStr">
        <is>
          <t>PAJALA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49448-2025</t>
        </is>
      </c>
      <c r="B6344" s="1" t="n">
        <v>45938.95688657407</v>
      </c>
      <c r="C6344" s="1" t="n">
        <v>46046</v>
      </c>
      <c r="D6344" t="inlineStr">
        <is>
          <t>NORRBOTTENS LÄN</t>
        </is>
      </c>
      <c r="E6344" t="inlineStr">
        <is>
          <t>LULEÅ</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49432-2025</t>
        </is>
      </c>
      <c r="B6345" s="1" t="n">
        <v>45938.85912037037</v>
      </c>
      <c r="C6345" s="1" t="n">
        <v>46046</v>
      </c>
      <c r="D6345" t="inlineStr">
        <is>
          <t>NORRBOTTENS LÄN</t>
        </is>
      </c>
      <c r="E6345" t="inlineStr">
        <is>
          <t>PAJALA</t>
        </is>
      </c>
      <c r="G6345" t="n">
        <v>11.1</v>
      </c>
      <c r="H6345" t="n">
        <v>0</v>
      </c>
      <c r="I6345" t="n">
        <v>0</v>
      </c>
      <c r="J6345" t="n">
        <v>0</v>
      </c>
      <c r="K6345" t="n">
        <v>0</v>
      </c>
      <c r="L6345" t="n">
        <v>0</v>
      </c>
      <c r="M6345" t="n">
        <v>0</v>
      </c>
      <c r="N6345" t="n">
        <v>0</v>
      </c>
      <c r="O6345" t="n">
        <v>0</v>
      </c>
      <c r="P6345" t="n">
        <v>0</v>
      </c>
      <c r="Q6345" t="n">
        <v>0</v>
      </c>
      <c r="R6345" s="2" t="inlineStr"/>
    </row>
    <row r="6346" ht="15" customHeight="1">
      <c r="A6346" t="inlineStr">
        <is>
          <t>A 49433-2025</t>
        </is>
      </c>
      <c r="B6346" s="1" t="n">
        <v>45938.86293981481</v>
      </c>
      <c r="C6346" s="1" t="n">
        <v>46046</v>
      </c>
      <c r="D6346" t="inlineStr">
        <is>
          <t>NORRBOTTENS LÄN</t>
        </is>
      </c>
      <c r="E6346" t="inlineStr">
        <is>
          <t>PAJALA</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49434-2025</t>
        </is>
      </c>
      <c r="B6347" s="1" t="n">
        <v>45938.87078703703</v>
      </c>
      <c r="C6347" s="1" t="n">
        <v>46046</v>
      </c>
      <c r="D6347" t="inlineStr">
        <is>
          <t>NORRBOTTENS LÄN</t>
        </is>
      </c>
      <c r="E6347" t="inlineStr">
        <is>
          <t>PAJALA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49165-2025</t>
        </is>
      </c>
      <c r="B6348" s="1" t="n">
        <v>45938.36506944444</v>
      </c>
      <c r="C6348" s="1" t="n">
        <v>46046</v>
      </c>
      <c r="D6348" t="inlineStr">
        <is>
          <t>NORRBOTTENS LÄN</t>
        </is>
      </c>
      <c r="E6348" t="inlineStr">
        <is>
          <t>PITEÅ</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48805-2025</t>
        </is>
      </c>
      <c r="B6349" s="1" t="n">
        <v>45937.35234953704</v>
      </c>
      <c r="C6349" s="1" t="n">
        <v>46046</v>
      </c>
      <c r="D6349" t="inlineStr">
        <is>
          <t>NORRBOTTENS LÄN</t>
        </is>
      </c>
      <c r="E6349" t="inlineStr">
        <is>
          <t>BODEN</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48868-2025</t>
        </is>
      </c>
      <c r="B6350" s="1" t="n">
        <v>45937.44954861111</v>
      </c>
      <c r="C6350" s="1" t="n">
        <v>46046</v>
      </c>
      <c r="D6350" t="inlineStr">
        <is>
          <t>NORRBOTTENS LÄN</t>
        </is>
      </c>
      <c r="E6350" t="inlineStr">
        <is>
          <t>KALIX</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49340-2025</t>
        </is>
      </c>
      <c r="B6351" s="1" t="n">
        <v>45938.59431712963</v>
      </c>
      <c r="C6351" s="1" t="n">
        <v>46046</v>
      </c>
      <c r="D6351" t="inlineStr">
        <is>
          <t>NORRBOTTENS LÄN</t>
        </is>
      </c>
      <c r="E6351" t="inlineStr">
        <is>
          <t>PITEÅ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48846-2025</t>
        </is>
      </c>
      <c r="B6352" s="1" t="n">
        <v>45937</v>
      </c>
      <c r="C6352" s="1" t="n">
        <v>46046</v>
      </c>
      <c r="D6352" t="inlineStr">
        <is>
          <t>NORRBOTTENS LÄN</t>
        </is>
      </c>
      <c r="E6352" t="inlineStr">
        <is>
          <t>ÄLVSBYN</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48850-2025</t>
        </is>
      </c>
      <c r="B6353" s="1" t="n">
        <v>45937.42935185185</v>
      </c>
      <c r="C6353" s="1" t="n">
        <v>46046</v>
      </c>
      <c r="D6353" t="inlineStr">
        <is>
          <t>NORRBOTTENS LÄN</t>
        </is>
      </c>
      <c r="E6353" t="inlineStr">
        <is>
          <t>GÄLLIVARE</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48767-2025</t>
        </is>
      </c>
      <c r="B6354" s="1" t="n">
        <v>45936.86752314815</v>
      </c>
      <c r="C6354" s="1" t="n">
        <v>46046</v>
      </c>
      <c r="D6354" t="inlineStr">
        <is>
          <t>NORRBOTTENS LÄN</t>
        </is>
      </c>
      <c r="E6354" t="inlineStr">
        <is>
          <t>BODEN</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48856-2025</t>
        </is>
      </c>
      <c r="B6355" s="1" t="n">
        <v>45937.43583333334</v>
      </c>
      <c r="C6355" s="1" t="n">
        <v>46046</v>
      </c>
      <c r="D6355" t="inlineStr">
        <is>
          <t>NORRBOTTENS LÄN</t>
        </is>
      </c>
      <c r="E6355" t="inlineStr">
        <is>
          <t>ARVIDSJAUR</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49153-2025</t>
        </is>
      </c>
      <c r="B6356" s="1" t="n">
        <v>45938.34552083333</v>
      </c>
      <c r="C6356" s="1" t="n">
        <v>46046</v>
      </c>
      <c r="D6356" t="inlineStr">
        <is>
          <t>NORRBOTTENS LÄN</t>
        </is>
      </c>
      <c r="E6356" t="inlineStr">
        <is>
          <t>PITEÅ</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49608-2025</t>
        </is>
      </c>
      <c r="B6357" s="1" t="n">
        <v>45939</v>
      </c>
      <c r="C6357" s="1" t="n">
        <v>46046</v>
      </c>
      <c r="D6357" t="inlineStr">
        <is>
          <t>NORRBOTTENS LÄN</t>
        </is>
      </c>
      <c r="E6357" t="inlineStr">
        <is>
          <t>ÖVERKALIX</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49612-2025</t>
        </is>
      </c>
      <c r="B6358" s="1" t="n">
        <v>45939</v>
      </c>
      <c r="C6358" s="1" t="n">
        <v>46046</v>
      </c>
      <c r="D6358" t="inlineStr">
        <is>
          <t>NORRBOTTENS LÄN</t>
        </is>
      </c>
      <c r="E6358" t="inlineStr">
        <is>
          <t>ÖVERKALIX</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49151-2025</t>
        </is>
      </c>
      <c r="B6359" s="1" t="n">
        <v>45938.34246527778</v>
      </c>
      <c r="C6359" s="1" t="n">
        <v>46046</v>
      </c>
      <c r="D6359" t="inlineStr">
        <is>
          <t>NORRBOTTENS LÄN</t>
        </is>
      </c>
      <c r="E6359" t="inlineStr">
        <is>
          <t>ÄLVSBYN</t>
        </is>
      </c>
      <c r="G6359" t="n">
        <v>10.8</v>
      </c>
      <c r="H6359" t="n">
        <v>0</v>
      </c>
      <c r="I6359" t="n">
        <v>0</v>
      </c>
      <c r="J6359" t="n">
        <v>0</v>
      </c>
      <c r="K6359" t="n">
        <v>0</v>
      </c>
      <c r="L6359" t="n">
        <v>0</v>
      </c>
      <c r="M6359" t="n">
        <v>0</v>
      </c>
      <c r="N6359" t="n">
        <v>0</v>
      </c>
      <c r="O6359" t="n">
        <v>0</v>
      </c>
      <c r="P6359" t="n">
        <v>0</v>
      </c>
      <c r="Q6359" t="n">
        <v>0</v>
      </c>
      <c r="R6359" s="2" t="inlineStr"/>
    </row>
    <row r="6360" ht="15" customHeight="1">
      <c r="A6360" t="inlineStr">
        <is>
          <t>A 49152-2025</t>
        </is>
      </c>
      <c r="B6360" s="1" t="n">
        <v>45938.34530092592</v>
      </c>
      <c r="C6360" s="1" t="n">
        <v>46046</v>
      </c>
      <c r="D6360" t="inlineStr">
        <is>
          <t>NORRBOTTENS LÄN</t>
        </is>
      </c>
      <c r="E6360" t="inlineStr">
        <is>
          <t>PITEÅ</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57892-2023</t>
        </is>
      </c>
      <c r="B6361" s="1" t="n">
        <v>45244</v>
      </c>
      <c r="C6361" s="1" t="n">
        <v>46046</v>
      </c>
      <c r="D6361" t="inlineStr">
        <is>
          <t>NORRBOTTENS LÄN</t>
        </is>
      </c>
      <c r="E6361" t="inlineStr">
        <is>
          <t>PITEÅ</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49395-2025</t>
        </is>
      </c>
      <c r="B6362" s="1" t="n">
        <v>45938</v>
      </c>
      <c r="C6362" s="1" t="n">
        <v>46046</v>
      </c>
      <c r="D6362" t="inlineStr">
        <is>
          <t>NORRBOTTENS LÄN</t>
        </is>
      </c>
      <c r="E6362" t="inlineStr">
        <is>
          <t>ÄLVSBYN</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28272-2025</t>
        </is>
      </c>
      <c r="B6363" s="1" t="n">
        <v>45818</v>
      </c>
      <c r="C6363" s="1" t="n">
        <v>46046</v>
      </c>
      <c r="D6363" t="inlineStr">
        <is>
          <t>NORRBOTTENS LÄN</t>
        </is>
      </c>
      <c r="E6363" t="inlineStr">
        <is>
          <t>GÄLLIVARE</t>
        </is>
      </c>
      <c r="F6363" t="inlineStr">
        <is>
          <t>Sveaskog</t>
        </is>
      </c>
      <c r="G6363" t="n">
        <v>24.8</v>
      </c>
      <c r="H6363" t="n">
        <v>0</v>
      </c>
      <c r="I6363" t="n">
        <v>0</v>
      </c>
      <c r="J6363" t="n">
        <v>0</v>
      </c>
      <c r="K6363" t="n">
        <v>0</v>
      </c>
      <c r="L6363" t="n">
        <v>0</v>
      </c>
      <c r="M6363" t="n">
        <v>0</v>
      </c>
      <c r="N6363" t="n">
        <v>0</v>
      </c>
      <c r="O6363" t="n">
        <v>0</v>
      </c>
      <c r="P6363" t="n">
        <v>0</v>
      </c>
      <c r="Q6363" t="n">
        <v>0</v>
      </c>
      <c r="R6363" s="2" t="inlineStr"/>
    </row>
    <row r="6364" ht="15" customHeight="1">
      <c r="A6364" t="inlineStr">
        <is>
          <t>A 49398-2025</t>
        </is>
      </c>
      <c r="B6364" s="1" t="n">
        <v>45938</v>
      </c>
      <c r="C6364" s="1" t="n">
        <v>46046</v>
      </c>
      <c r="D6364" t="inlineStr">
        <is>
          <t>NORRBOTTENS LÄN</t>
        </is>
      </c>
      <c r="E6364" t="inlineStr">
        <is>
          <t>ÄLVSBYN</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49402-2025</t>
        </is>
      </c>
      <c r="B6365" s="1" t="n">
        <v>45938</v>
      </c>
      <c r="C6365" s="1" t="n">
        <v>46046</v>
      </c>
      <c r="D6365" t="inlineStr">
        <is>
          <t>NORRBOTTENS LÄN</t>
        </is>
      </c>
      <c r="E6365" t="inlineStr">
        <is>
          <t>ÄLVSBYN</t>
        </is>
      </c>
      <c r="F6365" t="inlineStr">
        <is>
          <t>Sveaskog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49405-2025</t>
        </is>
      </c>
      <c r="B6366" s="1" t="n">
        <v>45938.6769212963</v>
      </c>
      <c r="C6366" s="1" t="n">
        <v>46046</v>
      </c>
      <c r="D6366" t="inlineStr">
        <is>
          <t>NORRBOTTENS LÄN</t>
        </is>
      </c>
      <c r="E6366" t="inlineStr">
        <is>
          <t>BODEN</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48784-2025</t>
        </is>
      </c>
      <c r="B6367" s="1" t="n">
        <v>45937.31103009259</v>
      </c>
      <c r="C6367" s="1" t="n">
        <v>46046</v>
      </c>
      <c r="D6367" t="inlineStr">
        <is>
          <t>NORRBOTTENS LÄN</t>
        </is>
      </c>
      <c r="E6367" t="inlineStr">
        <is>
          <t>KALIX</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48802-2025</t>
        </is>
      </c>
      <c r="B6368" s="1" t="n">
        <v>45937.34538194445</v>
      </c>
      <c r="C6368" s="1" t="n">
        <v>46046</v>
      </c>
      <c r="D6368" t="inlineStr">
        <is>
          <t>NORRBOTTENS LÄN</t>
        </is>
      </c>
      <c r="E6368" t="inlineStr">
        <is>
          <t>PITEÅ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49659-2025</t>
        </is>
      </c>
      <c r="B6369" s="1" t="n">
        <v>45939.63200231481</v>
      </c>
      <c r="C6369" s="1" t="n">
        <v>46046</v>
      </c>
      <c r="D6369" t="inlineStr">
        <is>
          <t>NORRBOTTENS LÄN</t>
        </is>
      </c>
      <c r="E6369" t="inlineStr">
        <is>
          <t>BODEN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1934-2025</t>
        </is>
      </c>
      <c r="B6370" s="1" t="n">
        <v>45671.9077662037</v>
      </c>
      <c r="C6370" s="1" t="n">
        <v>46046</v>
      </c>
      <c r="D6370" t="inlineStr">
        <is>
          <t>NORRBOTTENS LÄN</t>
        </is>
      </c>
      <c r="E6370" t="inlineStr">
        <is>
          <t>PAJALA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48987-2025</t>
        </is>
      </c>
      <c r="B6371" s="1" t="n">
        <v>45937.5759837963</v>
      </c>
      <c r="C6371" s="1" t="n">
        <v>46046</v>
      </c>
      <c r="D6371" t="inlineStr">
        <is>
          <t>NORRBOTTENS LÄN</t>
        </is>
      </c>
      <c r="E6371" t="inlineStr">
        <is>
          <t>ARJEPLOG</t>
        </is>
      </c>
      <c r="F6371" t="inlineStr">
        <is>
          <t>Sveaskog</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49475-2025</t>
        </is>
      </c>
      <c r="B6372" s="1" t="n">
        <v>45939.34488425926</v>
      </c>
      <c r="C6372" s="1" t="n">
        <v>46046</v>
      </c>
      <c r="D6372" t="inlineStr">
        <is>
          <t>NORRBOTTENS LÄN</t>
        </is>
      </c>
      <c r="E6372" t="inlineStr">
        <is>
          <t>JOKKMOKK</t>
        </is>
      </c>
      <c r="F6372" t="inlineStr">
        <is>
          <t>SCA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49614-2025</t>
        </is>
      </c>
      <c r="B6373" s="1" t="n">
        <v>45939</v>
      </c>
      <c r="C6373" s="1" t="n">
        <v>46046</v>
      </c>
      <c r="D6373" t="inlineStr">
        <is>
          <t>NORRBOTTENS LÄN</t>
        </is>
      </c>
      <c r="E6373" t="inlineStr">
        <is>
          <t>ÖVERKALIX</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49665-2025</t>
        </is>
      </c>
      <c r="B6374" s="1" t="n">
        <v>45939.63638888889</v>
      </c>
      <c r="C6374" s="1" t="n">
        <v>46046</v>
      </c>
      <c r="D6374" t="inlineStr">
        <is>
          <t>NORRBOTTENS LÄN</t>
        </is>
      </c>
      <c r="E6374" t="inlineStr">
        <is>
          <t>GÄLLIVARE</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49228-2025</t>
        </is>
      </c>
      <c r="B6375" s="1" t="n">
        <v>45938.46935185185</v>
      </c>
      <c r="C6375" s="1" t="n">
        <v>46046</v>
      </c>
      <c r="D6375" t="inlineStr">
        <is>
          <t>NORRBOTTENS LÄN</t>
        </is>
      </c>
      <c r="E6375" t="inlineStr">
        <is>
          <t>BODEN</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49376-2025</t>
        </is>
      </c>
      <c r="B6376" s="1" t="n">
        <v>45938.63606481482</v>
      </c>
      <c r="C6376" s="1" t="n">
        <v>46046</v>
      </c>
      <c r="D6376" t="inlineStr">
        <is>
          <t>NORRBOTTENS LÄN</t>
        </is>
      </c>
      <c r="E6376" t="inlineStr">
        <is>
          <t>GÄLLIVARE</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49383-2025</t>
        </is>
      </c>
      <c r="B6377" s="1" t="n">
        <v>45938</v>
      </c>
      <c r="C6377" s="1" t="n">
        <v>46046</v>
      </c>
      <c r="D6377" t="inlineStr">
        <is>
          <t>NORRBOTTENS LÄN</t>
        </is>
      </c>
      <c r="E6377" t="inlineStr">
        <is>
          <t>PAJALA</t>
        </is>
      </c>
      <c r="F6377" t="inlineStr">
        <is>
          <t>Sveaskog</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49438-2025</t>
        </is>
      </c>
      <c r="B6378" s="1" t="n">
        <v>45938.88127314814</v>
      </c>
      <c r="C6378" s="1" t="n">
        <v>46046</v>
      </c>
      <c r="D6378" t="inlineStr">
        <is>
          <t>NORRBOTTENS LÄN</t>
        </is>
      </c>
      <c r="E6378" t="inlineStr">
        <is>
          <t>PAJALA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48858-2025</t>
        </is>
      </c>
      <c r="B6379" s="1" t="n">
        <v>45937.43831018519</v>
      </c>
      <c r="C6379" s="1" t="n">
        <v>46046</v>
      </c>
      <c r="D6379" t="inlineStr">
        <is>
          <t>NORRBOTTENS LÄN</t>
        </is>
      </c>
      <c r="E6379" t="inlineStr">
        <is>
          <t>ARVIDSJAUR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49662-2025</t>
        </is>
      </c>
      <c r="B6380" s="1" t="n">
        <v>45939.63583333333</v>
      </c>
      <c r="C6380" s="1" t="n">
        <v>46046</v>
      </c>
      <c r="D6380" t="inlineStr">
        <is>
          <t>NORRBOTTENS LÄN</t>
        </is>
      </c>
      <c r="E6380" t="inlineStr">
        <is>
          <t>KALIX</t>
        </is>
      </c>
      <c r="F6380" t="inlineStr">
        <is>
          <t>SCA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48803-2025</t>
        </is>
      </c>
      <c r="B6381" s="1" t="n">
        <v>45937.34543981482</v>
      </c>
      <c r="C6381" s="1" t="n">
        <v>46046</v>
      </c>
      <c r="D6381" t="inlineStr">
        <is>
          <t>NORRBOTTENS LÄN</t>
        </is>
      </c>
      <c r="E6381" t="inlineStr">
        <is>
          <t>ÄLVSBYN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49215-2025</t>
        </is>
      </c>
      <c r="B6382" s="1" t="n">
        <v>45938.44502314815</v>
      </c>
      <c r="C6382" s="1" t="n">
        <v>46046</v>
      </c>
      <c r="D6382" t="inlineStr">
        <is>
          <t>NORRBOTTENS LÄN</t>
        </is>
      </c>
      <c r="E6382" t="inlineStr">
        <is>
          <t>BODEN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48946-2025</t>
        </is>
      </c>
      <c r="B6383" s="1" t="n">
        <v>45937.53831018518</v>
      </c>
      <c r="C6383" s="1" t="n">
        <v>46046</v>
      </c>
      <c r="D6383" t="inlineStr">
        <is>
          <t>NORRBOTTENS LÄN</t>
        </is>
      </c>
      <c r="E6383" t="inlineStr">
        <is>
          <t>JOKKMOKK</t>
        </is>
      </c>
      <c r="G6383" t="n">
        <v>57.3</v>
      </c>
      <c r="H6383" t="n">
        <v>0</v>
      </c>
      <c r="I6383" t="n">
        <v>0</v>
      </c>
      <c r="J6383" t="n">
        <v>0</v>
      </c>
      <c r="K6383" t="n">
        <v>0</v>
      </c>
      <c r="L6383" t="n">
        <v>0</v>
      </c>
      <c r="M6383" t="n">
        <v>0</v>
      </c>
      <c r="N6383" t="n">
        <v>0</v>
      </c>
      <c r="O6383" t="n">
        <v>0</v>
      </c>
      <c r="P6383" t="n">
        <v>0</v>
      </c>
      <c r="Q6383" t="n">
        <v>0</v>
      </c>
      <c r="R6383" s="2" t="inlineStr"/>
    </row>
    <row r="6384" ht="15" customHeight="1">
      <c r="A6384" t="inlineStr">
        <is>
          <t>A 49323-2025</t>
        </is>
      </c>
      <c r="B6384" s="1" t="n">
        <v>45938.57365740741</v>
      </c>
      <c r="C6384" s="1" t="n">
        <v>46046</v>
      </c>
      <c r="D6384" t="inlineStr">
        <is>
          <t>NORRBOTTENS LÄN</t>
        </is>
      </c>
      <c r="E6384" t="inlineStr">
        <is>
          <t>ÄLVSBYN</t>
        </is>
      </c>
      <c r="F6384" t="inlineStr">
        <is>
          <t>SCA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49194-2025</t>
        </is>
      </c>
      <c r="B6385" s="1" t="n">
        <v>45938.40929398148</v>
      </c>
      <c r="C6385" s="1" t="n">
        <v>46046</v>
      </c>
      <c r="D6385" t="inlineStr">
        <is>
          <t>NORRBOTTENS LÄN</t>
        </is>
      </c>
      <c r="E6385" t="inlineStr">
        <is>
          <t>LULEÅ</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49379-2025</t>
        </is>
      </c>
      <c r="B6386" s="1" t="n">
        <v>45938.63663194444</v>
      </c>
      <c r="C6386" s="1" t="n">
        <v>46046</v>
      </c>
      <c r="D6386" t="inlineStr">
        <is>
          <t>NORRBOTTENS LÄN</t>
        </is>
      </c>
      <c r="E6386" t="inlineStr">
        <is>
          <t>BODEN</t>
        </is>
      </c>
      <c r="F6386" t="inlineStr">
        <is>
          <t>SCA</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36607-2025</t>
        </is>
      </c>
      <c r="B6387" s="1" t="n">
        <v>45870.56957175926</v>
      </c>
      <c r="C6387" s="1" t="n">
        <v>46046</v>
      </c>
      <c r="D6387" t="inlineStr">
        <is>
          <t>NORRBOTTENS LÄN</t>
        </is>
      </c>
      <c r="E6387" t="inlineStr">
        <is>
          <t>PAJALA</t>
        </is>
      </c>
      <c r="F6387" t="inlineStr">
        <is>
          <t>Sveaskog</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49588-2025</t>
        </is>
      </c>
      <c r="B6388" s="1" t="n">
        <v>45939.51086805556</v>
      </c>
      <c r="C6388" s="1" t="n">
        <v>46046</v>
      </c>
      <c r="D6388" t="inlineStr">
        <is>
          <t>NORRBOTTENS LÄN</t>
        </is>
      </c>
      <c r="E6388" t="inlineStr">
        <is>
          <t>BODEN</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49606-2025</t>
        </is>
      </c>
      <c r="B6389" s="1" t="n">
        <v>45939.56126157408</v>
      </c>
      <c r="C6389" s="1" t="n">
        <v>46046</v>
      </c>
      <c r="D6389" t="inlineStr">
        <is>
          <t>NORRBOTTENS LÄN</t>
        </is>
      </c>
      <c r="E6389" t="inlineStr">
        <is>
          <t>BODEN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49477-2025</t>
        </is>
      </c>
      <c r="B6390" s="1" t="n">
        <v>45939.34547453704</v>
      </c>
      <c r="C6390" s="1" t="n">
        <v>46046</v>
      </c>
      <c r="D6390" t="inlineStr">
        <is>
          <t>NORRBOTTENS LÄN</t>
        </is>
      </c>
      <c r="E6390" t="inlineStr">
        <is>
          <t>JOKKMOKK</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49490-2025</t>
        </is>
      </c>
      <c r="B6391" s="1" t="n">
        <v>45939.36579861111</v>
      </c>
      <c r="C6391" s="1" t="n">
        <v>46046</v>
      </c>
      <c r="D6391" t="inlineStr">
        <is>
          <t>NORRBOTTENS LÄN</t>
        </is>
      </c>
      <c r="E6391" t="inlineStr">
        <is>
          <t>LULEÅ</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49347-2025</t>
        </is>
      </c>
      <c r="B6392" s="1" t="n">
        <v>45938.60688657407</v>
      </c>
      <c r="C6392" s="1" t="n">
        <v>46046</v>
      </c>
      <c r="D6392" t="inlineStr">
        <is>
          <t>NORRBOTTENS LÄN</t>
        </is>
      </c>
      <c r="E6392" t="inlineStr">
        <is>
          <t>KALIX</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49362-2025</t>
        </is>
      </c>
      <c r="B6393" s="1" t="n">
        <v>45938.61908564815</v>
      </c>
      <c r="C6393" s="1" t="n">
        <v>46046</v>
      </c>
      <c r="D6393" t="inlineStr">
        <is>
          <t>NORRBOTTENS LÄN</t>
        </is>
      </c>
      <c r="E6393" t="inlineStr">
        <is>
          <t>ÖVERTORNEÅ</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49668-2025</t>
        </is>
      </c>
      <c r="B6394" s="1" t="n">
        <v>45939.63693287037</v>
      </c>
      <c r="C6394" s="1" t="n">
        <v>46046</v>
      </c>
      <c r="D6394" t="inlineStr">
        <is>
          <t>NORRBOTTENS LÄN</t>
        </is>
      </c>
      <c r="E6394" t="inlineStr">
        <is>
          <t>GÄLLIVARE</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49410-2025</t>
        </is>
      </c>
      <c r="B6395" s="1" t="n">
        <v>45938.68094907407</v>
      </c>
      <c r="C6395" s="1" t="n">
        <v>46046</v>
      </c>
      <c r="D6395" t="inlineStr">
        <is>
          <t>NORRBOTTENS LÄN</t>
        </is>
      </c>
      <c r="E6395" t="inlineStr">
        <is>
          <t>KALIX</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49353-2025</t>
        </is>
      </c>
      <c r="B6396" s="1" t="n">
        <v>45938.61391203704</v>
      </c>
      <c r="C6396" s="1" t="n">
        <v>46046</v>
      </c>
      <c r="D6396" t="inlineStr">
        <is>
          <t>NORRBOTTENS LÄN</t>
        </is>
      </c>
      <c r="E6396" t="inlineStr">
        <is>
          <t>ÖVERTORNEÅ</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49060-2025</t>
        </is>
      </c>
      <c r="B6397" s="1" t="n">
        <v>45937.64141203704</v>
      </c>
      <c r="C6397" s="1" t="n">
        <v>46046</v>
      </c>
      <c r="D6397" t="inlineStr">
        <is>
          <t>NORRBOTTENS LÄN</t>
        </is>
      </c>
      <c r="E6397" t="inlineStr">
        <is>
          <t>PITEÅ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48316-2025</t>
        </is>
      </c>
      <c r="B6398" s="1" t="n">
        <v>45933</v>
      </c>
      <c r="C6398" s="1" t="n">
        <v>46046</v>
      </c>
      <c r="D6398" t="inlineStr">
        <is>
          <t>NORRBOTTENS LÄN</t>
        </is>
      </c>
      <c r="E6398" t="inlineStr">
        <is>
          <t>ARVIDSJAUR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45085-2025</t>
        </is>
      </c>
      <c r="B6399" s="1" t="n">
        <v>45919</v>
      </c>
      <c r="C6399" s="1" t="n">
        <v>46046</v>
      </c>
      <c r="D6399" t="inlineStr">
        <is>
          <t>NORRBOTTENS LÄN</t>
        </is>
      </c>
      <c r="E6399" t="inlineStr">
        <is>
          <t>PITEÅ</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49974-2025</t>
        </is>
      </c>
      <c r="B6400" s="1" t="n">
        <v>45942.49037037037</v>
      </c>
      <c r="C6400" s="1" t="n">
        <v>46046</v>
      </c>
      <c r="D6400" t="inlineStr">
        <is>
          <t>NORRBOTTENS LÄN</t>
        </is>
      </c>
      <c r="E6400" t="inlineStr">
        <is>
          <t>PITEÅ</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49976-2025</t>
        </is>
      </c>
      <c r="B6401" s="1" t="n">
        <v>45942.61506944444</v>
      </c>
      <c r="C6401" s="1" t="n">
        <v>46046</v>
      </c>
      <c r="D6401" t="inlineStr">
        <is>
          <t>NORRBOTTENS LÄN</t>
        </is>
      </c>
      <c r="E6401" t="inlineStr">
        <is>
          <t>JOKKMOKK</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50005-2025</t>
        </is>
      </c>
      <c r="B6402" s="1" t="n">
        <v>45943.34489583333</v>
      </c>
      <c r="C6402" s="1" t="n">
        <v>46046</v>
      </c>
      <c r="D6402" t="inlineStr">
        <is>
          <t>NORRBOTTENS LÄN</t>
        </is>
      </c>
      <c r="E6402" t="inlineStr">
        <is>
          <t>GÄLLIVARE</t>
        </is>
      </c>
      <c r="F6402" t="inlineStr">
        <is>
          <t>SCA</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49827-2025</t>
        </is>
      </c>
      <c r="B6403" s="1" t="n">
        <v>45940</v>
      </c>
      <c r="C6403" s="1" t="n">
        <v>46046</v>
      </c>
      <c r="D6403" t="inlineStr">
        <is>
          <t>NORRBOTTENS LÄN</t>
        </is>
      </c>
      <c r="E6403" t="inlineStr">
        <is>
          <t>GÄLLIVARE</t>
        </is>
      </c>
      <c r="F6403" t="inlineStr">
        <is>
          <t>SCA</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50194-2025</t>
        </is>
      </c>
      <c r="B6404" s="1" t="n">
        <v>45943.64177083333</v>
      </c>
      <c r="C6404" s="1" t="n">
        <v>46046</v>
      </c>
      <c r="D6404" t="inlineStr">
        <is>
          <t>NORRBOTTENS LÄN</t>
        </is>
      </c>
      <c r="E6404" t="inlineStr">
        <is>
          <t>KALIX</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50211-2025</t>
        </is>
      </c>
      <c r="B6405" s="1" t="n">
        <v>45943</v>
      </c>
      <c r="C6405" s="1" t="n">
        <v>46046</v>
      </c>
      <c r="D6405" t="inlineStr">
        <is>
          <t>NORRBOTTENS LÄN</t>
        </is>
      </c>
      <c r="E6405" t="inlineStr">
        <is>
          <t>KALIX</t>
        </is>
      </c>
      <c r="F6405" t="inlineStr">
        <is>
          <t>SCA</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49720-2025</t>
        </is>
      </c>
      <c r="B6406" s="1" t="n">
        <v>45939.8163425926</v>
      </c>
      <c r="C6406" s="1" t="n">
        <v>46046</v>
      </c>
      <c r="D6406" t="inlineStr">
        <is>
          <t>NORRBOTTENS LÄN</t>
        </is>
      </c>
      <c r="E6406" t="inlineStr">
        <is>
          <t>PAJALA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50184-2025</t>
        </is>
      </c>
      <c r="B6407" s="1" t="n">
        <v>45943.61587962963</v>
      </c>
      <c r="C6407" s="1" t="n">
        <v>46046</v>
      </c>
      <c r="D6407" t="inlineStr">
        <is>
          <t>NORRBOTTENS LÄN</t>
        </is>
      </c>
      <c r="E6407" t="inlineStr">
        <is>
          <t>ÖVERTORNEÅ</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50025-2025</t>
        </is>
      </c>
      <c r="B6408" s="1" t="n">
        <v>45943.37773148148</v>
      </c>
      <c r="C6408" s="1" t="n">
        <v>46046</v>
      </c>
      <c r="D6408" t="inlineStr">
        <is>
          <t>NORRBOTTENS LÄN</t>
        </is>
      </c>
      <c r="E6408" t="inlineStr">
        <is>
          <t>KALIX</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50176-2025</t>
        </is>
      </c>
      <c r="B6409" s="1" t="n">
        <v>45943</v>
      </c>
      <c r="C6409" s="1" t="n">
        <v>46046</v>
      </c>
      <c r="D6409" t="inlineStr">
        <is>
          <t>NORRBOTTENS LÄN</t>
        </is>
      </c>
      <c r="E6409" t="inlineStr">
        <is>
          <t>PAJALA</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50147-2025</t>
        </is>
      </c>
      <c r="B6410" s="1" t="n">
        <v>45943</v>
      </c>
      <c r="C6410" s="1" t="n">
        <v>46046</v>
      </c>
      <c r="D6410" t="inlineStr">
        <is>
          <t>NORRBOTTENS LÄN</t>
        </is>
      </c>
      <c r="E6410" t="inlineStr">
        <is>
          <t>BODEN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50022-2025</t>
        </is>
      </c>
      <c r="B6411" s="1" t="n">
        <v>45943.37378472222</v>
      </c>
      <c r="C6411" s="1" t="n">
        <v>46046</v>
      </c>
      <c r="D6411" t="inlineStr">
        <is>
          <t>NORRBOTTENS LÄN</t>
        </is>
      </c>
      <c r="E6411" t="inlineStr">
        <is>
          <t>PAJALA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49927-2025</t>
        </is>
      </c>
      <c r="B6412" s="1" t="n">
        <v>45939</v>
      </c>
      <c r="C6412" s="1" t="n">
        <v>46046</v>
      </c>
      <c r="D6412" t="inlineStr">
        <is>
          <t>NORRBOTTENS LÄN</t>
        </is>
      </c>
      <c r="E6412" t="inlineStr">
        <is>
          <t>ARVIDSJAUR</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49978-2025</t>
        </is>
      </c>
      <c r="B6413" s="1" t="n">
        <v>45942.61520833334</v>
      </c>
      <c r="C6413" s="1" t="n">
        <v>46046</v>
      </c>
      <c r="D6413" t="inlineStr">
        <is>
          <t>NORRBOTTENS LÄN</t>
        </is>
      </c>
      <c r="E6413" t="inlineStr">
        <is>
          <t>JOKKMOKK</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49756-2025</t>
        </is>
      </c>
      <c r="B6414" s="1" t="n">
        <v>45940.34579861111</v>
      </c>
      <c r="C6414" s="1" t="n">
        <v>46046</v>
      </c>
      <c r="D6414" t="inlineStr">
        <is>
          <t>NORRBOTTENS LÄN</t>
        </is>
      </c>
      <c r="E6414" t="inlineStr">
        <is>
          <t>ÖVERKALIX</t>
        </is>
      </c>
      <c r="F6414" t="inlineStr">
        <is>
          <t>SCA</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49885-2025</t>
        </is>
      </c>
      <c r="B6415" s="1" t="n">
        <v>45940.57060185185</v>
      </c>
      <c r="C6415" s="1" t="n">
        <v>46046</v>
      </c>
      <c r="D6415" t="inlineStr">
        <is>
          <t>NORRBOTTENS LÄN</t>
        </is>
      </c>
      <c r="E6415" t="inlineStr">
        <is>
          <t>PITEÅ</t>
        </is>
      </c>
      <c r="F6415" t="inlineStr">
        <is>
          <t>Sveaskog</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50045-2025</t>
        </is>
      </c>
      <c r="B6416" s="1" t="n">
        <v>45943.40819444445</v>
      </c>
      <c r="C6416" s="1" t="n">
        <v>46046</v>
      </c>
      <c r="D6416" t="inlineStr">
        <is>
          <t>NORRBOTTENS LÄN</t>
        </is>
      </c>
      <c r="E6416" t="inlineStr">
        <is>
          <t>ÖVERKALIX</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50063-2025</t>
        </is>
      </c>
      <c r="B6417" s="1" t="n">
        <v>45943.44826388889</v>
      </c>
      <c r="C6417" s="1" t="n">
        <v>46046</v>
      </c>
      <c r="D6417" t="inlineStr">
        <is>
          <t>NORRBOTTENS LÄN</t>
        </is>
      </c>
      <c r="E6417" t="inlineStr">
        <is>
          <t>GÄLLIVARE</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49757-2025</t>
        </is>
      </c>
      <c r="B6418" s="1" t="n">
        <v>45940.34592592593</v>
      </c>
      <c r="C6418" s="1" t="n">
        <v>46046</v>
      </c>
      <c r="D6418" t="inlineStr">
        <is>
          <t>NORRBOTTENS LÄN</t>
        </is>
      </c>
      <c r="E6418" t="inlineStr">
        <is>
          <t>PITEÅ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49973-2025</t>
        </is>
      </c>
      <c r="B6419" s="1" t="n">
        <v>45942.4903125</v>
      </c>
      <c r="C6419" s="1" t="n">
        <v>46046</v>
      </c>
      <c r="D6419" t="inlineStr">
        <is>
          <t>NORRBOTTENS LÄN</t>
        </is>
      </c>
      <c r="E6419" t="inlineStr">
        <is>
          <t>PITEÅ</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50085-2025</t>
        </is>
      </c>
      <c r="B6420" s="1" t="n">
        <v>45943.47648148148</v>
      </c>
      <c r="C6420" s="1" t="n">
        <v>46046</v>
      </c>
      <c r="D6420" t="inlineStr">
        <is>
          <t>NORRBOTTENS LÄN</t>
        </is>
      </c>
      <c r="E6420" t="inlineStr">
        <is>
          <t>HAPARANDA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48321-2025</t>
        </is>
      </c>
      <c r="B6421" s="1" t="n">
        <v>45933</v>
      </c>
      <c r="C6421" s="1" t="n">
        <v>46046</v>
      </c>
      <c r="D6421" t="inlineStr">
        <is>
          <t>NORRBOTTENS LÄN</t>
        </is>
      </c>
      <c r="E6421" t="inlineStr">
        <is>
          <t>ARVIDSJAUR</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50099-2025</t>
        </is>
      </c>
      <c r="B6422" s="1" t="n">
        <v>45943</v>
      </c>
      <c r="C6422" s="1" t="n">
        <v>46046</v>
      </c>
      <c r="D6422" t="inlineStr">
        <is>
          <t>NORRBOTTENS LÄN</t>
        </is>
      </c>
      <c r="E6422" t="inlineStr">
        <is>
          <t>LULEÅ</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49664-2025</t>
        </is>
      </c>
      <c r="B6423" s="1" t="n">
        <v>45939</v>
      </c>
      <c r="C6423" s="1" t="n">
        <v>46046</v>
      </c>
      <c r="D6423" t="inlineStr">
        <is>
          <t>NORRBOTTENS LÄN</t>
        </is>
      </c>
      <c r="E6423" t="inlineStr">
        <is>
          <t>GÄLLIVARE</t>
        </is>
      </c>
      <c r="F6423" t="inlineStr">
        <is>
          <t>SCA</t>
        </is>
      </c>
      <c r="G6423" t="n">
        <v>11.1</v>
      </c>
      <c r="H6423" t="n">
        <v>0</v>
      </c>
      <c r="I6423" t="n">
        <v>0</v>
      </c>
      <c r="J6423" t="n">
        <v>0</v>
      </c>
      <c r="K6423" t="n">
        <v>0</v>
      </c>
      <c r="L6423" t="n">
        <v>0</v>
      </c>
      <c r="M6423" t="n">
        <v>0</v>
      </c>
      <c r="N6423" t="n">
        <v>0</v>
      </c>
      <c r="O6423" t="n">
        <v>0</v>
      </c>
      <c r="P6423" t="n">
        <v>0</v>
      </c>
      <c r="Q6423" t="n">
        <v>0</v>
      </c>
      <c r="R6423" s="2" t="inlineStr"/>
    </row>
    <row r="6424" ht="15" customHeight="1">
      <c r="A6424" t="inlineStr">
        <is>
          <t>A 49744-2025</t>
        </is>
      </c>
      <c r="B6424" s="1" t="n">
        <v>45940</v>
      </c>
      <c r="C6424" s="1" t="n">
        <v>46046</v>
      </c>
      <c r="D6424" t="inlineStr">
        <is>
          <t>NORRBOTTENS LÄN</t>
        </is>
      </c>
      <c r="E6424" t="inlineStr">
        <is>
          <t>ÖVERTORNEÅ</t>
        </is>
      </c>
      <c r="F6424" t="inlineStr">
        <is>
          <t>Sveaskog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49984-2025</t>
        </is>
      </c>
      <c r="B6425" s="1" t="n">
        <v>45942.71923611111</v>
      </c>
      <c r="C6425" s="1" t="n">
        <v>46046</v>
      </c>
      <c r="D6425" t="inlineStr">
        <is>
          <t>NORRBOTTENS LÄN</t>
        </is>
      </c>
      <c r="E6425" t="inlineStr">
        <is>
          <t>PITEÅ</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50185-2025</t>
        </is>
      </c>
      <c r="B6426" s="1" t="n">
        <v>45943.62515046296</v>
      </c>
      <c r="C6426" s="1" t="n">
        <v>46046</v>
      </c>
      <c r="D6426" t="inlineStr">
        <is>
          <t>NORRBOTTENS LÄN</t>
        </is>
      </c>
      <c r="E6426" t="inlineStr">
        <is>
          <t>JOKKMOKK</t>
        </is>
      </c>
      <c r="F6426" t="inlineStr">
        <is>
          <t>Sveaskog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49887-2025</t>
        </is>
      </c>
      <c r="B6427" s="1" t="n">
        <v>45940.57333333333</v>
      </c>
      <c r="C6427" s="1" t="n">
        <v>46046</v>
      </c>
      <c r="D6427" t="inlineStr">
        <is>
          <t>NORRBOTTENS LÄN</t>
        </is>
      </c>
      <c r="E6427" t="inlineStr">
        <is>
          <t>KALIX</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49896-2025</t>
        </is>
      </c>
      <c r="B6428" s="1" t="n">
        <v>45940.58270833334</v>
      </c>
      <c r="C6428" s="1" t="n">
        <v>46046</v>
      </c>
      <c r="D6428" t="inlineStr">
        <is>
          <t>NORRBOTTENS LÄN</t>
        </is>
      </c>
      <c r="E6428" t="inlineStr">
        <is>
          <t>JOKKMOKK</t>
        </is>
      </c>
      <c r="F6428" t="inlineStr">
        <is>
          <t>Sveaskog</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50044-2025</t>
        </is>
      </c>
      <c r="B6429" s="1" t="n">
        <v>45943</v>
      </c>
      <c r="C6429" s="1" t="n">
        <v>46046</v>
      </c>
      <c r="D6429" t="inlineStr">
        <is>
          <t>NORRBOTTENS LÄN</t>
        </is>
      </c>
      <c r="E6429" t="inlineStr">
        <is>
          <t>KALIX</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49758-2025</t>
        </is>
      </c>
      <c r="B6430" s="1" t="n">
        <v>45940.34598379629</v>
      </c>
      <c r="C6430" s="1" t="n">
        <v>46046</v>
      </c>
      <c r="D6430" t="inlineStr">
        <is>
          <t>NORRBOTTENS LÄN</t>
        </is>
      </c>
      <c r="E6430" t="inlineStr">
        <is>
          <t>PITEÅ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50221-2025</t>
        </is>
      </c>
      <c r="B6431" s="1" t="n">
        <v>45943.68516203704</v>
      </c>
      <c r="C6431" s="1" t="n">
        <v>46046</v>
      </c>
      <c r="D6431" t="inlineStr">
        <is>
          <t>NORRBOTTENS LÄN</t>
        </is>
      </c>
      <c r="E6431" t="inlineStr">
        <is>
          <t>LULEÅ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50223-2025</t>
        </is>
      </c>
      <c r="B6432" s="1" t="n">
        <v>45943.68868055556</v>
      </c>
      <c r="C6432" s="1" t="n">
        <v>46046</v>
      </c>
      <c r="D6432" t="inlineStr">
        <is>
          <t>NORRBOTTENS LÄN</t>
        </is>
      </c>
      <c r="E6432" t="inlineStr">
        <is>
          <t>LULEÅ</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49768-2025</t>
        </is>
      </c>
      <c r="B6433" s="1" t="n">
        <v>45940.36502314815</v>
      </c>
      <c r="C6433" s="1" t="n">
        <v>46046</v>
      </c>
      <c r="D6433" t="inlineStr">
        <is>
          <t>NORRBOTTENS LÄN</t>
        </is>
      </c>
      <c r="E6433" t="inlineStr">
        <is>
          <t>PITEÅ</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49870-2025</t>
        </is>
      </c>
      <c r="B6434" s="1" t="n">
        <v>45940.5402662037</v>
      </c>
      <c r="C6434" s="1" t="n">
        <v>46046</v>
      </c>
      <c r="D6434" t="inlineStr">
        <is>
          <t>NORRBOTTENS LÄN</t>
        </is>
      </c>
      <c r="E6434" t="inlineStr">
        <is>
          <t>BODEN</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49876-2025</t>
        </is>
      </c>
      <c r="B6435" s="1" t="n">
        <v>45940.55581018519</v>
      </c>
      <c r="C6435" s="1" t="n">
        <v>46046</v>
      </c>
      <c r="D6435" t="inlineStr">
        <is>
          <t>NORRBOTTENS LÄN</t>
        </is>
      </c>
      <c r="E6435" t="inlineStr">
        <is>
          <t>PITEÅ</t>
        </is>
      </c>
      <c r="F6435" t="inlineStr">
        <is>
          <t>Sveaskog</t>
        </is>
      </c>
      <c r="G6435" t="n">
        <v>32.9</v>
      </c>
      <c r="H6435" t="n">
        <v>0</v>
      </c>
      <c r="I6435" t="n">
        <v>0</v>
      </c>
      <c r="J6435" t="n">
        <v>0</v>
      </c>
      <c r="K6435" t="n">
        <v>0</v>
      </c>
      <c r="L6435" t="n">
        <v>0</v>
      </c>
      <c r="M6435" t="n">
        <v>0</v>
      </c>
      <c r="N6435" t="n">
        <v>0</v>
      </c>
      <c r="O6435" t="n">
        <v>0</v>
      </c>
      <c r="P6435" t="n">
        <v>0</v>
      </c>
      <c r="Q6435" t="n">
        <v>0</v>
      </c>
      <c r="R6435" s="2" t="inlineStr"/>
    </row>
    <row r="6436" ht="15" customHeight="1">
      <c r="A6436" t="inlineStr">
        <is>
          <t>A 50054-2025</t>
        </is>
      </c>
      <c r="B6436" s="1" t="n">
        <v>45943.43152777778</v>
      </c>
      <c r="C6436" s="1" t="n">
        <v>46046</v>
      </c>
      <c r="D6436" t="inlineStr">
        <is>
          <t>NORRBOTTENS LÄN</t>
        </is>
      </c>
      <c r="E6436" t="inlineStr">
        <is>
          <t>ÖVERKALIX</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50053-2025</t>
        </is>
      </c>
      <c r="B6437" s="1" t="n">
        <v>45943</v>
      </c>
      <c r="C6437" s="1" t="n">
        <v>46046</v>
      </c>
      <c r="D6437" t="inlineStr">
        <is>
          <t>NORRBOTTENS LÄN</t>
        </is>
      </c>
      <c r="E6437" t="inlineStr">
        <is>
          <t>ÖVERKALIX</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49856-2025</t>
        </is>
      </c>
      <c r="B6438" s="1" t="n">
        <v>45940.50591435185</v>
      </c>
      <c r="C6438" s="1" t="n">
        <v>46046</v>
      </c>
      <c r="D6438" t="inlineStr">
        <is>
          <t>NORRBOTTENS LÄN</t>
        </is>
      </c>
      <c r="E6438" t="inlineStr">
        <is>
          <t>JOKKMOKK</t>
        </is>
      </c>
      <c r="F6438" t="inlineStr">
        <is>
          <t>Sveaskog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50641-2025</t>
        </is>
      </c>
      <c r="B6439" s="1" t="n">
        <v>45945</v>
      </c>
      <c r="C6439" s="1" t="n">
        <v>46046</v>
      </c>
      <c r="D6439" t="inlineStr">
        <is>
          <t>NORRBOTTENS LÄN</t>
        </is>
      </c>
      <c r="E6439" t="inlineStr">
        <is>
          <t>PITEÅ</t>
        </is>
      </c>
      <c r="G6439" t="n">
        <v>23.5</v>
      </c>
      <c r="H6439" t="n">
        <v>0</v>
      </c>
      <c r="I6439" t="n">
        <v>0</v>
      </c>
      <c r="J6439" t="n">
        <v>0</v>
      </c>
      <c r="K6439" t="n">
        <v>0</v>
      </c>
      <c r="L6439" t="n">
        <v>0</v>
      </c>
      <c r="M6439" t="n">
        <v>0</v>
      </c>
      <c r="N6439" t="n">
        <v>0</v>
      </c>
      <c r="O6439" t="n">
        <v>0</v>
      </c>
      <c r="P6439" t="n">
        <v>0</v>
      </c>
      <c r="Q6439" t="n">
        <v>0</v>
      </c>
      <c r="R6439" s="2" t="inlineStr"/>
    </row>
    <row r="6440" ht="15" customHeight="1">
      <c r="A6440" t="inlineStr">
        <is>
          <t>A 50275-2025</t>
        </is>
      </c>
      <c r="B6440" s="1" t="n">
        <v>45944.36942129629</v>
      </c>
      <c r="C6440" s="1" t="n">
        <v>46046</v>
      </c>
      <c r="D6440" t="inlineStr">
        <is>
          <t>NORRBOTTENS LÄN</t>
        </is>
      </c>
      <c r="E6440" t="inlineStr">
        <is>
          <t>PAJALA</t>
        </is>
      </c>
      <c r="G6440" t="n">
        <v>20.5</v>
      </c>
      <c r="H6440" t="n">
        <v>0</v>
      </c>
      <c r="I6440" t="n">
        <v>0</v>
      </c>
      <c r="J6440" t="n">
        <v>0</v>
      </c>
      <c r="K6440" t="n">
        <v>0</v>
      </c>
      <c r="L6440" t="n">
        <v>0</v>
      </c>
      <c r="M6440" t="n">
        <v>0</v>
      </c>
      <c r="N6440" t="n">
        <v>0</v>
      </c>
      <c r="O6440" t="n">
        <v>0</v>
      </c>
      <c r="P6440" t="n">
        <v>0</v>
      </c>
      <c r="Q6440" t="n">
        <v>0</v>
      </c>
      <c r="R6440" s="2" t="inlineStr"/>
    </row>
    <row r="6441" ht="15" customHeight="1">
      <c r="A6441" t="inlineStr">
        <is>
          <t>A 59926-2021</t>
        </is>
      </c>
      <c r="B6441" s="1" t="n">
        <v>44494</v>
      </c>
      <c r="C6441" s="1" t="n">
        <v>46046</v>
      </c>
      <c r="D6441" t="inlineStr">
        <is>
          <t>NORRBOTTENS LÄN</t>
        </is>
      </c>
      <c r="E6441" t="inlineStr">
        <is>
          <t>GÄLLIVARE</t>
        </is>
      </c>
      <c r="F6441" t="inlineStr">
        <is>
          <t>Allmännings- och besparingsskogar</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50426-2025</t>
        </is>
      </c>
      <c r="B6442" s="1" t="n">
        <v>45944.67363425926</v>
      </c>
      <c r="C6442" s="1" t="n">
        <v>46046</v>
      </c>
      <c r="D6442" t="inlineStr">
        <is>
          <t>NORRBOTTENS LÄN</t>
        </is>
      </c>
      <c r="E6442" t="inlineStr">
        <is>
          <t>PITEÅ</t>
        </is>
      </c>
      <c r="F6442" t="inlineStr">
        <is>
          <t>Övriga Aktiebolag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50449-2025</t>
        </is>
      </c>
      <c r="B6443" s="1" t="n">
        <v>45945.29869212963</v>
      </c>
      <c r="C6443" s="1" t="n">
        <v>46046</v>
      </c>
      <c r="D6443" t="inlineStr">
        <is>
          <t>NORRBOTTENS LÄN</t>
        </is>
      </c>
      <c r="E6443" t="inlineStr">
        <is>
          <t>BODEN</t>
        </is>
      </c>
      <c r="F6443" t="inlineStr">
        <is>
          <t>Sveaskog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50479-2025</t>
        </is>
      </c>
      <c r="B6444" s="1" t="n">
        <v>45945.36623842592</v>
      </c>
      <c r="C6444" s="1" t="n">
        <v>46046</v>
      </c>
      <c r="D6444" t="inlineStr">
        <is>
          <t>NORRBOTTENS LÄN</t>
        </is>
      </c>
      <c r="E6444" t="inlineStr">
        <is>
          <t>BODEN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50527-2025</t>
        </is>
      </c>
      <c r="B6445" s="1" t="n">
        <v>45945.47056712963</v>
      </c>
      <c r="C6445" s="1" t="n">
        <v>46046</v>
      </c>
      <c r="D6445" t="inlineStr">
        <is>
          <t>NORRBOTTENS LÄN</t>
        </is>
      </c>
      <c r="E6445" t="inlineStr">
        <is>
          <t>LULEÅ</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50303-2025</t>
        </is>
      </c>
      <c r="B6446" s="1" t="n">
        <v>45944.41394675926</v>
      </c>
      <c r="C6446" s="1" t="n">
        <v>46046</v>
      </c>
      <c r="D6446" t="inlineStr">
        <is>
          <t>NORRBOTTENS LÄN</t>
        </is>
      </c>
      <c r="E6446" t="inlineStr">
        <is>
          <t>PAJALA</t>
        </is>
      </c>
      <c r="G6446" t="n">
        <v>19.4</v>
      </c>
      <c r="H6446" t="n">
        <v>0</v>
      </c>
      <c r="I6446" t="n">
        <v>0</v>
      </c>
      <c r="J6446" t="n">
        <v>0</v>
      </c>
      <c r="K6446" t="n">
        <v>0</v>
      </c>
      <c r="L6446" t="n">
        <v>0</v>
      </c>
      <c r="M6446" t="n">
        <v>0</v>
      </c>
      <c r="N6446" t="n">
        <v>0</v>
      </c>
      <c r="O6446" t="n">
        <v>0</v>
      </c>
      <c r="P6446" t="n">
        <v>0</v>
      </c>
      <c r="Q6446" t="n">
        <v>0</v>
      </c>
      <c r="R6446" s="2" t="inlineStr"/>
    </row>
    <row r="6447" ht="15" customHeight="1">
      <c r="A6447" t="inlineStr">
        <is>
          <t>A 44391-2024</t>
        </is>
      </c>
      <c r="B6447" s="1" t="n">
        <v>45573</v>
      </c>
      <c r="C6447" s="1" t="n">
        <v>46046</v>
      </c>
      <c r="D6447" t="inlineStr">
        <is>
          <t>NORRBOTTENS LÄN</t>
        </is>
      </c>
      <c r="E6447" t="inlineStr">
        <is>
          <t>GÄLLIVARE</t>
        </is>
      </c>
      <c r="F6447" t="inlineStr">
        <is>
          <t>Allmännings- och besparingsskogar</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21705-2025</t>
        </is>
      </c>
      <c r="B6448" s="1" t="n">
        <v>45783</v>
      </c>
      <c r="C6448" s="1" t="n">
        <v>46046</v>
      </c>
      <c r="D6448" t="inlineStr">
        <is>
          <t>NORRBOTTENS LÄN</t>
        </is>
      </c>
      <c r="E6448" t="inlineStr">
        <is>
          <t>PITEÅ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50387-2025</t>
        </is>
      </c>
      <c r="B6449" s="1" t="n">
        <v>45944.61510416667</v>
      </c>
      <c r="C6449" s="1" t="n">
        <v>46046</v>
      </c>
      <c r="D6449" t="inlineStr">
        <is>
          <t>NORRBOTTENS LÄN</t>
        </is>
      </c>
      <c r="E6449" t="inlineStr">
        <is>
          <t>BODEN</t>
        </is>
      </c>
      <c r="F6449" t="inlineStr">
        <is>
          <t>Sveaskog</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50419-2025</t>
        </is>
      </c>
      <c r="B6450" s="1" t="n">
        <v>45944.65270833333</v>
      </c>
      <c r="C6450" s="1" t="n">
        <v>46046</v>
      </c>
      <c r="D6450" t="inlineStr">
        <is>
          <t>NORRBOTTENS LÄN</t>
        </is>
      </c>
      <c r="E6450" t="inlineStr">
        <is>
          <t>BODEN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50414-2025</t>
        </is>
      </c>
      <c r="B6451" s="1" t="n">
        <v>45944.64761574074</v>
      </c>
      <c r="C6451" s="1" t="n">
        <v>46046</v>
      </c>
      <c r="D6451" t="inlineStr">
        <is>
          <t>NORRBOTTENS LÄN</t>
        </is>
      </c>
      <c r="E6451" t="inlineStr">
        <is>
          <t>KALIX</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50595-2025</t>
        </is>
      </c>
      <c r="B6452" s="1" t="n">
        <v>45945.60736111111</v>
      </c>
      <c r="C6452" s="1" t="n">
        <v>46046</v>
      </c>
      <c r="D6452" t="inlineStr">
        <is>
          <t>NORRBOTTENS LÄN</t>
        </is>
      </c>
      <c r="E6452" t="inlineStr">
        <is>
          <t>KALIX</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53677-2024</t>
        </is>
      </c>
      <c r="B6453" s="1" t="n">
        <v>45612</v>
      </c>
      <c r="C6453" s="1" t="n">
        <v>46046</v>
      </c>
      <c r="D6453" t="inlineStr">
        <is>
          <t>NORRBOTTENS LÄN</t>
        </is>
      </c>
      <c r="E6453" t="inlineStr">
        <is>
          <t>GÄLLIVARE</t>
        </is>
      </c>
      <c r="F6453" t="inlineStr">
        <is>
          <t>Allmännings- och besparingsskogar</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37021-2025</t>
        </is>
      </c>
      <c r="B6454" s="1" t="n">
        <v>45874</v>
      </c>
      <c r="C6454" s="1" t="n">
        <v>46046</v>
      </c>
      <c r="D6454" t="inlineStr">
        <is>
          <t>NORRBOTTENS LÄN</t>
        </is>
      </c>
      <c r="E6454" t="inlineStr">
        <is>
          <t>GÄLLIVARE</t>
        </is>
      </c>
      <c r="F6454" t="inlineStr">
        <is>
          <t>Allmännings- och besparingsskogar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50572-2025</t>
        </is>
      </c>
      <c r="B6455" s="1" t="n">
        <v>45945.57474537037</v>
      </c>
      <c r="C6455" s="1" t="n">
        <v>46046</v>
      </c>
      <c r="D6455" t="inlineStr">
        <is>
          <t>NORRBOTTENS LÄN</t>
        </is>
      </c>
      <c r="E6455" t="inlineStr">
        <is>
          <t>LULEÅ</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50436-2025</t>
        </is>
      </c>
      <c r="B6456" s="1" t="n">
        <v>45944</v>
      </c>
      <c r="C6456" s="1" t="n">
        <v>46046</v>
      </c>
      <c r="D6456" t="inlineStr">
        <is>
          <t>NORRBOTTENS LÄN</t>
        </is>
      </c>
      <c r="E6456" t="inlineStr">
        <is>
          <t>BODEN</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50467-2025</t>
        </is>
      </c>
      <c r="B6457" s="1" t="n">
        <v>45945.35767361111</v>
      </c>
      <c r="C6457" s="1" t="n">
        <v>46046</v>
      </c>
      <c r="D6457" t="inlineStr">
        <is>
          <t>NORRBOTTENS LÄN</t>
        </is>
      </c>
      <c r="E6457" t="inlineStr">
        <is>
          <t>ÄLVSBYN</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50475-2025</t>
        </is>
      </c>
      <c r="B6458" s="1" t="n">
        <v>45945.3653125</v>
      </c>
      <c r="C6458" s="1" t="n">
        <v>46046</v>
      </c>
      <c r="D6458" t="inlineStr">
        <is>
          <t>NORRBOTTENS LÄN</t>
        </is>
      </c>
      <c r="E6458" t="inlineStr">
        <is>
          <t>PITEÅ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29514-2025</t>
        </is>
      </c>
      <c r="B6459" s="1" t="n">
        <v>45825.3119212963</v>
      </c>
      <c r="C6459" s="1" t="n">
        <v>46046</v>
      </c>
      <c r="D6459" t="inlineStr">
        <is>
          <t>NORRBOTTENS LÄN</t>
        </is>
      </c>
      <c r="E6459" t="inlineStr">
        <is>
          <t>ARVIDSJAUR</t>
        </is>
      </c>
      <c r="F6459" t="inlineStr">
        <is>
          <t>Sveaskog</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32352-2025</t>
        </is>
      </c>
      <c r="B6460" s="1" t="n">
        <v>45837</v>
      </c>
      <c r="C6460" s="1" t="n">
        <v>46046</v>
      </c>
      <c r="D6460" t="inlineStr">
        <is>
          <t>NORRBOTTENS LÄN</t>
        </is>
      </c>
      <c r="E6460" t="inlineStr">
        <is>
          <t>PITEÅ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28646-2023</t>
        </is>
      </c>
      <c r="B6461" s="1" t="n">
        <v>45096</v>
      </c>
      <c r="C6461" s="1" t="n">
        <v>46046</v>
      </c>
      <c r="D6461" t="inlineStr">
        <is>
          <t>NORRBOTTENS LÄN</t>
        </is>
      </c>
      <c r="E6461" t="inlineStr">
        <is>
          <t>GÄLLIVARE</t>
        </is>
      </c>
      <c r="F6461" t="inlineStr">
        <is>
          <t>Allmännings- och besparingsskogar</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50448-2025</t>
        </is>
      </c>
      <c r="B6462" s="1" t="n">
        <v>45945.29070601852</v>
      </c>
      <c r="C6462" s="1" t="n">
        <v>46046</v>
      </c>
      <c r="D6462" t="inlineStr">
        <is>
          <t>NORRBOTTENS LÄN</t>
        </is>
      </c>
      <c r="E6462" t="inlineStr">
        <is>
          <t>PITEÅ</t>
        </is>
      </c>
      <c r="F6462" t="inlineStr">
        <is>
          <t>Sveaskog</t>
        </is>
      </c>
      <c r="G6462" t="n">
        <v>24.2</v>
      </c>
      <c r="H6462" t="n">
        <v>0</v>
      </c>
      <c r="I6462" t="n">
        <v>0</v>
      </c>
      <c r="J6462" t="n">
        <v>0</v>
      </c>
      <c r="K6462" t="n">
        <v>0</v>
      </c>
      <c r="L6462" t="n">
        <v>0</v>
      </c>
      <c r="M6462" t="n">
        <v>0</v>
      </c>
      <c r="N6462" t="n">
        <v>0</v>
      </c>
      <c r="O6462" t="n">
        <v>0</v>
      </c>
      <c r="P6462" t="n">
        <v>0</v>
      </c>
      <c r="Q6462" t="n">
        <v>0</v>
      </c>
      <c r="R6462" s="2" t="inlineStr"/>
    </row>
    <row r="6463" ht="15" customHeight="1">
      <c r="A6463" t="inlineStr">
        <is>
          <t>A 50450-2025</t>
        </is>
      </c>
      <c r="B6463" s="1" t="n">
        <v>45945.31181712963</v>
      </c>
      <c r="C6463" s="1" t="n">
        <v>46046</v>
      </c>
      <c r="D6463" t="inlineStr">
        <is>
          <t>NORRBOTTENS LÄN</t>
        </is>
      </c>
      <c r="E6463" t="inlineStr">
        <is>
          <t>HAPARANDA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36039-2023</t>
        </is>
      </c>
      <c r="B6464" s="1" t="n">
        <v>45148</v>
      </c>
      <c r="C6464" s="1" t="n">
        <v>46046</v>
      </c>
      <c r="D6464" t="inlineStr">
        <is>
          <t>NORRBOTTENS LÄN</t>
        </is>
      </c>
      <c r="E6464" t="inlineStr">
        <is>
          <t>GÄLLIVARE</t>
        </is>
      </c>
      <c r="F6464" t="inlineStr">
        <is>
          <t>Allmännings- och besparingsskogar</t>
        </is>
      </c>
      <c r="G6464" t="n">
        <v>24.3</v>
      </c>
      <c r="H6464" t="n">
        <v>0</v>
      </c>
      <c r="I6464" t="n">
        <v>0</v>
      </c>
      <c r="J6464" t="n">
        <v>0</v>
      </c>
      <c r="K6464" t="n">
        <v>0</v>
      </c>
      <c r="L6464" t="n">
        <v>0</v>
      </c>
      <c r="M6464" t="n">
        <v>0</v>
      </c>
      <c r="N6464" t="n">
        <v>0</v>
      </c>
      <c r="O6464" t="n">
        <v>0</v>
      </c>
      <c r="P6464" t="n">
        <v>0</v>
      </c>
      <c r="Q6464" t="n">
        <v>0</v>
      </c>
      <c r="R6464" s="2" t="inlineStr"/>
    </row>
    <row r="6465" ht="15" customHeight="1">
      <c r="A6465" t="inlineStr">
        <is>
          <t>A 57909-2023</t>
        </is>
      </c>
      <c r="B6465" s="1" t="n">
        <v>45244</v>
      </c>
      <c r="C6465" s="1" t="n">
        <v>46046</v>
      </c>
      <c r="D6465" t="inlineStr">
        <is>
          <t>NORRBOTTENS LÄN</t>
        </is>
      </c>
      <c r="E6465" t="inlineStr">
        <is>
          <t>GÄLLIVARE</t>
        </is>
      </c>
      <c r="F6465" t="inlineStr">
        <is>
          <t>Allmännings- och besparingsskogar</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50532-2025</t>
        </is>
      </c>
      <c r="B6466" s="1" t="n">
        <v>45945.47921296296</v>
      </c>
      <c r="C6466" s="1" t="n">
        <v>46046</v>
      </c>
      <c r="D6466" t="inlineStr">
        <is>
          <t>NORRBOTTENS LÄN</t>
        </is>
      </c>
      <c r="E6466" t="inlineStr">
        <is>
          <t>GÄLLIVARE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50536-2025</t>
        </is>
      </c>
      <c r="B6467" s="1" t="n">
        <v>45945.48712962963</v>
      </c>
      <c r="C6467" s="1" t="n">
        <v>46046</v>
      </c>
      <c r="D6467" t="inlineStr">
        <is>
          <t>NORRBOTTENS LÄN</t>
        </is>
      </c>
      <c r="E6467" t="inlineStr">
        <is>
          <t>GÄLLIVARE</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50615-2025</t>
        </is>
      </c>
      <c r="B6468" s="1" t="n">
        <v>45945.6286574074</v>
      </c>
      <c r="C6468" s="1" t="n">
        <v>46046</v>
      </c>
      <c r="D6468" t="inlineStr">
        <is>
          <t>NORRBOTTENS LÄN</t>
        </is>
      </c>
      <c r="E6468" t="inlineStr">
        <is>
          <t>KALIX</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50561-2025</t>
        </is>
      </c>
      <c r="B6469" s="1" t="n">
        <v>45944</v>
      </c>
      <c r="C6469" s="1" t="n">
        <v>46046</v>
      </c>
      <c r="D6469" t="inlineStr">
        <is>
          <t>NORRBOTTENS LÄN</t>
        </is>
      </c>
      <c r="E6469" t="inlineStr">
        <is>
          <t>BODEN</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50605-2025</t>
        </is>
      </c>
      <c r="B6470" s="1" t="n">
        <v>45945</v>
      </c>
      <c r="C6470" s="1" t="n">
        <v>46046</v>
      </c>
      <c r="D6470" t="inlineStr">
        <is>
          <t>NORRBOTTENS LÄN</t>
        </is>
      </c>
      <c r="E6470" t="inlineStr">
        <is>
          <t>KALIX</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50610-2025</t>
        </is>
      </c>
      <c r="B6471" s="1" t="n">
        <v>45945.62322916667</v>
      </c>
      <c r="C6471" s="1" t="n">
        <v>46046</v>
      </c>
      <c r="D6471" t="inlineStr">
        <is>
          <t>NORRBOTTENS LÄN</t>
        </is>
      </c>
      <c r="E6471" t="inlineStr">
        <is>
          <t>KALIX</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50486-2025</t>
        </is>
      </c>
      <c r="B6472" s="1" t="n">
        <v>45945.3859375</v>
      </c>
      <c r="C6472" s="1" t="n">
        <v>46046</v>
      </c>
      <c r="D6472" t="inlineStr">
        <is>
          <t>NORRBOTTENS LÄN</t>
        </is>
      </c>
      <c r="E6472" t="inlineStr">
        <is>
          <t>PITEÅ</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50495-2025</t>
        </is>
      </c>
      <c r="B6473" s="1" t="n">
        <v>45945.40769675926</v>
      </c>
      <c r="C6473" s="1" t="n">
        <v>46046</v>
      </c>
      <c r="D6473" t="inlineStr">
        <is>
          <t>NORRBOTTENS LÄN</t>
        </is>
      </c>
      <c r="E6473" t="inlineStr">
        <is>
          <t>KALIX</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50500-2025</t>
        </is>
      </c>
      <c r="B6474" s="1" t="n">
        <v>45945.41836805556</v>
      </c>
      <c r="C6474" s="1" t="n">
        <v>46046</v>
      </c>
      <c r="D6474" t="inlineStr">
        <is>
          <t>NORRBOTTENS LÄN</t>
        </is>
      </c>
      <c r="E6474" t="inlineStr">
        <is>
          <t>PITEÅ</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50348-2025</t>
        </is>
      </c>
      <c r="B6475" s="1" t="n">
        <v>45944.54674768518</v>
      </c>
      <c r="C6475" s="1" t="n">
        <v>46046</v>
      </c>
      <c r="D6475" t="inlineStr">
        <is>
          <t>NORRBOTTENS LÄN</t>
        </is>
      </c>
      <c r="E6475" t="inlineStr">
        <is>
          <t>ARVIDSJAUR</t>
        </is>
      </c>
      <c r="F6475" t="inlineStr">
        <is>
          <t>Sveaskog</t>
        </is>
      </c>
      <c r="G6475" t="n">
        <v>10.8</v>
      </c>
      <c r="H6475" t="n">
        <v>0</v>
      </c>
      <c r="I6475" t="n">
        <v>0</v>
      </c>
      <c r="J6475" t="n">
        <v>0</v>
      </c>
      <c r="K6475" t="n">
        <v>0</v>
      </c>
      <c r="L6475" t="n">
        <v>0</v>
      </c>
      <c r="M6475" t="n">
        <v>0</v>
      </c>
      <c r="N6475" t="n">
        <v>0</v>
      </c>
      <c r="O6475" t="n">
        <v>0</v>
      </c>
      <c r="P6475" t="n">
        <v>0</v>
      </c>
      <c r="Q6475" t="n">
        <v>0</v>
      </c>
      <c r="R6475" s="2" t="inlineStr"/>
    </row>
    <row r="6476" ht="15" customHeight="1">
      <c r="A6476" t="inlineStr">
        <is>
          <t>A 50390-2025</t>
        </is>
      </c>
      <c r="B6476" s="1" t="n">
        <v>45944.61675925926</v>
      </c>
      <c r="C6476" s="1" t="n">
        <v>46046</v>
      </c>
      <c r="D6476" t="inlineStr">
        <is>
          <t>NORRBOTTENS LÄN</t>
        </is>
      </c>
      <c r="E6476" t="inlineStr">
        <is>
          <t>BODEN</t>
        </is>
      </c>
      <c r="F6476" t="inlineStr">
        <is>
          <t>Sveaskog</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50394-2025</t>
        </is>
      </c>
      <c r="B6477" s="1" t="n">
        <v>45944.61872685186</v>
      </c>
      <c r="C6477" s="1" t="n">
        <v>46046</v>
      </c>
      <c r="D6477" t="inlineStr">
        <is>
          <t>NORRBOTTENS LÄN</t>
        </is>
      </c>
      <c r="E6477" t="inlineStr">
        <is>
          <t>BODEN</t>
        </is>
      </c>
      <c r="F6477" t="inlineStr">
        <is>
          <t>Sveaskog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50236-2025</t>
        </is>
      </c>
      <c r="B6478" s="1" t="n">
        <v>45943.76771990741</v>
      </c>
      <c r="C6478" s="1" t="n">
        <v>46046</v>
      </c>
      <c r="D6478" t="inlineStr">
        <is>
          <t>NORRBOTTENS LÄN</t>
        </is>
      </c>
      <c r="E6478" t="inlineStr">
        <is>
          <t>ÖVERTORNEÅ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50397-2025</t>
        </is>
      </c>
      <c r="B6479" s="1" t="n">
        <v>45944.62211805556</v>
      </c>
      <c r="C6479" s="1" t="n">
        <v>46046</v>
      </c>
      <c r="D6479" t="inlineStr">
        <is>
          <t>NORRBOTTENS LÄN</t>
        </is>
      </c>
      <c r="E6479" t="inlineStr">
        <is>
          <t>JOKKMOKK</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50410-2025</t>
        </is>
      </c>
      <c r="B6480" s="1" t="n">
        <v>45944.64472222222</v>
      </c>
      <c r="C6480" s="1" t="n">
        <v>46046</v>
      </c>
      <c r="D6480" t="inlineStr">
        <is>
          <t>NORRBOTTENS LÄN</t>
        </is>
      </c>
      <c r="E6480" t="inlineStr">
        <is>
          <t>BODEN</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33373-2023</t>
        </is>
      </c>
      <c r="B6481" s="1" t="n">
        <v>45117</v>
      </c>
      <c r="C6481" s="1" t="n">
        <v>46046</v>
      </c>
      <c r="D6481" t="inlineStr">
        <is>
          <t>NORRBOTTENS LÄN</t>
        </is>
      </c>
      <c r="E6481" t="inlineStr">
        <is>
          <t>GÄLLIVARE</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36014-2023</t>
        </is>
      </c>
      <c r="B6482" s="1" t="n">
        <v>45148</v>
      </c>
      <c r="C6482" s="1" t="n">
        <v>46046</v>
      </c>
      <c r="D6482" t="inlineStr">
        <is>
          <t>NORRBOTTENS LÄN</t>
        </is>
      </c>
      <c r="E6482" t="inlineStr">
        <is>
          <t>GÄLLIVARE</t>
        </is>
      </c>
      <c r="F6482" t="inlineStr">
        <is>
          <t>Allmännings- och besparingsskogar</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40139-2025</t>
        </is>
      </c>
      <c r="B6483" s="1" t="n">
        <v>45894</v>
      </c>
      <c r="C6483" s="1" t="n">
        <v>46046</v>
      </c>
      <c r="D6483" t="inlineStr">
        <is>
          <t>NORRBOTTENS LÄN</t>
        </is>
      </c>
      <c r="E6483" t="inlineStr">
        <is>
          <t>GÄLLIVARE</t>
        </is>
      </c>
      <c r="F6483" t="inlineStr">
        <is>
          <t>Allmännings- och besparingsskogar</t>
        </is>
      </c>
      <c r="G6483" t="n">
        <v>18.3</v>
      </c>
      <c r="H6483" t="n">
        <v>0</v>
      </c>
      <c r="I6483" t="n">
        <v>0</v>
      </c>
      <c r="J6483" t="n">
        <v>0</v>
      </c>
      <c r="K6483" t="n">
        <v>0</v>
      </c>
      <c r="L6483" t="n">
        <v>0</v>
      </c>
      <c r="M6483" t="n">
        <v>0</v>
      </c>
      <c r="N6483" t="n">
        <v>0</v>
      </c>
      <c r="O6483" t="n">
        <v>0</v>
      </c>
      <c r="P6483" t="n">
        <v>0</v>
      </c>
      <c r="Q6483" t="n">
        <v>0</v>
      </c>
      <c r="R6483" s="2" t="inlineStr"/>
    </row>
    <row r="6484" ht="15" customHeight="1">
      <c r="A6484" t="inlineStr">
        <is>
          <t>A 39756-2024</t>
        </is>
      </c>
      <c r="B6484" s="1" t="n">
        <v>45552</v>
      </c>
      <c r="C6484" s="1" t="n">
        <v>46046</v>
      </c>
      <c r="D6484" t="inlineStr">
        <is>
          <t>NORRBOTTENS LÄN</t>
        </is>
      </c>
      <c r="E6484" t="inlineStr">
        <is>
          <t>GÄLLIVARE</t>
        </is>
      </c>
      <c r="F6484" t="inlineStr">
        <is>
          <t>Allmännings- och besparingsskogar</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39757-2024</t>
        </is>
      </c>
      <c r="B6485" s="1" t="n">
        <v>45552</v>
      </c>
      <c r="C6485" s="1" t="n">
        <v>46046</v>
      </c>
      <c r="D6485" t="inlineStr">
        <is>
          <t>NORRBOTTENS LÄN</t>
        </is>
      </c>
      <c r="E6485" t="inlineStr">
        <is>
          <t>GÄLLIVARE</t>
        </is>
      </c>
      <c r="F6485" t="inlineStr">
        <is>
          <t>Allmännings- och besparingsskogar</t>
        </is>
      </c>
      <c r="G6485" t="n">
        <v>36.2</v>
      </c>
      <c r="H6485" t="n">
        <v>0</v>
      </c>
      <c r="I6485" t="n">
        <v>0</v>
      </c>
      <c r="J6485" t="n">
        <v>0</v>
      </c>
      <c r="K6485" t="n">
        <v>0</v>
      </c>
      <c r="L6485" t="n">
        <v>0</v>
      </c>
      <c r="M6485" t="n">
        <v>0</v>
      </c>
      <c r="N6485" t="n">
        <v>0</v>
      </c>
      <c r="O6485" t="n">
        <v>0</v>
      </c>
      <c r="P6485" t="n">
        <v>0</v>
      </c>
      <c r="Q6485" t="n">
        <v>0</v>
      </c>
      <c r="R6485" s="2" t="inlineStr"/>
    </row>
    <row r="6486" ht="15" customHeight="1">
      <c r="A6486" t="inlineStr">
        <is>
          <t>A 53891-2024</t>
        </is>
      </c>
      <c r="B6486" s="1" t="n">
        <v>45614</v>
      </c>
      <c r="C6486" s="1" t="n">
        <v>46046</v>
      </c>
      <c r="D6486" t="inlineStr">
        <is>
          <t>NORRBOTTENS LÄN</t>
        </is>
      </c>
      <c r="E6486" t="inlineStr">
        <is>
          <t>GÄLLIVARE</t>
        </is>
      </c>
      <c r="F6486" t="inlineStr">
        <is>
          <t>Allmännings- och besparingsskogar</t>
        </is>
      </c>
      <c r="G6486" t="n">
        <v>27.3</v>
      </c>
      <c r="H6486" t="n">
        <v>0</v>
      </c>
      <c r="I6486" t="n">
        <v>0</v>
      </c>
      <c r="J6486" t="n">
        <v>0</v>
      </c>
      <c r="K6486" t="n">
        <v>0</v>
      </c>
      <c r="L6486" t="n">
        <v>0</v>
      </c>
      <c r="M6486" t="n">
        <v>0</v>
      </c>
      <c r="N6486" t="n">
        <v>0</v>
      </c>
      <c r="O6486" t="n">
        <v>0</v>
      </c>
      <c r="P6486" t="n">
        <v>0</v>
      </c>
      <c r="Q6486" t="n">
        <v>0</v>
      </c>
      <c r="R6486" s="2" t="inlineStr"/>
    </row>
    <row r="6487" ht="15" customHeight="1">
      <c r="A6487" t="inlineStr">
        <is>
          <t>A 50489-2025</t>
        </is>
      </c>
      <c r="B6487" s="1" t="n">
        <v>45945.39273148148</v>
      </c>
      <c r="C6487" s="1" t="n">
        <v>46046</v>
      </c>
      <c r="D6487" t="inlineStr">
        <is>
          <t>NORRBOTTENS LÄN</t>
        </is>
      </c>
      <c r="E6487" t="inlineStr">
        <is>
          <t>PITEÅ</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50496-2025</t>
        </is>
      </c>
      <c r="B6488" s="1" t="n">
        <v>45945</v>
      </c>
      <c r="C6488" s="1" t="n">
        <v>46046</v>
      </c>
      <c r="D6488" t="inlineStr">
        <is>
          <t>NORRBOTTENS LÄN</t>
        </is>
      </c>
      <c r="E6488" t="inlineStr">
        <is>
          <t>PITEÅ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50518-2025</t>
        </is>
      </c>
      <c r="B6489" s="1" t="n">
        <v>45945.4567824074</v>
      </c>
      <c r="C6489" s="1" t="n">
        <v>46046</v>
      </c>
      <c r="D6489" t="inlineStr">
        <is>
          <t>NORRBOTTENS LÄN</t>
        </is>
      </c>
      <c r="E6489" t="inlineStr">
        <is>
          <t>LULEÅ</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50471-2025</t>
        </is>
      </c>
      <c r="B6490" s="1" t="n">
        <v>45945.36435185185</v>
      </c>
      <c r="C6490" s="1" t="n">
        <v>46046</v>
      </c>
      <c r="D6490" t="inlineStr">
        <is>
          <t>NORRBOTTENS LÄN</t>
        </is>
      </c>
      <c r="E6490" t="inlineStr">
        <is>
          <t>BODEN</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50476-2025</t>
        </is>
      </c>
      <c r="B6491" s="1" t="n">
        <v>45945.36537037037</v>
      </c>
      <c r="C6491" s="1" t="n">
        <v>46046</v>
      </c>
      <c r="D6491" t="inlineStr">
        <is>
          <t>NORRBOTTENS LÄN</t>
        </is>
      </c>
      <c r="E6491" t="inlineStr">
        <is>
          <t>PITEÅ</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50258-2025</t>
        </is>
      </c>
      <c r="B6492" s="1" t="n">
        <v>45944.34482638889</v>
      </c>
      <c r="C6492" s="1" t="n">
        <v>46046</v>
      </c>
      <c r="D6492" t="inlineStr">
        <is>
          <t>NORRBOTTENS LÄN</t>
        </is>
      </c>
      <c r="E6492" t="inlineStr">
        <is>
          <t>GÄLLIVARE</t>
        </is>
      </c>
      <c r="F6492" t="inlineStr">
        <is>
          <t>SCA</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50524-2025</t>
        </is>
      </c>
      <c r="B6493" s="1" t="n">
        <v>45945.46797453704</v>
      </c>
      <c r="C6493" s="1" t="n">
        <v>46046</v>
      </c>
      <c r="D6493" t="inlineStr">
        <is>
          <t>NORRBOTTENS LÄN</t>
        </is>
      </c>
      <c r="E6493" t="inlineStr">
        <is>
          <t>LULEÅ</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50350-2025</t>
        </is>
      </c>
      <c r="B6494" s="1" t="n">
        <v>45944.55045138889</v>
      </c>
      <c r="C6494" s="1" t="n">
        <v>46046</v>
      </c>
      <c r="D6494" t="inlineStr">
        <is>
          <t>NORRBOTTENS LÄN</t>
        </is>
      </c>
      <c r="E6494" t="inlineStr">
        <is>
          <t>ARVIDSJAUR</t>
        </is>
      </c>
      <c r="F6494" t="inlineStr">
        <is>
          <t>Sveaskog</t>
        </is>
      </c>
      <c r="G6494" t="n">
        <v>13.1</v>
      </c>
      <c r="H6494" t="n">
        <v>0</v>
      </c>
      <c r="I6494" t="n">
        <v>0</v>
      </c>
      <c r="J6494" t="n">
        <v>0</v>
      </c>
      <c r="K6494" t="n">
        <v>0</v>
      </c>
      <c r="L6494" t="n">
        <v>0</v>
      </c>
      <c r="M6494" t="n">
        <v>0</v>
      </c>
      <c r="N6494" t="n">
        <v>0</v>
      </c>
      <c r="O6494" t="n">
        <v>0</v>
      </c>
      <c r="P6494" t="n">
        <v>0</v>
      </c>
      <c r="Q6494" t="n">
        <v>0</v>
      </c>
      <c r="R6494" s="2" t="inlineStr"/>
    </row>
    <row r="6495" ht="15" customHeight="1">
      <c r="A6495" t="inlineStr">
        <is>
          <t>A 37021-2025</t>
        </is>
      </c>
      <c r="B6495" s="1" t="n">
        <v>45874</v>
      </c>
      <c r="C6495" s="1" t="n">
        <v>46046</v>
      </c>
      <c r="D6495" t="inlineStr">
        <is>
          <t>NORRBOTTENS LÄN</t>
        </is>
      </c>
      <c r="E6495" t="inlineStr">
        <is>
          <t>GÄLLIVARE</t>
        </is>
      </c>
      <c r="F6495" t="inlineStr">
        <is>
          <t>Allmännings- och besparingsskogar</t>
        </is>
      </c>
      <c r="G6495" t="n">
        <v>40.5</v>
      </c>
      <c r="H6495" t="n">
        <v>0</v>
      </c>
      <c r="I6495" t="n">
        <v>0</v>
      </c>
      <c r="J6495" t="n">
        <v>0</v>
      </c>
      <c r="K6495" t="n">
        <v>0</v>
      </c>
      <c r="L6495" t="n">
        <v>0</v>
      </c>
      <c r="M6495" t="n">
        <v>0</v>
      </c>
      <c r="N6495" t="n">
        <v>0</v>
      </c>
      <c r="O6495" t="n">
        <v>0</v>
      </c>
      <c r="P6495" t="n">
        <v>0</v>
      </c>
      <c r="Q6495" t="n">
        <v>0</v>
      </c>
      <c r="R6495" s="2" t="inlineStr"/>
    </row>
    <row r="6496" ht="15" customHeight="1">
      <c r="A6496" t="inlineStr">
        <is>
          <t>A 50392-2025</t>
        </is>
      </c>
      <c r="B6496" s="1" t="n">
        <v>45944.61768518519</v>
      </c>
      <c r="C6496" s="1" t="n">
        <v>46046</v>
      </c>
      <c r="D6496" t="inlineStr">
        <is>
          <t>NORRBOTTENS LÄN</t>
        </is>
      </c>
      <c r="E6496" t="inlineStr">
        <is>
          <t>ÖVERKALIX</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40146-2025</t>
        </is>
      </c>
      <c r="B6497" s="1" t="n">
        <v>45894</v>
      </c>
      <c r="C6497" s="1" t="n">
        <v>46046</v>
      </c>
      <c r="D6497" t="inlineStr">
        <is>
          <t>NORRBOTTENS LÄN</t>
        </is>
      </c>
      <c r="E6497" t="inlineStr">
        <is>
          <t>GÄLLIVARE</t>
        </is>
      </c>
      <c r="F6497" t="inlineStr">
        <is>
          <t>Allmännings- och besparingsskogar</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36322-2023</t>
        </is>
      </c>
      <c r="B6498" s="1" t="n">
        <v>45152</v>
      </c>
      <c r="C6498" s="1" t="n">
        <v>46046</v>
      </c>
      <c r="D6498" t="inlineStr">
        <is>
          <t>NORRBOTTENS LÄN</t>
        </is>
      </c>
      <c r="E6498" t="inlineStr">
        <is>
          <t>GÄLLIVARE</t>
        </is>
      </c>
      <c r="F6498" t="inlineStr">
        <is>
          <t>Allmännings- och besparingsskogar</t>
        </is>
      </c>
      <c r="G6498" t="n">
        <v>36.8</v>
      </c>
      <c r="H6498" t="n">
        <v>0</v>
      </c>
      <c r="I6498" t="n">
        <v>0</v>
      </c>
      <c r="J6498" t="n">
        <v>0</v>
      </c>
      <c r="K6498" t="n">
        <v>0</v>
      </c>
      <c r="L6498" t="n">
        <v>0</v>
      </c>
      <c r="M6498" t="n">
        <v>0</v>
      </c>
      <c r="N6498" t="n">
        <v>0</v>
      </c>
      <c r="O6498" t="n">
        <v>0</v>
      </c>
      <c r="P6498" t="n">
        <v>0</v>
      </c>
      <c r="Q6498" t="n">
        <v>0</v>
      </c>
      <c r="R6498" s="2" t="inlineStr"/>
    </row>
    <row r="6499" ht="15" customHeight="1">
      <c r="A6499" t="inlineStr">
        <is>
          <t>A 50361-2025</t>
        </is>
      </c>
      <c r="B6499" s="1" t="n">
        <v>45944.56497685185</v>
      </c>
      <c r="C6499" s="1" t="n">
        <v>46046</v>
      </c>
      <c r="D6499" t="inlineStr">
        <is>
          <t>NORRBOTTENS LÄN</t>
        </is>
      </c>
      <c r="E6499" t="inlineStr">
        <is>
          <t>BODEN</t>
        </is>
      </c>
      <c r="F6499" t="inlineStr">
        <is>
          <t>Sveaskog</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25941-2024</t>
        </is>
      </c>
      <c r="B6500" s="1" t="n">
        <v>45467</v>
      </c>
      <c r="C6500" s="1" t="n">
        <v>46046</v>
      </c>
      <c r="D6500" t="inlineStr">
        <is>
          <t>NORRBOTTENS LÄN</t>
        </is>
      </c>
      <c r="E6500" t="inlineStr">
        <is>
          <t>GÄLLIVARE</t>
        </is>
      </c>
      <c r="F6500" t="inlineStr">
        <is>
          <t>Allmännings- och besparingsskogar</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50502-2025</t>
        </is>
      </c>
      <c r="B6501" s="1" t="n">
        <v>45945.42207175926</v>
      </c>
      <c r="C6501" s="1" t="n">
        <v>46046</v>
      </c>
      <c r="D6501" t="inlineStr">
        <is>
          <t>NORRBOTTENS LÄN</t>
        </is>
      </c>
      <c r="E6501" t="inlineStr">
        <is>
          <t>KALIX</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50534-2025</t>
        </is>
      </c>
      <c r="B6502" s="1" t="n">
        <v>45945.48403935185</v>
      </c>
      <c r="C6502" s="1" t="n">
        <v>46046</v>
      </c>
      <c r="D6502" t="inlineStr">
        <is>
          <t>NORRBOTTENS LÄN</t>
        </is>
      </c>
      <c r="E6502" t="inlineStr">
        <is>
          <t>GÄLLIVARE</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25935-2024</t>
        </is>
      </c>
      <c r="B6503" s="1" t="n">
        <v>45467</v>
      </c>
      <c r="C6503" s="1" t="n">
        <v>46046</v>
      </c>
      <c r="D6503" t="inlineStr">
        <is>
          <t>NORRBOTTENS LÄN</t>
        </is>
      </c>
      <c r="E6503" t="inlineStr">
        <is>
          <t>GÄLLIVARE</t>
        </is>
      </c>
      <c r="F6503" t="inlineStr">
        <is>
          <t>Allmännings- och besparingsskogar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25923-2024</t>
        </is>
      </c>
      <c r="B6504" s="1" t="n">
        <v>45467</v>
      </c>
      <c r="C6504" s="1" t="n">
        <v>46046</v>
      </c>
      <c r="D6504" t="inlineStr">
        <is>
          <t>NORRBOTTENS LÄN</t>
        </is>
      </c>
      <c r="E6504" t="inlineStr">
        <is>
          <t>GÄLLIVARE</t>
        </is>
      </c>
      <c r="F6504" t="inlineStr">
        <is>
          <t>Allmännings- och besparingsskogar</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50338-2025</t>
        </is>
      </c>
      <c r="B6505" s="1" t="n">
        <v>45944.52140046296</v>
      </c>
      <c r="C6505" s="1" t="n">
        <v>46046</v>
      </c>
      <c r="D6505" t="inlineStr">
        <is>
          <t>NORRBOTTENS LÄN</t>
        </is>
      </c>
      <c r="E6505" t="inlineStr">
        <is>
          <t>KIRUNA</t>
        </is>
      </c>
      <c r="F6505" t="inlineStr">
        <is>
          <t>SCA</t>
        </is>
      </c>
      <c r="G6505" t="n">
        <v>22.6</v>
      </c>
      <c r="H6505" t="n">
        <v>0</v>
      </c>
      <c r="I6505" t="n">
        <v>0</v>
      </c>
      <c r="J6505" t="n">
        <v>0</v>
      </c>
      <c r="K6505" t="n">
        <v>0</v>
      </c>
      <c r="L6505" t="n">
        <v>0</v>
      </c>
      <c r="M6505" t="n">
        <v>0</v>
      </c>
      <c r="N6505" t="n">
        <v>0</v>
      </c>
      <c r="O6505" t="n">
        <v>0</v>
      </c>
      <c r="P6505" t="n">
        <v>0</v>
      </c>
      <c r="Q6505" t="n">
        <v>0</v>
      </c>
      <c r="R6505" s="2" t="inlineStr"/>
    </row>
    <row r="6506" ht="15" customHeight="1">
      <c r="A6506" t="inlineStr">
        <is>
          <t>A 50341-2025</t>
        </is>
      </c>
      <c r="B6506" s="1" t="n">
        <v>45944.53100694445</v>
      </c>
      <c r="C6506" s="1" t="n">
        <v>46046</v>
      </c>
      <c r="D6506" t="inlineStr">
        <is>
          <t>NORRBOTTENS LÄN</t>
        </is>
      </c>
      <c r="E6506" t="inlineStr">
        <is>
          <t>ARVIDSJAUR</t>
        </is>
      </c>
      <c r="F6506" t="inlineStr">
        <is>
          <t>Sveaskog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50899-2025</t>
        </is>
      </c>
      <c r="B6507" s="1" t="n">
        <v>45946.641875</v>
      </c>
      <c r="C6507" s="1" t="n">
        <v>46046</v>
      </c>
      <c r="D6507" t="inlineStr">
        <is>
          <t>NORRBOTTENS LÄN</t>
        </is>
      </c>
      <c r="E6507" t="inlineStr">
        <is>
          <t>KALIX</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50914-2025</t>
        </is>
      </c>
      <c r="B6508" s="1" t="n">
        <v>45946.65719907408</v>
      </c>
      <c r="C6508" s="1" t="n">
        <v>46046</v>
      </c>
      <c r="D6508" t="inlineStr">
        <is>
          <t>NORRBOTTENS LÄN</t>
        </is>
      </c>
      <c r="E6508" t="inlineStr">
        <is>
          <t>LULEÅ</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50889-2025</t>
        </is>
      </c>
      <c r="B6509" s="1" t="n">
        <v>45946.63664351852</v>
      </c>
      <c r="C6509" s="1" t="n">
        <v>46046</v>
      </c>
      <c r="D6509" t="inlineStr">
        <is>
          <t>NORRBOTTENS LÄN</t>
        </is>
      </c>
      <c r="E6509" t="inlineStr">
        <is>
          <t>LULEÅ</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50890-2025</t>
        </is>
      </c>
      <c r="B6510" s="1" t="n">
        <v>45946.63673611111</v>
      </c>
      <c r="C6510" s="1" t="n">
        <v>46046</v>
      </c>
      <c r="D6510" t="inlineStr">
        <is>
          <t>NORRBOTTENS LÄN</t>
        </is>
      </c>
      <c r="E6510" t="inlineStr">
        <is>
          <t>LULEÅ</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50835-2025</t>
        </is>
      </c>
      <c r="B6511" s="1" t="n">
        <v>45946.55768518519</v>
      </c>
      <c r="C6511" s="1" t="n">
        <v>46046</v>
      </c>
      <c r="D6511" t="inlineStr">
        <is>
          <t>NORRBOTTENS LÄN</t>
        </is>
      </c>
      <c r="E6511" t="inlineStr">
        <is>
          <t>ARVIDSJAUR</t>
        </is>
      </c>
      <c r="F6511" t="inlineStr">
        <is>
          <t>Sveaskog</t>
        </is>
      </c>
      <c r="G6511" t="n">
        <v>13.4</v>
      </c>
      <c r="H6511" t="n">
        <v>0</v>
      </c>
      <c r="I6511" t="n">
        <v>0</v>
      </c>
      <c r="J6511" t="n">
        <v>0</v>
      </c>
      <c r="K6511" t="n">
        <v>0</v>
      </c>
      <c r="L6511" t="n">
        <v>0</v>
      </c>
      <c r="M6511" t="n">
        <v>0</v>
      </c>
      <c r="N6511" t="n">
        <v>0</v>
      </c>
      <c r="O6511" t="n">
        <v>0</v>
      </c>
      <c r="P6511" t="n">
        <v>0</v>
      </c>
      <c r="Q6511" t="n">
        <v>0</v>
      </c>
      <c r="R6511" s="2" t="inlineStr"/>
    </row>
    <row r="6512" ht="15" customHeight="1">
      <c r="A6512" t="inlineStr">
        <is>
          <t>A 51136-2025</t>
        </is>
      </c>
      <c r="B6512" s="1" t="n">
        <v>45947.55820601852</v>
      </c>
      <c r="C6512" s="1" t="n">
        <v>46046</v>
      </c>
      <c r="D6512" t="inlineStr">
        <is>
          <t>NORRBOTTENS LÄN</t>
        </is>
      </c>
      <c r="E6512" t="inlineStr">
        <is>
          <t>LULEÅ</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51163-2025</t>
        </is>
      </c>
      <c r="B6513" s="1" t="n">
        <v>45947.594375</v>
      </c>
      <c r="C6513" s="1" t="n">
        <v>46046</v>
      </c>
      <c r="D6513" t="inlineStr">
        <is>
          <t>NORRBOTTENS LÄN</t>
        </is>
      </c>
      <c r="E6513" t="inlineStr">
        <is>
          <t>ÄLVSBYN</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50785-2025</t>
        </is>
      </c>
      <c r="B6514" s="1" t="n">
        <v>45946.46940972222</v>
      </c>
      <c r="C6514" s="1" t="n">
        <v>46046</v>
      </c>
      <c r="D6514" t="inlineStr">
        <is>
          <t>NORRBOTTENS LÄN</t>
        </is>
      </c>
      <c r="E6514" t="inlineStr">
        <is>
          <t>HAPARANDA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50866-2025</t>
        </is>
      </c>
      <c r="B6515" s="1" t="n">
        <v>45946.59548611111</v>
      </c>
      <c r="C6515" s="1" t="n">
        <v>46046</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50763-2025</t>
        </is>
      </c>
      <c r="B6516" s="1" t="n">
        <v>45946</v>
      </c>
      <c r="C6516" s="1" t="n">
        <v>46046</v>
      </c>
      <c r="D6516" t="inlineStr">
        <is>
          <t>NORRBOTTENS LÄN</t>
        </is>
      </c>
      <c r="E6516" t="inlineStr">
        <is>
          <t>GÄLLIVARE</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50793-2025</t>
        </is>
      </c>
      <c r="B6517" s="1" t="n">
        <v>45946.47498842593</v>
      </c>
      <c r="C6517" s="1" t="n">
        <v>46046</v>
      </c>
      <c r="D6517" t="inlineStr">
        <is>
          <t>NORRBOTTENS LÄN</t>
        </is>
      </c>
      <c r="E6517" t="inlineStr">
        <is>
          <t>HAPARANDA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50720-2025</t>
        </is>
      </c>
      <c r="B6518" s="1" t="n">
        <v>45946</v>
      </c>
      <c r="C6518" s="1" t="n">
        <v>46046</v>
      </c>
      <c r="D6518" t="inlineStr">
        <is>
          <t>NORRBOTTENS LÄN</t>
        </is>
      </c>
      <c r="E6518" t="inlineStr">
        <is>
          <t>ÖVERKALIX</t>
        </is>
      </c>
      <c r="F6518" t="inlineStr">
        <is>
          <t>SCA</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50717-2025</t>
        </is>
      </c>
      <c r="B6519" s="1" t="n">
        <v>45946.34598379629</v>
      </c>
      <c r="C6519" s="1" t="n">
        <v>46046</v>
      </c>
      <c r="D6519" t="inlineStr">
        <is>
          <t>NORRBOTTENS LÄN</t>
        </is>
      </c>
      <c r="E6519" t="inlineStr">
        <is>
          <t>JOKKMOKK</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50714-2025</t>
        </is>
      </c>
      <c r="B6520" s="1" t="n">
        <v>45946.34521990741</v>
      </c>
      <c r="C6520" s="1" t="n">
        <v>46046</v>
      </c>
      <c r="D6520" t="inlineStr">
        <is>
          <t>NORRBOTTENS LÄN</t>
        </is>
      </c>
      <c r="E6520" t="inlineStr">
        <is>
          <t>HAPARANDA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50983-2025</t>
        </is>
      </c>
      <c r="B6521" s="1" t="n">
        <v>45947.34490740741</v>
      </c>
      <c r="C6521" s="1" t="n">
        <v>46046</v>
      </c>
      <c r="D6521" t="inlineStr">
        <is>
          <t>NORRBOTTENS LÄN</t>
        </is>
      </c>
      <c r="E6521" t="inlineStr">
        <is>
          <t>ÖVERKALIX</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50723-2025</t>
        </is>
      </c>
      <c r="B6522" s="1" t="n">
        <v>45946.34690972222</v>
      </c>
      <c r="C6522" s="1" t="n">
        <v>46046</v>
      </c>
      <c r="D6522" t="inlineStr">
        <is>
          <t>NORRBOTTENS LÄN</t>
        </is>
      </c>
      <c r="E6522" t="inlineStr">
        <is>
          <t>JOKKMOKK</t>
        </is>
      </c>
      <c r="F6522" t="inlineStr">
        <is>
          <t>SCA</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50772-2025</t>
        </is>
      </c>
      <c r="B6523" s="1" t="n">
        <v>45946.44892361111</v>
      </c>
      <c r="C6523" s="1" t="n">
        <v>46046</v>
      </c>
      <c r="D6523" t="inlineStr">
        <is>
          <t>NORRBOTTENS LÄN</t>
        </is>
      </c>
      <c r="E6523" t="inlineStr">
        <is>
          <t>GÄLLIVARE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50773-2025</t>
        </is>
      </c>
      <c r="B6524" s="1" t="n">
        <v>45946.44894675926</v>
      </c>
      <c r="C6524" s="1" t="n">
        <v>46046</v>
      </c>
      <c r="D6524" t="inlineStr">
        <is>
          <t>NORRBOTTENS LÄN</t>
        </is>
      </c>
      <c r="E6524" t="inlineStr">
        <is>
          <t>GÄLLIVARE</t>
        </is>
      </c>
      <c r="G6524" t="n">
        <v>21.8</v>
      </c>
      <c r="H6524" t="n">
        <v>0</v>
      </c>
      <c r="I6524" t="n">
        <v>0</v>
      </c>
      <c r="J6524" t="n">
        <v>0</v>
      </c>
      <c r="K6524" t="n">
        <v>0</v>
      </c>
      <c r="L6524" t="n">
        <v>0</v>
      </c>
      <c r="M6524" t="n">
        <v>0</v>
      </c>
      <c r="N6524" t="n">
        <v>0</v>
      </c>
      <c r="O6524" t="n">
        <v>0</v>
      </c>
      <c r="P6524" t="n">
        <v>0</v>
      </c>
      <c r="Q6524" t="n">
        <v>0</v>
      </c>
      <c r="R6524" s="2" t="inlineStr"/>
    </row>
    <row r="6525" ht="15" customHeight="1">
      <c r="A6525" t="inlineStr">
        <is>
          <t>A 50778-2025</t>
        </is>
      </c>
      <c r="B6525" s="1" t="n">
        <v>45946.45390046296</v>
      </c>
      <c r="C6525" s="1" t="n">
        <v>46046</v>
      </c>
      <c r="D6525" t="inlineStr">
        <is>
          <t>NORRBOTTENS LÄN</t>
        </is>
      </c>
      <c r="E6525" t="inlineStr">
        <is>
          <t>ÄLVSBYN</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50732-2025</t>
        </is>
      </c>
      <c r="B6526" s="1" t="n">
        <v>45946.36519675926</v>
      </c>
      <c r="C6526" s="1" t="n">
        <v>46046</v>
      </c>
      <c r="D6526" t="inlineStr">
        <is>
          <t>NORRBOTTENS LÄN</t>
        </is>
      </c>
      <c r="E6526" t="inlineStr">
        <is>
          <t>JOKKMOKK</t>
        </is>
      </c>
      <c r="F6526" t="inlineStr">
        <is>
          <t>SCA</t>
        </is>
      </c>
      <c r="G6526" t="n">
        <v>45.9</v>
      </c>
      <c r="H6526" t="n">
        <v>0</v>
      </c>
      <c r="I6526" t="n">
        <v>0</v>
      </c>
      <c r="J6526" t="n">
        <v>0</v>
      </c>
      <c r="K6526" t="n">
        <v>0</v>
      </c>
      <c r="L6526" t="n">
        <v>0</v>
      </c>
      <c r="M6526" t="n">
        <v>0</v>
      </c>
      <c r="N6526" t="n">
        <v>0</v>
      </c>
      <c r="O6526" t="n">
        <v>0</v>
      </c>
      <c r="P6526" t="n">
        <v>0</v>
      </c>
      <c r="Q6526" t="n">
        <v>0</v>
      </c>
      <c r="R6526" s="2" t="inlineStr"/>
    </row>
    <row r="6527" ht="15" customHeight="1">
      <c r="A6527" t="inlineStr">
        <is>
          <t>A 51184-2025</t>
        </is>
      </c>
      <c r="B6527" s="1" t="n">
        <v>45947</v>
      </c>
      <c r="C6527" s="1" t="n">
        <v>46046</v>
      </c>
      <c r="D6527" t="inlineStr">
        <is>
          <t>NORRBOTTENS LÄN</t>
        </is>
      </c>
      <c r="E6527" t="inlineStr">
        <is>
          <t>BODEN</t>
        </is>
      </c>
      <c r="F6527" t="inlineStr">
        <is>
          <t>Sveaskog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47761-2025</t>
        </is>
      </c>
      <c r="B6528" s="1" t="n">
        <v>45931</v>
      </c>
      <c r="C6528" s="1" t="n">
        <v>46046</v>
      </c>
      <c r="D6528" t="inlineStr">
        <is>
          <t>NORRBOTTENS LÄN</t>
        </is>
      </c>
      <c r="E6528" t="inlineStr">
        <is>
          <t>KALIX</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50988-2025</t>
        </is>
      </c>
      <c r="B6529" s="1" t="n">
        <v>45947.34571759259</v>
      </c>
      <c r="C6529" s="1" t="n">
        <v>46046</v>
      </c>
      <c r="D6529" t="inlineStr">
        <is>
          <t>NORRBOTTENS LÄN</t>
        </is>
      </c>
      <c r="E6529" t="inlineStr">
        <is>
          <t>LULEÅ</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50912-2025</t>
        </is>
      </c>
      <c r="B6530" s="1" t="n">
        <v>45946.65706018519</v>
      </c>
      <c r="C6530" s="1" t="n">
        <v>46046</v>
      </c>
      <c r="D6530" t="inlineStr">
        <is>
          <t>NORRBOTTENS LÄN</t>
        </is>
      </c>
      <c r="E6530" t="inlineStr">
        <is>
          <t>LULEÅ</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50924-2025</t>
        </is>
      </c>
      <c r="B6531" s="1" t="n">
        <v>45946.67771990741</v>
      </c>
      <c r="C6531" s="1" t="n">
        <v>46046</v>
      </c>
      <c r="D6531" t="inlineStr">
        <is>
          <t>NORRBOTTENS LÄN</t>
        </is>
      </c>
      <c r="E6531" t="inlineStr">
        <is>
          <t>PITEÅ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50838-2025</t>
        </is>
      </c>
      <c r="B6532" s="1" t="n">
        <v>45946.56050925926</v>
      </c>
      <c r="C6532" s="1" t="n">
        <v>46046</v>
      </c>
      <c r="D6532" t="inlineStr">
        <is>
          <t>NORRBOTTENS LÄN</t>
        </is>
      </c>
      <c r="E6532" t="inlineStr">
        <is>
          <t>ARVIDSJAUR</t>
        </is>
      </c>
      <c r="F6532" t="inlineStr">
        <is>
          <t>Sveaskog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50867-2025</t>
        </is>
      </c>
      <c r="B6533" s="1" t="n">
        <v>45946.59561342592</v>
      </c>
      <c r="C6533" s="1" t="n">
        <v>46046</v>
      </c>
      <c r="D6533" t="inlineStr">
        <is>
          <t>NORRBOTTENS LÄN</t>
        </is>
      </c>
      <c r="E6533" t="inlineStr">
        <is>
          <t>LULEÅ</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50886-2025</t>
        </is>
      </c>
      <c r="B6534" s="1" t="n">
        <v>45946.63607638889</v>
      </c>
      <c r="C6534" s="1" t="n">
        <v>46046</v>
      </c>
      <c r="D6534" t="inlineStr">
        <is>
          <t>NORRBOTTENS LÄN</t>
        </is>
      </c>
      <c r="E6534" t="inlineStr">
        <is>
          <t>KALIX</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50888-2025</t>
        </is>
      </c>
      <c r="B6535" s="1" t="n">
        <v>45946.6365162037</v>
      </c>
      <c r="C6535" s="1" t="n">
        <v>46046</v>
      </c>
      <c r="D6535" t="inlineStr">
        <is>
          <t>NORRBOTTENS LÄN</t>
        </is>
      </c>
      <c r="E6535" t="inlineStr">
        <is>
          <t>KALIX</t>
        </is>
      </c>
      <c r="F6535" t="inlineStr">
        <is>
          <t>SCA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50813-2025</t>
        </is>
      </c>
      <c r="B6536" s="1" t="n">
        <v>45946.52356481482</v>
      </c>
      <c r="C6536" s="1" t="n">
        <v>46046</v>
      </c>
      <c r="D6536" t="inlineStr">
        <is>
          <t>NORRBOTTENS LÄN</t>
        </is>
      </c>
      <c r="E6536" t="inlineStr">
        <is>
          <t>ARVIDSJAUR</t>
        </is>
      </c>
      <c r="F6536" t="inlineStr">
        <is>
          <t>Sveaskog</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50986-2025</t>
        </is>
      </c>
      <c r="B6537" s="1" t="n">
        <v>45947.3453125</v>
      </c>
      <c r="C6537" s="1" t="n">
        <v>46046</v>
      </c>
      <c r="D6537" t="inlineStr">
        <is>
          <t>NORRBOTTENS LÄN</t>
        </is>
      </c>
      <c r="E6537" t="inlineStr">
        <is>
          <t>JOKKMOKK</t>
        </is>
      </c>
      <c r="F6537" t="inlineStr">
        <is>
          <t>SCA</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50992-2025</t>
        </is>
      </c>
      <c r="B6538" s="1" t="n">
        <v>45947.34668981482</v>
      </c>
      <c r="C6538" s="1" t="n">
        <v>46046</v>
      </c>
      <c r="D6538" t="inlineStr">
        <is>
          <t>NORRBOTTENS LÄN</t>
        </is>
      </c>
      <c r="E6538" t="inlineStr">
        <is>
          <t>ÖVERKALIX</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50993-2025</t>
        </is>
      </c>
      <c r="B6539" s="1" t="n">
        <v>45947.34690972222</v>
      </c>
      <c r="C6539" s="1" t="n">
        <v>46046</v>
      </c>
      <c r="D6539" t="inlineStr">
        <is>
          <t>NORRBOTTENS LÄN</t>
        </is>
      </c>
      <c r="E6539" t="inlineStr">
        <is>
          <t>BODEN</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51043-2025</t>
        </is>
      </c>
      <c r="B6540" s="1" t="n">
        <v>45947.42418981482</v>
      </c>
      <c r="C6540" s="1" t="n">
        <v>46046</v>
      </c>
      <c r="D6540" t="inlineStr">
        <is>
          <t>NORRBOTTENS LÄN</t>
        </is>
      </c>
      <c r="E6540" t="inlineStr">
        <is>
          <t>ÖVERTORNEÅ</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51068-2025</t>
        </is>
      </c>
      <c r="B6541" s="1" t="n">
        <v>45947</v>
      </c>
      <c r="C6541" s="1" t="n">
        <v>46046</v>
      </c>
      <c r="D6541" t="inlineStr">
        <is>
          <t>NORRBOTTENS LÄN</t>
        </is>
      </c>
      <c r="E6541" t="inlineStr">
        <is>
          <t>ÄLVSBYN</t>
        </is>
      </c>
      <c r="F6541" t="inlineStr">
        <is>
          <t>Sveaskog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51000-2025</t>
        </is>
      </c>
      <c r="B6542" s="1" t="n">
        <v>45947.35893518518</v>
      </c>
      <c r="C6542" s="1" t="n">
        <v>46046</v>
      </c>
      <c r="D6542" t="inlineStr">
        <is>
          <t>NORRBOTTENS LÄN</t>
        </is>
      </c>
      <c r="E6542" t="inlineStr">
        <is>
          <t>ÖVERTORNEÅ</t>
        </is>
      </c>
      <c r="F6542" t="inlineStr">
        <is>
          <t>Sveaskog</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50771-2025</t>
        </is>
      </c>
      <c r="B6543" s="1" t="n">
        <v>45946</v>
      </c>
      <c r="C6543" s="1" t="n">
        <v>46046</v>
      </c>
      <c r="D6543" t="inlineStr">
        <is>
          <t>NORRBOTTENS LÄN</t>
        </is>
      </c>
      <c r="E6543" t="inlineStr">
        <is>
          <t>GÄLLIVARE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50774-2025</t>
        </is>
      </c>
      <c r="B6544" s="1" t="n">
        <v>45946</v>
      </c>
      <c r="C6544" s="1" t="n">
        <v>46046</v>
      </c>
      <c r="D6544" t="inlineStr">
        <is>
          <t>NORRBOTTENS LÄN</t>
        </is>
      </c>
      <c r="E6544" t="inlineStr">
        <is>
          <t>PITEÅ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50845-2025</t>
        </is>
      </c>
      <c r="B6545" s="1" t="n">
        <v>45946.5737037037</v>
      </c>
      <c r="C6545" s="1" t="n">
        <v>46046</v>
      </c>
      <c r="D6545" t="inlineStr">
        <is>
          <t>NORRBOTTENS LÄN</t>
        </is>
      </c>
      <c r="E6545" t="inlineStr">
        <is>
          <t>LULEÅ</t>
        </is>
      </c>
      <c r="G6545" t="n">
        <v>11.7</v>
      </c>
      <c r="H6545" t="n">
        <v>0</v>
      </c>
      <c r="I6545" t="n">
        <v>0</v>
      </c>
      <c r="J6545" t="n">
        <v>0</v>
      </c>
      <c r="K6545" t="n">
        <v>0</v>
      </c>
      <c r="L6545" t="n">
        <v>0</v>
      </c>
      <c r="M6545" t="n">
        <v>0</v>
      </c>
      <c r="N6545" t="n">
        <v>0</v>
      </c>
      <c r="O6545" t="n">
        <v>0</v>
      </c>
      <c r="P6545" t="n">
        <v>0</v>
      </c>
      <c r="Q6545" t="n">
        <v>0</v>
      </c>
      <c r="R6545" s="2" t="inlineStr"/>
    </row>
    <row r="6546" ht="15" customHeight="1">
      <c r="A6546" t="inlineStr">
        <is>
          <t>A 50938-2025</t>
        </is>
      </c>
      <c r="B6546" s="1" t="n">
        <v>45946.70085648148</v>
      </c>
      <c r="C6546" s="1" t="n">
        <v>46046</v>
      </c>
      <c r="D6546" t="inlineStr">
        <is>
          <t>NORRBOTTENS LÄN</t>
        </is>
      </c>
      <c r="E6546" t="inlineStr">
        <is>
          <t>ÖVERTORNEÅ</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51061-2025</t>
        </is>
      </c>
      <c r="B6547" s="1" t="n">
        <v>45947.446875</v>
      </c>
      <c r="C6547" s="1" t="n">
        <v>46046</v>
      </c>
      <c r="D6547" t="inlineStr">
        <is>
          <t>NORRBOTTENS LÄN</t>
        </is>
      </c>
      <c r="E6547" t="inlineStr">
        <is>
          <t>BODEN</t>
        </is>
      </c>
      <c r="F6547" t="inlineStr">
        <is>
          <t>Sveaskog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50731-2025</t>
        </is>
      </c>
      <c r="B6548" s="1" t="n">
        <v>45946.36513888889</v>
      </c>
      <c r="C6548" s="1" t="n">
        <v>46046</v>
      </c>
      <c r="D6548" t="inlineStr">
        <is>
          <t>NORRBOTTENS LÄN</t>
        </is>
      </c>
      <c r="E6548" t="inlineStr">
        <is>
          <t>JOKKMOKK</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50745-2025</t>
        </is>
      </c>
      <c r="B6549" s="1" t="n">
        <v>45946.38613425926</v>
      </c>
      <c r="C6549" s="1" t="n">
        <v>46046</v>
      </c>
      <c r="D6549" t="inlineStr">
        <is>
          <t>NORRBOTTENS LÄN</t>
        </is>
      </c>
      <c r="E6549" t="inlineStr">
        <is>
          <t>PITEÅ</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50989-2025</t>
        </is>
      </c>
      <c r="B6550" s="1" t="n">
        <v>45947.34578703704</v>
      </c>
      <c r="C6550" s="1" t="n">
        <v>46046</v>
      </c>
      <c r="D6550" t="inlineStr">
        <is>
          <t>NORRBOTTENS LÄN</t>
        </is>
      </c>
      <c r="E6550" t="inlineStr">
        <is>
          <t>LULEÅ</t>
        </is>
      </c>
      <c r="F6550" t="inlineStr">
        <is>
          <t>SCA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50991-2025</t>
        </is>
      </c>
      <c r="B6551" s="1" t="n">
        <v>45947.34611111111</v>
      </c>
      <c r="C6551" s="1" t="n">
        <v>46046</v>
      </c>
      <c r="D6551" t="inlineStr">
        <is>
          <t>NORRBOTTENS LÄN</t>
        </is>
      </c>
      <c r="E6551" t="inlineStr">
        <is>
          <t>BODEN</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51608-2025</t>
        </is>
      </c>
      <c r="B6552" s="1" t="n">
        <v>45951</v>
      </c>
      <c r="C6552" s="1" t="n">
        <v>46046</v>
      </c>
      <c r="D6552" t="inlineStr">
        <is>
          <t>NORRBOTTENS LÄN</t>
        </is>
      </c>
      <c r="E6552" t="inlineStr">
        <is>
          <t>BODEN</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51533-2025</t>
        </is>
      </c>
      <c r="B6553" s="1" t="n">
        <v>45950.69006944444</v>
      </c>
      <c r="C6553" s="1" t="n">
        <v>46046</v>
      </c>
      <c r="D6553" t="inlineStr">
        <is>
          <t>NORRBOTTENS LÄN</t>
        </is>
      </c>
      <c r="E6553" t="inlineStr">
        <is>
          <t>BODEN</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51822-2025</t>
        </is>
      </c>
      <c r="B6554" s="1" t="n">
        <v>45951</v>
      </c>
      <c r="C6554" s="1" t="n">
        <v>46046</v>
      </c>
      <c r="D6554" t="inlineStr">
        <is>
          <t>NORRBOTTENS LÄN</t>
        </is>
      </c>
      <c r="E6554" t="inlineStr">
        <is>
          <t>PAJALA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51375-2025</t>
        </is>
      </c>
      <c r="B6555" s="1" t="n">
        <v>45950.45288194445</v>
      </c>
      <c r="C6555" s="1" t="n">
        <v>46046</v>
      </c>
      <c r="D6555" t="inlineStr">
        <is>
          <t>NORRBOTTENS LÄN</t>
        </is>
      </c>
      <c r="E6555" t="inlineStr">
        <is>
          <t>PITEÅ</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51391-2025</t>
        </is>
      </c>
      <c r="B6556" s="1" t="n">
        <v>45950.46918981482</v>
      </c>
      <c r="C6556" s="1" t="n">
        <v>46046</v>
      </c>
      <c r="D6556" t="inlineStr">
        <is>
          <t>NORRBOTTENS LÄN</t>
        </is>
      </c>
      <c r="E6556" t="inlineStr">
        <is>
          <t>LULEÅ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51406-2025</t>
        </is>
      </c>
      <c r="B6557" s="1" t="n">
        <v>45950.48436342592</v>
      </c>
      <c r="C6557" s="1" t="n">
        <v>46046</v>
      </c>
      <c r="D6557" t="inlineStr">
        <is>
          <t>NORRBOTTENS LÄN</t>
        </is>
      </c>
      <c r="E6557" t="inlineStr">
        <is>
          <t>ARVIDSJAUR</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51454-2025</t>
        </is>
      </c>
      <c r="B6558" s="1" t="n">
        <v>45950.59493055556</v>
      </c>
      <c r="C6558" s="1" t="n">
        <v>46046</v>
      </c>
      <c r="D6558" t="inlineStr">
        <is>
          <t>NORRBOTTENS LÄN</t>
        </is>
      </c>
      <c r="E6558" t="inlineStr">
        <is>
          <t>GÄLLIVARE</t>
        </is>
      </c>
      <c r="F6558" t="inlineStr">
        <is>
          <t>Naturvårdsverket</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51465-2025</t>
        </is>
      </c>
      <c r="B6559" s="1" t="n">
        <v>45950.61075231482</v>
      </c>
      <c r="C6559" s="1" t="n">
        <v>46046</v>
      </c>
      <c r="D6559" t="inlineStr">
        <is>
          <t>NORRBOTTENS LÄN</t>
        </is>
      </c>
      <c r="E6559" t="inlineStr">
        <is>
          <t>LULEÅ</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51480-2025</t>
        </is>
      </c>
      <c r="B6560" s="1" t="n">
        <v>45950.61998842593</v>
      </c>
      <c r="C6560" s="1" t="n">
        <v>46046</v>
      </c>
      <c r="D6560" t="inlineStr">
        <is>
          <t>NORRBOTTENS LÄN</t>
        </is>
      </c>
      <c r="E6560" t="inlineStr">
        <is>
          <t>GÄLLIVARE</t>
        </is>
      </c>
      <c r="F6560" t="inlineStr">
        <is>
          <t>Naturvårdsverket</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51486-2025</t>
        </is>
      </c>
      <c r="B6561" s="1" t="n">
        <v>45950.62233796297</v>
      </c>
      <c r="C6561" s="1" t="n">
        <v>46046</v>
      </c>
      <c r="D6561" t="inlineStr">
        <is>
          <t>NORRBOTTENS LÄN</t>
        </is>
      </c>
      <c r="E6561" t="inlineStr">
        <is>
          <t>KALIX</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51304-2025</t>
        </is>
      </c>
      <c r="B6562" s="1" t="n">
        <v>45950</v>
      </c>
      <c r="C6562" s="1" t="n">
        <v>46046</v>
      </c>
      <c r="D6562" t="inlineStr">
        <is>
          <t>NORRBOTTENS LÄN</t>
        </is>
      </c>
      <c r="E6562" t="inlineStr">
        <is>
          <t>BODEN</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51477-2025</t>
        </is>
      </c>
      <c r="B6563" s="1" t="n">
        <v>45950.61921296296</v>
      </c>
      <c r="C6563" s="1" t="n">
        <v>46046</v>
      </c>
      <c r="D6563" t="inlineStr">
        <is>
          <t>NORRBOTTENS LÄN</t>
        </is>
      </c>
      <c r="E6563" t="inlineStr">
        <is>
          <t>KALIX</t>
        </is>
      </c>
      <c r="F6563" t="inlineStr">
        <is>
          <t>SCA</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51524-2025</t>
        </is>
      </c>
      <c r="B6564" s="1" t="n">
        <v>45950.66767361111</v>
      </c>
      <c r="C6564" s="1" t="n">
        <v>46046</v>
      </c>
      <c r="D6564" t="inlineStr">
        <is>
          <t>NORRBOTTENS LÄN</t>
        </is>
      </c>
      <c r="E6564" t="inlineStr">
        <is>
          <t>GÄLLIVARE</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40115-2025</t>
        </is>
      </c>
      <c r="B6565" s="1" t="n">
        <v>45893</v>
      </c>
      <c r="C6565" s="1" t="n">
        <v>46046</v>
      </c>
      <c r="D6565" t="inlineStr">
        <is>
          <t>NORRBOTTENS LÄN</t>
        </is>
      </c>
      <c r="E6565" t="inlineStr">
        <is>
          <t>BODEN</t>
        </is>
      </c>
      <c r="F6565" t="inlineStr">
        <is>
          <t>Övriga statliga verk och myndigheter</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51700-2025</t>
        </is>
      </c>
      <c r="B6566" s="1" t="n">
        <v>45951.55287037037</v>
      </c>
      <c r="C6566" s="1" t="n">
        <v>46046</v>
      </c>
      <c r="D6566" t="inlineStr">
        <is>
          <t>NORRBOTTENS LÄN</t>
        </is>
      </c>
      <c r="E6566" t="inlineStr">
        <is>
          <t>JOKKMOKK</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51264-2025</t>
        </is>
      </c>
      <c r="B6567" s="1" t="n">
        <v>45949.69255787037</v>
      </c>
      <c r="C6567" s="1" t="n">
        <v>46046</v>
      </c>
      <c r="D6567" t="inlineStr">
        <is>
          <t>NORRBOTTENS LÄN</t>
        </is>
      </c>
      <c r="E6567" t="inlineStr">
        <is>
          <t>PITEÅ</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51656-2025</t>
        </is>
      </c>
      <c r="B6568" s="1" t="n">
        <v>45951.46915509259</v>
      </c>
      <c r="C6568" s="1" t="n">
        <v>46046</v>
      </c>
      <c r="D6568" t="inlineStr">
        <is>
          <t>NORRBOTTENS LÄN</t>
        </is>
      </c>
      <c r="E6568" t="inlineStr">
        <is>
          <t>ÖVERKALIX</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25270-2023</t>
        </is>
      </c>
      <c r="B6569" s="1" t="n">
        <v>45079</v>
      </c>
      <c r="C6569" s="1" t="n">
        <v>46046</v>
      </c>
      <c r="D6569" t="inlineStr">
        <is>
          <t>NORRBOTTENS LÄN</t>
        </is>
      </c>
      <c r="E6569" t="inlineStr">
        <is>
          <t>ARJEPLOG</t>
        </is>
      </c>
      <c r="F6569" t="inlineStr">
        <is>
          <t>Övriga statliga verk och myndigheter</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51322-2025</t>
        </is>
      </c>
      <c r="B6570" s="1" t="n">
        <v>45950.38770833334</v>
      </c>
      <c r="C6570" s="1" t="n">
        <v>46046</v>
      </c>
      <c r="D6570" t="inlineStr">
        <is>
          <t>NORRBOTTENS LÄN</t>
        </is>
      </c>
      <c r="E6570" t="inlineStr">
        <is>
          <t>PITEÅ</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51424-2025</t>
        </is>
      </c>
      <c r="B6571" s="1" t="n">
        <v>45950.53168981482</v>
      </c>
      <c r="C6571" s="1" t="n">
        <v>46046</v>
      </c>
      <c r="D6571" t="inlineStr">
        <is>
          <t>NORRBOTTENS LÄN</t>
        </is>
      </c>
      <c r="E6571" t="inlineStr">
        <is>
          <t>ÖVERKALIX</t>
        </is>
      </c>
      <c r="F6571" t="inlineStr">
        <is>
          <t>SCA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51425-2025</t>
        </is>
      </c>
      <c r="B6572" s="1" t="n">
        <v>45950.53265046296</v>
      </c>
      <c r="C6572" s="1" t="n">
        <v>46046</v>
      </c>
      <c r="D6572" t="inlineStr">
        <is>
          <t>NORRBOTTENS LÄN</t>
        </is>
      </c>
      <c r="E6572" t="inlineStr">
        <is>
          <t>ÖVERKALIX</t>
        </is>
      </c>
      <c r="F6572" t="inlineStr">
        <is>
          <t>SCA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50434-2025</t>
        </is>
      </c>
      <c r="B6573" s="1" t="n">
        <v>45944</v>
      </c>
      <c r="C6573" s="1" t="n">
        <v>46046</v>
      </c>
      <c r="D6573" t="inlineStr">
        <is>
          <t>NORRBOTTENS LÄN</t>
        </is>
      </c>
      <c r="E6573" t="inlineStr">
        <is>
          <t>BODEN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51336-2025</t>
        </is>
      </c>
      <c r="B6574" s="1" t="n">
        <v>45950</v>
      </c>
      <c r="C6574" s="1" t="n">
        <v>46046</v>
      </c>
      <c r="D6574" t="inlineStr">
        <is>
          <t>NORRBOTTENS LÄN</t>
        </is>
      </c>
      <c r="E6574" t="inlineStr">
        <is>
          <t>ARVIDSJAUR</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18002-2025</t>
        </is>
      </c>
      <c r="B6575" s="1" t="n">
        <v>45761</v>
      </c>
      <c r="C6575" s="1" t="n">
        <v>46046</v>
      </c>
      <c r="D6575" t="inlineStr">
        <is>
          <t>NORRBOTTENS LÄN</t>
        </is>
      </c>
      <c r="E6575" t="inlineStr">
        <is>
          <t>BODEN</t>
        </is>
      </c>
      <c r="F6575" t="inlineStr">
        <is>
          <t>Övriga statliga verk och myndigheter</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41470-2025</t>
        </is>
      </c>
      <c r="B6576" s="1" t="n">
        <v>45896</v>
      </c>
      <c r="C6576" s="1" t="n">
        <v>46046</v>
      </c>
      <c r="D6576" t="inlineStr">
        <is>
          <t>NORRBOTTENS LÄN</t>
        </is>
      </c>
      <c r="E6576" t="inlineStr">
        <is>
          <t>BODEN</t>
        </is>
      </c>
      <c r="F6576" t="inlineStr">
        <is>
          <t>Övriga statliga verk och myndigheter</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42171-2025</t>
        </is>
      </c>
      <c r="B6577" s="1" t="n">
        <v>45902</v>
      </c>
      <c r="C6577" s="1" t="n">
        <v>46046</v>
      </c>
      <c r="D6577" t="inlineStr">
        <is>
          <t>NORRBOTTENS LÄN</t>
        </is>
      </c>
      <c r="E6577" t="inlineStr">
        <is>
          <t>BODEN</t>
        </is>
      </c>
      <c r="F6577" t="inlineStr">
        <is>
          <t>Övriga statliga verk och myndigheter</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40078-2025</t>
        </is>
      </c>
      <c r="B6578" s="1" t="n">
        <v>45893</v>
      </c>
      <c r="C6578" s="1" t="n">
        <v>46046</v>
      </c>
      <c r="D6578" t="inlineStr">
        <is>
          <t>NORRBOTTENS LÄN</t>
        </is>
      </c>
      <c r="E6578" t="inlineStr">
        <is>
          <t>BODEN</t>
        </is>
      </c>
      <c r="F6578" t="inlineStr">
        <is>
          <t>Övriga statliga verk och myndigheter</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51349-2025</t>
        </is>
      </c>
      <c r="B6579" s="1" t="n">
        <v>45950.43512731481</v>
      </c>
      <c r="C6579" s="1" t="n">
        <v>46046</v>
      </c>
      <c r="D6579" t="inlineStr">
        <is>
          <t>NORRBOTTENS LÄN</t>
        </is>
      </c>
      <c r="E6579" t="inlineStr">
        <is>
          <t>ARVIDSJAUR</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51715-2025</t>
        </is>
      </c>
      <c r="B6580" s="1" t="n">
        <v>45951.57585648148</v>
      </c>
      <c r="C6580" s="1" t="n">
        <v>46046</v>
      </c>
      <c r="D6580" t="inlineStr">
        <is>
          <t>NORRBOTTENS LÄN</t>
        </is>
      </c>
      <c r="E6580" t="inlineStr">
        <is>
          <t>JOKKMOKK</t>
        </is>
      </c>
      <c r="F6580" t="inlineStr">
        <is>
          <t>Övriga statliga verk och myndigheter</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51263-2025</t>
        </is>
      </c>
      <c r="B6581" s="1" t="n">
        <v>45949</v>
      </c>
      <c r="C6581" s="1" t="n">
        <v>46046</v>
      </c>
      <c r="D6581" t="inlineStr">
        <is>
          <t>NORRBOTTENS LÄN</t>
        </is>
      </c>
      <c r="E6581" t="inlineStr">
        <is>
          <t>BODEN</t>
        </is>
      </c>
      <c r="F6581" t="inlineStr">
        <is>
          <t>SCA</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51453-2025</t>
        </is>
      </c>
      <c r="B6582" s="1" t="n">
        <v>45950.59462962963</v>
      </c>
      <c r="C6582" s="1" t="n">
        <v>46046</v>
      </c>
      <c r="D6582" t="inlineStr">
        <is>
          <t>NORRBOTTENS LÄN</t>
        </is>
      </c>
      <c r="E6582" t="inlineStr">
        <is>
          <t>GÄLLIVARE</t>
        </is>
      </c>
      <c r="F6582" t="inlineStr">
        <is>
          <t>Naturvårdsverket</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51460-2025</t>
        </is>
      </c>
      <c r="B6583" s="1" t="n">
        <v>45950</v>
      </c>
      <c r="C6583" s="1" t="n">
        <v>46046</v>
      </c>
      <c r="D6583" t="inlineStr">
        <is>
          <t>NORRBOTTENS LÄN</t>
        </is>
      </c>
      <c r="E6583" t="inlineStr">
        <is>
          <t>BODEN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51699-2025</t>
        </is>
      </c>
      <c r="B6584" s="1" t="n">
        <v>45951.55253472222</v>
      </c>
      <c r="C6584" s="1" t="n">
        <v>46046</v>
      </c>
      <c r="D6584" t="inlineStr">
        <is>
          <t>NORRBOTTENS LÄN</t>
        </is>
      </c>
      <c r="E6584" t="inlineStr">
        <is>
          <t>JOKKMOKK</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51256-2025</t>
        </is>
      </c>
      <c r="B6585" s="1" t="n">
        <v>45949.40681712963</v>
      </c>
      <c r="C6585" s="1" t="n">
        <v>46046</v>
      </c>
      <c r="D6585" t="inlineStr">
        <is>
          <t>NORRBOTTENS LÄN</t>
        </is>
      </c>
      <c r="E6585" t="inlineStr">
        <is>
          <t>LULEÅ</t>
        </is>
      </c>
      <c r="F6585" t="inlineStr">
        <is>
          <t>SCA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51494-2025</t>
        </is>
      </c>
      <c r="B6586" s="1" t="n">
        <v>45950.63609953703</v>
      </c>
      <c r="C6586" s="1" t="n">
        <v>46046</v>
      </c>
      <c r="D6586" t="inlineStr">
        <is>
          <t>NORRBOTTENS LÄN</t>
        </is>
      </c>
      <c r="E6586" t="inlineStr">
        <is>
          <t>GÄLLIVARE</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51498-2025</t>
        </is>
      </c>
      <c r="B6587" s="1" t="n">
        <v>45950</v>
      </c>
      <c r="C6587" s="1" t="n">
        <v>46046</v>
      </c>
      <c r="D6587" t="inlineStr">
        <is>
          <t>NORRBOTTENS LÄN</t>
        </is>
      </c>
      <c r="E6587" t="inlineStr">
        <is>
          <t>KALIX</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51571-2025</t>
        </is>
      </c>
      <c r="B6588" s="1" t="n">
        <v>45951.33339120371</v>
      </c>
      <c r="C6588" s="1" t="n">
        <v>46046</v>
      </c>
      <c r="D6588" t="inlineStr">
        <is>
          <t>NORRBOTTENS LÄN</t>
        </is>
      </c>
      <c r="E6588" t="inlineStr">
        <is>
          <t>PITEÅ</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51610-2025</t>
        </is>
      </c>
      <c r="B6589" s="1" t="n">
        <v>45951</v>
      </c>
      <c r="C6589" s="1" t="n">
        <v>46046</v>
      </c>
      <c r="D6589" t="inlineStr">
        <is>
          <t>NORRBOTTENS LÄN</t>
        </is>
      </c>
      <c r="E6589" t="inlineStr">
        <is>
          <t>BODEN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51403-2025</t>
        </is>
      </c>
      <c r="B6590" s="1" t="n">
        <v>45950.48214120371</v>
      </c>
      <c r="C6590" s="1" t="n">
        <v>46046</v>
      </c>
      <c r="D6590" t="inlineStr">
        <is>
          <t>NORRBOTTENS LÄN</t>
        </is>
      </c>
      <c r="E6590" t="inlineStr">
        <is>
          <t>ARVIDSJAUR</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51354-2025</t>
        </is>
      </c>
      <c r="B6591" s="1" t="n">
        <v>45950.44028935185</v>
      </c>
      <c r="C6591" s="1" t="n">
        <v>46046</v>
      </c>
      <c r="D6591" t="inlineStr">
        <is>
          <t>NORRBOTTENS LÄN</t>
        </is>
      </c>
      <c r="E6591" t="inlineStr">
        <is>
          <t>ÖVERKALIX</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51401-2025</t>
        </is>
      </c>
      <c r="B6592" s="1" t="n">
        <v>45950.48019675926</v>
      </c>
      <c r="C6592" s="1" t="n">
        <v>46046</v>
      </c>
      <c r="D6592" t="inlineStr">
        <is>
          <t>NORRBOTTENS LÄN</t>
        </is>
      </c>
      <c r="E6592" t="inlineStr">
        <is>
          <t>ARVIDSJAUR</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51721-2025</t>
        </is>
      </c>
      <c r="B6593" s="1" t="n">
        <v>45951.58004629629</v>
      </c>
      <c r="C6593" s="1" t="n">
        <v>46046</v>
      </c>
      <c r="D6593" t="inlineStr">
        <is>
          <t>NORRBOTTENS LÄN</t>
        </is>
      </c>
      <c r="E6593" t="inlineStr">
        <is>
          <t>JOKKMOKK</t>
        </is>
      </c>
      <c r="F6593" t="inlineStr">
        <is>
          <t>Övriga statliga verk och myndigheter</t>
        </is>
      </c>
      <c r="G6593" t="n">
        <v>16.3</v>
      </c>
      <c r="H6593" t="n">
        <v>0</v>
      </c>
      <c r="I6593" t="n">
        <v>0</v>
      </c>
      <c r="J6593" t="n">
        <v>0</v>
      </c>
      <c r="K6593" t="n">
        <v>0</v>
      </c>
      <c r="L6593" t="n">
        <v>0</v>
      </c>
      <c r="M6593" t="n">
        <v>0</v>
      </c>
      <c r="N6593" t="n">
        <v>0</v>
      </c>
      <c r="O6593" t="n">
        <v>0</v>
      </c>
      <c r="P6593" t="n">
        <v>0</v>
      </c>
      <c r="Q6593" t="n">
        <v>0</v>
      </c>
      <c r="R6593" s="2" t="inlineStr"/>
    </row>
    <row r="6594" ht="15" customHeight="1">
      <c r="A6594" t="inlineStr">
        <is>
          <t>A 51479-2025</t>
        </is>
      </c>
      <c r="B6594" s="1" t="n">
        <v>45950.61949074074</v>
      </c>
      <c r="C6594" s="1" t="n">
        <v>46046</v>
      </c>
      <c r="D6594" t="inlineStr">
        <is>
          <t>NORRBOTTENS LÄN</t>
        </is>
      </c>
      <c r="E6594" t="inlineStr">
        <is>
          <t>KALIX</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51576-2025</t>
        </is>
      </c>
      <c r="B6595" s="1" t="n">
        <v>45951.34469907408</v>
      </c>
      <c r="C6595" s="1" t="n">
        <v>46046</v>
      </c>
      <c r="D6595" t="inlineStr">
        <is>
          <t>NORRBOTTENS LÄN</t>
        </is>
      </c>
      <c r="E6595" t="inlineStr">
        <is>
          <t>JOKKMOKK</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51577-2025</t>
        </is>
      </c>
      <c r="B6596" s="1" t="n">
        <v>45951</v>
      </c>
      <c r="C6596" s="1" t="n">
        <v>46046</v>
      </c>
      <c r="D6596" t="inlineStr">
        <is>
          <t>NORRBOTTENS LÄN</t>
        </is>
      </c>
      <c r="E6596" t="inlineStr">
        <is>
          <t>JOKKMOKK</t>
        </is>
      </c>
      <c r="F6596" t="inlineStr">
        <is>
          <t>SCA</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51604-2025</t>
        </is>
      </c>
      <c r="B6597" s="1" t="n">
        <v>45951.38586805556</v>
      </c>
      <c r="C6597" s="1" t="n">
        <v>46046</v>
      </c>
      <c r="D6597" t="inlineStr">
        <is>
          <t>NORRBOTTENS LÄN</t>
        </is>
      </c>
      <c r="E6597" t="inlineStr">
        <is>
          <t>PITEÅ</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51606-2025</t>
        </is>
      </c>
      <c r="B6598" s="1" t="n">
        <v>45951.38597222222</v>
      </c>
      <c r="C6598" s="1" t="n">
        <v>46046</v>
      </c>
      <c r="D6598" t="inlineStr">
        <is>
          <t>NORRBOTTENS LÄN</t>
        </is>
      </c>
      <c r="E6598" t="inlineStr">
        <is>
          <t>PITEÅ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51607-2025</t>
        </is>
      </c>
      <c r="B6599" s="1" t="n">
        <v>45951.3860300926</v>
      </c>
      <c r="C6599" s="1" t="n">
        <v>46046</v>
      </c>
      <c r="D6599" t="inlineStr">
        <is>
          <t>NORRBOTTENS LÄN</t>
        </is>
      </c>
      <c r="E6599" t="inlineStr">
        <is>
          <t>PITEÅ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51366-2025</t>
        </is>
      </c>
      <c r="B6600" s="1" t="n">
        <v>45950</v>
      </c>
      <c r="C6600" s="1" t="n">
        <v>46046</v>
      </c>
      <c r="D6600" t="inlineStr">
        <is>
          <t>NORRBOTTENS LÄN</t>
        </is>
      </c>
      <c r="E6600" t="inlineStr">
        <is>
          <t>ÄLVSBYN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51634-2025</t>
        </is>
      </c>
      <c r="B6601" s="1" t="n">
        <v>45951</v>
      </c>
      <c r="C6601" s="1" t="n">
        <v>46046</v>
      </c>
      <c r="D6601" t="inlineStr">
        <is>
          <t>NORRBOTTENS LÄN</t>
        </is>
      </c>
      <c r="E6601" t="inlineStr">
        <is>
          <t>ÖVERKALIX</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42173-2025</t>
        </is>
      </c>
      <c r="B6602" s="1" t="n">
        <v>45902</v>
      </c>
      <c r="C6602" s="1" t="n">
        <v>46046</v>
      </c>
      <c r="D6602" t="inlineStr">
        <is>
          <t>NORRBOTTENS LÄN</t>
        </is>
      </c>
      <c r="E6602" t="inlineStr">
        <is>
          <t>BODEN</t>
        </is>
      </c>
      <c r="F6602" t="inlineStr">
        <is>
          <t>Övriga statliga verk och myndigheter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822-2025</t>
        </is>
      </c>
      <c r="B6603" s="1" t="n">
        <v>45664</v>
      </c>
      <c r="C6603" s="1" t="n">
        <v>46046</v>
      </c>
      <c r="D6603" t="inlineStr">
        <is>
          <t>NORRBOTTENS LÄN</t>
        </is>
      </c>
      <c r="E6603" t="inlineStr">
        <is>
          <t>LULEÅ</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51485-2025</t>
        </is>
      </c>
      <c r="B6604" s="1" t="n">
        <v>45950</v>
      </c>
      <c r="C6604" s="1" t="n">
        <v>46046</v>
      </c>
      <c r="D6604" t="inlineStr">
        <is>
          <t>NORRBOTTENS LÄN</t>
        </is>
      </c>
      <c r="E6604" t="inlineStr">
        <is>
          <t>KALIX</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51679-2025</t>
        </is>
      </c>
      <c r="B6605" s="1" t="n">
        <v>45951.51141203703</v>
      </c>
      <c r="C6605" s="1" t="n">
        <v>46046</v>
      </c>
      <c r="D6605" t="inlineStr">
        <is>
          <t>NORRBOTTENS LÄN</t>
        </is>
      </c>
      <c r="E6605" t="inlineStr">
        <is>
          <t>JOKKMOKK</t>
        </is>
      </c>
      <c r="F6605" t="inlineStr">
        <is>
          <t>SCA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51707-2025</t>
        </is>
      </c>
      <c r="B6606" s="1" t="n">
        <v>45951</v>
      </c>
      <c r="C6606" s="1" t="n">
        <v>46046</v>
      </c>
      <c r="D6606" t="inlineStr">
        <is>
          <t>NORRBOTTENS LÄN</t>
        </is>
      </c>
      <c r="E6606" t="inlineStr">
        <is>
          <t>JOKKMOKK</t>
        </is>
      </c>
      <c r="F6606" t="inlineStr">
        <is>
          <t>Övriga statliga verk och myndigheter</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51717-2025</t>
        </is>
      </c>
      <c r="B6607" s="1" t="n">
        <v>45951.57743055555</v>
      </c>
      <c r="C6607" s="1" t="n">
        <v>46046</v>
      </c>
      <c r="D6607" t="inlineStr">
        <is>
          <t>NORRBOTTENS LÄN</t>
        </is>
      </c>
      <c r="E6607" t="inlineStr">
        <is>
          <t>JOKKMOKK</t>
        </is>
      </c>
      <c r="F6607" t="inlineStr">
        <is>
          <t>Övriga statliga verk och myndigheter</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51718-2025</t>
        </is>
      </c>
      <c r="B6608" s="1" t="n">
        <v>45951.57791666667</v>
      </c>
      <c r="C6608" s="1" t="n">
        <v>46046</v>
      </c>
      <c r="D6608" t="inlineStr">
        <is>
          <t>NORRBOTTENS LÄN</t>
        </is>
      </c>
      <c r="E6608" t="inlineStr">
        <is>
          <t>JOKKMOKK</t>
        </is>
      </c>
      <c r="F6608" t="inlineStr">
        <is>
          <t>Övriga statliga verk och myndigheter</t>
        </is>
      </c>
      <c r="G6608" t="n">
        <v>31.9</v>
      </c>
      <c r="H6608" t="n">
        <v>0</v>
      </c>
      <c r="I6608" t="n">
        <v>0</v>
      </c>
      <c r="J6608" t="n">
        <v>0</v>
      </c>
      <c r="K6608" t="n">
        <v>0</v>
      </c>
      <c r="L6608" t="n">
        <v>0</v>
      </c>
      <c r="M6608" t="n">
        <v>0</v>
      </c>
      <c r="N6608" t="n">
        <v>0</v>
      </c>
      <c r="O6608" t="n">
        <v>0</v>
      </c>
      <c r="P6608" t="n">
        <v>0</v>
      </c>
      <c r="Q6608" t="n">
        <v>0</v>
      </c>
      <c r="R6608" s="2" t="inlineStr"/>
    </row>
    <row r="6609" ht="15" customHeight="1">
      <c r="A6609" t="inlineStr">
        <is>
          <t>A 51787-2025</t>
        </is>
      </c>
      <c r="B6609" s="1" t="n">
        <v>45951.67826388889</v>
      </c>
      <c r="C6609" s="1" t="n">
        <v>46046</v>
      </c>
      <c r="D6609" t="inlineStr">
        <is>
          <t>NORRBOTTENS LÄN</t>
        </is>
      </c>
      <c r="E6609" t="inlineStr">
        <is>
          <t>KALIX</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51257-2025</t>
        </is>
      </c>
      <c r="B6610" s="1" t="n">
        <v>45949.42743055556</v>
      </c>
      <c r="C6610" s="1" t="n">
        <v>46046</v>
      </c>
      <c r="D6610" t="inlineStr">
        <is>
          <t>NORRBOTTENS LÄN</t>
        </is>
      </c>
      <c r="E6610" t="inlineStr">
        <is>
          <t>ÖVERKALIX</t>
        </is>
      </c>
      <c r="F6610" t="inlineStr">
        <is>
          <t>SCA</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51258-2025</t>
        </is>
      </c>
      <c r="B6611" s="1" t="n">
        <v>45949</v>
      </c>
      <c r="C6611" s="1" t="n">
        <v>46046</v>
      </c>
      <c r="D6611" t="inlineStr">
        <is>
          <t>NORRBOTTENS LÄN</t>
        </is>
      </c>
      <c r="E6611" t="inlineStr">
        <is>
          <t>BODEN</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51496-2025</t>
        </is>
      </c>
      <c r="B6612" s="1" t="n">
        <v>45950</v>
      </c>
      <c r="C6612" s="1" t="n">
        <v>46046</v>
      </c>
      <c r="D6612" t="inlineStr">
        <is>
          <t>NORRBOTTENS LÄN</t>
        </is>
      </c>
      <c r="E6612" t="inlineStr">
        <is>
          <t>KALIX</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51497-2025</t>
        </is>
      </c>
      <c r="B6613" s="1" t="n">
        <v>45950</v>
      </c>
      <c r="C6613" s="1" t="n">
        <v>46046</v>
      </c>
      <c r="D6613" t="inlineStr">
        <is>
          <t>NORRBOTTENS LÄN</t>
        </is>
      </c>
      <c r="E6613" t="inlineStr">
        <is>
          <t>KALIX</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51499-2025</t>
        </is>
      </c>
      <c r="B6614" s="1" t="n">
        <v>45950.63737268518</v>
      </c>
      <c r="C6614" s="1" t="n">
        <v>46046</v>
      </c>
      <c r="D6614" t="inlineStr">
        <is>
          <t>NORRBOTTENS LÄN</t>
        </is>
      </c>
      <c r="E6614" t="inlineStr">
        <is>
          <t>JOKKMOKK</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51661-2025</t>
        </is>
      </c>
      <c r="B6615" s="1" t="n">
        <v>45951.47849537037</v>
      </c>
      <c r="C6615" s="1" t="n">
        <v>46046</v>
      </c>
      <c r="D6615" t="inlineStr">
        <is>
          <t>NORRBOTTENS LÄN</t>
        </is>
      </c>
      <c r="E6615" t="inlineStr">
        <is>
          <t>PAJALA</t>
        </is>
      </c>
      <c r="G6615" t="n">
        <v>26.8</v>
      </c>
      <c r="H6615" t="n">
        <v>0</v>
      </c>
      <c r="I6615" t="n">
        <v>0</v>
      </c>
      <c r="J6615" t="n">
        <v>0</v>
      </c>
      <c r="K6615" t="n">
        <v>0</v>
      </c>
      <c r="L6615" t="n">
        <v>0</v>
      </c>
      <c r="M6615" t="n">
        <v>0</v>
      </c>
      <c r="N6615" t="n">
        <v>0</v>
      </c>
      <c r="O6615" t="n">
        <v>0</v>
      </c>
      <c r="P6615" t="n">
        <v>0</v>
      </c>
      <c r="Q6615" t="n">
        <v>0</v>
      </c>
      <c r="R6615" s="2" t="inlineStr"/>
    </row>
    <row r="6616" ht="15" customHeight="1">
      <c r="A6616" t="inlineStr">
        <is>
          <t>A 51345-2025</t>
        </is>
      </c>
      <c r="B6616" s="1" t="n">
        <v>45950.4332175926</v>
      </c>
      <c r="C6616" s="1" t="n">
        <v>46046</v>
      </c>
      <c r="D6616" t="inlineStr">
        <is>
          <t>NORRBOTTENS LÄN</t>
        </is>
      </c>
      <c r="E6616" t="inlineStr">
        <is>
          <t>ARVIDSJAUR</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51500-2025</t>
        </is>
      </c>
      <c r="B6617" s="1" t="n">
        <v>45950.63739583334</v>
      </c>
      <c r="C6617" s="1" t="n">
        <v>46046</v>
      </c>
      <c r="D6617" t="inlineStr">
        <is>
          <t>NORRBOTTENS LÄN</t>
        </is>
      </c>
      <c r="E6617" t="inlineStr">
        <is>
          <t>JOKKMOKK</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52265-2025</t>
        </is>
      </c>
      <c r="B6618" s="1" t="n">
        <v>45953.53173611111</v>
      </c>
      <c r="C6618" s="1" t="n">
        <v>46046</v>
      </c>
      <c r="D6618" t="inlineStr">
        <is>
          <t>NORRBOTTENS LÄN</t>
        </is>
      </c>
      <c r="E6618" t="inlineStr">
        <is>
          <t>ÄLVSBYN</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52291-2025</t>
        </is>
      </c>
      <c r="B6619" s="1" t="n">
        <v>45953.59836805556</v>
      </c>
      <c r="C6619" s="1" t="n">
        <v>46046</v>
      </c>
      <c r="D6619" t="inlineStr">
        <is>
          <t>NORRBOTTENS LÄN</t>
        </is>
      </c>
      <c r="E6619" t="inlineStr">
        <is>
          <t>JOKKMOKK</t>
        </is>
      </c>
      <c r="F6619" t="inlineStr">
        <is>
          <t>Övriga statliga verk och myndigheter</t>
        </is>
      </c>
      <c r="G6619" t="n">
        <v>41.2</v>
      </c>
      <c r="H6619" t="n">
        <v>0</v>
      </c>
      <c r="I6619" t="n">
        <v>0</v>
      </c>
      <c r="J6619" t="n">
        <v>0</v>
      </c>
      <c r="K6619" t="n">
        <v>0</v>
      </c>
      <c r="L6619" t="n">
        <v>0</v>
      </c>
      <c r="M6619" t="n">
        <v>0</v>
      </c>
      <c r="N6619" t="n">
        <v>0</v>
      </c>
      <c r="O6619" t="n">
        <v>0</v>
      </c>
      <c r="P6619" t="n">
        <v>0</v>
      </c>
      <c r="Q6619" t="n">
        <v>0</v>
      </c>
      <c r="R6619" s="2" t="inlineStr"/>
    </row>
    <row r="6620" ht="15" customHeight="1">
      <c r="A6620" t="inlineStr">
        <is>
          <t>A 52319-2025</t>
        </is>
      </c>
      <c r="B6620" s="1" t="n">
        <v>45953.65697916667</v>
      </c>
      <c r="C6620" s="1" t="n">
        <v>46046</v>
      </c>
      <c r="D6620" t="inlineStr">
        <is>
          <t>NORRBOTTENS LÄN</t>
        </is>
      </c>
      <c r="E6620" t="inlineStr">
        <is>
          <t>LULEÅ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52331-2025</t>
        </is>
      </c>
      <c r="B6621" s="1" t="n">
        <v>45953.67825231481</v>
      </c>
      <c r="C6621" s="1" t="n">
        <v>46046</v>
      </c>
      <c r="D6621" t="inlineStr">
        <is>
          <t>NORRBOTTENS LÄN</t>
        </is>
      </c>
      <c r="E6621" t="inlineStr">
        <is>
          <t>HAPARANDA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52349-2025</t>
        </is>
      </c>
      <c r="B6622" s="1" t="n">
        <v>45953.72067129629</v>
      </c>
      <c r="C6622" s="1" t="n">
        <v>46046</v>
      </c>
      <c r="D6622" t="inlineStr">
        <is>
          <t>NORRBOTTENS LÄN</t>
        </is>
      </c>
      <c r="E6622" t="inlineStr">
        <is>
          <t>PITEÅ</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51881-2025</t>
        </is>
      </c>
      <c r="B6623" s="1" t="n">
        <v>45952</v>
      </c>
      <c r="C6623" s="1" t="n">
        <v>46046</v>
      </c>
      <c r="D6623" t="inlineStr">
        <is>
          <t>NORRBOTTENS LÄN</t>
        </is>
      </c>
      <c r="E6623" t="inlineStr">
        <is>
          <t>GÄLLIVARE</t>
        </is>
      </c>
      <c r="F6623" t="inlineStr">
        <is>
          <t>SCA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51904-2025</t>
        </is>
      </c>
      <c r="B6624" s="1" t="n">
        <v>45952</v>
      </c>
      <c r="C6624" s="1" t="n">
        <v>46046</v>
      </c>
      <c r="D6624" t="inlineStr">
        <is>
          <t>NORRBOTTENS LÄN</t>
        </is>
      </c>
      <c r="E6624" t="inlineStr">
        <is>
          <t>GÄLLIVARE</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23361-2025</t>
        </is>
      </c>
      <c r="B6625" s="1" t="n">
        <v>45791</v>
      </c>
      <c r="C6625" s="1" t="n">
        <v>46046</v>
      </c>
      <c r="D6625" t="inlineStr">
        <is>
          <t>NORRBOTTENS LÄN</t>
        </is>
      </c>
      <c r="E6625" t="inlineStr">
        <is>
          <t>BODEN</t>
        </is>
      </c>
      <c r="F6625" t="inlineStr">
        <is>
          <t>Sveaskog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52058-2025</t>
        </is>
      </c>
      <c r="B6626" s="1" t="n">
        <v>45952.63594907407</v>
      </c>
      <c r="C6626" s="1" t="n">
        <v>46046</v>
      </c>
      <c r="D6626" t="inlineStr">
        <is>
          <t>NORRBOTTENS LÄN</t>
        </is>
      </c>
      <c r="E6626" t="inlineStr">
        <is>
          <t>KALIX</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51871-2025</t>
        </is>
      </c>
      <c r="B6627" s="1" t="n">
        <v>45952</v>
      </c>
      <c r="C6627" s="1" t="n">
        <v>46046</v>
      </c>
      <c r="D6627" t="inlineStr">
        <is>
          <t>NORRBOTTENS LÄN</t>
        </is>
      </c>
      <c r="E6627" t="inlineStr">
        <is>
          <t>GÄLLIVARE</t>
        </is>
      </c>
      <c r="F6627" t="inlineStr">
        <is>
          <t>SCA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59331-2021</t>
        </is>
      </c>
      <c r="B6628" s="1" t="n">
        <v>44490</v>
      </c>
      <c r="C6628" s="1" t="n">
        <v>46046</v>
      </c>
      <c r="D6628" t="inlineStr">
        <is>
          <t>NORRBOTTENS LÄN</t>
        </is>
      </c>
      <c r="E6628" t="inlineStr">
        <is>
          <t>BODEN</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52169-2025</t>
        </is>
      </c>
      <c r="B6629" s="1" t="n">
        <v>45953.36576388889</v>
      </c>
      <c r="C6629" s="1" t="n">
        <v>46046</v>
      </c>
      <c r="D6629" t="inlineStr">
        <is>
          <t>NORRBOTTENS LÄN</t>
        </is>
      </c>
      <c r="E6629" t="inlineStr">
        <is>
          <t>BODEN</t>
        </is>
      </c>
      <c r="F6629" t="inlineStr">
        <is>
          <t>SCA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52207-2025</t>
        </is>
      </c>
      <c r="B6630" s="1" t="n">
        <v>45953</v>
      </c>
      <c r="C6630" s="1" t="n">
        <v>46046</v>
      </c>
      <c r="D6630" t="inlineStr">
        <is>
          <t>NORRBOTTENS LÄN</t>
        </is>
      </c>
      <c r="E6630" t="inlineStr">
        <is>
          <t>ÖVERKALIX</t>
        </is>
      </c>
      <c r="G6630" t="n">
        <v>11.3</v>
      </c>
      <c r="H6630" t="n">
        <v>0</v>
      </c>
      <c r="I6630" t="n">
        <v>0</v>
      </c>
      <c r="J6630" t="n">
        <v>0</v>
      </c>
      <c r="K6630" t="n">
        <v>0</v>
      </c>
      <c r="L6630" t="n">
        <v>0</v>
      </c>
      <c r="M6630" t="n">
        <v>0</v>
      </c>
      <c r="N6630" t="n">
        <v>0</v>
      </c>
      <c r="O6630" t="n">
        <v>0</v>
      </c>
      <c r="P6630" t="n">
        <v>0</v>
      </c>
      <c r="Q6630" t="n">
        <v>0</v>
      </c>
      <c r="R6630" s="2" t="inlineStr"/>
    </row>
    <row r="6631" ht="15" customHeight="1">
      <c r="A6631" t="inlineStr">
        <is>
          <t>A 51981-2025</t>
        </is>
      </c>
      <c r="B6631" s="1" t="n">
        <v>45952</v>
      </c>
      <c r="C6631" s="1" t="n">
        <v>46046</v>
      </c>
      <c r="D6631" t="inlineStr">
        <is>
          <t>NORRBOTTENS LÄN</t>
        </is>
      </c>
      <c r="E6631" t="inlineStr">
        <is>
          <t>LULEÅ</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52278-2025</t>
        </is>
      </c>
      <c r="B6632" s="1" t="n">
        <v>45953.56256944445</v>
      </c>
      <c r="C6632" s="1" t="n">
        <v>46046</v>
      </c>
      <c r="D6632" t="inlineStr">
        <is>
          <t>NORRBOTTENS LÄN</t>
        </is>
      </c>
      <c r="E6632" t="inlineStr">
        <is>
          <t>JOKKMOKK</t>
        </is>
      </c>
      <c r="F6632" t="inlineStr">
        <is>
          <t>Sveaskog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52164-2025</t>
        </is>
      </c>
      <c r="B6633" s="1" t="n">
        <v>45953.36184027778</v>
      </c>
      <c r="C6633" s="1" t="n">
        <v>46046</v>
      </c>
      <c r="D6633" t="inlineStr">
        <is>
          <t>NORRBOTTENS LÄN</t>
        </is>
      </c>
      <c r="E6633" t="inlineStr">
        <is>
          <t>ÖVERTORNEÅ</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52191-2025</t>
        </is>
      </c>
      <c r="B6634" s="1" t="n">
        <v>45953.38818287037</v>
      </c>
      <c r="C6634" s="1" t="n">
        <v>46046</v>
      </c>
      <c r="D6634" t="inlineStr">
        <is>
          <t>NORRBOTTENS LÄN</t>
        </is>
      </c>
      <c r="E6634" t="inlineStr">
        <is>
          <t>ÖVERTORNEÅ</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41779-2025</t>
        </is>
      </c>
      <c r="B6635" s="1" t="n">
        <v>45902</v>
      </c>
      <c r="C6635" s="1" t="n">
        <v>46046</v>
      </c>
      <c r="D6635" t="inlineStr">
        <is>
          <t>NORRBOTTENS LÄN</t>
        </is>
      </c>
      <c r="E6635" t="inlineStr">
        <is>
          <t>ÖVERTORNEÅ</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52292-2025</t>
        </is>
      </c>
      <c r="B6636" s="1" t="n">
        <v>45953.5986574074</v>
      </c>
      <c r="C6636" s="1" t="n">
        <v>46046</v>
      </c>
      <c r="D6636" t="inlineStr">
        <is>
          <t>NORRBOTTENS LÄN</t>
        </is>
      </c>
      <c r="E6636" t="inlineStr">
        <is>
          <t>PAJALA</t>
        </is>
      </c>
      <c r="F6636" t="inlineStr">
        <is>
          <t>Sveaskog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52284-2025</t>
        </is>
      </c>
      <c r="B6637" s="1" t="n">
        <v>45953.57349537037</v>
      </c>
      <c r="C6637" s="1" t="n">
        <v>46046</v>
      </c>
      <c r="D6637" t="inlineStr">
        <is>
          <t>NORRBOTTENS LÄN</t>
        </is>
      </c>
      <c r="E6637" t="inlineStr">
        <is>
          <t>BODEN</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52112-2025</t>
        </is>
      </c>
      <c r="B6638" s="1" t="n">
        <v>45952.69846064815</v>
      </c>
      <c r="C6638" s="1" t="n">
        <v>46046</v>
      </c>
      <c r="D6638" t="inlineStr">
        <is>
          <t>NORRBOTTENS LÄN</t>
        </is>
      </c>
      <c r="E6638" t="inlineStr">
        <is>
          <t>JOKKMOKK</t>
        </is>
      </c>
      <c r="F6638" t="inlineStr">
        <is>
          <t>SCA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52127-2025</t>
        </is>
      </c>
      <c r="B6639" s="1" t="n">
        <v>45952</v>
      </c>
      <c r="C6639" s="1" t="n">
        <v>46046</v>
      </c>
      <c r="D6639" t="inlineStr">
        <is>
          <t>NORRBOTTENS LÄN</t>
        </is>
      </c>
      <c r="E6639" t="inlineStr">
        <is>
          <t>ARVIDSJAUR</t>
        </is>
      </c>
      <c r="F6639" t="inlineStr">
        <is>
          <t>Sveaskog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52166-2025</t>
        </is>
      </c>
      <c r="B6640" s="1" t="n">
        <v>45953.36524305555</v>
      </c>
      <c r="C6640" s="1" t="n">
        <v>46046</v>
      </c>
      <c r="D6640" t="inlineStr">
        <is>
          <t>NORRBOTTENS LÄN</t>
        </is>
      </c>
      <c r="E6640" t="inlineStr">
        <is>
          <t>BODEN</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52167-2025</t>
        </is>
      </c>
      <c r="B6641" s="1" t="n">
        <v>45953.36546296296</v>
      </c>
      <c r="C6641" s="1" t="n">
        <v>46046</v>
      </c>
      <c r="D6641" t="inlineStr">
        <is>
          <t>NORRBOTTENS LÄN</t>
        </is>
      </c>
      <c r="E6641" t="inlineStr">
        <is>
          <t>BODEN</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45188-2025</t>
        </is>
      </c>
      <c r="B6642" s="1" t="n">
        <v>45919</v>
      </c>
      <c r="C6642" s="1" t="n">
        <v>46046</v>
      </c>
      <c r="D6642" t="inlineStr">
        <is>
          <t>NORRBOTTENS LÄN</t>
        </is>
      </c>
      <c r="E6642" t="inlineStr">
        <is>
          <t>ARVIDSJAUR</t>
        </is>
      </c>
      <c r="F6642" t="inlineStr">
        <is>
          <t>Sveaskog</t>
        </is>
      </c>
      <c r="G6642" t="n">
        <v>13.4</v>
      </c>
      <c r="H6642" t="n">
        <v>0</v>
      </c>
      <c r="I6642" t="n">
        <v>0</v>
      </c>
      <c r="J6642" t="n">
        <v>0</v>
      </c>
      <c r="K6642" t="n">
        <v>0</v>
      </c>
      <c r="L6642" t="n">
        <v>0</v>
      </c>
      <c r="M6642" t="n">
        <v>0</v>
      </c>
      <c r="N6642" t="n">
        <v>0</v>
      </c>
      <c r="O6642" t="n">
        <v>0</v>
      </c>
      <c r="P6642" t="n">
        <v>0</v>
      </c>
      <c r="Q6642" t="n">
        <v>0</v>
      </c>
      <c r="R6642" s="2" t="inlineStr"/>
    </row>
    <row r="6643" ht="15" customHeight="1">
      <c r="A6643" t="inlineStr">
        <is>
          <t>A 52008-2025</t>
        </is>
      </c>
      <c r="B6643" s="1" t="n">
        <v>45952.59446759259</v>
      </c>
      <c r="C6643" s="1" t="n">
        <v>46046</v>
      </c>
      <c r="D6643" t="inlineStr">
        <is>
          <t>NORRBOTTENS LÄN</t>
        </is>
      </c>
      <c r="E6643" t="inlineStr">
        <is>
          <t>KALIX</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9852-2023</t>
        </is>
      </c>
      <c r="B6644" s="1" t="n">
        <v>44984</v>
      </c>
      <c r="C6644" s="1" t="n">
        <v>46046</v>
      </c>
      <c r="D6644" t="inlineStr">
        <is>
          <t>NORRBOTTENS LÄN</t>
        </is>
      </c>
      <c r="E6644" t="inlineStr">
        <is>
          <t>JOKKMOKK</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52318-2025</t>
        </is>
      </c>
      <c r="B6645" s="1" t="n">
        <v>45953.65693287037</v>
      </c>
      <c r="C6645" s="1" t="n">
        <v>46046</v>
      </c>
      <c r="D6645" t="inlineStr">
        <is>
          <t>NORRBOTTENS LÄN</t>
        </is>
      </c>
      <c r="E6645" t="inlineStr">
        <is>
          <t>LULEÅ</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52322-2025</t>
        </is>
      </c>
      <c r="B6646" s="1" t="n">
        <v>45953.66450231482</v>
      </c>
      <c r="C6646" s="1" t="n">
        <v>46046</v>
      </c>
      <c r="D6646" t="inlineStr">
        <is>
          <t>NORRBOTTENS LÄN</t>
        </is>
      </c>
      <c r="E6646" t="inlineStr">
        <is>
          <t>HAPARANDA</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51962-2025</t>
        </is>
      </c>
      <c r="B6647" s="1" t="n">
        <v>45952.55248842593</v>
      </c>
      <c r="C6647" s="1" t="n">
        <v>46046</v>
      </c>
      <c r="D6647" t="inlineStr">
        <is>
          <t>NORRBOTTENS LÄN</t>
        </is>
      </c>
      <c r="E6647" t="inlineStr">
        <is>
          <t>ÄLVSBYN</t>
        </is>
      </c>
      <c r="F6647" t="inlineStr">
        <is>
          <t>SCA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51902-2025</t>
        </is>
      </c>
      <c r="B6648" s="1" t="n">
        <v>45952.44763888889</v>
      </c>
      <c r="C6648" s="1" t="n">
        <v>46046</v>
      </c>
      <c r="D6648" t="inlineStr">
        <is>
          <t>NORRBOTTENS LÄN</t>
        </is>
      </c>
      <c r="E6648" t="inlineStr">
        <is>
          <t>LULEÅ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52293-2025</t>
        </is>
      </c>
      <c r="B6649" s="1" t="n">
        <v>45953.59943287037</v>
      </c>
      <c r="C6649" s="1" t="n">
        <v>46046</v>
      </c>
      <c r="D6649" t="inlineStr">
        <is>
          <t>NORRBOTTENS LÄN</t>
        </is>
      </c>
      <c r="E6649" t="inlineStr">
        <is>
          <t>JOKKMOKK</t>
        </is>
      </c>
      <c r="F6649" t="inlineStr">
        <is>
          <t>Övriga statliga verk och myndigheter</t>
        </is>
      </c>
      <c r="G6649" t="n">
        <v>65.09999999999999</v>
      </c>
      <c r="H6649" t="n">
        <v>0</v>
      </c>
      <c r="I6649" t="n">
        <v>0</v>
      </c>
      <c r="J6649" t="n">
        <v>0</v>
      </c>
      <c r="K6649" t="n">
        <v>0</v>
      </c>
      <c r="L6649" t="n">
        <v>0</v>
      </c>
      <c r="M6649" t="n">
        <v>0</v>
      </c>
      <c r="N6649" t="n">
        <v>0</v>
      </c>
      <c r="O6649" t="n">
        <v>0</v>
      </c>
      <c r="P6649" t="n">
        <v>0</v>
      </c>
      <c r="Q6649" t="n">
        <v>0</v>
      </c>
      <c r="R6649" s="2" t="inlineStr"/>
    </row>
    <row r="6650" ht="15" customHeight="1">
      <c r="A6650" t="inlineStr">
        <is>
          <t>A 52294-2025</t>
        </is>
      </c>
      <c r="B6650" s="1" t="n">
        <v>45953.59979166667</v>
      </c>
      <c r="C6650" s="1" t="n">
        <v>46046</v>
      </c>
      <c r="D6650" t="inlineStr">
        <is>
          <t>NORRBOTTENS LÄN</t>
        </is>
      </c>
      <c r="E6650" t="inlineStr">
        <is>
          <t>JOKKMOKK</t>
        </is>
      </c>
      <c r="F6650" t="inlineStr">
        <is>
          <t>Övriga statliga verk och myndigheter</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52288-2025</t>
        </is>
      </c>
      <c r="B6651" s="1" t="n">
        <v>45953.59483796296</v>
      </c>
      <c r="C6651" s="1" t="n">
        <v>46046</v>
      </c>
      <c r="D6651" t="inlineStr">
        <is>
          <t>NORRBOTTENS LÄN</t>
        </is>
      </c>
      <c r="E6651" t="inlineStr">
        <is>
          <t>JOKKMOKK</t>
        </is>
      </c>
      <c r="F6651" t="inlineStr">
        <is>
          <t>Övriga statliga verk och myndigheter</t>
        </is>
      </c>
      <c r="G6651" t="n">
        <v>11.4</v>
      </c>
      <c r="H6651" t="n">
        <v>0</v>
      </c>
      <c r="I6651" t="n">
        <v>0</v>
      </c>
      <c r="J6651" t="n">
        <v>0</v>
      </c>
      <c r="K6651" t="n">
        <v>0</v>
      </c>
      <c r="L6651" t="n">
        <v>0</v>
      </c>
      <c r="M6651" t="n">
        <v>0</v>
      </c>
      <c r="N6651" t="n">
        <v>0</v>
      </c>
      <c r="O6651" t="n">
        <v>0</v>
      </c>
      <c r="P6651" t="n">
        <v>0</v>
      </c>
      <c r="Q6651" t="n">
        <v>0</v>
      </c>
      <c r="R6651" s="2" t="inlineStr"/>
    </row>
    <row r="6652" ht="15" customHeight="1">
      <c r="A6652" t="inlineStr">
        <is>
          <t>A 52435-2025</t>
        </is>
      </c>
      <c r="B6652" s="1" t="n">
        <v>45952</v>
      </c>
      <c r="C6652" s="1" t="n">
        <v>46046</v>
      </c>
      <c r="D6652" t="inlineStr">
        <is>
          <t>NORRBOTTENS LÄN</t>
        </is>
      </c>
      <c r="E6652" t="inlineStr">
        <is>
          <t>PITEÅ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52444-2025</t>
        </is>
      </c>
      <c r="B6653" s="1" t="n">
        <v>45954.41598379629</v>
      </c>
      <c r="C6653" s="1" t="n">
        <v>46046</v>
      </c>
      <c r="D6653" t="inlineStr">
        <is>
          <t>NORRBOTTENS LÄN</t>
        </is>
      </c>
      <c r="E6653" t="inlineStr">
        <is>
          <t>ARVIDSJAUR</t>
        </is>
      </c>
      <c r="F6653" t="inlineStr">
        <is>
          <t>Sveaskog</t>
        </is>
      </c>
      <c r="G6653" t="n">
        <v>11.1</v>
      </c>
      <c r="H6653" t="n">
        <v>0</v>
      </c>
      <c r="I6653" t="n">
        <v>0</v>
      </c>
      <c r="J6653" t="n">
        <v>0</v>
      </c>
      <c r="K6653" t="n">
        <v>0</v>
      </c>
      <c r="L6653" t="n">
        <v>0</v>
      </c>
      <c r="M6653" t="n">
        <v>0</v>
      </c>
      <c r="N6653" t="n">
        <v>0</v>
      </c>
      <c r="O6653" t="n">
        <v>0</v>
      </c>
      <c r="P6653" t="n">
        <v>0</v>
      </c>
      <c r="Q6653" t="n">
        <v>0</v>
      </c>
      <c r="R6653" s="2" t="inlineStr"/>
    </row>
    <row r="6654" ht="15" customHeight="1">
      <c r="A6654" t="inlineStr">
        <is>
          <t>A 52474-2025</t>
        </is>
      </c>
      <c r="B6654" s="1" t="n">
        <v>45954.46243055556</v>
      </c>
      <c r="C6654" s="1" t="n">
        <v>46046</v>
      </c>
      <c r="D6654" t="inlineStr">
        <is>
          <t>NORRBOTTENS LÄN</t>
        </is>
      </c>
      <c r="E6654" t="inlineStr">
        <is>
          <t>PITEÅ</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52763-2025</t>
        </is>
      </c>
      <c r="B6655" s="1" t="n">
        <v>45957.39877314815</v>
      </c>
      <c r="C6655" s="1" t="n">
        <v>46046</v>
      </c>
      <c r="D6655" t="inlineStr">
        <is>
          <t>NORRBOTTENS LÄN</t>
        </is>
      </c>
      <c r="E6655" t="inlineStr">
        <is>
          <t>BODEN</t>
        </is>
      </c>
      <c r="F6655" t="inlineStr">
        <is>
          <t>Sveaskog</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53237-2025</t>
        </is>
      </c>
      <c r="B6656" s="1" t="n">
        <v>45957</v>
      </c>
      <c r="C6656" s="1" t="n">
        <v>46046</v>
      </c>
      <c r="D6656" t="inlineStr">
        <is>
          <t>NORRBOTTENS LÄN</t>
        </is>
      </c>
      <c r="E6656" t="inlineStr">
        <is>
          <t>JOKKMOKK</t>
        </is>
      </c>
      <c r="F6656" t="inlineStr">
        <is>
          <t>Övriga Aktiebolag</t>
        </is>
      </c>
      <c r="G6656" t="n">
        <v>28.1</v>
      </c>
      <c r="H6656" t="n">
        <v>0</v>
      </c>
      <c r="I6656" t="n">
        <v>0</v>
      </c>
      <c r="J6656" t="n">
        <v>0</v>
      </c>
      <c r="K6656" t="n">
        <v>0</v>
      </c>
      <c r="L6656" t="n">
        <v>0</v>
      </c>
      <c r="M6656" t="n">
        <v>0</v>
      </c>
      <c r="N6656" t="n">
        <v>0</v>
      </c>
      <c r="O6656" t="n">
        <v>0</v>
      </c>
      <c r="P6656" t="n">
        <v>0</v>
      </c>
      <c r="Q6656" t="n">
        <v>0</v>
      </c>
      <c r="R6656" s="2" t="inlineStr"/>
    </row>
    <row r="6657" ht="15" customHeight="1">
      <c r="A6657" t="inlineStr">
        <is>
          <t>A 52973-2025</t>
        </is>
      </c>
      <c r="B6657" s="1" t="n">
        <v>45957.67832175926</v>
      </c>
      <c r="C6657" s="1" t="n">
        <v>46046</v>
      </c>
      <c r="D6657" t="inlineStr">
        <is>
          <t>NORRBOTTENS LÄN</t>
        </is>
      </c>
      <c r="E6657" t="inlineStr">
        <is>
          <t>ÖVERKALIX</t>
        </is>
      </c>
      <c r="F6657" t="inlineStr">
        <is>
          <t>SCA</t>
        </is>
      </c>
      <c r="G6657" t="n">
        <v>9.9</v>
      </c>
      <c r="H6657" t="n">
        <v>0</v>
      </c>
      <c r="I6657" t="n">
        <v>0</v>
      </c>
      <c r="J6657" t="n">
        <v>0</v>
      </c>
      <c r="K6657" t="n">
        <v>0</v>
      </c>
      <c r="L6657" t="n">
        <v>0</v>
      </c>
      <c r="M6657" t="n">
        <v>0</v>
      </c>
      <c r="N6657" t="n">
        <v>0</v>
      </c>
      <c r="O6657" t="n">
        <v>0</v>
      </c>
      <c r="P6657" t="n">
        <v>0</v>
      </c>
      <c r="Q6657" t="n">
        <v>0</v>
      </c>
      <c r="R6657" s="2" t="inlineStr"/>
    </row>
    <row r="6658" ht="15" customHeight="1">
      <c r="A6658" t="inlineStr">
        <is>
          <t>A 52955-2025</t>
        </is>
      </c>
      <c r="B6658" s="1" t="n">
        <v>45957.65670138889</v>
      </c>
      <c r="C6658" s="1" t="n">
        <v>46046</v>
      </c>
      <c r="D6658" t="inlineStr">
        <is>
          <t>NORRBOTTENS LÄN</t>
        </is>
      </c>
      <c r="E6658" t="inlineStr">
        <is>
          <t>PITEÅ</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52868-2025</t>
        </is>
      </c>
      <c r="B6659" s="1" t="n">
        <v>45957</v>
      </c>
      <c r="C6659" s="1" t="n">
        <v>46046</v>
      </c>
      <c r="D6659" t="inlineStr">
        <is>
          <t>NORRBOTTENS LÄN</t>
        </is>
      </c>
      <c r="E6659" t="inlineStr">
        <is>
          <t>ÄLVSBYN</t>
        </is>
      </c>
      <c r="F6659" t="inlineStr">
        <is>
          <t>Sveaskog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52580-2025</t>
        </is>
      </c>
      <c r="B6660" s="1" t="n">
        <v>45954</v>
      </c>
      <c r="C6660" s="1" t="n">
        <v>46046</v>
      </c>
      <c r="D6660" t="inlineStr">
        <is>
          <t>NORRBOTTENS LÄN</t>
        </is>
      </c>
      <c r="E6660" t="inlineStr">
        <is>
          <t>BODEN</t>
        </is>
      </c>
      <c r="F6660" t="inlineStr">
        <is>
          <t>Sveaskog</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52688-2025</t>
        </is>
      </c>
      <c r="B6661" s="1" t="n">
        <v>45956.38578703703</v>
      </c>
      <c r="C6661" s="1" t="n">
        <v>46046</v>
      </c>
      <c r="D6661" t="inlineStr">
        <is>
          <t>NORRBOTTENS LÄN</t>
        </is>
      </c>
      <c r="E6661" t="inlineStr">
        <is>
          <t>LULEÅ</t>
        </is>
      </c>
      <c r="F6661" t="inlineStr">
        <is>
          <t>SCA</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52603-2025</t>
        </is>
      </c>
      <c r="B6662" s="1" t="n">
        <v>45954.65706018519</v>
      </c>
      <c r="C6662" s="1" t="n">
        <v>46046</v>
      </c>
      <c r="D6662" t="inlineStr">
        <is>
          <t>NORRBOTTENS LÄN</t>
        </is>
      </c>
      <c r="E6662" t="inlineStr">
        <is>
          <t>PITEÅ</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52954-2025</t>
        </is>
      </c>
      <c r="B6663" s="1" t="n">
        <v>45957.65662037037</v>
      </c>
      <c r="C6663" s="1" t="n">
        <v>46046</v>
      </c>
      <c r="D6663" t="inlineStr">
        <is>
          <t>NORRBOTTENS LÄN</t>
        </is>
      </c>
      <c r="E6663" t="inlineStr">
        <is>
          <t>PITEÅ</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52948-2025</t>
        </is>
      </c>
      <c r="B6664" s="1" t="n">
        <v>45957</v>
      </c>
      <c r="C6664" s="1" t="n">
        <v>46046</v>
      </c>
      <c r="D6664" t="inlineStr">
        <is>
          <t>NORRBOTTENS LÄN</t>
        </is>
      </c>
      <c r="E6664" t="inlineStr">
        <is>
          <t>ARVIDSJAUR</t>
        </is>
      </c>
      <c r="F6664" t="inlineStr">
        <is>
          <t>Sveaskog</t>
        </is>
      </c>
      <c r="G6664" t="n">
        <v>35.3</v>
      </c>
      <c r="H6664" t="n">
        <v>0</v>
      </c>
      <c r="I6664" t="n">
        <v>0</v>
      </c>
      <c r="J6664" t="n">
        <v>0</v>
      </c>
      <c r="K6664" t="n">
        <v>0</v>
      </c>
      <c r="L6664" t="n">
        <v>0</v>
      </c>
      <c r="M6664" t="n">
        <v>0</v>
      </c>
      <c r="N6664" t="n">
        <v>0</v>
      </c>
      <c r="O6664" t="n">
        <v>0</v>
      </c>
      <c r="P6664" t="n">
        <v>0</v>
      </c>
      <c r="Q6664" t="n">
        <v>0</v>
      </c>
      <c r="R6664" s="2" t="inlineStr"/>
    </row>
    <row r="6665" ht="15" customHeight="1">
      <c r="A6665" t="inlineStr">
        <is>
          <t>A 52581-2025</t>
        </is>
      </c>
      <c r="B6665" s="1" t="n">
        <v>45954</v>
      </c>
      <c r="C6665" s="1" t="n">
        <v>46046</v>
      </c>
      <c r="D6665" t="inlineStr">
        <is>
          <t>NORRBOTTENS LÄN</t>
        </is>
      </c>
      <c r="E6665" t="inlineStr">
        <is>
          <t>GÄLLIVARE</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52650-2025</t>
        </is>
      </c>
      <c r="B6666" s="1" t="n">
        <v>45955.34613425926</v>
      </c>
      <c r="C6666" s="1" t="n">
        <v>46046</v>
      </c>
      <c r="D6666" t="inlineStr">
        <is>
          <t>NORRBOTTENS LÄN</t>
        </is>
      </c>
      <c r="E6666" t="inlineStr">
        <is>
          <t>PITEÅ</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52618-2025</t>
        </is>
      </c>
      <c r="B6667" s="1" t="n">
        <v>45954.67841435185</v>
      </c>
      <c r="C6667" s="1" t="n">
        <v>46046</v>
      </c>
      <c r="D6667" t="inlineStr">
        <is>
          <t>NORRBOTTENS LÄN</t>
        </is>
      </c>
      <c r="E6667" t="inlineStr">
        <is>
          <t>PITEÅ</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52649-2025</t>
        </is>
      </c>
      <c r="B6668" s="1" t="n">
        <v>45955.34609953704</v>
      </c>
      <c r="C6668" s="1" t="n">
        <v>46046</v>
      </c>
      <c r="D6668" t="inlineStr">
        <is>
          <t>NORRBOTTENS LÄN</t>
        </is>
      </c>
      <c r="E6668" t="inlineStr">
        <is>
          <t>PITEÅ</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52651-2025</t>
        </is>
      </c>
      <c r="B6669" s="1" t="n">
        <v>45955.34616898148</v>
      </c>
      <c r="C6669" s="1" t="n">
        <v>46046</v>
      </c>
      <c r="D6669" t="inlineStr">
        <is>
          <t>NORRBOTTENS LÄN</t>
        </is>
      </c>
      <c r="E6669" t="inlineStr">
        <is>
          <t>PITEÅ</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52655-2025</t>
        </is>
      </c>
      <c r="B6670" s="1" t="n">
        <v>45955.34633101852</v>
      </c>
      <c r="C6670" s="1" t="n">
        <v>46046</v>
      </c>
      <c r="D6670" t="inlineStr">
        <is>
          <t>NORRBOTTENS LÄN</t>
        </is>
      </c>
      <c r="E6670" t="inlineStr">
        <is>
          <t>PITEÅ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52677-2025</t>
        </is>
      </c>
      <c r="B6671" s="1" t="n">
        <v>45956.34443287037</v>
      </c>
      <c r="C6671" s="1" t="n">
        <v>46046</v>
      </c>
      <c r="D6671" t="inlineStr">
        <is>
          <t>NORRBOTTENS LÄN</t>
        </is>
      </c>
      <c r="E6671" t="inlineStr">
        <is>
          <t>LULEÅ</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52679-2025</t>
        </is>
      </c>
      <c r="B6672" s="1" t="n">
        <v>45956</v>
      </c>
      <c r="C6672" s="1" t="n">
        <v>46046</v>
      </c>
      <c r="D6672" t="inlineStr">
        <is>
          <t>NORRBOTTENS LÄN</t>
        </is>
      </c>
      <c r="E6672" t="inlineStr">
        <is>
          <t>PITEÅ</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52681-2025</t>
        </is>
      </c>
      <c r="B6673" s="1" t="n">
        <v>45956.34490740741</v>
      </c>
      <c r="C6673" s="1" t="n">
        <v>46046</v>
      </c>
      <c r="D6673" t="inlineStr">
        <is>
          <t>NORRBOTTENS LÄN</t>
        </is>
      </c>
      <c r="E6673" t="inlineStr">
        <is>
          <t>LULEÅ</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52716-2025</t>
        </is>
      </c>
      <c r="B6674" s="1" t="n">
        <v>45957.3212037037</v>
      </c>
      <c r="C6674" s="1" t="n">
        <v>46046</v>
      </c>
      <c r="D6674" t="inlineStr">
        <is>
          <t>NORRBOTTENS LÄN</t>
        </is>
      </c>
      <c r="E6674" t="inlineStr">
        <is>
          <t>GÄLLIVARE</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52715-2025</t>
        </is>
      </c>
      <c r="B6675" s="1" t="n">
        <v>45957.31655092593</v>
      </c>
      <c r="C6675" s="1" t="n">
        <v>46046</v>
      </c>
      <c r="D6675" t="inlineStr">
        <is>
          <t>NORRBOTTENS LÄN</t>
        </is>
      </c>
      <c r="E6675" t="inlineStr">
        <is>
          <t>GÄLLIVARE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52582-2025</t>
        </is>
      </c>
      <c r="B6676" s="1" t="n">
        <v>45954</v>
      </c>
      <c r="C6676" s="1" t="n">
        <v>46046</v>
      </c>
      <c r="D6676" t="inlineStr">
        <is>
          <t>NORRBOTTENS LÄN</t>
        </is>
      </c>
      <c r="E6676" t="inlineStr">
        <is>
          <t>BODEN</t>
        </is>
      </c>
      <c r="F6676" t="inlineStr">
        <is>
          <t>Sveaskog</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52878-2025</t>
        </is>
      </c>
      <c r="B6677" s="1" t="n">
        <v>45957</v>
      </c>
      <c r="C6677" s="1" t="n">
        <v>46046</v>
      </c>
      <c r="D6677" t="inlineStr">
        <is>
          <t>NORRBOTTENS LÄN</t>
        </is>
      </c>
      <c r="E6677" t="inlineStr">
        <is>
          <t>ÄLVSBYN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52896-2025</t>
        </is>
      </c>
      <c r="B6678" s="1" t="n">
        <v>45957.58365740741</v>
      </c>
      <c r="C6678" s="1" t="n">
        <v>46046</v>
      </c>
      <c r="D6678" t="inlineStr">
        <is>
          <t>NORRBOTTENS LÄN</t>
        </is>
      </c>
      <c r="E6678" t="inlineStr">
        <is>
          <t>PAJALA</t>
        </is>
      </c>
      <c r="F6678" t="inlineStr">
        <is>
          <t>Sveaskog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52953-2025</t>
        </is>
      </c>
      <c r="B6679" s="1" t="n">
        <v>45957.65459490741</v>
      </c>
      <c r="C6679" s="1" t="n">
        <v>46046</v>
      </c>
      <c r="D6679" t="inlineStr">
        <is>
          <t>NORRBOTTENS LÄN</t>
        </is>
      </c>
      <c r="E6679" t="inlineStr">
        <is>
          <t>LULEÅ</t>
        </is>
      </c>
      <c r="G6679" t="n">
        <v>11.8</v>
      </c>
      <c r="H6679" t="n">
        <v>0</v>
      </c>
      <c r="I6679" t="n">
        <v>0</v>
      </c>
      <c r="J6679" t="n">
        <v>0</v>
      </c>
      <c r="K6679" t="n">
        <v>0</v>
      </c>
      <c r="L6679" t="n">
        <v>0</v>
      </c>
      <c r="M6679" t="n">
        <v>0</v>
      </c>
      <c r="N6679" t="n">
        <v>0</v>
      </c>
      <c r="O6679" t="n">
        <v>0</v>
      </c>
      <c r="P6679" t="n">
        <v>0</v>
      </c>
      <c r="Q6679" t="n">
        <v>0</v>
      </c>
      <c r="R6679" s="2" t="inlineStr"/>
    </row>
    <row r="6680" ht="15" customHeight="1">
      <c r="A6680" t="inlineStr">
        <is>
          <t>A 52910-2025</t>
        </is>
      </c>
      <c r="B6680" s="1" t="n">
        <v>45957</v>
      </c>
      <c r="C6680" s="1" t="n">
        <v>46046</v>
      </c>
      <c r="D6680" t="inlineStr">
        <is>
          <t>NORRBOTTENS LÄN</t>
        </is>
      </c>
      <c r="E6680" t="inlineStr">
        <is>
          <t>GÄLLIVARE</t>
        </is>
      </c>
      <c r="F6680" t="inlineStr">
        <is>
          <t>Sveaskog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52895-2025</t>
        </is>
      </c>
      <c r="B6681" s="1" t="n">
        <v>45957.5815162037</v>
      </c>
      <c r="C6681" s="1" t="n">
        <v>46046</v>
      </c>
      <c r="D6681" t="inlineStr">
        <is>
          <t>NORRBOTTENS LÄN</t>
        </is>
      </c>
      <c r="E6681" t="inlineStr">
        <is>
          <t>PAJALA</t>
        </is>
      </c>
      <c r="F6681" t="inlineStr">
        <is>
          <t>Sveaskog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52902-2025</t>
        </is>
      </c>
      <c r="B6682" s="1" t="n">
        <v>45957.59032407407</v>
      </c>
      <c r="C6682" s="1" t="n">
        <v>46046</v>
      </c>
      <c r="D6682" t="inlineStr">
        <is>
          <t>NORRBOTTENS LÄN</t>
        </is>
      </c>
      <c r="E6682" t="inlineStr">
        <is>
          <t>PAJALA</t>
        </is>
      </c>
      <c r="F6682" t="inlineStr">
        <is>
          <t>Sveaskog</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52904-2025</t>
        </is>
      </c>
      <c r="B6683" s="1" t="n">
        <v>45957.59276620371</v>
      </c>
      <c r="C6683" s="1" t="n">
        <v>46046</v>
      </c>
      <c r="D6683" t="inlineStr">
        <is>
          <t>NORRBOTTENS LÄN</t>
        </is>
      </c>
      <c r="E6683" t="inlineStr">
        <is>
          <t>PAJALA</t>
        </is>
      </c>
      <c r="F6683" t="inlineStr">
        <is>
          <t>Sveaskog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40157-2025</t>
        </is>
      </c>
      <c r="B6684" s="1" t="n">
        <v>45894</v>
      </c>
      <c r="C6684" s="1" t="n">
        <v>46046</v>
      </c>
      <c r="D6684" t="inlineStr">
        <is>
          <t>NORRBOTTENS LÄN</t>
        </is>
      </c>
      <c r="E6684" t="inlineStr">
        <is>
          <t>BODEN</t>
        </is>
      </c>
      <c r="F6684" t="inlineStr">
        <is>
          <t>Övriga statliga verk och myndigheter</t>
        </is>
      </c>
      <c r="G6684" t="n">
        <v>17.6</v>
      </c>
      <c r="H6684" t="n">
        <v>0</v>
      </c>
      <c r="I6684" t="n">
        <v>0</v>
      </c>
      <c r="J6684" t="n">
        <v>0</v>
      </c>
      <c r="K6684" t="n">
        <v>0</v>
      </c>
      <c r="L6684" t="n">
        <v>0</v>
      </c>
      <c r="M6684" t="n">
        <v>0</v>
      </c>
      <c r="N6684" t="n">
        <v>0</v>
      </c>
      <c r="O6684" t="n">
        <v>0</v>
      </c>
      <c r="P6684" t="n">
        <v>0</v>
      </c>
      <c r="Q6684" t="n">
        <v>0</v>
      </c>
      <c r="R6684" s="2" t="inlineStr"/>
    </row>
    <row r="6685" ht="15" customHeight="1">
      <c r="A6685" t="inlineStr">
        <is>
          <t>A 50266-2025</t>
        </is>
      </c>
      <c r="B6685" s="1" t="n">
        <v>45944</v>
      </c>
      <c r="C6685" s="1" t="n">
        <v>46046</v>
      </c>
      <c r="D6685" t="inlineStr">
        <is>
          <t>NORRBOTTENS LÄN</t>
        </is>
      </c>
      <c r="E6685" t="inlineStr">
        <is>
          <t>PAJALA</t>
        </is>
      </c>
      <c r="G6685" t="n">
        <v>43.9</v>
      </c>
      <c r="H6685" t="n">
        <v>0</v>
      </c>
      <c r="I6685" t="n">
        <v>0</v>
      </c>
      <c r="J6685" t="n">
        <v>0</v>
      </c>
      <c r="K6685" t="n">
        <v>0</v>
      </c>
      <c r="L6685" t="n">
        <v>0</v>
      </c>
      <c r="M6685" t="n">
        <v>0</v>
      </c>
      <c r="N6685" t="n">
        <v>0</v>
      </c>
      <c r="O6685" t="n">
        <v>0</v>
      </c>
      <c r="P6685" t="n">
        <v>0</v>
      </c>
      <c r="Q6685" t="n">
        <v>0</v>
      </c>
      <c r="R6685" s="2" t="inlineStr"/>
    </row>
    <row r="6686" ht="15" customHeight="1">
      <c r="A6686" t="inlineStr">
        <is>
          <t>A 52985-2025</t>
        </is>
      </c>
      <c r="B6686" s="1" t="n">
        <v>45957.69834490741</v>
      </c>
      <c r="C6686" s="1" t="n">
        <v>46046</v>
      </c>
      <c r="D6686" t="inlineStr">
        <is>
          <t>NORRBOTTENS LÄN</t>
        </is>
      </c>
      <c r="E6686" t="inlineStr">
        <is>
          <t>ÄLVSBYN</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53002-2025</t>
        </is>
      </c>
      <c r="B6687" s="1" t="n">
        <v>45957</v>
      </c>
      <c r="C6687" s="1" t="n">
        <v>46046</v>
      </c>
      <c r="D6687" t="inlineStr">
        <is>
          <t>NORRBOTTENS LÄN</t>
        </is>
      </c>
      <c r="E6687" t="inlineStr">
        <is>
          <t>LULEÅ</t>
        </is>
      </c>
      <c r="G6687" t="n">
        <v>19.7</v>
      </c>
      <c r="H6687" t="n">
        <v>0</v>
      </c>
      <c r="I6687" t="n">
        <v>0</v>
      </c>
      <c r="J6687" t="n">
        <v>0</v>
      </c>
      <c r="K6687" t="n">
        <v>0</v>
      </c>
      <c r="L6687" t="n">
        <v>0</v>
      </c>
      <c r="M6687" t="n">
        <v>0</v>
      </c>
      <c r="N6687" t="n">
        <v>0</v>
      </c>
      <c r="O6687" t="n">
        <v>0</v>
      </c>
      <c r="P6687" t="n">
        <v>0</v>
      </c>
      <c r="Q6687" t="n">
        <v>0</v>
      </c>
      <c r="R6687" s="2" t="inlineStr"/>
    </row>
    <row r="6688" ht="15" customHeight="1">
      <c r="A6688" t="inlineStr">
        <is>
          <t>A 52617-2025</t>
        </is>
      </c>
      <c r="B6688" s="1" t="n">
        <v>45954.67832175926</v>
      </c>
      <c r="C6688" s="1" t="n">
        <v>46046</v>
      </c>
      <c r="D6688" t="inlineStr">
        <is>
          <t>NORRBOTTENS LÄN</t>
        </is>
      </c>
      <c r="E6688" t="inlineStr">
        <is>
          <t>PITEÅ</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28944-2025</t>
        </is>
      </c>
      <c r="B6689" s="1" t="n">
        <v>45820</v>
      </c>
      <c r="C6689" s="1" t="n">
        <v>46046</v>
      </c>
      <c r="D6689" t="inlineStr">
        <is>
          <t>NORRBOTTENS LÄN</t>
        </is>
      </c>
      <c r="E6689" t="inlineStr">
        <is>
          <t>ARVIDSJAUR</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52641-2025</t>
        </is>
      </c>
      <c r="B6690" s="1" t="n">
        <v>45955.34559027778</v>
      </c>
      <c r="C6690" s="1" t="n">
        <v>46046</v>
      </c>
      <c r="D6690" t="inlineStr">
        <is>
          <t>NORRBOTTENS LÄN</t>
        </is>
      </c>
      <c r="E6690" t="inlineStr">
        <is>
          <t>GÄLLIVARE</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52647-2025</t>
        </is>
      </c>
      <c r="B6691" s="1" t="n">
        <v>45955</v>
      </c>
      <c r="C6691" s="1" t="n">
        <v>46046</v>
      </c>
      <c r="D6691" t="inlineStr">
        <is>
          <t>NORRBOTTENS LÄN</t>
        </is>
      </c>
      <c r="E6691" t="inlineStr">
        <is>
          <t>PITEÅ</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52652-2025</t>
        </is>
      </c>
      <c r="B6692" s="1" t="n">
        <v>45955.3462037037</v>
      </c>
      <c r="C6692" s="1" t="n">
        <v>46046</v>
      </c>
      <c r="D6692" t="inlineStr">
        <is>
          <t>NORRBOTTENS LÄN</t>
        </is>
      </c>
      <c r="E6692" t="inlineStr">
        <is>
          <t>PITEÅ</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52653-2025</t>
        </is>
      </c>
      <c r="B6693" s="1" t="n">
        <v>45955.34627314815</v>
      </c>
      <c r="C6693" s="1" t="n">
        <v>46046</v>
      </c>
      <c r="D6693" t="inlineStr">
        <is>
          <t>NORRBOTTENS LÄN</t>
        </is>
      </c>
      <c r="E6693" t="inlineStr">
        <is>
          <t>PITEÅ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52654-2025</t>
        </is>
      </c>
      <c r="B6694" s="1" t="n">
        <v>45955.34628472223</v>
      </c>
      <c r="C6694" s="1" t="n">
        <v>46046</v>
      </c>
      <c r="D6694" t="inlineStr">
        <is>
          <t>NORRBOTTENS LÄN</t>
        </is>
      </c>
      <c r="E6694" t="inlineStr">
        <is>
          <t>PITEÅ</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52656-2025</t>
        </is>
      </c>
      <c r="B6695" s="1" t="n">
        <v>45955.34635416666</v>
      </c>
      <c r="C6695" s="1" t="n">
        <v>46046</v>
      </c>
      <c r="D6695" t="inlineStr">
        <is>
          <t>NORRBOTTENS LÄN</t>
        </is>
      </c>
      <c r="E6695" t="inlineStr">
        <is>
          <t>PITEÅ</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52414-2025</t>
        </is>
      </c>
      <c r="B6696" s="1" t="n">
        <v>45952</v>
      </c>
      <c r="C6696" s="1" t="n">
        <v>46046</v>
      </c>
      <c r="D6696" t="inlineStr">
        <is>
          <t>NORRBOTTENS LÄN</t>
        </is>
      </c>
      <c r="E6696" t="inlineStr">
        <is>
          <t>PITEÅ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52448-2025</t>
        </is>
      </c>
      <c r="B6697" s="1" t="n">
        <v>45954.41857638889</v>
      </c>
      <c r="C6697" s="1" t="n">
        <v>46046</v>
      </c>
      <c r="D6697" t="inlineStr">
        <is>
          <t>NORRBOTTENS LÄN</t>
        </is>
      </c>
      <c r="E6697" t="inlineStr">
        <is>
          <t>ARVIDSJAUR</t>
        </is>
      </c>
      <c r="F6697" t="inlineStr">
        <is>
          <t>Sveaskog</t>
        </is>
      </c>
      <c r="G6697" t="n">
        <v>18.6</v>
      </c>
      <c r="H6697" t="n">
        <v>0</v>
      </c>
      <c r="I6697" t="n">
        <v>0</v>
      </c>
      <c r="J6697" t="n">
        <v>0</v>
      </c>
      <c r="K6697" t="n">
        <v>0</v>
      </c>
      <c r="L6697" t="n">
        <v>0</v>
      </c>
      <c r="M6697" t="n">
        <v>0</v>
      </c>
      <c r="N6697" t="n">
        <v>0</v>
      </c>
      <c r="O6697" t="n">
        <v>0</v>
      </c>
      <c r="P6697" t="n">
        <v>0</v>
      </c>
      <c r="Q6697" t="n">
        <v>0</v>
      </c>
      <c r="R6697" s="2" t="inlineStr"/>
    </row>
    <row r="6698" ht="15" customHeight="1">
      <c r="A6698" t="inlineStr">
        <is>
          <t>A 52549-2025</t>
        </is>
      </c>
      <c r="B6698" s="1" t="n">
        <v>45954.55297453704</v>
      </c>
      <c r="C6698" s="1" t="n">
        <v>46046</v>
      </c>
      <c r="D6698" t="inlineStr">
        <is>
          <t>NORRBOTTENS LÄN</t>
        </is>
      </c>
      <c r="E6698" t="inlineStr">
        <is>
          <t>LULEÅ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52574-2025</t>
        </is>
      </c>
      <c r="B6699" s="1" t="n">
        <v>45954</v>
      </c>
      <c r="C6699" s="1" t="n">
        <v>46046</v>
      </c>
      <c r="D6699" t="inlineStr">
        <is>
          <t>NORRBOTTENS LÄN</t>
        </is>
      </c>
      <c r="E6699" t="inlineStr">
        <is>
          <t>GÄLLIVARE</t>
        </is>
      </c>
      <c r="G6699" t="n">
        <v>22.1</v>
      </c>
      <c r="H6699" t="n">
        <v>0</v>
      </c>
      <c r="I6699" t="n">
        <v>0</v>
      </c>
      <c r="J6699" t="n">
        <v>0</v>
      </c>
      <c r="K6699" t="n">
        <v>0</v>
      </c>
      <c r="L6699" t="n">
        <v>0</v>
      </c>
      <c r="M6699" t="n">
        <v>0</v>
      </c>
      <c r="N6699" t="n">
        <v>0</v>
      </c>
      <c r="O6699" t="n">
        <v>0</v>
      </c>
      <c r="P6699" t="n">
        <v>0</v>
      </c>
      <c r="Q6699" t="n">
        <v>0</v>
      </c>
      <c r="R6699" s="2" t="inlineStr"/>
    </row>
    <row r="6700" ht="15" customHeight="1">
      <c r="A6700" t="inlineStr">
        <is>
          <t>A 52591-2025</t>
        </is>
      </c>
      <c r="B6700" s="1" t="n">
        <v>45954</v>
      </c>
      <c r="C6700" s="1" t="n">
        <v>46046</v>
      </c>
      <c r="D6700" t="inlineStr">
        <is>
          <t>NORRBOTTENS LÄN</t>
        </is>
      </c>
      <c r="E6700" t="inlineStr">
        <is>
          <t>ÖVERKALIX</t>
        </is>
      </c>
      <c r="F6700" t="inlineStr">
        <is>
          <t>SCA</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52438-2025</t>
        </is>
      </c>
      <c r="B6701" s="1" t="n">
        <v>45954.40479166667</v>
      </c>
      <c r="C6701" s="1" t="n">
        <v>46046</v>
      </c>
      <c r="D6701" t="inlineStr">
        <is>
          <t>NORRBOTTENS LÄN</t>
        </is>
      </c>
      <c r="E6701" t="inlineStr">
        <is>
          <t>ARVIDSJAUR</t>
        </is>
      </c>
      <c r="F6701" t="inlineStr">
        <is>
          <t>Sveaskog</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25239-2023</t>
        </is>
      </c>
      <c r="B6702" s="1" t="n">
        <v>45079</v>
      </c>
      <c r="C6702" s="1" t="n">
        <v>46046</v>
      </c>
      <c r="D6702" t="inlineStr">
        <is>
          <t>NORRBOTTENS LÄN</t>
        </is>
      </c>
      <c r="E6702" t="inlineStr">
        <is>
          <t>ARJEPLOG</t>
        </is>
      </c>
      <c r="F6702" t="inlineStr">
        <is>
          <t>Övriga statliga verk och myndigheter</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52680-2025</t>
        </is>
      </c>
      <c r="B6703" s="1" t="n">
        <v>45956.34488425926</v>
      </c>
      <c r="C6703" s="1" t="n">
        <v>46046</v>
      </c>
      <c r="D6703" t="inlineStr">
        <is>
          <t>NORRBOTTENS LÄN</t>
        </is>
      </c>
      <c r="E6703" t="inlineStr">
        <is>
          <t>LULEÅ</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52682-2025</t>
        </is>
      </c>
      <c r="B6704" s="1" t="n">
        <v>45956</v>
      </c>
      <c r="C6704" s="1" t="n">
        <v>46046</v>
      </c>
      <c r="D6704" t="inlineStr">
        <is>
          <t>NORRBOTTENS LÄN</t>
        </is>
      </c>
      <c r="E6704" t="inlineStr">
        <is>
          <t>PITEÅ</t>
        </is>
      </c>
      <c r="F6704" t="inlineStr">
        <is>
          <t>SCA</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52683-2025</t>
        </is>
      </c>
      <c r="B6705" s="1" t="n">
        <v>45956.34509259259</v>
      </c>
      <c r="C6705" s="1" t="n">
        <v>46046</v>
      </c>
      <c r="D6705" t="inlineStr">
        <is>
          <t>NORRBOTTENS LÄN</t>
        </is>
      </c>
      <c r="E6705" t="inlineStr">
        <is>
          <t>ÄLVSBYN</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52684-2025</t>
        </is>
      </c>
      <c r="B6706" s="1" t="n">
        <v>45956.34519675926</v>
      </c>
      <c r="C6706" s="1" t="n">
        <v>46046</v>
      </c>
      <c r="D6706" t="inlineStr">
        <is>
          <t>NORRBOTTENS LÄN</t>
        </is>
      </c>
      <c r="E6706" t="inlineStr">
        <is>
          <t>LULEÅ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52687-2025</t>
        </is>
      </c>
      <c r="B6707" s="1" t="n">
        <v>45956.36496527777</v>
      </c>
      <c r="C6707" s="1" t="n">
        <v>46046</v>
      </c>
      <c r="D6707" t="inlineStr">
        <is>
          <t>NORRBOTTENS LÄN</t>
        </is>
      </c>
      <c r="E6707" t="inlineStr">
        <is>
          <t>LULEÅ</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51525-2025</t>
        </is>
      </c>
      <c r="B6708" s="1" t="n">
        <v>45950</v>
      </c>
      <c r="C6708" s="1" t="n">
        <v>46046</v>
      </c>
      <c r="D6708" t="inlineStr">
        <is>
          <t>NORRBOTTENS LÄN</t>
        </is>
      </c>
      <c r="E6708" t="inlineStr">
        <is>
          <t>BODEN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53003-2025</t>
        </is>
      </c>
      <c r="B6709" s="1" t="n">
        <v>45957</v>
      </c>
      <c r="C6709" s="1" t="n">
        <v>46046</v>
      </c>
      <c r="D6709" t="inlineStr">
        <is>
          <t>NORRBOTTENS LÄN</t>
        </is>
      </c>
      <c r="E6709" t="inlineStr">
        <is>
          <t>LULEÅ</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52396-2025</t>
        </is>
      </c>
      <c r="B6710" s="1" t="n">
        <v>45954.34506944445</v>
      </c>
      <c r="C6710" s="1" t="n">
        <v>46046</v>
      </c>
      <c r="D6710" t="inlineStr">
        <is>
          <t>NORRBOTTENS LÄN</t>
        </is>
      </c>
      <c r="E6710" t="inlineStr">
        <is>
          <t>PITEÅ</t>
        </is>
      </c>
      <c r="F6710" t="inlineStr">
        <is>
          <t>SCA</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52770-2025</t>
        </is>
      </c>
      <c r="B6711" s="1" t="n">
        <v>45957</v>
      </c>
      <c r="C6711" s="1" t="n">
        <v>46046</v>
      </c>
      <c r="D6711" t="inlineStr">
        <is>
          <t>NORRBOTTENS LÄN</t>
        </is>
      </c>
      <c r="E6711" t="inlineStr">
        <is>
          <t>JOKKMOKK</t>
        </is>
      </c>
      <c r="F6711" t="inlineStr">
        <is>
          <t>SCA</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52911-2025</t>
        </is>
      </c>
      <c r="B6712" s="1" t="n">
        <v>45957</v>
      </c>
      <c r="C6712" s="1" t="n">
        <v>46046</v>
      </c>
      <c r="D6712" t="inlineStr">
        <is>
          <t>NORRBOTTENS LÄN</t>
        </is>
      </c>
      <c r="E6712" t="inlineStr">
        <is>
          <t>PAJALA</t>
        </is>
      </c>
      <c r="F6712" t="inlineStr">
        <is>
          <t>Sveaskog</t>
        </is>
      </c>
      <c r="G6712" t="n">
        <v>27.4</v>
      </c>
      <c r="H6712" t="n">
        <v>0</v>
      </c>
      <c r="I6712" t="n">
        <v>0</v>
      </c>
      <c r="J6712" t="n">
        <v>0</v>
      </c>
      <c r="K6712" t="n">
        <v>0</v>
      </c>
      <c r="L6712" t="n">
        <v>0</v>
      </c>
      <c r="M6712" t="n">
        <v>0</v>
      </c>
      <c r="N6712" t="n">
        <v>0</v>
      </c>
      <c r="O6712" t="n">
        <v>0</v>
      </c>
      <c r="P6712" t="n">
        <v>0</v>
      </c>
      <c r="Q6712" t="n">
        <v>0</v>
      </c>
      <c r="R6712" s="2" t="inlineStr"/>
    </row>
    <row r="6713" ht="15" customHeight="1">
      <c r="A6713" t="inlineStr">
        <is>
          <t>A 52643-2025</t>
        </is>
      </c>
      <c r="B6713" s="1" t="n">
        <v>45955.34586805556</v>
      </c>
      <c r="C6713" s="1" t="n">
        <v>46046</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52644-2025</t>
        </is>
      </c>
      <c r="B6714" s="1" t="n">
        <v>45955</v>
      </c>
      <c r="C6714" s="1" t="n">
        <v>46046</v>
      </c>
      <c r="D6714" t="inlineStr">
        <is>
          <t>NORRBOTTENS LÄN</t>
        </is>
      </c>
      <c r="E6714" t="inlineStr">
        <is>
          <t>PITEÅ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52645-2025</t>
        </is>
      </c>
      <c r="B6715" s="1" t="n">
        <v>45955.3459375</v>
      </c>
      <c r="C6715" s="1" t="n">
        <v>46046</v>
      </c>
      <c r="D6715" t="inlineStr">
        <is>
          <t>NORRBOTTENS LÄN</t>
        </is>
      </c>
      <c r="E6715" t="inlineStr">
        <is>
          <t>BODEN</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52646-2025</t>
        </is>
      </c>
      <c r="B6716" s="1" t="n">
        <v>45955.34597222223</v>
      </c>
      <c r="C6716" s="1" t="n">
        <v>46046</v>
      </c>
      <c r="D6716" t="inlineStr">
        <is>
          <t>NORRBOTTENS LÄN</t>
        </is>
      </c>
      <c r="E6716" t="inlineStr">
        <is>
          <t>BODEN</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52648-2025</t>
        </is>
      </c>
      <c r="B6717" s="1" t="n">
        <v>45955</v>
      </c>
      <c r="C6717" s="1" t="n">
        <v>46046</v>
      </c>
      <c r="D6717" t="inlineStr">
        <is>
          <t>NORRBOTTENS LÄN</t>
        </is>
      </c>
      <c r="E6717" t="inlineStr">
        <is>
          <t>PITEÅ</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52678-2025</t>
        </is>
      </c>
      <c r="B6718" s="1" t="n">
        <v>45956.34459490741</v>
      </c>
      <c r="C6718" s="1" t="n">
        <v>46046</v>
      </c>
      <c r="D6718" t="inlineStr">
        <is>
          <t>NORRBOTTENS LÄN</t>
        </is>
      </c>
      <c r="E6718" t="inlineStr">
        <is>
          <t>LULEÅ</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52685-2025</t>
        </is>
      </c>
      <c r="B6719" s="1" t="n">
        <v>45956</v>
      </c>
      <c r="C6719" s="1" t="n">
        <v>46046</v>
      </c>
      <c r="D6719" t="inlineStr">
        <is>
          <t>NORRBOTTENS LÄN</t>
        </is>
      </c>
      <c r="E6719" t="inlineStr">
        <is>
          <t>PITEÅ</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52593-2025</t>
        </is>
      </c>
      <c r="B6720" s="1" t="n">
        <v>45954</v>
      </c>
      <c r="C6720" s="1" t="n">
        <v>46046</v>
      </c>
      <c r="D6720" t="inlineStr">
        <is>
          <t>NORRBOTTENS LÄN</t>
        </is>
      </c>
      <c r="E6720" t="inlineStr">
        <is>
          <t>PITEÅ</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52602-2025</t>
        </is>
      </c>
      <c r="B6721" s="1" t="n">
        <v>45954.65701388889</v>
      </c>
      <c r="C6721" s="1" t="n">
        <v>46046</v>
      </c>
      <c r="D6721" t="inlineStr">
        <is>
          <t>NORRBOTTENS LÄN</t>
        </is>
      </c>
      <c r="E6721" t="inlineStr">
        <is>
          <t>PITEÅ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41819-2025</t>
        </is>
      </c>
      <c r="B6722" s="1" t="n">
        <v>45902</v>
      </c>
      <c r="C6722" s="1" t="n">
        <v>46046</v>
      </c>
      <c r="D6722" t="inlineStr">
        <is>
          <t>NORRBOTTENS LÄN</t>
        </is>
      </c>
      <c r="E6722" t="inlineStr">
        <is>
          <t>PAJALA</t>
        </is>
      </c>
      <c r="F6722" t="inlineStr">
        <is>
          <t>Sveaskog</t>
        </is>
      </c>
      <c r="G6722" t="n">
        <v>24.4</v>
      </c>
      <c r="H6722" t="n">
        <v>0</v>
      </c>
      <c r="I6722" t="n">
        <v>0</v>
      </c>
      <c r="J6722" t="n">
        <v>0</v>
      </c>
      <c r="K6722" t="n">
        <v>0</v>
      </c>
      <c r="L6722" t="n">
        <v>0</v>
      </c>
      <c r="M6722" t="n">
        <v>0</v>
      </c>
      <c r="N6722" t="n">
        <v>0</v>
      </c>
      <c r="O6722" t="n">
        <v>0</v>
      </c>
      <c r="P6722" t="n">
        <v>0</v>
      </c>
      <c r="Q6722" t="n">
        <v>0</v>
      </c>
      <c r="R6722" s="2" t="inlineStr"/>
    </row>
    <row r="6723" ht="15" customHeight="1">
      <c r="A6723" t="inlineStr">
        <is>
          <t>A 53264-2025</t>
        </is>
      </c>
      <c r="B6723" s="1" t="n">
        <v>45958.67831018518</v>
      </c>
      <c r="C6723" s="1" t="n">
        <v>46046</v>
      </c>
      <c r="D6723" t="inlineStr">
        <is>
          <t>NORRBOTTENS LÄN</t>
        </is>
      </c>
      <c r="E6723" t="inlineStr">
        <is>
          <t>LULEÅ</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53091-2025</t>
        </is>
      </c>
      <c r="B6724" s="1" t="n">
        <v>45958.42047453704</v>
      </c>
      <c r="C6724" s="1" t="n">
        <v>46046</v>
      </c>
      <c r="D6724" t="inlineStr">
        <is>
          <t>NORRBOTTENS LÄN</t>
        </is>
      </c>
      <c r="E6724" t="inlineStr">
        <is>
          <t>ÖVERKALIX</t>
        </is>
      </c>
      <c r="F6724" t="inlineStr">
        <is>
          <t>Sveaskog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53246-2025</t>
        </is>
      </c>
      <c r="B6725" s="1" t="n">
        <v>45958.64807870371</v>
      </c>
      <c r="C6725" s="1" t="n">
        <v>46046</v>
      </c>
      <c r="D6725" t="inlineStr">
        <is>
          <t>NORRBOTTENS LÄN</t>
        </is>
      </c>
      <c r="E6725" t="inlineStr">
        <is>
          <t>ARJEPLOG</t>
        </is>
      </c>
      <c r="F6725" t="inlineStr">
        <is>
          <t>Övriga statliga verk och myndigheter</t>
        </is>
      </c>
      <c r="G6725" t="n">
        <v>36.7</v>
      </c>
      <c r="H6725" t="n">
        <v>0</v>
      </c>
      <c r="I6725" t="n">
        <v>0</v>
      </c>
      <c r="J6725" t="n">
        <v>0</v>
      </c>
      <c r="K6725" t="n">
        <v>0</v>
      </c>
      <c r="L6725" t="n">
        <v>0</v>
      </c>
      <c r="M6725" t="n">
        <v>0</v>
      </c>
      <c r="N6725" t="n">
        <v>0</v>
      </c>
      <c r="O6725" t="n">
        <v>0</v>
      </c>
      <c r="P6725" t="n">
        <v>0</v>
      </c>
      <c r="Q6725" t="n">
        <v>0</v>
      </c>
      <c r="R6725" s="2" t="inlineStr"/>
    </row>
    <row r="6726" ht="15" customHeight="1">
      <c r="A6726" t="inlineStr">
        <is>
          <t>A 53448-2025</t>
        </is>
      </c>
      <c r="B6726" s="1" t="n">
        <v>45959.65199074074</v>
      </c>
      <c r="C6726" s="1" t="n">
        <v>46046</v>
      </c>
      <c r="D6726" t="inlineStr">
        <is>
          <t>NORRBOTTENS LÄN</t>
        </is>
      </c>
      <c r="E6726" t="inlineStr">
        <is>
          <t>PITEÅ</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53429-2025</t>
        </is>
      </c>
      <c r="B6727" s="1" t="n">
        <v>45959.62284722222</v>
      </c>
      <c r="C6727" s="1" t="n">
        <v>46046</v>
      </c>
      <c r="D6727" t="inlineStr">
        <is>
          <t>NORRBOTTENS LÄN</t>
        </is>
      </c>
      <c r="E6727" t="inlineStr">
        <is>
          <t>ÖVERTORNEÅ</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53125-2025</t>
        </is>
      </c>
      <c r="B6728" s="1" t="n">
        <v>45958.45878472222</v>
      </c>
      <c r="C6728" s="1" t="n">
        <v>46046</v>
      </c>
      <c r="D6728" t="inlineStr">
        <is>
          <t>NORRBOTTENS LÄN</t>
        </is>
      </c>
      <c r="E6728" t="inlineStr">
        <is>
          <t>BODEN</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53154-2025</t>
        </is>
      </c>
      <c r="B6729" s="1" t="n">
        <v>45958.48908564815</v>
      </c>
      <c r="C6729" s="1" t="n">
        <v>46046</v>
      </c>
      <c r="D6729" t="inlineStr">
        <is>
          <t>NORRBOTTENS LÄN</t>
        </is>
      </c>
      <c r="E6729" t="inlineStr">
        <is>
          <t>GÄLLIVARE</t>
        </is>
      </c>
      <c r="F6729" t="inlineStr">
        <is>
          <t>Sveaskog</t>
        </is>
      </c>
      <c r="G6729" t="n">
        <v>9.4</v>
      </c>
      <c r="H6729" t="n">
        <v>0</v>
      </c>
      <c r="I6729" t="n">
        <v>0</v>
      </c>
      <c r="J6729" t="n">
        <v>0</v>
      </c>
      <c r="K6729" t="n">
        <v>0</v>
      </c>
      <c r="L6729" t="n">
        <v>0</v>
      </c>
      <c r="M6729" t="n">
        <v>0</v>
      </c>
      <c r="N6729" t="n">
        <v>0</v>
      </c>
      <c r="O6729" t="n">
        <v>0</v>
      </c>
      <c r="P6729" t="n">
        <v>0</v>
      </c>
      <c r="Q6729" t="n">
        <v>0</v>
      </c>
      <c r="R6729" s="2" t="inlineStr"/>
    </row>
    <row r="6730" ht="15" customHeight="1">
      <c r="A6730" t="inlineStr">
        <is>
          <t>A 53177-2025</t>
        </is>
      </c>
      <c r="B6730" s="1" t="n">
        <v>45958</v>
      </c>
      <c r="C6730" s="1" t="n">
        <v>46046</v>
      </c>
      <c r="D6730" t="inlineStr">
        <is>
          <t>NORRBOTTENS LÄN</t>
        </is>
      </c>
      <c r="E6730" t="inlineStr">
        <is>
          <t>PITEÅ</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53420-2025</t>
        </is>
      </c>
      <c r="B6731" s="1" t="n">
        <v>45959.59439814815</v>
      </c>
      <c r="C6731" s="1" t="n">
        <v>46046</v>
      </c>
      <c r="D6731" t="inlineStr">
        <is>
          <t>NORRBOTTENS LÄN</t>
        </is>
      </c>
      <c r="E6731" t="inlineStr">
        <is>
          <t>GÄLLIVARE</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53464-2025</t>
        </is>
      </c>
      <c r="B6732" s="1" t="n">
        <v>45959.68377314815</v>
      </c>
      <c r="C6732" s="1" t="n">
        <v>46046</v>
      </c>
      <c r="D6732" t="inlineStr">
        <is>
          <t>NORRBOTTENS LÄN</t>
        </is>
      </c>
      <c r="E6732" t="inlineStr">
        <is>
          <t>PITEÅ</t>
        </is>
      </c>
      <c r="F6732" t="inlineStr">
        <is>
          <t>Övriga Aktiebolag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53099-2025</t>
        </is>
      </c>
      <c r="B6733" s="1" t="n">
        <v>45958</v>
      </c>
      <c r="C6733" s="1" t="n">
        <v>46046</v>
      </c>
      <c r="D6733" t="inlineStr">
        <is>
          <t>NORRBOTTENS LÄN</t>
        </is>
      </c>
      <c r="E6733" t="inlineStr">
        <is>
          <t>GÄLLIVARE</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53236-2025</t>
        </is>
      </c>
      <c r="B6734" s="1" t="n">
        <v>45958.63005787037</v>
      </c>
      <c r="C6734" s="1" t="n">
        <v>46046</v>
      </c>
      <c r="D6734" t="inlineStr">
        <is>
          <t>NORRBOTTENS LÄN</t>
        </is>
      </c>
      <c r="E6734" t="inlineStr">
        <is>
          <t>PITEÅ</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53176-2025</t>
        </is>
      </c>
      <c r="B6735" s="1" t="n">
        <v>45958.5297337963</v>
      </c>
      <c r="C6735" s="1" t="n">
        <v>46046</v>
      </c>
      <c r="D6735" t="inlineStr">
        <is>
          <t>NORRBOTTENS LÄN</t>
        </is>
      </c>
      <c r="E6735" t="inlineStr">
        <is>
          <t>GÄLLIVARE</t>
        </is>
      </c>
      <c r="F6735" t="inlineStr">
        <is>
          <t>Sveaskog</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53093-2025</t>
        </is>
      </c>
      <c r="B6736" s="1" t="n">
        <v>45958.42353009259</v>
      </c>
      <c r="C6736" s="1" t="n">
        <v>46046</v>
      </c>
      <c r="D6736" t="inlineStr">
        <is>
          <t>NORRBOTTENS LÄN</t>
        </is>
      </c>
      <c r="E6736" t="inlineStr">
        <is>
          <t>ÖVERKALIX</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53128-2025</t>
        </is>
      </c>
      <c r="B6737" s="1" t="n">
        <v>45958.4603587963</v>
      </c>
      <c r="C6737" s="1" t="n">
        <v>46046</v>
      </c>
      <c r="D6737" t="inlineStr">
        <is>
          <t>NORRBOTTENS LÄN</t>
        </is>
      </c>
      <c r="E6737" t="inlineStr">
        <is>
          <t>BODEN</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53029-2025</t>
        </is>
      </c>
      <c r="B6738" s="1" t="n">
        <v>45958.34296296296</v>
      </c>
      <c r="C6738" s="1" t="n">
        <v>46046</v>
      </c>
      <c r="D6738" t="inlineStr">
        <is>
          <t>NORRBOTTENS LÄN</t>
        </is>
      </c>
      <c r="E6738" t="inlineStr">
        <is>
          <t>PITEÅ</t>
        </is>
      </c>
      <c r="F6738" t="inlineStr">
        <is>
          <t>Övriga Aktiebolag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53059-2025</t>
        </is>
      </c>
      <c r="B6739" s="1" t="n">
        <v>45958.36559027778</v>
      </c>
      <c r="C6739" s="1" t="n">
        <v>46046</v>
      </c>
      <c r="D6739" t="inlineStr">
        <is>
          <t>NORRBOTTENS LÄN</t>
        </is>
      </c>
      <c r="E6739" t="inlineStr">
        <is>
          <t>PITEÅ</t>
        </is>
      </c>
      <c r="G6739" t="n">
        <v>12.9</v>
      </c>
      <c r="H6739" t="n">
        <v>0</v>
      </c>
      <c r="I6739" t="n">
        <v>0</v>
      </c>
      <c r="J6739" t="n">
        <v>0</v>
      </c>
      <c r="K6739" t="n">
        <v>0</v>
      </c>
      <c r="L6739" t="n">
        <v>0</v>
      </c>
      <c r="M6739" t="n">
        <v>0</v>
      </c>
      <c r="N6739" t="n">
        <v>0</v>
      </c>
      <c r="O6739" t="n">
        <v>0</v>
      </c>
      <c r="P6739" t="n">
        <v>0</v>
      </c>
      <c r="Q6739" t="n">
        <v>0</v>
      </c>
      <c r="R6739" s="2" t="inlineStr"/>
    </row>
    <row r="6740" ht="15" customHeight="1">
      <c r="A6740" t="inlineStr">
        <is>
          <t>A 53124-2025</t>
        </is>
      </c>
      <c r="B6740" s="1" t="n">
        <v>45958.45619212963</v>
      </c>
      <c r="C6740" s="1" t="n">
        <v>46046</v>
      </c>
      <c r="D6740" t="inlineStr">
        <is>
          <t>NORRBOTTENS LÄN</t>
        </is>
      </c>
      <c r="E6740" t="inlineStr">
        <is>
          <t>BODEN</t>
        </is>
      </c>
      <c r="F6740" t="inlineStr">
        <is>
          <t>Sveaskog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53624-2025</t>
        </is>
      </c>
      <c r="B6741" s="1" t="n">
        <v>45960</v>
      </c>
      <c r="C6741" s="1" t="n">
        <v>46046</v>
      </c>
      <c r="D6741" t="inlineStr">
        <is>
          <t>NORRBOTTENS LÄN</t>
        </is>
      </c>
      <c r="E6741" t="inlineStr">
        <is>
          <t>ÄLVSBYN</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53623-2025</t>
        </is>
      </c>
      <c r="B6742" s="1" t="n">
        <v>45960</v>
      </c>
      <c r="C6742" s="1" t="n">
        <v>46046</v>
      </c>
      <c r="D6742" t="inlineStr">
        <is>
          <t>NORRBOTTENS LÄN</t>
        </is>
      </c>
      <c r="E6742" t="inlineStr">
        <is>
          <t>BODEN</t>
        </is>
      </c>
      <c r="F6742" t="inlineStr">
        <is>
          <t>SCA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53644-2025</t>
        </is>
      </c>
      <c r="B6743" s="1" t="n">
        <v>45960.51831018519</v>
      </c>
      <c r="C6743" s="1" t="n">
        <v>46046</v>
      </c>
      <c r="D6743" t="inlineStr">
        <is>
          <t>NORRBOTTENS LÄN</t>
        </is>
      </c>
      <c r="E6743" t="inlineStr">
        <is>
          <t>ÄLVSBYN</t>
        </is>
      </c>
      <c r="F6743" t="inlineStr">
        <is>
          <t>Sveaskog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53652-2025</t>
        </is>
      </c>
      <c r="B6744" s="1" t="n">
        <v>45960.52788194444</v>
      </c>
      <c r="C6744" s="1" t="n">
        <v>46046</v>
      </c>
      <c r="D6744" t="inlineStr">
        <is>
          <t>NORRBOTTENS LÄN</t>
        </is>
      </c>
      <c r="E6744" t="inlineStr">
        <is>
          <t>PITEÅ</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53663-2025</t>
        </is>
      </c>
      <c r="B6745" s="1" t="n">
        <v>45960.54111111111</v>
      </c>
      <c r="C6745" s="1" t="n">
        <v>46046</v>
      </c>
      <c r="D6745" t="inlineStr">
        <is>
          <t>NORRBOTTENS LÄN</t>
        </is>
      </c>
      <c r="E6745" t="inlineStr">
        <is>
          <t>PITEÅ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53648-2025</t>
        </is>
      </c>
      <c r="B6746" s="1" t="n">
        <v>45960.52081018518</v>
      </c>
      <c r="C6746" s="1" t="n">
        <v>46046</v>
      </c>
      <c r="D6746" t="inlineStr">
        <is>
          <t>NORRBOTTENS LÄN</t>
        </is>
      </c>
      <c r="E6746" t="inlineStr">
        <is>
          <t>ÄLVSBYN</t>
        </is>
      </c>
      <c r="F6746" t="inlineStr">
        <is>
          <t>Sveaskog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53511-2025</t>
        </is>
      </c>
      <c r="B6747" s="1" t="n">
        <v>45960</v>
      </c>
      <c r="C6747" s="1" t="n">
        <v>46046</v>
      </c>
      <c r="D6747" t="inlineStr">
        <is>
          <t>NORRBOTTENS LÄN</t>
        </is>
      </c>
      <c r="E6747" t="inlineStr">
        <is>
          <t>ARVIDSJAUR</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53700-2025</t>
        </is>
      </c>
      <c r="B6748" s="1" t="n">
        <v>45960</v>
      </c>
      <c r="C6748" s="1" t="n">
        <v>46046</v>
      </c>
      <c r="D6748" t="inlineStr">
        <is>
          <t>NORRBOTTENS LÄN</t>
        </is>
      </c>
      <c r="E6748" t="inlineStr">
        <is>
          <t>PITEÅ</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53993-2025</t>
        </is>
      </c>
      <c r="B6749" s="1" t="n">
        <v>45961.58293981481</v>
      </c>
      <c r="C6749" s="1" t="n">
        <v>46046</v>
      </c>
      <c r="D6749" t="inlineStr">
        <is>
          <t>NORRBOTTENS LÄN</t>
        </is>
      </c>
      <c r="E6749" t="inlineStr">
        <is>
          <t>GÄLLIVARE</t>
        </is>
      </c>
      <c r="F6749" t="inlineStr">
        <is>
          <t>Sveaskog</t>
        </is>
      </c>
      <c r="G6749" t="n">
        <v>11.8</v>
      </c>
      <c r="H6749" t="n">
        <v>0</v>
      </c>
      <c r="I6749" t="n">
        <v>0</v>
      </c>
      <c r="J6749" t="n">
        <v>0</v>
      </c>
      <c r="K6749" t="n">
        <v>0</v>
      </c>
      <c r="L6749" t="n">
        <v>0</v>
      </c>
      <c r="M6749" t="n">
        <v>0</v>
      </c>
      <c r="N6749" t="n">
        <v>0</v>
      </c>
      <c r="O6749" t="n">
        <v>0</v>
      </c>
      <c r="P6749" t="n">
        <v>0</v>
      </c>
      <c r="Q6749" t="n">
        <v>0</v>
      </c>
      <c r="R6749" s="2" t="inlineStr"/>
    </row>
    <row r="6750" ht="15" customHeight="1">
      <c r="A6750" t="inlineStr">
        <is>
          <t>A 53971-2025</t>
        </is>
      </c>
      <c r="B6750" s="1" t="n">
        <v>45961</v>
      </c>
      <c r="C6750" s="1" t="n">
        <v>46046</v>
      </c>
      <c r="D6750" t="inlineStr">
        <is>
          <t>NORRBOTTENS LÄN</t>
        </is>
      </c>
      <c r="E6750" t="inlineStr">
        <is>
          <t>ARVIDSJAUR</t>
        </is>
      </c>
      <c r="F6750" t="inlineStr">
        <is>
          <t>Sveaskog</t>
        </is>
      </c>
      <c r="G6750" t="n">
        <v>13.1</v>
      </c>
      <c r="H6750" t="n">
        <v>0</v>
      </c>
      <c r="I6750" t="n">
        <v>0</v>
      </c>
      <c r="J6750" t="n">
        <v>0</v>
      </c>
      <c r="K6750" t="n">
        <v>0</v>
      </c>
      <c r="L6750" t="n">
        <v>0</v>
      </c>
      <c r="M6750" t="n">
        <v>0</v>
      </c>
      <c r="N6750" t="n">
        <v>0</v>
      </c>
      <c r="O6750" t="n">
        <v>0</v>
      </c>
      <c r="P6750" t="n">
        <v>0</v>
      </c>
      <c r="Q6750" t="n">
        <v>0</v>
      </c>
      <c r="R6750" s="2" t="inlineStr"/>
    </row>
    <row r="6751" ht="15" customHeight="1">
      <c r="A6751" t="inlineStr">
        <is>
          <t>A 10596-2025</t>
        </is>
      </c>
      <c r="B6751" s="1" t="n">
        <v>45721</v>
      </c>
      <c r="C6751" s="1" t="n">
        <v>46046</v>
      </c>
      <c r="D6751" t="inlineStr">
        <is>
          <t>NORRBOTTENS LÄN</t>
        </is>
      </c>
      <c r="E6751" t="inlineStr">
        <is>
          <t>JOKKMOKK</t>
        </is>
      </c>
      <c r="G6751" t="n">
        <v>17.7</v>
      </c>
      <c r="H6751" t="n">
        <v>0</v>
      </c>
      <c r="I6751" t="n">
        <v>0</v>
      </c>
      <c r="J6751" t="n">
        <v>0</v>
      </c>
      <c r="K6751" t="n">
        <v>0</v>
      </c>
      <c r="L6751" t="n">
        <v>0</v>
      </c>
      <c r="M6751" t="n">
        <v>0</v>
      </c>
      <c r="N6751" t="n">
        <v>0</v>
      </c>
      <c r="O6751" t="n">
        <v>0</v>
      </c>
      <c r="P6751" t="n">
        <v>0</v>
      </c>
      <c r="Q6751" t="n">
        <v>0</v>
      </c>
      <c r="R6751" s="2" t="inlineStr"/>
    </row>
    <row r="6752" ht="15" customHeight="1">
      <c r="A6752" t="inlineStr">
        <is>
          <t>A 53542-2025</t>
        </is>
      </c>
      <c r="B6752" s="1" t="n">
        <v>45960.38133101852</v>
      </c>
      <c r="C6752" s="1" t="n">
        <v>46046</v>
      </c>
      <c r="D6752" t="inlineStr">
        <is>
          <t>NORRBOTTENS LÄN</t>
        </is>
      </c>
      <c r="E6752" t="inlineStr">
        <is>
          <t>PITEÅ</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53780-2025</t>
        </is>
      </c>
      <c r="B6753" s="1" t="n">
        <v>45960.6988425926</v>
      </c>
      <c r="C6753" s="1" t="n">
        <v>46046</v>
      </c>
      <c r="D6753" t="inlineStr">
        <is>
          <t>NORRBOTTENS LÄN</t>
        </is>
      </c>
      <c r="E6753" t="inlineStr">
        <is>
          <t>LULEÅ</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53672-2025</t>
        </is>
      </c>
      <c r="B6754" s="1" t="n">
        <v>45960</v>
      </c>
      <c r="C6754" s="1" t="n">
        <v>46046</v>
      </c>
      <c r="D6754" t="inlineStr">
        <is>
          <t>NORRBOTTENS LÄN</t>
        </is>
      </c>
      <c r="E6754" t="inlineStr">
        <is>
          <t>ÄLVSBYN</t>
        </is>
      </c>
      <c r="F6754" t="inlineStr">
        <is>
          <t>SCA</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53957-2025</t>
        </is>
      </c>
      <c r="B6755" s="1" t="n">
        <v>45961</v>
      </c>
      <c r="C6755" s="1" t="n">
        <v>46046</v>
      </c>
      <c r="D6755" t="inlineStr">
        <is>
          <t>NORRBOTTENS LÄN</t>
        </is>
      </c>
      <c r="E6755" t="inlineStr">
        <is>
          <t>ÄLVSBYN</t>
        </is>
      </c>
      <c r="F6755" t="inlineStr">
        <is>
          <t>Sveaskog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53978-2025</t>
        </is>
      </c>
      <c r="B6756" s="1" t="n">
        <v>45961.55643518519</v>
      </c>
      <c r="C6756" s="1" t="n">
        <v>46046</v>
      </c>
      <c r="D6756" t="inlineStr">
        <is>
          <t>NORRBOTTENS LÄN</t>
        </is>
      </c>
      <c r="E6756" t="inlineStr">
        <is>
          <t>ARVIDSJAUR</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53510-2025</t>
        </is>
      </c>
      <c r="B6757" s="1" t="n">
        <v>45960</v>
      </c>
      <c r="C6757" s="1" t="n">
        <v>46046</v>
      </c>
      <c r="D6757" t="inlineStr">
        <is>
          <t>NORRBOTTENS LÄN</t>
        </is>
      </c>
      <c r="E6757" t="inlineStr">
        <is>
          <t>ARVIDSJAUR</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53840-2025</t>
        </is>
      </c>
      <c r="B6758" s="1" t="n">
        <v>45961.35986111111</v>
      </c>
      <c r="C6758" s="1" t="n">
        <v>46046</v>
      </c>
      <c r="D6758" t="inlineStr">
        <is>
          <t>NORRBOTTENS LÄN</t>
        </is>
      </c>
      <c r="E6758" t="inlineStr">
        <is>
          <t>ÄLVSBYN</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54000-2025</t>
        </is>
      </c>
      <c r="B6759" s="1" t="n">
        <v>45961.59572916666</v>
      </c>
      <c r="C6759" s="1" t="n">
        <v>46046</v>
      </c>
      <c r="D6759" t="inlineStr">
        <is>
          <t>NORRBOTTENS LÄN</t>
        </is>
      </c>
      <c r="E6759" t="inlineStr">
        <is>
          <t>ÖVERTORNEÅ</t>
        </is>
      </c>
      <c r="F6759" t="inlineStr">
        <is>
          <t>Sveaskog</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53638-2025</t>
        </is>
      </c>
      <c r="B6760" s="1" t="n">
        <v>45960.50393518519</v>
      </c>
      <c r="C6760" s="1" t="n">
        <v>46046</v>
      </c>
      <c r="D6760" t="inlineStr">
        <is>
          <t>NORRBOTTENS LÄN</t>
        </is>
      </c>
      <c r="E6760" t="inlineStr">
        <is>
          <t>ÄLVSBYN</t>
        </is>
      </c>
      <c r="F6760" t="inlineStr">
        <is>
          <t>Sveaskog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53797-2025</t>
        </is>
      </c>
      <c r="B6761" s="1" t="n">
        <v>45960.76377314814</v>
      </c>
      <c r="C6761" s="1" t="n">
        <v>46046</v>
      </c>
      <c r="D6761" t="inlineStr">
        <is>
          <t>NORRBOTTENS LÄN</t>
        </is>
      </c>
      <c r="E6761" t="inlineStr">
        <is>
          <t>PAJALA</t>
        </is>
      </c>
      <c r="G6761" t="n">
        <v>19.1</v>
      </c>
      <c r="H6761" t="n">
        <v>0</v>
      </c>
      <c r="I6761" t="n">
        <v>0</v>
      </c>
      <c r="J6761" t="n">
        <v>0</v>
      </c>
      <c r="K6761" t="n">
        <v>0</v>
      </c>
      <c r="L6761" t="n">
        <v>0</v>
      </c>
      <c r="M6761" t="n">
        <v>0</v>
      </c>
      <c r="N6761" t="n">
        <v>0</v>
      </c>
      <c r="O6761" t="n">
        <v>0</v>
      </c>
      <c r="P6761" t="n">
        <v>0</v>
      </c>
      <c r="Q6761" t="n">
        <v>0</v>
      </c>
      <c r="R6761" s="2" t="inlineStr"/>
    </row>
    <row r="6762" ht="15" customHeight="1">
      <c r="A6762" t="inlineStr">
        <is>
          <t>A 53892-2025</t>
        </is>
      </c>
      <c r="B6762" s="1" t="n">
        <v>45961.41893518518</v>
      </c>
      <c r="C6762" s="1" t="n">
        <v>46046</v>
      </c>
      <c r="D6762" t="inlineStr">
        <is>
          <t>NORRBOTTENS LÄN</t>
        </is>
      </c>
      <c r="E6762" t="inlineStr">
        <is>
          <t>BODEN</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53893-2025</t>
        </is>
      </c>
      <c r="B6763" s="1" t="n">
        <v>45961</v>
      </c>
      <c r="C6763" s="1" t="n">
        <v>46046</v>
      </c>
      <c r="D6763" t="inlineStr">
        <is>
          <t>NORRBOTTENS LÄN</t>
        </is>
      </c>
      <c r="E6763" t="inlineStr">
        <is>
          <t>BODEN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58994-2025</t>
        </is>
      </c>
      <c r="B6764" s="1" t="n">
        <v>45987</v>
      </c>
      <c r="C6764" s="1" t="n">
        <v>46046</v>
      </c>
      <c r="D6764" t="inlineStr">
        <is>
          <t>NORRBOTTENS LÄN</t>
        </is>
      </c>
      <c r="E6764" t="inlineStr">
        <is>
          <t>PITEÅ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53578-2025</t>
        </is>
      </c>
      <c r="B6765" s="1" t="n">
        <v>45960.42349537037</v>
      </c>
      <c r="C6765" s="1" t="n">
        <v>46046</v>
      </c>
      <c r="D6765" t="inlineStr">
        <is>
          <t>NORRBOTTENS LÄN</t>
        </is>
      </c>
      <c r="E6765" t="inlineStr">
        <is>
          <t>PITEÅ</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53513-2025</t>
        </is>
      </c>
      <c r="B6766" s="1" t="n">
        <v>45960</v>
      </c>
      <c r="C6766" s="1" t="n">
        <v>46046</v>
      </c>
      <c r="D6766" t="inlineStr">
        <is>
          <t>NORRBOTTENS LÄN</t>
        </is>
      </c>
      <c r="E6766" t="inlineStr">
        <is>
          <t>JOKKMOKK</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53749-2025</t>
        </is>
      </c>
      <c r="B6767" s="1" t="n">
        <v>45960.65726851852</v>
      </c>
      <c r="C6767" s="1" t="n">
        <v>46046</v>
      </c>
      <c r="D6767" t="inlineStr">
        <is>
          <t>NORRBOTTENS LÄN</t>
        </is>
      </c>
      <c r="E6767" t="inlineStr">
        <is>
          <t>BODEN</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53685-2025</t>
        </is>
      </c>
      <c r="B6768" s="1" t="n">
        <v>45960</v>
      </c>
      <c r="C6768" s="1" t="n">
        <v>46046</v>
      </c>
      <c r="D6768" t="inlineStr">
        <is>
          <t>NORRBOTTENS LÄN</t>
        </is>
      </c>
      <c r="E6768" t="inlineStr">
        <is>
          <t>PITEÅ</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53696-2025</t>
        </is>
      </c>
      <c r="B6769" s="1" t="n">
        <v>45960.59054398148</v>
      </c>
      <c r="C6769" s="1" t="n">
        <v>46046</v>
      </c>
      <c r="D6769" t="inlineStr">
        <is>
          <t>NORRBOTTENS LÄN</t>
        </is>
      </c>
      <c r="E6769" t="inlineStr">
        <is>
          <t>GÄLLIVARE</t>
        </is>
      </c>
      <c r="F6769" t="inlineStr">
        <is>
          <t>Sveaskog</t>
        </is>
      </c>
      <c r="G6769" t="n">
        <v>13.4</v>
      </c>
      <c r="H6769" t="n">
        <v>0</v>
      </c>
      <c r="I6769" t="n">
        <v>0</v>
      </c>
      <c r="J6769" t="n">
        <v>0</v>
      </c>
      <c r="K6769" t="n">
        <v>0</v>
      </c>
      <c r="L6769" t="n">
        <v>0</v>
      </c>
      <c r="M6769" t="n">
        <v>0</v>
      </c>
      <c r="N6769" t="n">
        <v>0</v>
      </c>
      <c r="O6769" t="n">
        <v>0</v>
      </c>
      <c r="P6769" t="n">
        <v>0</v>
      </c>
      <c r="Q6769" t="n">
        <v>0</v>
      </c>
      <c r="R6769" s="2" t="inlineStr"/>
    </row>
    <row r="6770" ht="15" customHeight="1">
      <c r="A6770" t="inlineStr">
        <is>
          <t>A 53704-2025</t>
        </is>
      </c>
      <c r="B6770" s="1" t="n">
        <v>45960.60210648148</v>
      </c>
      <c r="C6770" s="1" t="n">
        <v>46046</v>
      </c>
      <c r="D6770" t="inlineStr">
        <is>
          <t>NORRBOTTENS LÄN</t>
        </is>
      </c>
      <c r="E6770" t="inlineStr">
        <is>
          <t>LULEÅ</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53756-2025</t>
        </is>
      </c>
      <c r="B6771" s="1" t="n">
        <v>45960.66344907408</v>
      </c>
      <c r="C6771" s="1" t="n">
        <v>46046</v>
      </c>
      <c r="D6771" t="inlineStr">
        <is>
          <t>NORRBOTTENS LÄN</t>
        </is>
      </c>
      <c r="E6771" t="inlineStr">
        <is>
          <t>PAJALA</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54360-2025</t>
        </is>
      </c>
      <c r="B6772" s="1" t="n">
        <v>45965</v>
      </c>
      <c r="C6772" s="1" t="n">
        <v>46046</v>
      </c>
      <c r="D6772" t="inlineStr">
        <is>
          <t>NORRBOTTENS LÄN</t>
        </is>
      </c>
      <c r="E6772" t="inlineStr">
        <is>
          <t>ARVIDSJAUR</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54362-2025</t>
        </is>
      </c>
      <c r="B6773" s="1" t="n">
        <v>45965</v>
      </c>
      <c r="C6773" s="1" t="n">
        <v>46046</v>
      </c>
      <c r="D6773" t="inlineStr">
        <is>
          <t>NORRBOTTENS LÄN</t>
        </is>
      </c>
      <c r="E6773" t="inlineStr">
        <is>
          <t>ARVIDSJAUR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54531-2025</t>
        </is>
      </c>
      <c r="B6774" s="1" t="n">
        <v>45965</v>
      </c>
      <c r="C6774" s="1" t="n">
        <v>46046</v>
      </c>
      <c r="D6774" t="inlineStr">
        <is>
          <t>NORRBOTTENS LÄN</t>
        </is>
      </c>
      <c r="E6774" t="inlineStr">
        <is>
          <t>LULEÅ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54280-2025</t>
        </is>
      </c>
      <c r="B6775" s="1" t="n">
        <v>45964.70950231481</v>
      </c>
      <c r="C6775" s="1" t="n">
        <v>46046</v>
      </c>
      <c r="D6775" t="inlineStr">
        <is>
          <t>NORRBOTTENS LÄN</t>
        </is>
      </c>
      <c r="E6775" t="inlineStr">
        <is>
          <t>LULEÅ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54416-2025</t>
        </is>
      </c>
      <c r="B6776" s="1" t="n">
        <v>45965</v>
      </c>
      <c r="C6776" s="1" t="n">
        <v>46046</v>
      </c>
      <c r="D6776" t="inlineStr">
        <is>
          <t>NORRBOTTENS LÄN</t>
        </is>
      </c>
      <c r="E6776" t="inlineStr">
        <is>
          <t>BODEN</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54442-2025</t>
        </is>
      </c>
      <c r="B6777" s="1" t="n">
        <v>45965.50621527778</v>
      </c>
      <c r="C6777" s="1" t="n">
        <v>46046</v>
      </c>
      <c r="D6777" t="inlineStr">
        <is>
          <t>NORRBOTTENS LÄN</t>
        </is>
      </c>
      <c r="E6777" t="inlineStr">
        <is>
          <t>LULEÅ</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54268-2025</t>
        </is>
      </c>
      <c r="B6778" s="1" t="n">
        <v>45964.67619212963</v>
      </c>
      <c r="C6778" s="1" t="n">
        <v>46046</v>
      </c>
      <c r="D6778" t="inlineStr">
        <is>
          <t>NORRBOTTENS LÄN</t>
        </is>
      </c>
      <c r="E6778" t="inlineStr">
        <is>
          <t>BODEN</t>
        </is>
      </c>
      <c r="G6778" t="n">
        <v>9.5</v>
      </c>
      <c r="H6778" t="n">
        <v>0</v>
      </c>
      <c r="I6778" t="n">
        <v>0</v>
      </c>
      <c r="J6778" t="n">
        <v>0</v>
      </c>
      <c r="K6778" t="n">
        <v>0</v>
      </c>
      <c r="L6778" t="n">
        <v>0</v>
      </c>
      <c r="M6778" t="n">
        <v>0</v>
      </c>
      <c r="N6778" t="n">
        <v>0</v>
      </c>
      <c r="O6778" t="n">
        <v>0</v>
      </c>
      <c r="P6778" t="n">
        <v>0</v>
      </c>
      <c r="Q6778" t="n">
        <v>0</v>
      </c>
      <c r="R6778" s="2" t="inlineStr"/>
    </row>
    <row r="6779" ht="15" customHeight="1">
      <c r="A6779" t="inlineStr">
        <is>
          <t>A 54279-2025</t>
        </is>
      </c>
      <c r="B6779" s="1" t="n">
        <v>45964.70471064815</v>
      </c>
      <c r="C6779" s="1" t="n">
        <v>46046</v>
      </c>
      <c r="D6779" t="inlineStr">
        <is>
          <t>NORRBOTTENS LÄN</t>
        </is>
      </c>
      <c r="E6779" t="inlineStr">
        <is>
          <t>LULEÅ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54369-2025</t>
        </is>
      </c>
      <c r="B6780" s="1" t="n">
        <v>45965.40596064815</v>
      </c>
      <c r="C6780" s="1" t="n">
        <v>46046</v>
      </c>
      <c r="D6780" t="inlineStr">
        <is>
          <t>NORRBOTTENS LÄN</t>
        </is>
      </c>
      <c r="E6780" t="inlineStr">
        <is>
          <t>ÖVERTORNEÅ</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54389-2025</t>
        </is>
      </c>
      <c r="B6781" s="1" t="n">
        <v>45965.43809027778</v>
      </c>
      <c r="C6781" s="1" t="n">
        <v>46046</v>
      </c>
      <c r="D6781" t="inlineStr">
        <is>
          <t>NORRBOTTENS LÄN</t>
        </is>
      </c>
      <c r="E6781" t="inlineStr">
        <is>
          <t>ÖVERTORNEÅ</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54417-2025</t>
        </is>
      </c>
      <c r="B6782" s="1" t="n">
        <v>45965.47797453704</v>
      </c>
      <c r="C6782" s="1" t="n">
        <v>46046</v>
      </c>
      <c r="D6782" t="inlineStr">
        <is>
          <t>NORRBOTTENS LÄN</t>
        </is>
      </c>
      <c r="E6782" t="inlineStr">
        <is>
          <t>BODEN</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54574-2025</t>
        </is>
      </c>
      <c r="B6783" s="1" t="n">
        <v>45965.68004629629</v>
      </c>
      <c r="C6783" s="1" t="n">
        <v>46046</v>
      </c>
      <c r="D6783" t="inlineStr">
        <is>
          <t>NORRBOTTENS LÄN</t>
        </is>
      </c>
      <c r="E6783" t="inlineStr">
        <is>
          <t>BODEN</t>
        </is>
      </c>
      <c r="F6783" t="inlineStr">
        <is>
          <t>Sveaskog</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54086-2025</t>
        </is>
      </c>
      <c r="B6784" s="1" t="n">
        <v>45964.38981481481</v>
      </c>
      <c r="C6784" s="1" t="n">
        <v>46046</v>
      </c>
      <c r="D6784" t="inlineStr">
        <is>
          <t>NORRBOTTENS LÄN</t>
        </is>
      </c>
      <c r="E6784" t="inlineStr">
        <is>
          <t>ARVIDSJAUR</t>
        </is>
      </c>
      <c r="F6784" t="inlineStr">
        <is>
          <t>Sveaskog</t>
        </is>
      </c>
      <c r="G6784" t="n">
        <v>40.6</v>
      </c>
      <c r="H6784" t="n">
        <v>0</v>
      </c>
      <c r="I6784" t="n">
        <v>0</v>
      </c>
      <c r="J6784" t="n">
        <v>0</v>
      </c>
      <c r="K6784" t="n">
        <v>0</v>
      </c>
      <c r="L6784" t="n">
        <v>0</v>
      </c>
      <c r="M6784" t="n">
        <v>0</v>
      </c>
      <c r="N6784" t="n">
        <v>0</v>
      </c>
      <c r="O6784" t="n">
        <v>0</v>
      </c>
      <c r="P6784" t="n">
        <v>0</v>
      </c>
      <c r="Q6784" t="n">
        <v>0</v>
      </c>
      <c r="R6784" s="2" t="inlineStr"/>
    </row>
    <row r="6785" ht="15" customHeight="1">
      <c r="A6785" t="inlineStr">
        <is>
          <t>A 54096-2025</t>
        </is>
      </c>
      <c r="B6785" s="1" t="n">
        <v>45964.40795138889</v>
      </c>
      <c r="C6785" s="1" t="n">
        <v>46046</v>
      </c>
      <c r="D6785" t="inlineStr">
        <is>
          <t>NORRBOTTENS LÄN</t>
        </is>
      </c>
      <c r="E6785" t="inlineStr">
        <is>
          <t>ARVIDSJAUR</t>
        </is>
      </c>
      <c r="F6785" t="inlineStr">
        <is>
          <t>Sveaskog</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54546-2025</t>
        </is>
      </c>
      <c r="B6786" s="1" t="n">
        <v>45965.65212962963</v>
      </c>
      <c r="C6786" s="1" t="n">
        <v>46046</v>
      </c>
      <c r="D6786" t="inlineStr">
        <is>
          <t>NORRBOTTENS LÄN</t>
        </is>
      </c>
      <c r="E6786" t="inlineStr">
        <is>
          <t>JOKKMOKK</t>
        </is>
      </c>
      <c r="F6786" t="inlineStr">
        <is>
          <t>Allmännings- och besparingsskogar</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54578-2025</t>
        </is>
      </c>
      <c r="B6787" s="1" t="n">
        <v>45965</v>
      </c>
      <c r="C6787" s="1" t="n">
        <v>46046</v>
      </c>
      <c r="D6787" t="inlineStr">
        <is>
          <t>NORRBOTTENS LÄN</t>
        </is>
      </c>
      <c r="E6787" t="inlineStr">
        <is>
          <t>BODEN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54377-2025</t>
        </is>
      </c>
      <c r="B6788" s="1" t="n">
        <v>45965.42752314815</v>
      </c>
      <c r="C6788" s="1" t="n">
        <v>46046</v>
      </c>
      <c r="D6788" t="inlineStr">
        <is>
          <t>NORRBOTTENS LÄN</t>
        </is>
      </c>
      <c r="E6788" t="inlineStr">
        <is>
          <t>KALIX</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54394-2025</t>
        </is>
      </c>
      <c r="B6789" s="1" t="n">
        <v>45965.44827546296</v>
      </c>
      <c r="C6789" s="1" t="n">
        <v>46046</v>
      </c>
      <c r="D6789" t="inlineStr">
        <is>
          <t>NORRBOTTENS LÄN</t>
        </is>
      </c>
      <c r="E6789" t="inlineStr">
        <is>
          <t>ÖVERTORNEÅ</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54398-2025</t>
        </is>
      </c>
      <c r="B6790" s="1" t="n">
        <v>45965.44887731481</v>
      </c>
      <c r="C6790" s="1" t="n">
        <v>46046</v>
      </c>
      <c r="D6790" t="inlineStr">
        <is>
          <t>NORRBOTTENS LÄN</t>
        </is>
      </c>
      <c r="E6790" t="inlineStr">
        <is>
          <t>LULEÅ</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20893-2025</t>
        </is>
      </c>
      <c r="B6791" s="1" t="n">
        <v>45776</v>
      </c>
      <c r="C6791" s="1" t="n">
        <v>46046</v>
      </c>
      <c r="D6791" t="inlineStr">
        <is>
          <t>NORRBOTTENS LÄN</t>
        </is>
      </c>
      <c r="E6791" t="inlineStr">
        <is>
          <t>KIRUNA</t>
        </is>
      </c>
      <c r="G6791" t="n">
        <v>27.3</v>
      </c>
      <c r="H6791" t="n">
        <v>0</v>
      </c>
      <c r="I6791" t="n">
        <v>0</v>
      </c>
      <c r="J6791" t="n">
        <v>0</v>
      </c>
      <c r="K6791" t="n">
        <v>0</v>
      </c>
      <c r="L6791" t="n">
        <v>0</v>
      </c>
      <c r="M6791" t="n">
        <v>0</v>
      </c>
      <c r="N6791" t="n">
        <v>0</v>
      </c>
      <c r="O6791" t="n">
        <v>0</v>
      </c>
      <c r="P6791" t="n">
        <v>0</v>
      </c>
      <c r="Q6791" t="n">
        <v>0</v>
      </c>
      <c r="R6791" s="2" t="inlineStr"/>
    </row>
    <row r="6792" ht="15" customHeight="1">
      <c r="A6792" t="inlineStr">
        <is>
          <t>A 62284-2025</t>
        </is>
      </c>
      <c r="B6792" s="1" t="n">
        <v>46006.63680555556</v>
      </c>
      <c r="C6792" s="1" t="n">
        <v>46046</v>
      </c>
      <c r="D6792" t="inlineStr">
        <is>
          <t>NORRBOTTENS LÄN</t>
        </is>
      </c>
      <c r="E6792" t="inlineStr">
        <is>
          <t>PITEÅ</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62300-2025</t>
        </is>
      </c>
      <c r="B6793" s="1" t="n">
        <v>46006.65425925926</v>
      </c>
      <c r="C6793" s="1" t="n">
        <v>46046</v>
      </c>
      <c r="D6793" t="inlineStr">
        <is>
          <t>NORRBOTTENS LÄN</t>
        </is>
      </c>
      <c r="E6793" t="inlineStr">
        <is>
          <t>PITEÅ</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54118-2025</t>
        </is>
      </c>
      <c r="B6794" s="1" t="n">
        <v>45964.44515046296</v>
      </c>
      <c r="C6794" s="1" t="n">
        <v>46046</v>
      </c>
      <c r="D6794" t="inlineStr">
        <is>
          <t>NORRBOTTENS LÄN</t>
        </is>
      </c>
      <c r="E6794" t="inlineStr">
        <is>
          <t>ÖVERKALIX</t>
        </is>
      </c>
      <c r="F6794" t="inlineStr">
        <is>
          <t>Sveaskog</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54156-2025</t>
        </is>
      </c>
      <c r="B6795" s="1" t="n">
        <v>45964.49586805556</v>
      </c>
      <c r="C6795" s="1" t="n">
        <v>46046</v>
      </c>
      <c r="D6795" t="inlineStr">
        <is>
          <t>NORRBOTTENS LÄN</t>
        </is>
      </c>
      <c r="E6795" t="inlineStr">
        <is>
          <t>KALIX</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54571-2025</t>
        </is>
      </c>
      <c r="B6796" s="1" t="n">
        <v>45965.6757175926</v>
      </c>
      <c r="C6796" s="1" t="n">
        <v>46046</v>
      </c>
      <c r="D6796" t="inlineStr">
        <is>
          <t>NORRBOTTENS LÄN</t>
        </is>
      </c>
      <c r="E6796" t="inlineStr">
        <is>
          <t>BODEN</t>
        </is>
      </c>
      <c r="F6796" t="inlineStr">
        <is>
          <t>Sveaskog</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21184-2025</t>
        </is>
      </c>
      <c r="B6797" s="1" t="n">
        <v>45777</v>
      </c>
      <c r="C6797" s="1" t="n">
        <v>46046</v>
      </c>
      <c r="D6797" t="inlineStr">
        <is>
          <t>NORRBOTTENS LÄN</t>
        </is>
      </c>
      <c r="E6797" t="inlineStr">
        <is>
          <t>KIRUNA</t>
        </is>
      </c>
      <c r="G6797" t="n">
        <v>20.1</v>
      </c>
      <c r="H6797" t="n">
        <v>0</v>
      </c>
      <c r="I6797" t="n">
        <v>0</v>
      </c>
      <c r="J6797" t="n">
        <v>0</v>
      </c>
      <c r="K6797" t="n">
        <v>0</v>
      </c>
      <c r="L6797" t="n">
        <v>0</v>
      </c>
      <c r="M6797" t="n">
        <v>0</v>
      </c>
      <c r="N6797" t="n">
        <v>0</v>
      </c>
      <c r="O6797" t="n">
        <v>0</v>
      </c>
      <c r="P6797" t="n">
        <v>0</v>
      </c>
      <c r="Q6797" t="n">
        <v>0</v>
      </c>
      <c r="R6797" s="2" t="inlineStr"/>
    </row>
    <row r="6798" ht="15" customHeight="1">
      <c r="A6798" t="inlineStr">
        <is>
          <t>A 54523-2025</t>
        </is>
      </c>
      <c r="B6798" s="1" t="n">
        <v>45965</v>
      </c>
      <c r="C6798" s="1" t="n">
        <v>46046</v>
      </c>
      <c r="D6798" t="inlineStr">
        <is>
          <t>NORRBOTTENS LÄN</t>
        </is>
      </c>
      <c r="E6798" t="inlineStr">
        <is>
          <t>BODEN</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54524-2025</t>
        </is>
      </c>
      <c r="B6799" s="1" t="n">
        <v>45965</v>
      </c>
      <c r="C6799" s="1" t="n">
        <v>46046</v>
      </c>
      <c r="D6799" t="inlineStr">
        <is>
          <t>NORRBOTTENS LÄN</t>
        </is>
      </c>
      <c r="E6799" t="inlineStr">
        <is>
          <t>BODEN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54538-2025</t>
        </is>
      </c>
      <c r="B6800" s="1" t="n">
        <v>45965.64547453704</v>
      </c>
      <c r="C6800" s="1" t="n">
        <v>46046</v>
      </c>
      <c r="D6800" t="inlineStr">
        <is>
          <t>NORRBOTTENS LÄN</t>
        </is>
      </c>
      <c r="E6800" t="inlineStr">
        <is>
          <t>PAJALA</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54558-2025</t>
        </is>
      </c>
      <c r="B6801" s="1" t="n">
        <v>45965.66197916667</v>
      </c>
      <c r="C6801" s="1" t="n">
        <v>46046</v>
      </c>
      <c r="D6801" t="inlineStr">
        <is>
          <t>NORRBOTTENS LÄN</t>
        </is>
      </c>
      <c r="E6801" t="inlineStr">
        <is>
          <t>LULEÅ</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54559-2025</t>
        </is>
      </c>
      <c r="B6802" s="1" t="n">
        <v>45965.66282407408</v>
      </c>
      <c r="C6802" s="1" t="n">
        <v>46046</v>
      </c>
      <c r="D6802" t="inlineStr">
        <is>
          <t>NORRBOTTENS LÄN</t>
        </is>
      </c>
      <c r="E6802" t="inlineStr">
        <is>
          <t>LULEÅ</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54355-2025</t>
        </is>
      </c>
      <c r="B6803" s="1" t="n">
        <v>45964</v>
      </c>
      <c r="C6803" s="1" t="n">
        <v>46046</v>
      </c>
      <c r="D6803" t="inlineStr">
        <is>
          <t>NORRBOTTENS LÄN</t>
        </is>
      </c>
      <c r="E6803" t="inlineStr">
        <is>
          <t>ARVIDSJAUR</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54104-2025</t>
        </is>
      </c>
      <c r="B6804" s="1" t="n">
        <v>45964.42778935185</v>
      </c>
      <c r="C6804" s="1" t="n">
        <v>46046</v>
      </c>
      <c r="D6804" t="inlineStr">
        <is>
          <t>NORRBOTTENS LÄN</t>
        </is>
      </c>
      <c r="E6804" t="inlineStr">
        <is>
          <t>PITEÅ</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54223-2025</t>
        </is>
      </c>
      <c r="B6805" s="1" t="n">
        <v>45964.60665509259</v>
      </c>
      <c r="C6805" s="1" t="n">
        <v>46046</v>
      </c>
      <c r="D6805" t="inlineStr">
        <is>
          <t>NORRBOTTENS LÄN</t>
        </is>
      </c>
      <c r="E6805" t="inlineStr">
        <is>
          <t>ARVIDSJAUR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54230-2025</t>
        </is>
      </c>
      <c r="B6806" s="1" t="n">
        <v>45964</v>
      </c>
      <c r="C6806" s="1" t="n">
        <v>46046</v>
      </c>
      <c r="D6806" t="inlineStr">
        <is>
          <t>NORRBOTTENS LÄN</t>
        </is>
      </c>
      <c r="E6806" t="inlineStr">
        <is>
          <t>PAJALA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54304-2025</t>
        </is>
      </c>
      <c r="B6807" s="1" t="n">
        <v>45965.29511574074</v>
      </c>
      <c r="C6807" s="1" t="n">
        <v>46046</v>
      </c>
      <c r="D6807" t="inlineStr">
        <is>
          <t>NORRBOTTENS LÄN</t>
        </is>
      </c>
      <c r="E6807" t="inlineStr">
        <is>
          <t>ARVIDSJAUR</t>
        </is>
      </c>
      <c r="F6807" t="inlineStr">
        <is>
          <t>Sveaskog</t>
        </is>
      </c>
      <c r="G6807" t="n">
        <v>12.4</v>
      </c>
      <c r="H6807" t="n">
        <v>0</v>
      </c>
      <c r="I6807" t="n">
        <v>0</v>
      </c>
      <c r="J6807" t="n">
        <v>0</v>
      </c>
      <c r="K6807" t="n">
        <v>0</v>
      </c>
      <c r="L6807" t="n">
        <v>0</v>
      </c>
      <c r="M6807" t="n">
        <v>0</v>
      </c>
      <c r="N6807" t="n">
        <v>0</v>
      </c>
      <c r="O6807" t="n">
        <v>0</v>
      </c>
      <c r="P6807" t="n">
        <v>0</v>
      </c>
      <c r="Q6807" t="n">
        <v>0</v>
      </c>
      <c r="R6807" s="2" t="inlineStr"/>
    </row>
    <row r="6808" ht="15" customHeight="1">
      <c r="A6808" t="inlineStr">
        <is>
          <t>A 62543-2025</t>
        </is>
      </c>
      <c r="B6808" s="1" t="n">
        <v>46007.65609953704</v>
      </c>
      <c r="C6808" s="1" t="n">
        <v>46046</v>
      </c>
      <c r="D6808" t="inlineStr">
        <is>
          <t>NORRBOTTENS LÄN</t>
        </is>
      </c>
      <c r="E6808" t="inlineStr">
        <is>
          <t>HAPARANDA</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54274-2025</t>
        </is>
      </c>
      <c r="B6809" s="1" t="n">
        <v>45964.6821875</v>
      </c>
      <c r="C6809" s="1" t="n">
        <v>46046</v>
      </c>
      <c r="D6809" t="inlineStr">
        <is>
          <t>NORRBOTTENS LÄN</t>
        </is>
      </c>
      <c r="E6809" t="inlineStr">
        <is>
          <t>LULEÅ</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54270-2025</t>
        </is>
      </c>
      <c r="B6810" s="1" t="n">
        <v>45964.67798611111</v>
      </c>
      <c r="C6810" s="1" t="n">
        <v>46046</v>
      </c>
      <c r="D6810" t="inlineStr">
        <is>
          <t>NORRBOTTENS LÄN</t>
        </is>
      </c>
      <c r="E6810" t="inlineStr">
        <is>
          <t>JOKKMOKK</t>
        </is>
      </c>
      <c r="F6810" t="inlineStr">
        <is>
          <t>Allmännings- och besparingsskogar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62384-2025</t>
        </is>
      </c>
      <c r="B6811" s="1" t="n">
        <v>46007</v>
      </c>
      <c r="C6811" s="1" t="n">
        <v>46046</v>
      </c>
      <c r="D6811" t="inlineStr">
        <is>
          <t>NORRBOTTENS LÄN</t>
        </is>
      </c>
      <c r="E6811" t="inlineStr">
        <is>
          <t>HAPARANDA</t>
        </is>
      </c>
      <c r="G6811" t="n">
        <v>10.2</v>
      </c>
      <c r="H6811" t="n">
        <v>0</v>
      </c>
      <c r="I6811" t="n">
        <v>0</v>
      </c>
      <c r="J6811" t="n">
        <v>0</v>
      </c>
      <c r="K6811" t="n">
        <v>0</v>
      </c>
      <c r="L6811" t="n">
        <v>0</v>
      </c>
      <c r="M6811" t="n">
        <v>0</v>
      </c>
      <c r="N6811" t="n">
        <v>0</v>
      </c>
      <c r="O6811" t="n">
        <v>0</v>
      </c>
      <c r="P6811" t="n">
        <v>0</v>
      </c>
      <c r="Q6811" t="n">
        <v>0</v>
      </c>
      <c r="R6811" s="2" t="inlineStr"/>
    </row>
    <row r="6812" ht="15" customHeight="1">
      <c r="A6812" t="inlineStr">
        <is>
          <t>A 62039-2025</t>
        </is>
      </c>
      <c r="B6812" s="1" t="n">
        <v>46005.47141203703</v>
      </c>
      <c r="C6812" s="1" t="n">
        <v>46046</v>
      </c>
      <c r="D6812" t="inlineStr">
        <is>
          <t>NORRBOTTENS LÄN</t>
        </is>
      </c>
      <c r="E6812" t="inlineStr">
        <is>
          <t>LULEÅ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62190-2025</t>
        </is>
      </c>
      <c r="B6813" s="1" t="n">
        <v>46006.54785879629</v>
      </c>
      <c r="C6813" s="1" t="n">
        <v>46046</v>
      </c>
      <c r="D6813" t="inlineStr">
        <is>
          <t>NORRBOTTENS LÄN</t>
        </is>
      </c>
      <c r="E6813" t="inlineStr">
        <is>
          <t>LULEÅ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62199-2025</t>
        </is>
      </c>
      <c r="B6814" s="1" t="n">
        <v>46006.55324074074</v>
      </c>
      <c r="C6814" s="1" t="n">
        <v>46046</v>
      </c>
      <c r="D6814" t="inlineStr">
        <is>
          <t>NORRBOTTENS LÄN</t>
        </is>
      </c>
      <c r="E6814" t="inlineStr">
        <is>
          <t>PITEÅ</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62225-2025</t>
        </is>
      </c>
      <c r="B6815" s="1" t="n">
        <v>46006.58561342592</v>
      </c>
      <c r="C6815" s="1" t="n">
        <v>46046</v>
      </c>
      <c r="D6815" t="inlineStr">
        <is>
          <t>NORRBOTTENS LÄN</t>
        </is>
      </c>
      <c r="E6815" t="inlineStr">
        <is>
          <t>PITEÅ</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62237-2025</t>
        </is>
      </c>
      <c r="B6816" s="1" t="n">
        <v>46006.59469907408</v>
      </c>
      <c r="C6816" s="1" t="n">
        <v>46046</v>
      </c>
      <c r="D6816" t="inlineStr">
        <is>
          <t>NORRBOTTENS LÄN</t>
        </is>
      </c>
      <c r="E6816" t="inlineStr">
        <is>
          <t>PITEÅ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62241-2025</t>
        </is>
      </c>
      <c r="B6817" s="1" t="n">
        <v>46006.59833333334</v>
      </c>
      <c r="C6817" s="1" t="n">
        <v>46046</v>
      </c>
      <c r="D6817" t="inlineStr">
        <is>
          <t>NORRBOTTENS LÄN</t>
        </is>
      </c>
      <c r="E6817" t="inlineStr">
        <is>
          <t>PAJALA</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54479-2025</t>
        </is>
      </c>
      <c r="B6818" s="1" t="n">
        <v>45965.58432870371</v>
      </c>
      <c r="C6818" s="1" t="n">
        <v>46046</v>
      </c>
      <c r="D6818" t="inlineStr">
        <is>
          <t>NORRBOTTENS LÄN</t>
        </is>
      </c>
      <c r="E6818" t="inlineStr">
        <is>
          <t>LULEÅ</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54305-2025</t>
        </is>
      </c>
      <c r="B6819" s="1" t="n">
        <v>45965.29879629629</v>
      </c>
      <c r="C6819" s="1" t="n">
        <v>46046</v>
      </c>
      <c r="D6819" t="inlineStr">
        <is>
          <t>NORRBOTTENS LÄN</t>
        </is>
      </c>
      <c r="E6819" t="inlineStr">
        <is>
          <t>ARVIDSJAUR</t>
        </is>
      </c>
      <c r="F6819" t="inlineStr">
        <is>
          <t>Sveaskog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54363-2025</t>
        </is>
      </c>
      <c r="B6820" s="1" t="n">
        <v>45965.39699074074</v>
      </c>
      <c r="C6820" s="1" t="n">
        <v>46046</v>
      </c>
      <c r="D6820" t="inlineStr">
        <is>
          <t>NORRBOTTENS LÄN</t>
        </is>
      </c>
      <c r="E6820" t="inlineStr">
        <is>
          <t>ARVIDSJAUR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54378-2025</t>
        </is>
      </c>
      <c r="B6821" s="1" t="n">
        <v>45965.42761574074</v>
      </c>
      <c r="C6821" s="1" t="n">
        <v>46046</v>
      </c>
      <c r="D6821" t="inlineStr">
        <is>
          <t>NORRBOTTENS LÄN</t>
        </is>
      </c>
      <c r="E6821" t="inlineStr">
        <is>
          <t>KALIX</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54384-2025</t>
        </is>
      </c>
      <c r="B6822" s="1" t="n">
        <v>45965</v>
      </c>
      <c r="C6822" s="1" t="n">
        <v>46046</v>
      </c>
      <c r="D6822" t="inlineStr">
        <is>
          <t>NORRBOTTENS LÄN</t>
        </is>
      </c>
      <c r="E6822" t="inlineStr">
        <is>
          <t>ÖVERTORNEÅ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54399-2025</t>
        </is>
      </c>
      <c r="B6823" s="1" t="n">
        <v>45965.45206018518</v>
      </c>
      <c r="C6823" s="1" t="n">
        <v>46046</v>
      </c>
      <c r="D6823" t="inlineStr">
        <is>
          <t>NORRBOTTENS LÄN</t>
        </is>
      </c>
      <c r="E6823" t="inlineStr">
        <is>
          <t>ÖVERTORNEÅ</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54419-2025</t>
        </is>
      </c>
      <c r="B6824" s="1" t="n">
        <v>45965.48136574074</v>
      </c>
      <c r="C6824" s="1" t="n">
        <v>46046</v>
      </c>
      <c r="D6824" t="inlineStr">
        <is>
          <t>NORRBOTTENS LÄN</t>
        </is>
      </c>
      <c r="E6824" t="inlineStr">
        <is>
          <t>KALIX</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62093-2025</t>
        </is>
      </c>
      <c r="B6825" s="1" t="n">
        <v>46006.38633101852</v>
      </c>
      <c r="C6825" s="1" t="n">
        <v>46046</v>
      </c>
      <c r="D6825" t="inlineStr">
        <is>
          <t>NORRBOTTENS LÄN</t>
        </is>
      </c>
      <c r="E6825" t="inlineStr">
        <is>
          <t>JOKKMOKK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54175-2025</t>
        </is>
      </c>
      <c r="B6826" s="1" t="n">
        <v>45964.54909722223</v>
      </c>
      <c r="C6826" s="1" t="n">
        <v>46046</v>
      </c>
      <c r="D6826" t="inlineStr">
        <is>
          <t>NORRBOTTENS LÄN</t>
        </is>
      </c>
      <c r="E6826" t="inlineStr">
        <is>
          <t>ÄLVSBYN</t>
        </is>
      </c>
      <c r="G6826" t="n">
        <v>10.6</v>
      </c>
      <c r="H6826" t="n">
        <v>0</v>
      </c>
      <c r="I6826" t="n">
        <v>0</v>
      </c>
      <c r="J6826" t="n">
        <v>0</v>
      </c>
      <c r="K6826" t="n">
        <v>0</v>
      </c>
      <c r="L6826" t="n">
        <v>0</v>
      </c>
      <c r="M6826" t="n">
        <v>0</v>
      </c>
      <c r="N6826" t="n">
        <v>0</v>
      </c>
      <c r="O6826" t="n">
        <v>0</v>
      </c>
      <c r="P6826" t="n">
        <v>0</v>
      </c>
      <c r="Q6826" t="n">
        <v>0</v>
      </c>
      <c r="R6826" s="2" t="inlineStr"/>
    </row>
    <row r="6827" ht="15" customHeight="1">
      <c r="A6827" t="inlineStr">
        <is>
          <t>A 62191-2025</t>
        </is>
      </c>
      <c r="B6827" s="1" t="n">
        <v>46006.54866898148</v>
      </c>
      <c r="C6827" s="1" t="n">
        <v>46046</v>
      </c>
      <c r="D6827" t="inlineStr">
        <is>
          <t>NORRBOTTENS LÄN</t>
        </is>
      </c>
      <c r="E6827" t="inlineStr">
        <is>
          <t>LULEÅ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62222-2025</t>
        </is>
      </c>
      <c r="B6828" s="1" t="n">
        <v>46006.58384259259</v>
      </c>
      <c r="C6828" s="1" t="n">
        <v>46046</v>
      </c>
      <c r="D6828" t="inlineStr">
        <is>
          <t>NORRBOTTENS LÄN</t>
        </is>
      </c>
      <c r="E6828" t="inlineStr">
        <is>
          <t>PAJALA</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54330-2025</t>
        </is>
      </c>
      <c r="B6829" s="1" t="n">
        <v>45965</v>
      </c>
      <c r="C6829" s="1" t="n">
        <v>46046</v>
      </c>
      <c r="D6829" t="inlineStr">
        <is>
          <t>NORRBOTTENS LÄN</t>
        </is>
      </c>
      <c r="E6829" t="inlineStr">
        <is>
          <t>ÖVERTORNEÅ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54334-2025</t>
        </is>
      </c>
      <c r="B6830" s="1" t="n">
        <v>45965.35112268518</v>
      </c>
      <c r="C6830" s="1" t="n">
        <v>46046</v>
      </c>
      <c r="D6830" t="inlineStr">
        <is>
          <t>NORRBOTTENS LÄN</t>
        </is>
      </c>
      <c r="E6830" t="inlineStr">
        <is>
          <t>PITEÅ</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62230-2025</t>
        </is>
      </c>
      <c r="B6831" s="1" t="n">
        <v>46006.58962962963</v>
      </c>
      <c r="C6831" s="1" t="n">
        <v>46046</v>
      </c>
      <c r="D6831" t="inlineStr">
        <is>
          <t>NORRBOTTENS LÄN</t>
        </is>
      </c>
      <c r="E6831" t="inlineStr">
        <is>
          <t>PAJALA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54224-2025</t>
        </is>
      </c>
      <c r="B6832" s="1" t="n">
        <v>45964</v>
      </c>
      <c r="C6832" s="1" t="n">
        <v>46046</v>
      </c>
      <c r="D6832" t="inlineStr">
        <is>
          <t>NORRBOTTENS LÄN</t>
        </is>
      </c>
      <c r="E6832" t="inlineStr">
        <is>
          <t>PAJALA</t>
        </is>
      </c>
      <c r="G6832" t="n">
        <v>12.4</v>
      </c>
      <c r="H6832" t="n">
        <v>0</v>
      </c>
      <c r="I6832" t="n">
        <v>0</v>
      </c>
      <c r="J6832" t="n">
        <v>0</v>
      </c>
      <c r="K6832" t="n">
        <v>0</v>
      </c>
      <c r="L6832" t="n">
        <v>0</v>
      </c>
      <c r="M6832" t="n">
        <v>0</v>
      </c>
      <c r="N6832" t="n">
        <v>0</v>
      </c>
      <c r="O6832" t="n">
        <v>0</v>
      </c>
      <c r="P6832" t="n">
        <v>0</v>
      </c>
      <c r="Q6832" t="n">
        <v>0</v>
      </c>
      <c r="R6832" s="2" t="inlineStr"/>
    </row>
    <row r="6833" ht="15" customHeight="1">
      <c r="A6833" t="inlineStr">
        <is>
          <t>A 54202-2025</t>
        </is>
      </c>
      <c r="B6833" s="1" t="n">
        <v>45964</v>
      </c>
      <c r="C6833" s="1" t="n">
        <v>46046</v>
      </c>
      <c r="D6833" t="inlineStr">
        <is>
          <t>NORRBOTTENS LÄN</t>
        </is>
      </c>
      <c r="E6833" t="inlineStr">
        <is>
          <t>KALIX</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54172-2025</t>
        </is>
      </c>
      <c r="B6834" s="1" t="n">
        <v>45964.53335648148</v>
      </c>
      <c r="C6834" s="1" t="n">
        <v>46046</v>
      </c>
      <c r="D6834" t="inlineStr">
        <is>
          <t>NORRBOTTENS LÄN</t>
        </is>
      </c>
      <c r="E6834" t="inlineStr">
        <is>
          <t>BODEN</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54585-2025</t>
        </is>
      </c>
      <c r="B6835" s="1" t="n">
        <v>45965.72071759259</v>
      </c>
      <c r="C6835" s="1" t="n">
        <v>46046</v>
      </c>
      <c r="D6835" t="inlineStr">
        <is>
          <t>NORRBOTTENS LÄN</t>
        </is>
      </c>
      <c r="E6835" t="inlineStr">
        <is>
          <t>JOKKMOKK</t>
        </is>
      </c>
      <c r="F6835" t="inlineStr">
        <is>
          <t>Allmännings- och besparingsskogar</t>
        </is>
      </c>
      <c r="G6835" t="n">
        <v>10.2</v>
      </c>
      <c r="H6835" t="n">
        <v>0</v>
      </c>
      <c r="I6835" t="n">
        <v>0</v>
      </c>
      <c r="J6835" t="n">
        <v>0</v>
      </c>
      <c r="K6835" t="n">
        <v>0</v>
      </c>
      <c r="L6835" t="n">
        <v>0</v>
      </c>
      <c r="M6835" t="n">
        <v>0</v>
      </c>
      <c r="N6835" t="n">
        <v>0</v>
      </c>
      <c r="O6835" t="n">
        <v>0</v>
      </c>
      <c r="P6835" t="n">
        <v>0</v>
      </c>
      <c r="Q6835" t="n">
        <v>0</v>
      </c>
      <c r="R6835" s="2" t="inlineStr"/>
    </row>
    <row r="6836" ht="15" customHeight="1">
      <c r="A6836" t="inlineStr">
        <is>
          <t>A 54428-2025</t>
        </is>
      </c>
      <c r="B6836" s="1" t="n">
        <v>45965.49263888889</v>
      </c>
      <c r="C6836" s="1" t="n">
        <v>46046</v>
      </c>
      <c r="D6836" t="inlineStr">
        <is>
          <t>NORRBOTTENS LÄN</t>
        </is>
      </c>
      <c r="E6836" t="inlineStr">
        <is>
          <t>LULEÅ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54436-2025</t>
        </is>
      </c>
      <c r="B6837" s="1" t="n">
        <v>45965.50042824074</v>
      </c>
      <c r="C6837" s="1" t="n">
        <v>46046</v>
      </c>
      <c r="D6837" t="inlineStr">
        <is>
          <t>NORRBOTTENS LÄN</t>
        </is>
      </c>
      <c r="E6837" t="inlineStr">
        <is>
          <t>LULEÅ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54303-2025</t>
        </is>
      </c>
      <c r="B6838" s="1" t="n">
        <v>45965.28409722223</v>
      </c>
      <c r="C6838" s="1" t="n">
        <v>46046</v>
      </c>
      <c r="D6838" t="inlineStr">
        <is>
          <t>NORRBOTTENS LÄN</t>
        </is>
      </c>
      <c r="E6838" t="inlineStr">
        <is>
          <t>ARVIDSJAUR</t>
        </is>
      </c>
      <c r="F6838" t="inlineStr">
        <is>
          <t>Sveaskog</t>
        </is>
      </c>
      <c r="G6838" t="n">
        <v>14.5</v>
      </c>
      <c r="H6838" t="n">
        <v>0</v>
      </c>
      <c r="I6838" t="n">
        <v>0</v>
      </c>
      <c r="J6838" t="n">
        <v>0</v>
      </c>
      <c r="K6838" t="n">
        <v>0</v>
      </c>
      <c r="L6838" t="n">
        <v>0</v>
      </c>
      <c r="M6838" t="n">
        <v>0</v>
      </c>
      <c r="N6838" t="n">
        <v>0</v>
      </c>
      <c r="O6838" t="n">
        <v>0</v>
      </c>
      <c r="P6838" t="n">
        <v>0</v>
      </c>
      <c r="Q6838" t="n">
        <v>0</v>
      </c>
      <c r="R6838" s="2" t="inlineStr"/>
    </row>
    <row r="6839" ht="15" customHeight="1">
      <c r="A6839" t="inlineStr">
        <is>
          <t>A 63023-2025</t>
        </is>
      </c>
      <c r="B6839" s="1" t="n">
        <v>46009.59440972222</v>
      </c>
      <c r="C6839" s="1" t="n">
        <v>46046</v>
      </c>
      <c r="D6839" t="inlineStr">
        <is>
          <t>NORRBOTTENS LÄN</t>
        </is>
      </c>
      <c r="E6839" t="inlineStr">
        <is>
          <t>ÖVERKALIX</t>
        </is>
      </c>
      <c r="G6839" t="n">
        <v>9.800000000000001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62786-2025</t>
        </is>
      </c>
      <c r="B6840" s="1" t="n">
        <v>46008.61619212963</v>
      </c>
      <c r="C6840" s="1" t="n">
        <v>46046</v>
      </c>
      <c r="D6840" t="inlineStr">
        <is>
          <t>NORRBOTTENS LÄN</t>
        </is>
      </c>
      <c r="E6840" t="inlineStr">
        <is>
          <t>ÖVERTORNEÅ</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55015-2025</t>
        </is>
      </c>
      <c r="B6841" s="1" t="n">
        <v>45967</v>
      </c>
      <c r="C6841" s="1" t="n">
        <v>46046</v>
      </c>
      <c r="D6841" t="inlineStr">
        <is>
          <t>NORRBOTTENS LÄN</t>
        </is>
      </c>
      <c r="E6841" t="inlineStr">
        <is>
          <t>JOKKMOKK</t>
        </is>
      </c>
      <c r="G6841" t="n">
        <v>14.9</v>
      </c>
      <c r="H6841" t="n">
        <v>0</v>
      </c>
      <c r="I6841" t="n">
        <v>0</v>
      </c>
      <c r="J6841" t="n">
        <v>0</v>
      </c>
      <c r="K6841" t="n">
        <v>0</v>
      </c>
      <c r="L6841" t="n">
        <v>0</v>
      </c>
      <c r="M6841" t="n">
        <v>0</v>
      </c>
      <c r="N6841" t="n">
        <v>0</v>
      </c>
      <c r="O6841" t="n">
        <v>0</v>
      </c>
      <c r="P6841" t="n">
        <v>0</v>
      </c>
      <c r="Q6841" t="n">
        <v>0</v>
      </c>
      <c r="R6841" s="2" t="inlineStr"/>
    </row>
    <row r="6842" ht="15" customHeight="1">
      <c r="A6842" t="inlineStr">
        <is>
          <t>A 54722-2025</t>
        </is>
      </c>
      <c r="B6842" s="1" t="n">
        <v>45966</v>
      </c>
      <c r="C6842" s="1" t="n">
        <v>46046</v>
      </c>
      <c r="D6842" t="inlineStr">
        <is>
          <t>NORRBOTTENS LÄN</t>
        </is>
      </c>
      <c r="E6842" t="inlineStr">
        <is>
          <t>GÄLLIVARE</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54834-2025</t>
        </is>
      </c>
      <c r="B6843" s="1" t="n">
        <v>45966</v>
      </c>
      <c r="C6843" s="1" t="n">
        <v>46046</v>
      </c>
      <c r="D6843" t="inlineStr">
        <is>
          <t>NORRBOTTENS LÄN</t>
        </is>
      </c>
      <c r="E6843" t="inlineStr">
        <is>
          <t>BODEN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62286-2025</t>
        </is>
      </c>
      <c r="B6844" s="1" t="n">
        <v>46006</v>
      </c>
      <c r="C6844" s="1" t="n">
        <v>46046</v>
      </c>
      <c r="D6844" t="inlineStr">
        <is>
          <t>NORRBOTTENS LÄN</t>
        </is>
      </c>
      <c r="E6844" t="inlineStr">
        <is>
          <t>ARVIDSJAUR</t>
        </is>
      </c>
      <c r="F6844" t="inlineStr">
        <is>
          <t>Allmännings- och besparingsskogar</t>
        </is>
      </c>
      <c r="G6844" t="n">
        <v>15.1</v>
      </c>
      <c r="H6844" t="n">
        <v>0</v>
      </c>
      <c r="I6844" t="n">
        <v>0</v>
      </c>
      <c r="J6844" t="n">
        <v>0</v>
      </c>
      <c r="K6844" t="n">
        <v>0</v>
      </c>
      <c r="L6844" t="n">
        <v>0</v>
      </c>
      <c r="M6844" t="n">
        <v>0</v>
      </c>
      <c r="N6844" t="n">
        <v>0</v>
      </c>
      <c r="O6844" t="n">
        <v>0</v>
      </c>
      <c r="P6844" t="n">
        <v>0</v>
      </c>
      <c r="Q6844" t="n">
        <v>0</v>
      </c>
      <c r="R6844" s="2" t="inlineStr"/>
    </row>
    <row r="6845" ht="15" customHeight="1">
      <c r="A6845" t="inlineStr">
        <is>
          <t>A 62869-2025</t>
        </is>
      </c>
      <c r="B6845" s="1" t="n">
        <v>46008</v>
      </c>
      <c r="C6845" s="1" t="n">
        <v>46046</v>
      </c>
      <c r="D6845" t="inlineStr">
        <is>
          <t>NORRBOTTENS LÄN</t>
        </is>
      </c>
      <c r="E6845" t="inlineStr">
        <is>
          <t>HAPARANDA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62719-2025</t>
        </is>
      </c>
      <c r="B6846" s="1" t="n">
        <v>46008</v>
      </c>
      <c r="C6846" s="1" t="n">
        <v>46046</v>
      </c>
      <c r="D6846" t="inlineStr">
        <is>
          <t>NORRBOTTENS LÄN</t>
        </is>
      </c>
      <c r="E6846" t="inlineStr">
        <is>
          <t>PITEÅ</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62589-2025</t>
        </is>
      </c>
      <c r="B6847" s="1" t="n">
        <v>46007.88625</v>
      </c>
      <c r="C6847" s="1" t="n">
        <v>46046</v>
      </c>
      <c r="D6847" t="inlineStr">
        <is>
          <t>NORRBOTTENS LÄN</t>
        </is>
      </c>
      <c r="E6847" t="inlineStr">
        <is>
          <t>BODEN</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62658-2025</t>
        </is>
      </c>
      <c r="B6848" s="1" t="n">
        <v>46008.42078703704</v>
      </c>
      <c r="C6848" s="1" t="n">
        <v>46046</v>
      </c>
      <c r="D6848" t="inlineStr">
        <is>
          <t>NORRBOTTENS LÄN</t>
        </is>
      </c>
      <c r="E6848" t="inlineStr">
        <is>
          <t>ÖVERTORNEÅ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54652-2025</t>
        </is>
      </c>
      <c r="B6849" s="1" t="n">
        <v>45966.38028935185</v>
      </c>
      <c r="C6849" s="1" t="n">
        <v>46046</v>
      </c>
      <c r="D6849" t="inlineStr">
        <is>
          <t>NORRBOTTENS LÄN</t>
        </is>
      </c>
      <c r="E6849" t="inlineStr">
        <is>
          <t>PITEÅ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62687-2025</t>
        </is>
      </c>
      <c r="B6850" s="1" t="n">
        <v>46008.46902777778</v>
      </c>
      <c r="C6850" s="1" t="n">
        <v>46046</v>
      </c>
      <c r="D6850" t="inlineStr">
        <is>
          <t>NORRBOTTENS LÄN</t>
        </is>
      </c>
      <c r="E6850" t="inlineStr">
        <is>
          <t>BODEN</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54842-2025</t>
        </is>
      </c>
      <c r="B6851" s="1" t="n">
        <v>45966.68931712963</v>
      </c>
      <c r="C6851" s="1" t="n">
        <v>46046</v>
      </c>
      <c r="D6851" t="inlineStr">
        <is>
          <t>NORRBOTTENS LÄN</t>
        </is>
      </c>
      <c r="E6851" t="inlineStr">
        <is>
          <t>BODEN</t>
        </is>
      </c>
      <c r="G6851" t="n">
        <v>14.1</v>
      </c>
      <c r="H6851" t="n">
        <v>0</v>
      </c>
      <c r="I6851" t="n">
        <v>0</v>
      </c>
      <c r="J6851" t="n">
        <v>0</v>
      </c>
      <c r="K6851" t="n">
        <v>0</v>
      </c>
      <c r="L6851" t="n">
        <v>0</v>
      </c>
      <c r="M6851" t="n">
        <v>0</v>
      </c>
      <c r="N6851" t="n">
        <v>0</v>
      </c>
      <c r="O6851" t="n">
        <v>0</v>
      </c>
      <c r="P6851" t="n">
        <v>0</v>
      </c>
      <c r="Q6851" t="n">
        <v>0</v>
      </c>
      <c r="R6851" s="2" t="inlineStr"/>
    </row>
    <row r="6852" ht="15" customHeight="1">
      <c r="A6852" t="inlineStr">
        <is>
          <t>A 54845-2025</t>
        </is>
      </c>
      <c r="B6852" s="1" t="n">
        <v>45966.69827546296</v>
      </c>
      <c r="C6852" s="1" t="n">
        <v>46046</v>
      </c>
      <c r="D6852" t="inlineStr">
        <is>
          <t>NORRBOTTENS LÄN</t>
        </is>
      </c>
      <c r="E6852" t="inlineStr">
        <is>
          <t>BODEN</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62648-2025</t>
        </is>
      </c>
      <c r="B6853" s="1" t="n">
        <v>46008.40052083333</v>
      </c>
      <c r="C6853" s="1" t="n">
        <v>46046</v>
      </c>
      <c r="D6853" t="inlineStr">
        <is>
          <t>NORRBOTTENS LÄN</t>
        </is>
      </c>
      <c r="E6853" t="inlineStr">
        <is>
          <t>PAJALA</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62669-2025</t>
        </is>
      </c>
      <c r="B6854" s="1" t="n">
        <v>46008.44494212963</v>
      </c>
      <c r="C6854" s="1" t="n">
        <v>46046</v>
      </c>
      <c r="D6854" t="inlineStr">
        <is>
          <t>NORRBOTTENS LÄN</t>
        </is>
      </c>
      <c r="E6854" t="inlineStr">
        <is>
          <t>ÖVERTORNEÅ</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54622-2025</t>
        </is>
      </c>
      <c r="B6855" s="1" t="n">
        <v>45966.34513888889</v>
      </c>
      <c r="C6855" s="1" t="n">
        <v>46046</v>
      </c>
      <c r="D6855" t="inlineStr">
        <is>
          <t>NORRBOTTENS LÄN</t>
        </is>
      </c>
      <c r="E6855" t="inlineStr">
        <is>
          <t>GÄLLIVARE</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62653-2025</t>
        </is>
      </c>
      <c r="B6856" s="1" t="n">
        <v>46008.41381944445</v>
      </c>
      <c r="C6856" s="1" t="n">
        <v>46046</v>
      </c>
      <c r="D6856" t="inlineStr">
        <is>
          <t>NORRBOTTENS LÄN</t>
        </is>
      </c>
      <c r="E6856" t="inlineStr">
        <is>
          <t>ÖVERTORNEÅ</t>
        </is>
      </c>
      <c r="G6856" t="n">
        <v>8</v>
      </c>
      <c r="H6856" t="n">
        <v>0</v>
      </c>
      <c r="I6856" t="n">
        <v>0</v>
      </c>
      <c r="J6856" t="n">
        <v>0</v>
      </c>
      <c r="K6856" t="n">
        <v>0</v>
      </c>
      <c r="L6856" t="n">
        <v>0</v>
      </c>
      <c r="M6856" t="n">
        <v>0</v>
      </c>
      <c r="N6856" t="n">
        <v>0</v>
      </c>
      <c r="O6856" t="n">
        <v>0</v>
      </c>
      <c r="P6856" t="n">
        <v>0</v>
      </c>
      <c r="Q6856" t="n">
        <v>0</v>
      </c>
      <c r="R6856" s="2" t="inlineStr"/>
    </row>
    <row r="6857" ht="15" customHeight="1">
      <c r="A6857" t="inlineStr">
        <is>
          <t>A 62718-2025</t>
        </is>
      </c>
      <c r="B6857" s="1" t="n">
        <v>46008</v>
      </c>
      <c r="C6857" s="1" t="n">
        <v>46046</v>
      </c>
      <c r="D6857" t="inlineStr">
        <is>
          <t>NORRBOTTENS LÄN</t>
        </is>
      </c>
      <c r="E6857" t="inlineStr">
        <is>
          <t>PITEÅ</t>
        </is>
      </c>
      <c r="F6857" t="inlineStr">
        <is>
          <t>Sveaskog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62680-2025</t>
        </is>
      </c>
      <c r="B6858" s="1" t="n">
        <v>46008.45466435186</v>
      </c>
      <c r="C6858" s="1" t="n">
        <v>46046</v>
      </c>
      <c r="D6858" t="inlineStr">
        <is>
          <t>NORRBOTTENS LÄN</t>
        </is>
      </c>
      <c r="E6858" t="inlineStr">
        <is>
          <t>PITEÅ</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54856-2025</t>
        </is>
      </c>
      <c r="B6859" s="1" t="n">
        <v>45966.75131944445</v>
      </c>
      <c r="C6859" s="1" t="n">
        <v>46046</v>
      </c>
      <c r="D6859" t="inlineStr">
        <is>
          <t>NORRBOTTENS LÄN</t>
        </is>
      </c>
      <c r="E6859" t="inlineStr">
        <is>
          <t>HAPARANDA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52097-2025</t>
        </is>
      </c>
      <c r="B6860" s="1" t="n">
        <v>45952</v>
      </c>
      <c r="C6860" s="1" t="n">
        <v>46046</v>
      </c>
      <c r="D6860" t="inlineStr">
        <is>
          <t>NORRBOTTENS LÄN</t>
        </is>
      </c>
      <c r="E6860" t="inlineStr">
        <is>
          <t>PAJALA</t>
        </is>
      </c>
      <c r="G6860" t="n">
        <v>11.5</v>
      </c>
      <c r="H6860" t="n">
        <v>0</v>
      </c>
      <c r="I6860" t="n">
        <v>0</v>
      </c>
      <c r="J6860" t="n">
        <v>0</v>
      </c>
      <c r="K6860" t="n">
        <v>0</v>
      </c>
      <c r="L6860" t="n">
        <v>0</v>
      </c>
      <c r="M6860" t="n">
        <v>0</v>
      </c>
      <c r="N6860" t="n">
        <v>0</v>
      </c>
      <c r="O6860" t="n">
        <v>0</v>
      </c>
      <c r="P6860" t="n">
        <v>0</v>
      </c>
      <c r="Q6860" t="n">
        <v>0</v>
      </c>
      <c r="R6860" s="2" t="inlineStr"/>
    </row>
    <row r="6861" ht="15" customHeight="1">
      <c r="A6861" t="inlineStr">
        <is>
          <t>A 54614-2025</t>
        </is>
      </c>
      <c r="B6861" s="1" t="n">
        <v>45966.33358796296</v>
      </c>
      <c r="C6861" s="1" t="n">
        <v>46046</v>
      </c>
      <c r="D6861" t="inlineStr">
        <is>
          <t>NORRBOTTENS LÄN</t>
        </is>
      </c>
      <c r="E6861" t="inlineStr">
        <is>
          <t>PITEÅ</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62783-2025</t>
        </is>
      </c>
      <c r="B6862" s="1" t="n">
        <v>46008.61600694444</v>
      </c>
      <c r="C6862" s="1" t="n">
        <v>46046</v>
      </c>
      <c r="D6862" t="inlineStr">
        <is>
          <t>NORRBOTTENS LÄN</t>
        </is>
      </c>
      <c r="E6862" t="inlineStr">
        <is>
          <t>LULEÅ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54833-2025</t>
        </is>
      </c>
      <c r="B6863" s="1" t="n">
        <v>45966.67784722222</v>
      </c>
      <c r="C6863" s="1" t="n">
        <v>46046</v>
      </c>
      <c r="D6863" t="inlineStr">
        <is>
          <t>NORRBOTTENS LÄN</t>
        </is>
      </c>
      <c r="E6863" t="inlineStr">
        <is>
          <t>BODEN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54604-2025</t>
        </is>
      </c>
      <c r="B6864" s="1" t="n">
        <v>45965.88976851852</v>
      </c>
      <c r="C6864" s="1" t="n">
        <v>46046</v>
      </c>
      <c r="D6864" t="inlineStr">
        <is>
          <t>NORRBOTTENS LÄN</t>
        </is>
      </c>
      <c r="E6864" t="inlineStr">
        <is>
          <t>ARVIDSJAUR</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54900-2025</t>
        </is>
      </c>
      <c r="B6865" s="1" t="n">
        <v>45967</v>
      </c>
      <c r="C6865" s="1" t="n">
        <v>46046</v>
      </c>
      <c r="D6865" t="inlineStr">
        <is>
          <t>NORRBOTTENS LÄN</t>
        </is>
      </c>
      <c r="E6865" t="inlineStr">
        <is>
          <t>ÖVERKALIX</t>
        </is>
      </c>
      <c r="F6865" t="inlineStr">
        <is>
          <t>SCA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54902-2025</t>
        </is>
      </c>
      <c r="B6866" s="1" t="n">
        <v>45967.36601851852</v>
      </c>
      <c r="C6866" s="1" t="n">
        <v>46046</v>
      </c>
      <c r="D6866" t="inlineStr">
        <is>
          <t>NORRBOTTENS LÄN</t>
        </is>
      </c>
      <c r="E6866" t="inlineStr">
        <is>
          <t>KALIX</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62326-2025</t>
        </is>
      </c>
      <c r="B6867" s="1" t="n">
        <v>46006.71821759259</v>
      </c>
      <c r="C6867" s="1" t="n">
        <v>46046</v>
      </c>
      <c r="D6867" t="inlineStr">
        <is>
          <t>NORRBOTTENS LÄN</t>
        </is>
      </c>
      <c r="E6867" t="inlineStr">
        <is>
          <t>HAPARANDA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62646-2025</t>
        </is>
      </c>
      <c r="B6868" s="1" t="n">
        <v>46008.39273148148</v>
      </c>
      <c r="C6868" s="1" t="n">
        <v>46046</v>
      </c>
      <c r="D6868" t="inlineStr">
        <is>
          <t>NORRBOTTENS LÄN</t>
        </is>
      </c>
      <c r="E6868" t="inlineStr">
        <is>
          <t>PAJALA</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62923-2025</t>
        </is>
      </c>
      <c r="B6869" s="1" t="n">
        <v>46008</v>
      </c>
      <c r="C6869" s="1" t="n">
        <v>46046</v>
      </c>
      <c r="D6869" t="inlineStr">
        <is>
          <t>NORRBOTTENS LÄN</t>
        </is>
      </c>
      <c r="E6869" t="inlineStr">
        <is>
          <t>GÄLLIVARE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62983-2025</t>
        </is>
      </c>
      <c r="B6870" s="1" t="n">
        <v>46009.49032407408</v>
      </c>
      <c r="C6870" s="1" t="n">
        <v>46046</v>
      </c>
      <c r="D6870" t="inlineStr">
        <is>
          <t>NORRBOTTENS LÄN</t>
        </is>
      </c>
      <c r="E6870" t="inlineStr">
        <is>
          <t>KALIX</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62986-2025</t>
        </is>
      </c>
      <c r="B6871" s="1" t="n">
        <v>46009.49537037037</v>
      </c>
      <c r="C6871" s="1" t="n">
        <v>46046</v>
      </c>
      <c r="D6871" t="inlineStr">
        <is>
          <t>NORRBOTTENS LÄN</t>
        </is>
      </c>
      <c r="E6871" t="inlineStr">
        <is>
          <t>KALIX</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62979-2025</t>
        </is>
      </c>
      <c r="B6872" s="1" t="n">
        <v>46009.48523148148</v>
      </c>
      <c r="C6872" s="1" t="n">
        <v>46046</v>
      </c>
      <c r="D6872" t="inlineStr">
        <is>
          <t>NORRBOTTENS LÄN</t>
        </is>
      </c>
      <c r="E6872" t="inlineStr">
        <is>
          <t>KALIX</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62188-2025</t>
        </is>
      </c>
      <c r="B6873" s="1" t="n">
        <v>46006.5471412037</v>
      </c>
      <c r="C6873" s="1" t="n">
        <v>46046</v>
      </c>
      <c r="D6873" t="inlineStr">
        <is>
          <t>NORRBOTTENS LÄN</t>
        </is>
      </c>
      <c r="E6873" t="inlineStr">
        <is>
          <t>LULEÅ</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62387-2025</t>
        </is>
      </c>
      <c r="B6874" s="1" t="n">
        <v>46007</v>
      </c>
      <c r="C6874" s="1" t="n">
        <v>46046</v>
      </c>
      <c r="D6874" t="inlineStr">
        <is>
          <t>NORRBOTTENS LÄN</t>
        </is>
      </c>
      <c r="E6874" t="inlineStr">
        <is>
          <t>HAPARANDA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61945-2025</t>
        </is>
      </c>
      <c r="B6875" s="1" t="n">
        <v>46003</v>
      </c>
      <c r="C6875" s="1" t="n">
        <v>46046</v>
      </c>
      <c r="D6875" t="inlineStr">
        <is>
          <t>NORRBOTTENS LÄN</t>
        </is>
      </c>
      <c r="E6875" t="inlineStr">
        <is>
          <t>KALIX</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62785-2025</t>
        </is>
      </c>
      <c r="B6876" s="1" t="n">
        <v>46008.61618055555</v>
      </c>
      <c r="C6876" s="1" t="n">
        <v>46046</v>
      </c>
      <c r="D6876" t="inlineStr">
        <is>
          <t>NORRBOTTENS LÄN</t>
        </is>
      </c>
      <c r="E6876" t="inlineStr">
        <is>
          <t>HAPARANDA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54778-2025</t>
        </is>
      </c>
      <c r="B6877" s="1" t="n">
        <v>45966.61532407408</v>
      </c>
      <c r="C6877" s="1" t="n">
        <v>46046</v>
      </c>
      <c r="D6877" t="inlineStr">
        <is>
          <t>NORRBOTTENS LÄN</t>
        </is>
      </c>
      <c r="E6877" t="inlineStr">
        <is>
          <t>PITEÅ</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62727-2025</t>
        </is>
      </c>
      <c r="B6878" s="1" t="n">
        <v>46008.55251157407</v>
      </c>
      <c r="C6878" s="1" t="n">
        <v>46046</v>
      </c>
      <c r="D6878" t="inlineStr">
        <is>
          <t>NORRBOTTENS LÄN</t>
        </is>
      </c>
      <c r="E6878" t="inlineStr">
        <is>
          <t>PITEÅ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54899-2025</t>
        </is>
      </c>
      <c r="B6879" s="1" t="n">
        <v>45967</v>
      </c>
      <c r="C6879" s="1" t="n">
        <v>46046</v>
      </c>
      <c r="D6879" t="inlineStr">
        <is>
          <t>NORRBOTTENS LÄN</t>
        </is>
      </c>
      <c r="E6879" t="inlineStr">
        <is>
          <t>ÖVERKALIX</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62321-2025</t>
        </is>
      </c>
      <c r="B6880" s="1" t="n">
        <v>46006</v>
      </c>
      <c r="C6880" s="1" t="n">
        <v>46046</v>
      </c>
      <c r="D6880" t="inlineStr">
        <is>
          <t>NORRBOTTENS LÄN</t>
        </is>
      </c>
      <c r="E6880" t="inlineStr">
        <is>
          <t>ÖVERTORNEÅ</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34670-2025</t>
        </is>
      </c>
      <c r="B6881" s="1" t="n">
        <v>45847</v>
      </c>
      <c r="C6881" s="1" t="n">
        <v>46046</v>
      </c>
      <c r="D6881" t="inlineStr">
        <is>
          <t>NORRBOTTENS LÄN</t>
        </is>
      </c>
      <c r="E6881" t="inlineStr">
        <is>
          <t>ARJEPLOG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63056-2025</t>
        </is>
      </c>
      <c r="B6882" s="1" t="n">
        <v>46009.63621527778</v>
      </c>
      <c r="C6882" s="1" t="n">
        <v>46046</v>
      </c>
      <c r="D6882" t="inlineStr">
        <is>
          <t>NORRBOTTENS LÄN</t>
        </is>
      </c>
      <c r="E6882" t="inlineStr">
        <is>
          <t>KALIX</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54777-2025</t>
        </is>
      </c>
      <c r="B6883" s="1" t="n">
        <v>45966.61511574074</v>
      </c>
      <c r="C6883" s="1" t="n">
        <v>46046</v>
      </c>
      <c r="D6883" t="inlineStr">
        <is>
          <t>NORRBOTTENS LÄN</t>
        </is>
      </c>
      <c r="E6883" t="inlineStr">
        <is>
          <t>PITEÅ</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62994-2025</t>
        </is>
      </c>
      <c r="B6884" s="1" t="n">
        <v>46009.53166666667</v>
      </c>
      <c r="C6884" s="1" t="n">
        <v>46046</v>
      </c>
      <c r="D6884" t="inlineStr">
        <is>
          <t>NORRBOTTENS LÄN</t>
        </is>
      </c>
      <c r="E6884" t="inlineStr">
        <is>
          <t>BODEN</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62677-2025</t>
        </is>
      </c>
      <c r="B6885" s="1" t="n">
        <v>46008.45121527778</v>
      </c>
      <c r="C6885" s="1" t="n">
        <v>46046</v>
      </c>
      <c r="D6885" t="inlineStr">
        <is>
          <t>NORRBOTTENS LÄN</t>
        </is>
      </c>
      <c r="E6885" t="inlineStr">
        <is>
          <t>GÄLLIVARE</t>
        </is>
      </c>
      <c r="G6885" t="n">
        <v>10.7</v>
      </c>
      <c r="H6885" t="n">
        <v>0</v>
      </c>
      <c r="I6885" t="n">
        <v>0</v>
      </c>
      <c r="J6885" t="n">
        <v>0</v>
      </c>
      <c r="K6885" t="n">
        <v>0</v>
      </c>
      <c r="L6885" t="n">
        <v>0</v>
      </c>
      <c r="M6885" t="n">
        <v>0</v>
      </c>
      <c r="N6885" t="n">
        <v>0</v>
      </c>
      <c r="O6885" t="n">
        <v>0</v>
      </c>
      <c r="P6885" t="n">
        <v>0</v>
      </c>
      <c r="Q6885" t="n">
        <v>0</v>
      </c>
      <c r="R6885" s="2" t="inlineStr"/>
    </row>
    <row r="6886" ht="15" customHeight="1">
      <c r="A6886" t="inlineStr">
        <is>
          <t>A 62871-2025</t>
        </is>
      </c>
      <c r="B6886" s="1" t="n">
        <v>46008</v>
      </c>
      <c r="C6886" s="1" t="n">
        <v>46046</v>
      </c>
      <c r="D6886" t="inlineStr">
        <is>
          <t>NORRBOTTENS LÄN</t>
        </is>
      </c>
      <c r="E6886" t="inlineStr">
        <is>
          <t>HAPARANDA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62565-2025</t>
        </is>
      </c>
      <c r="B6887" s="1" t="n">
        <v>46007.69832175926</v>
      </c>
      <c r="C6887" s="1" t="n">
        <v>46046</v>
      </c>
      <c r="D6887" t="inlineStr">
        <is>
          <t>NORRBOTTENS LÄN</t>
        </is>
      </c>
      <c r="E6887" t="inlineStr">
        <is>
          <t>LULEÅ</t>
        </is>
      </c>
      <c r="F6887" t="inlineStr">
        <is>
          <t>SCA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62897-2025</t>
        </is>
      </c>
      <c r="B6888" s="1" t="n">
        <v>46008</v>
      </c>
      <c r="C6888" s="1" t="n">
        <v>46046</v>
      </c>
      <c r="D6888" t="inlineStr">
        <is>
          <t>NORRBOTTENS LÄN</t>
        </is>
      </c>
      <c r="E6888" t="inlineStr">
        <is>
          <t>HAPARANDA</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62899-2025</t>
        </is>
      </c>
      <c r="B6889" s="1" t="n">
        <v>46009.34431712963</v>
      </c>
      <c r="C6889" s="1" t="n">
        <v>46046</v>
      </c>
      <c r="D6889" t="inlineStr">
        <is>
          <t>NORRBOTTENS LÄN</t>
        </is>
      </c>
      <c r="E6889" t="inlineStr">
        <is>
          <t>LULEÅ</t>
        </is>
      </c>
      <c r="F6889" t="inlineStr">
        <is>
          <t>SCA</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63401-2025</t>
        </is>
      </c>
      <c r="B6890" s="1" t="n">
        <v>46012.59513888889</v>
      </c>
      <c r="C6890" s="1" t="n">
        <v>46046</v>
      </c>
      <c r="D6890" t="inlineStr">
        <is>
          <t>NORRBOTTENS LÄN</t>
        </is>
      </c>
      <c r="E6890" t="inlineStr">
        <is>
          <t>BODEN</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63404-2025</t>
        </is>
      </c>
      <c r="B6891" s="1" t="n">
        <v>46012.60637731481</v>
      </c>
      <c r="C6891" s="1" t="n">
        <v>46046</v>
      </c>
      <c r="D6891" t="inlineStr">
        <is>
          <t>NORRBOTTENS LÄN</t>
        </is>
      </c>
      <c r="E6891" t="inlineStr">
        <is>
          <t>BODEN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63450-2025</t>
        </is>
      </c>
      <c r="B6892" s="1" t="n">
        <v>46013.40663194445</v>
      </c>
      <c r="C6892" s="1" t="n">
        <v>46046</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63454-2025</t>
        </is>
      </c>
      <c r="B6893" s="1" t="n">
        <v>46013.41849537037</v>
      </c>
      <c r="C6893" s="1" t="n">
        <v>46046</v>
      </c>
      <c r="D6893" t="inlineStr">
        <is>
          <t>NORRBOTTENS LÄN</t>
        </is>
      </c>
      <c r="E6893" t="inlineStr">
        <is>
          <t>ÖVERKALIX</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55415-2025</t>
        </is>
      </c>
      <c r="B6894" s="1" t="n">
        <v>45971.46945601852</v>
      </c>
      <c r="C6894" s="1" t="n">
        <v>46046</v>
      </c>
      <c r="D6894" t="inlineStr">
        <is>
          <t>NORRBOTTENS LÄN</t>
        </is>
      </c>
      <c r="E6894" t="inlineStr">
        <is>
          <t>KALIX</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55090-2025</t>
        </is>
      </c>
      <c r="B6895" s="1" t="n">
        <v>45968.34435185185</v>
      </c>
      <c r="C6895" s="1" t="n">
        <v>46046</v>
      </c>
      <c r="D6895" t="inlineStr">
        <is>
          <t>NORRBOTTENS LÄN</t>
        </is>
      </c>
      <c r="E6895" t="inlineStr">
        <is>
          <t>LULEÅ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63211-2025</t>
        </is>
      </c>
      <c r="B6896" s="1" t="n">
        <v>46010.47768518519</v>
      </c>
      <c r="C6896" s="1" t="n">
        <v>46046</v>
      </c>
      <c r="D6896" t="inlineStr">
        <is>
          <t>NORRBOTTENS LÄN</t>
        </is>
      </c>
      <c r="E6896" t="inlineStr">
        <is>
          <t>LULEÅ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62896-2025</t>
        </is>
      </c>
      <c r="B6897" s="1" t="n">
        <v>46008</v>
      </c>
      <c r="C6897" s="1" t="n">
        <v>46046</v>
      </c>
      <c r="D6897" t="inlineStr">
        <is>
          <t>NORRBOTTENS LÄN</t>
        </is>
      </c>
      <c r="E6897" t="inlineStr">
        <is>
          <t>HAPARANDA</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55308-2025</t>
        </is>
      </c>
      <c r="B6898" s="1" t="n">
        <v>45970.59489583333</v>
      </c>
      <c r="C6898" s="1" t="n">
        <v>46046</v>
      </c>
      <c r="D6898" t="inlineStr">
        <is>
          <t>NORRBOTTENS LÄN</t>
        </is>
      </c>
      <c r="E6898" t="inlineStr">
        <is>
          <t>PAJALA</t>
        </is>
      </c>
      <c r="G6898" t="n">
        <v>16.3</v>
      </c>
      <c r="H6898" t="n">
        <v>0</v>
      </c>
      <c r="I6898" t="n">
        <v>0</v>
      </c>
      <c r="J6898" t="n">
        <v>0</v>
      </c>
      <c r="K6898" t="n">
        <v>0</v>
      </c>
      <c r="L6898" t="n">
        <v>0</v>
      </c>
      <c r="M6898" t="n">
        <v>0</v>
      </c>
      <c r="N6898" t="n">
        <v>0</v>
      </c>
      <c r="O6898" t="n">
        <v>0</v>
      </c>
      <c r="P6898" t="n">
        <v>0</v>
      </c>
      <c r="Q6898" t="n">
        <v>0</v>
      </c>
      <c r="R6898" s="2" t="inlineStr"/>
    </row>
    <row r="6899" ht="15" customHeight="1">
      <c r="A6899" t="inlineStr">
        <is>
          <t>A 55391-2025</t>
        </is>
      </c>
      <c r="B6899" s="1" t="n">
        <v>45971.44833333333</v>
      </c>
      <c r="C6899" s="1" t="n">
        <v>46046</v>
      </c>
      <c r="D6899" t="inlineStr">
        <is>
          <t>NORRBOTTENS LÄN</t>
        </is>
      </c>
      <c r="E6899" t="inlineStr">
        <is>
          <t>KALIX</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55443-2025</t>
        </is>
      </c>
      <c r="B6900" s="1" t="n">
        <v>45971.49157407408</v>
      </c>
      <c r="C6900" s="1" t="n">
        <v>46046</v>
      </c>
      <c r="D6900" t="inlineStr">
        <is>
          <t>NORRBOTTENS LÄN</t>
        </is>
      </c>
      <c r="E6900" t="inlineStr">
        <is>
          <t>LULEÅ</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62898-2025</t>
        </is>
      </c>
      <c r="B6901" s="1" t="n">
        <v>46008</v>
      </c>
      <c r="C6901" s="1" t="n">
        <v>46046</v>
      </c>
      <c r="D6901" t="inlineStr">
        <is>
          <t>NORRBOTTENS LÄN</t>
        </is>
      </c>
      <c r="E6901" t="inlineStr">
        <is>
          <t>HAPARANDA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55112-2025</t>
        </is>
      </c>
      <c r="B6902" s="1" t="n">
        <v>45968.38071759259</v>
      </c>
      <c r="C6902" s="1" t="n">
        <v>46046</v>
      </c>
      <c r="D6902" t="inlineStr">
        <is>
          <t>NORRBOTTENS LÄN</t>
        </is>
      </c>
      <c r="E6902" t="inlineStr">
        <is>
          <t>PAJALA</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55162-2025</t>
        </is>
      </c>
      <c r="B6903" s="1" t="n">
        <v>45968.47590277778</v>
      </c>
      <c r="C6903" s="1" t="n">
        <v>46046</v>
      </c>
      <c r="D6903" t="inlineStr">
        <is>
          <t>NORRBOTTENS LÄN</t>
        </is>
      </c>
      <c r="E6903" t="inlineStr">
        <is>
          <t>KALIX</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55377-2025</t>
        </is>
      </c>
      <c r="B6904" s="1" t="n">
        <v>45971.42768518518</v>
      </c>
      <c r="C6904" s="1" t="n">
        <v>46046</v>
      </c>
      <c r="D6904" t="inlineStr">
        <is>
          <t>NORRBOTTENS LÄN</t>
        </is>
      </c>
      <c r="E6904" t="inlineStr">
        <is>
          <t>PITEÅ</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55192-2025</t>
        </is>
      </c>
      <c r="B6905" s="1" t="n">
        <v>45968</v>
      </c>
      <c r="C6905" s="1" t="n">
        <v>46046</v>
      </c>
      <c r="D6905" t="inlineStr">
        <is>
          <t>NORRBOTTENS LÄN</t>
        </is>
      </c>
      <c r="E6905" t="inlineStr">
        <is>
          <t>HAPARANDA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63567-2025</t>
        </is>
      </c>
      <c r="B6906" s="1" t="n">
        <v>46013.63590277778</v>
      </c>
      <c r="C6906" s="1" t="n">
        <v>46046</v>
      </c>
      <c r="D6906" t="inlineStr">
        <is>
          <t>NORRBOTTENS LÄN</t>
        </is>
      </c>
      <c r="E6906" t="inlineStr">
        <is>
          <t>PITEÅ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55414-2025</t>
        </is>
      </c>
      <c r="B6907" s="1" t="n">
        <v>45971.46922453704</v>
      </c>
      <c r="C6907" s="1" t="n">
        <v>46046</v>
      </c>
      <c r="D6907" t="inlineStr">
        <is>
          <t>NORRBOTTENS LÄN</t>
        </is>
      </c>
      <c r="E6907" t="inlineStr">
        <is>
          <t>KALIX</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55577-2025</t>
        </is>
      </c>
      <c r="B6908" s="1" t="n">
        <v>45971.6684837963</v>
      </c>
      <c r="C6908" s="1" t="n">
        <v>46046</v>
      </c>
      <c r="D6908" t="inlineStr">
        <is>
          <t>NORRBOTTENS LÄN</t>
        </is>
      </c>
      <c r="E6908" t="inlineStr">
        <is>
          <t>JOKKMOKK</t>
        </is>
      </c>
      <c r="F6908" t="inlineStr">
        <is>
          <t>Allmännings- och besparingsskogar</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55315-2025</t>
        </is>
      </c>
      <c r="B6909" s="1" t="n">
        <v>45970</v>
      </c>
      <c r="C6909" s="1" t="n">
        <v>46046</v>
      </c>
      <c r="D6909" t="inlineStr">
        <is>
          <t>NORRBOTTENS LÄN</t>
        </is>
      </c>
      <c r="E6909" t="inlineStr">
        <is>
          <t>PAJALA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55473-2025</t>
        </is>
      </c>
      <c r="B6910" s="1" t="n">
        <v>45971.54649305555</v>
      </c>
      <c r="C6910" s="1" t="n">
        <v>46046</v>
      </c>
      <c r="D6910" t="inlineStr">
        <is>
          <t>NORRBOTTENS LÄN</t>
        </is>
      </c>
      <c r="E6910" t="inlineStr">
        <is>
          <t>PITEÅ</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55500-2025</t>
        </is>
      </c>
      <c r="B6911" s="1" t="n">
        <v>45971.58565972222</v>
      </c>
      <c r="C6911" s="1" t="n">
        <v>46046</v>
      </c>
      <c r="D6911" t="inlineStr">
        <is>
          <t>NORRBOTTENS LÄN</t>
        </is>
      </c>
      <c r="E6911" t="inlineStr">
        <is>
          <t>PITEÅ</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63267-2025</t>
        </is>
      </c>
      <c r="B6912" s="1" t="n">
        <v>46010.56289351852</v>
      </c>
      <c r="C6912" s="1" t="n">
        <v>46046</v>
      </c>
      <c r="D6912" t="inlineStr">
        <is>
          <t>NORRBOTTENS LÄN</t>
        </is>
      </c>
      <c r="E6912" t="inlineStr">
        <is>
          <t>KALIX</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63088-2025</t>
        </is>
      </c>
      <c r="B6913" s="1" t="n">
        <v>46009.67767361111</v>
      </c>
      <c r="C6913" s="1" t="n">
        <v>46046</v>
      </c>
      <c r="D6913" t="inlineStr">
        <is>
          <t>NORRBOTTENS LÄN</t>
        </is>
      </c>
      <c r="E6913" t="inlineStr">
        <is>
          <t>ÖVERKALIX</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63142-2025</t>
        </is>
      </c>
      <c r="B6914" s="1" t="n">
        <v>46010</v>
      </c>
      <c r="C6914" s="1" t="n">
        <v>46046</v>
      </c>
      <c r="D6914" t="inlineStr">
        <is>
          <t>NORRBOTTENS LÄN</t>
        </is>
      </c>
      <c r="E6914" t="inlineStr">
        <is>
          <t>JOKKMOKK</t>
        </is>
      </c>
      <c r="F6914" t="inlineStr">
        <is>
          <t>SCA</t>
        </is>
      </c>
      <c r="G6914" t="n">
        <v>9.199999999999999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63167-2025</t>
        </is>
      </c>
      <c r="B6915" s="1" t="n">
        <v>46010.39222222222</v>
      </c>
      <c r="C6915" s="1" t="n">
        <v>46046</v>
      </c>
      <c r="D6915" t="inlineStr">
        <is>
          <t>NORRBOTTENS LÄN</t>
        </is>
      </c>
      <c r="E6915" t="inlineStr">
        <is>
          <t>PITEÅ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55121-2025</t>
        </is>
      </c>
      <c r="B6916" s="1" t="n">
        <v>45968.39101851852</v>
      </c>
      <c r="C6916" s="1" t="n">
        <v>46046</v>
      </c>
      <c r="D6916" t="inlineStr">
        <is>
          <t>NORRBOTTENS LÄN</t>
        </is>
      </c>
      <c r="E6916" t="inlineStr">
        <is>
          <t>PAJALA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55396-2025</t>
        </is>
      </c>
      <c r="B6917" s="1" t="n">
        <v>45971.44854166666</v>
      </c>
      <c r="C6917" s="1" t="n">
        <v>46046</v>
      </c>
      <c r="D6917" t="inlineStr">
        <is>
          <t>NORRBOTTENS LÄN</t>
        </is>
      </c>
      <c r="E6917" t="inlineStr">
        <is>
          <t>KALIX</t>
        </is>
      </c>
      <c r="G6917" t="n">
        <v>13.9</v>
      </c>
      <c r="H6917" t="n">
        <v>0</v>
      </c>
      <c r="I6917" t="n">
        <v>0</v>
      </c>
      <c r="J6917" t="n">
        <v>0</v>
      </c>
      <c r="K6917" t="n">
        <v>0</v>
      </c>
      <c r="L6917" t="n">
        <v>0</v>
      </c>
      <c r="M6917" t="n">
        <v>0</v>
      </c>
      <c r="N6917" t="n">
        <v>0</v>
      </c>
      <c r="O6917" t="n">
        <v>0</v>
      </c>
      <c r="P6917" t="n">
        <v>0</v>
      </c>
      <c r="Q6917" t="n">
        <v>0</v>
      </c>
      <c r="R6917" s="2" t="inlineStr"/>
    </row>
    <row r="6918" ht="15" customHeight="1">
      <c r="A6918" t="inlineStr">
        <is>
          <t>A 55562-2025</t>
        </is>
      </c>
      <c r="B6918" s="1" t="n">
        <v>45971</v>
      </c>
      <c r="C6918" s="1" t="n">
        <v>46046</v>
      </c>
      <c r="D6918" t="inlineStr">
        <is>
          <t>NORRBOTTENS LÄN</t>
        </is>
      </c>
      <c r="E6918" t="inlineStr">
        <is>
          <t>BODEN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55260-2025</t>
        </is>
      </c>
      <c r="B6919" s="1" t="n">
        <v>45968.64667824074</v>
      </c>
      <c r="C6919" s="1" t="n">
        <v>46046</v>
      </c>
      <c r="D6919" t="inlineStr">
        <is>
          <t>NORRBOTTENS LÄN</t>
        </is>
      </c>
      <c r="E6919" t="inlineStr">
        <is>
          <t>PITEÅ</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55309-2025</t>
        </is>
      </c>
      <c r="B6920" s="1" t="n">
        <v>45970.62760416666</v>
      </c>
      <c r="C6920" s="1" t="n">
        <v>46046</v>
      </c>
      <c r="D6920" t="inlineStr">
        <is>
          <t>NORRBOTTENS LÄN</t>
        </is>
      </c>
      <c r="E6920" t="inlineStr">
        <is>
          <t>PAJALA</t>
        </is>
      </c>
      <c r="G6920" t="n">
        <v>26.3</v>
      </c>
      <c r="H6920" t="n">
        <v>0</v>
      </c>
      <c r="I6920" t="n">
        <v>0</v>
      </c>
      <c r="J6920" t="n">
        <v>0</v>
      </c>
      <c r="K6920" t="n">
        <v>0</v>
      </c>
      <c r="L6920" t="n">
        <v>0</v>
      </c>
      <c r="M6920" t="n">
        <v>0</v>
      </c>
      <c r="N6920" t="n">
        <v>0</v>
      </c>
      <c r="O6920" t="n">
        <v>0</v>
      </c>
      <c r="P6920" t="n">
        <v>0</v>
      </c>
      <c r="Q6920" t="n">
        <v>0</v>
      </c>
      <c r="R6920" s="2" t="inlineStr"/>
    </row>
    <row r="6921" ht="15" customHeight="1">
      <c r="A6921" t="inlineStr">
        <is>
          <t>A 37206-2025</t>
        </is>
      </c>
      <c r="B6921" s="1" t="n">
        <v>45875.69855324074</v>
      </c>
      <c r="C6921" s="1" t="n">
        <v>46046</v>
      </c>
      <c r="D6921" t="inlineStr">
        <is>
          <t>NORRBOTTENS LÄN</t>
        </is>
      </c>
      <c r="E6921" t="inlineStr">
        <is>
          <t>JOKKMOKK</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63104-2025</t>
        </is>
      </c>
      <c r="B6922" s="1" t="n">
        <v>46009.70395833333</v>
      </c>
      <c r="C6922" s="1" t="n">
        <v>46046</v>
      </c>
      <c r="D6922" t="inlineStr">
        <is>
          <t>NORRBOTTENS LÄN</t>
        </is>
      </c>
      <c r="E6922" t="inlineStr">
        <is>
          <t>KALIX</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63233-2025</t>
        </is>
      </c>
      <c r="B6923" s="1" t="n">
        <v>46010.51313657407</v>
      </c>
      <c r="C6923" s="1" t="n">
        <v>46046</v>
      </c>
      <c r="D6923" t="inlineStr">
        <is>
          <t>NORRBOTTENS LÄN</t>
        </is>
      </c>
      <c r="E6923" t="inlineStr">
        <is>
          <t>LULEÅ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55515-2025</t>
        </is>
      </c>
      <c r="B6924" s="1" t="n">
        <v>45971</v>
      </c>
      <c r="C6924" s="1" t="n">
        <v>46046</v>
      </c>
      <c r="D6924" t="inlineStr">
        <is>
          <t>NORRBOTTENS LÄN</t>
        </is>
      </c>
      <c r="E6924" t="inlineStr">
        <is>
          <t>BODEN</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55122-2025</t>
        </is>
      </c>
      <c r="B6925" s="1" t="n">
        <v>45968.39515046297</v>
      </c>
      <c r="C6925" s="1" t="n">
        <v>46046</v>
      </c>
      <c r="D6925" t="inlineStr">
        <is>
          <t>NORRBOTTENS LÄN</t>
        </is>
      </c>
      <c r="E6925" t="inlineStr">
        <is>
          <t>PAJALA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63040-2025</t>
        </is>
      </c>
      <c r="B6926" s="1" t="n">
        <v>46009</v>
      </c>
      <c r="C6926" s="1" t="n">
        <v>46046</v>
      </c>
      <c r="D6926" t="inlineStr">
        <is>
          <t>NORRBOTTENS LÄN</t>
        </is>
      </c>
      <c r="E6926" t="inlineStr">
        <is>
          <t>JOKKMOKK</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37958-2025</t>
        </is>
      </c>
      <c r="B6927" s="1" t="n">
        <v>45881.64761574074</v>
      </c>
      <c r="C6927" s="1" t="n">
        <v>46046</v>
      </c>
      <c r="D6927" t="inlineStr">
        <is>
          <t>NORRBOTTENS LÄN</t>
        </is>
      </c>
      <c r="E6927" t="inlineStr">
        <is>
          <t>ÖVERTORNEÅ</t>
        </is>
      </c>
      <c r="F6927" t="inlineStr">
        <is>
          <t>Sveaskog</t>
        </is>
      </c>
      <c r="G6927" t="n">
        <v>16.3</v>
      </c>
      <c r="H6927" t="n">
        <v>0</v>
      </c>
      <c r="I6927" t="n">
        <v>0</v>
      </c>
      <c r="J6927" t="n">
        <v>0</v>
      </c>
      <c r="K6927" t="n">
        <v>0</v>
      </c>
      <c r="L6927" t="n">
        <v>0</v>
      </c>
      <c r="M6927" t="n">
        <v>0</v>
      </c>
      <c r="N6927" t="n">
        <v>0</v>
      </c>
      <c r="O6927" t="n">
        <v>0</v>
      </c>
      <c r="P6927" t="n">
        <v>0</v>
      </c>
      <c r="Q6927" t="n">
        <v>0</v>
      </c>
      <c r="R6927" s="2" t="inlineStr"/>
    </row>
    <row r="6928" ht="15" customHeight="1">
      <c r="A6928" t="inlineStr">
        <is>
          <t>A 63364-2025</t>
        </is>
      </c>
      <c r="B6928" s="1" t="n">
        <v>46009</v>
      </c>
      <c r="C6928" s="1" t="n">
        <v>46046</v>
      </c>
      <c r="D6928" t="inlineStr">
        <is>
          <t>NORRBOTTENS LÄN</t>
        </is>
      </c>
      <c r="E6928" t="inlineStr">
        <is>
          <t>KALIX</t>
        </is>
      </c>
      <c r="F6928" t="inlineStr">
        <is>
          <t>Kommuner</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63424-2025</t>
        </is>
      </c>
      <c r="B6929" s="1" t="n">
        <v>46013.34729166667</v>
      </c>
      <c r="C6929" s="1" t="n">
        <v>46046</v>
      </c>
      <c r="D6929" t="inlineStr">
        <is>
          <t>NORRBOTTENS LÄN</t>
        </is>
      </c>
      <c r="E6929" t="inlineStr">
        <is>
          <t>PITEÅ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63474-2025</t>
        </is>
      </c>
      <c r="B6930" s="1" t="n">
        <v>46013.44413194444</v>
      </c>
      <c r="C6930" s="1" t="n">
        <v>46046</v>
      </c>
      <c r="D6930" t="inlineStr">
        <is>
          <t>NORRBOTTENS LÄN</t>
        </is>
      </c>
      <c r="E6930" t="inlineStr">
        <is>
          <t>ÖVERTORNEÅ</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62314-2025</t>
        </is>
      </c>
      <c r="B6931" s="1" t="n">
        <v>46003</v>
      </c>
      <c r="C6931" s="1" t="n">
        <v>46046</v>
      </c>
      <c r="D6931" t="inlineStr">
        <is>
          <t>NORRBOTTENS LÄN</t>
        </is>
      </c>
      <c r="E6931" t="inlineStr">
        <is>
          <t>KALIX</t>
        </is>
      </c>
      <c r="F6931" t="inlineStr">
        <is>
          <t>Kommuner</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63545-2025</t>
        </is>
      </c>
      <c r="B6932" s="1" t="n">
        <v>46013.59417824074</v>
      </c>
      <c r="C6932" s="1" t="n">
        <v>46046</v>
      </c>
      <c r="D6932" t="inlineStr">
        <is>
          <t>NORRBOTTENS LÄN</t>
        </is>
      </c>
      <c r="E6932" t="inlineStr">
        <is>
          <t>ÖVERKALIX</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63087-2025</t>
        </is>
      </c>
      <c r="B6933" s="1" t="n">
        <v>46009.67759259259</v>
      </c>
      <c r="C6933" s="1" t="n">
        <v>46046</v>
      </c>
      <c r="D6933" t="inlineStr">
        <is>
          <t>NORRBOTTENS LÄN</t>
        </is>
      </c>
      <c r="E6933" t="inlineStr">
        <is>
          <t>ÖVERKALIX</t>
        </is>
      </c>
      <c r="F6933" t="inlineStr">
        <is>
          <t>SCA</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63102-2025</t>
        </is>
      </c>
      <c r="B6934" s="1" t="n">
        <v>46009.70168981481</v>
      </c>
      <c r="C6934" s="1" t="n">
        <v>46046</v>
      </c>
      <c r="D6934" t="inlineStr">
        <is>
          <t>NORRBOTTENS LÄN</t>
        </is>
      </c>
      <c r="E6934" t="inlineStr">
        <is>
          <t>KALIX</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63175-2025</t>
        </is>
      </c>
      <c r="B6935" s="1" t="n">
        <v>46010.40876157407</v>
      </c>
      <c r="C6935" s="1" t="n">
        <v>46046</v>
      </c>
      <c r="D6935" t="inlineStr">
        <is>
          <t>NORRBOTTENS LÄN</t>
        </is>
      </c>
      <c r="E6935" t="inlineStr">
        <is>
          <t>PITEÅ</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63206-2025</t>
        </is>
      </c>
      <c r="B6936" s="1" t="n">
        <v>46010</v>
      </c>
      <c r="C6936" s="1" t="n">
        <v>46046</v>
      </c>
      <c r="D6936" t="inlineStr">
        <is>
          <t>NORRBOTTENS LÄN</t>
        </is>
      </c>
      <c r="E6936" t="inlineStr">
        <is>
          <t>JOKKMOKK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63551-2025</t>
        </is>
      </c>
      <c r="B6937" s="1" t="n">
        <v>46013.60815972222</v>
      </c>
      <c r="C6937" s="1" t="n">
        <v>46046</v>
      </c>
      <c r="D6937" t="inlineStr">
        <is>
          <t>NORRBOTTENS LÄN</t>
        </is>
      </c>
      <c r="E6937" t="inlineStr">
        <is>
          <t>GÄLLIVARE</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55491-2025</t>
        </is>
      </c>
      <c r="B6938" s="1" t="n">
        <v>45971.57748842592</v>
      </c>
      <c r="C6938" s="1" t="n">
        <v>46046</v>
      </c>
      <c r="D6938" t="inlineStr">
        <is>
          <t>NORRBOTTENS LÄN</t>
        </is>
      </c>
      <c r="E6938" t="inlineStr">
        <is>
          <t>BODEN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55568-2025</t>
        </is>
      </c>
      <c r="B6939" s="1" t="n">
        <v>45971.65711805555</v>
      </c>
      <c r="C6939" s="1" t="n">
        <v>46046</v>
      </c>
      <c r="D6939" t="inlineStr">
        <is>
          <t>NORRBOTTENS LÄN</t>
        </is>
      </c>
      <c r="E6939" t="inlineStr">
        <is>
          <t>BODEN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55570-2025</t>
        </is>
      </c>
      <c r="B6940" s="1" t="n">
        <v>45971.65667824074</v>
      </c>
      <c r="C6940" s="1" t="n">
        <v>46046</v>
      </c>
      <c r="D6940" t="inlineStr">
        <is>
          <t>NORRBOTTENS LÄN</t>
        </is>
      </c>
      <c r="E6940" t="inlineStr">
        <is>
          <t>ARJEPLOG</t>
        </is>
      </c>
      <c r="F6940" t="inlineStr">
        <is>
          <t>Övriga statliga verk och myndigheter</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63041-2025</t>
        </is>
      </c>
      <c r="B6941" s="1" t="n">
        <v>46009</v>
      </c>
      <c r="C6941" s="1" t="n">
        <v>46046</v>
      </c>
      <c r="D6941" t="inlineStr">
        <is>
          <t>NORRBOTTENS LÄN</t>
        </is>
      </c>
      <c r="E6941" t="inlineStr">
        <is>
          <t>JOKKMOKK</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55195-2025</t>
        </is>
      </c>
      <c r="B6942" s="1" t="n">
        <v>45968.5525</v>
      </c>
      <c r="C6942" s="1" t="n">
        <v>46046</v>
      </c>
      <c r="D6942" t="inlineStr">
        <is>
          <t>NORRBOTTENS LÄN</t>
        </is>
      </c>
      <c r="E6942" t="inlineStr">
        <is>
          <t>JOKKMOKK</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55220-2025</t>
        </is>
      </c>
      <c r="B6943" s="1" t="n">
        <v>45968.59075231481</v>
      </c>
      <c r="C6943" s="1" t="n">
        <v>46046</v>
      </c>
      <c r="D6943" t="inlineStr">
        <is>
          <t>NORRBOTTENS LÄN</t>
        </is>
      </c>
      <c r="E6943" t="inlineStr">
        <is>
          <t>PITEÅ</t>
        </is>
      </c>
      <c r="F6943" t="inlineStr">
        <is>
          <t>Sveaskog</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63359-2025</t>
        </is>
      </c>
      <c r="B6944" s="1" t="n">
        <v>46010.67465277778</v>
      </c>
      <c r="C6944" s="1" t="n">
        <v>46046</v>
      </c>
      <c r="D6944" t="inlineStr">
        <is>
          <t>NORRBOTTENS LÄN</t>
        </is>
      </c>
      <c r="E6944" t="inlineStr">
        <is>
          <t>LULEÅ</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63397-2025</t>
        </is>
      </c>
      <c r="B6945" s="1" t="n">
        <v>46012.57121527778</v>
      </c>
      <c r="C6945" s="1" t="n">
        <v>46046</v>
      </c>
      <c r="D6945" t="inlineStr">
        <is>
          <t>NORRBOTTENS LÄN</t>
        </is>
      </c>
      <c r="E6945" t="inlineStr">
        <is>
          <t>BODEN</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63399-2025</t>
        </is>
      </c>
      <c r="B6946" s="1" t="n">
        <v>46012.58362268518</v>
      </c>
      <c r="C6946" s="1" t="n">
        <v>46046</v>
      </c>
      <c r="D6946" t="inlineStr">
        <is>
          <t>NORRBOTTENS LÄN</t>
        </is>
      </c>
      <c r="E6946" t="inlineStr">
        <is>
          <t>BODEN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63400-2025</t>
        </is>
      </c>
      <c r="B6947" s="1" t="n">
        <v>46012.59356481482</v>
      </c>
      <c r="C6947" s="1" t="n">
        <v>46046</v>
      </c>
      <c r="D6947" t="inlineStr">
        <is>
          <t>NORRBOTTENS LÄN</t>
        </is>
      </c>
      <c r="E6947" t="inlineStr">
        <is>
          <t>BODEN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55430-2025</t>
        </is>
      </c>
      <c r="B6948" s="1" t="n">
        <v>45971.48008101852</v>
      </c>
      <c r="C6948" s="1" t="n">
        <v>46046</v>
      </c>
      <c r="D6948" t="inlineStr">
        <is>
          <t>NORRBOTTENS LÄN</t>
        </is>
      </c>
      <c r="E6948" t="inlineStr">
        <is>
          <t>ÖVERTORNEÅ</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55350-2025</t>
        </is>
      </c>
      <c r="B6949" s="1" t="n">
        <v>45968</v>
      </c>
      <c r="C6949" s="1" t="n">
        <v>46046</v>
      </c>
      <c r="D6949" t="inlineStr">
        <is>
          <t>NORRBOTTENS LÄN</t>
        </is>
      </c>
      <c r="E6949" t="inlineStr">
        <is>
          <t>PAJALA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55153-2025</t>
        </is>
      </c>
      <c r="B6950" s="1" t="n">
        <v>45968.46083333333</v>
      </c>
      <c r="C6950" s="1" t="n">
        <v>46046</v>
      </c>
      <c r="D6950" t="inlineStr">
        <is>
          <t>NORRBOTTENS LÄN</t>
        </is>
      </c>
      <c r="E6950" t="inlineStr">
        <is>
          <t>KALIX</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63174-2025</t>
        </is>
      </c>
      <c r="B6951" s="1" t="n">
        <v>46010.40686342592</v>
      </c>
      <c r="C6951" s="1" t="n">
        <v>46046</v>
      </c>
      <c r="D6951" t="inlineStr">
        <is>
          <t>NORRBOTTENS LÄN</t>
        </is>
      </c>
      <c r="E6951" t="inlineStr">
        <is>
          <t>ÖVERTORNEÅ</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55335-2025</t>
        </is>
      </c>
      <c r="B6952" s="1" t="n">
        <v>45971.34447916667</v>
      </c>
      <c r="C6952" s="1" t="n">
        <v>46046</v>
      </c>
      <c r="D6952" t="inlineStr">
        <is>
          <t>NORRBOTTENS LÄN</t>
        </is>
      </c>
      <c r="E6952" t="inlineStr">
        <is>
          <t>PAJALA</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55356-2025</t>
        </is>
      </c>
      <c r="B6953" s="1" t="n">
        <v>45968</v>
      </c>
      <c r="C6953" s="1" t="n">
        <v>46046</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55619-2025</t>
        </is>
      </c>
      <c r="B6954" s="1" t="n">
        <v>45972.15770833333</v>
      </c>
      <c r="C6954" s="1" t="n">
        <v>46046</v>
      </c>
      <c r="D6954" t="inlineStr">
        <is>
          <t>NORRBOTTENS LÄN</t>
        </is>
      </c>
      <c r="E6954" t="inlineStr">
        <is>
          <t>PAJALA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55809-2025</t>
        </is>
      </c>
      <c r="B6955" s="1" t="n">
        <v>45972.67854166667</v>
      </c>
      <c r="C6955" s="1" t="n">
        <v>46046</v>
      </c>
      <c r="D6955" t="inlineStr">
        <is>
          <t>NORRBOTTENS LÄN</t>
        </is>
      </c>
      <c r="E6955" t="inlineStr">
        <is>
          <t>ÄLVSBYN</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55676-2025</t>
        </is>
      </c>
      <c r="B6956" s="1" t="n">
        <v>45972.4177199074</v>
      </c>
      <c r="C6956" s="1" t="n">
        <v>46046</v>
      </c>
      <c r="D6956" t="inlineStr">
        <is>
          <t>NORRBOTTENS LÄN</t>
        </is>
      </c>
      <c r="E6956" t="inlineStr">
        <is>
          <t>BODEN</t>
        </is>
      </c>
      <c r="G6956" t="n">
        <v>11.9</v>
      </c>
      <c r="H6956" t="n">
        <v>0</v>
      </c>
      <c r="I6956" t="n">
        <v>0</v>
      </c>
      <c r="J6956" t="n">
        <v>0</v>
      </c>
      <c r="K6956" t="n">
        <v>0</v>
      </c>
      <c r="L6956" t="n">
        <v>0</v>
      </c>
      <c r="M6956" t="n">
        <v>0</v>
      </c>
      <c r="N6956" t="n">
        <v>0</v>
      </c>
      <c r="O6956" t="n">
        <v>0</v>
      </c>
      <c r="P6956" t="n">
        <v>0</v>
      </c>
      <c r="Q6956" t="n">
        <v>0</v>
      </c>
      <c r="R6956" s="2" t="inlineStr"/>
    </row>
    <row r="6957" ht="15" customHeight="1">
      <c r="A6957" t="inlineStr">
        <is>
          <t>A 55687-2025</t>
        </is>
      </c>
      <c r="B6957" s="1" t="n">
        <v>45972.42809027778</v>
      </c>
      <c r="C6957" s="1" t="n">
        <v>46046</v>
      </c>
      <c r="D6957" t="inlineStr">
        <is>
          <t>NORRBOTTENS LÄN</t>
        </is>
      </c>
      <c r="E6957" t="inlineStr">
        <is>
          <t>PAJALA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55735-2025</t>
        </is>
      </c>
      <c r="B6958" s="1" t="n">
        <v>45972</v>
      </c>
      <c r="C6958" s="1" t="n">
        <v>46046</v>
      </c>
      <c r="D6958" t="inlineStr">
        <is>
          <t>NORRBOTTENS LÄN</t>
        </is>
      </c>
      <c r="E6958" t="inlineStr">
        <is>
          <t>LULEÅ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55774-2025</t>
        </is>
      </c>
      <c r="B6959" s="1" t="n">
        <v>45972.61929398148</v>
      </c>
      <c r="C6959" s="1" t="n">
        <v>46046</v>
      </c>
      <c r="D6959" t="inlineStr">
        <is>
          <t>NORRBOTTENS LÄN</t>
        </is>
      </c>
      <c r="E6959" t="inlineStr">
        <is>
          <t>PITEÅ</t>
        </is>
      </c>
      <c r="G6959" t="n">
        <v>13.2</v>
      </c>
      <c r="H6959" t="n">
        <v>0</v>
      </c>
      <c r="I6959" t="n">
        <v>0</v>
      </c>
      <c r="J6959" t="n">
        <v>0</v>
      </c>
      <c r="K6959" t="n">
        <v>0</v>
      </c>
      <c r="L6959" t="n">
        <v>0</v>
      </c>
      <c r="M6959" t="n">
        <v>0</v>
      </c>
      <c r="N6959" t="n">
        <v>0</v>
      </c>
      <c r="O6959" t="n">
        <v>0</v>
      </c>
      <c r="P6959" t="n">
        <v>0</v>
      </c>
      <c r="Q6959" t="n">
        <v>0</v>
      </c>
      <c r="R6959" s="2" t="inlineStr"/>
    </row>
    <row r="6960" ht="15" customHeight="1">
      <c r="A6960" t="inlineStr">
        <is>
          <t>A 55934-2025</t>
        </is>
      </c>
      <c r="B6960" s="1" t="n">
        <v>45973.44346064814</v>
      </c>
      <c r="C6960" s="1" t="n">
        <v>46046</v>
      </c>
      <c r="D6960" t="inlineStr">
        <is>
          <t>NORRBOTTENS LÄN</t>
        </is>
      </c>
      <c r="E6960" t="inlineStr">
        <is>
          <t>PAJALA</t>
        </is>
      </c>
      <c r="F6960" t="inlineStr">
        <is>
          <t>Sveaskog</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56025-2025</t>
        </is>
      </c>
      <c r="B6961" s="1" t="n">
        <v>45973.59859953704</v>
      </c>
      <c r="C6961" s="1" t="n">
        <v>46046</v>
      </c>
      <c r="D6961" t="inlineStr">
        <is>
          <t>NORRBOTTENS LÄN</t>
        </is>
      </c>
      <c r="E6961" t="inlineStr">
        <is>
          <t>ÖVERTORNEÅ</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55929-2025</t>
        </is>
      </c>
      <c r="B6962" s="1" t="n">
        <v>45973.43658564815</v>
      </c>
      <c r="C6962" s="1" t="n">
        <v>46046</v>
      </c>
      <c r="D6962" t="inlineStr">
        <is>
          <t>NORRBOTTENS LÄN</t>
        </is>
      </c>
      <c r="E6962" t="inlineStr">
        <is>
          <t>ARVIDSJAUR</t>
        </is>
      </c>
      <c r="F6962" t="inlineStr">
        <is>
          <t>Övriga Aktiebolag</t>
        </is>
      </c>
      <c r="G6962" t="n">
        <v>11.8</v>
      </c>
      <c r="H6962" t="n">
        <v>0</v>
      </c>
      <c r="I6962" t="n">
        <v>0</v>
      </c>
      <c r="J6962" t="n">
        <v>0</v>
      </c>
      <c r="K6962" t="n">
        <v>0</v>
      </c>
      <c r="L6962" t="n">
        <v>0</v>
      </c>
      <c r="M6962" t="n">
        <v>0</v>
      </c>
      <c r="N6962" t="n">
        <v>0</v>
      </c>
      <c r="O6962" t="n">
        <v>0</v>
      </c>
      <c r="P6962" t="n">
        <v>0</v>
      </c>
      <c r="Q6962" t="n">
        <v>0</v>
      </c>
      <c r="R6962" s="2" t="inlineStr"/>
    </row>
    <row r="6963" ht="15" customHeight="1">
      <c r="A6963" t="inlineStr">
        <is>
          <t>A 55969-2025</t>
        </is>
      </c>
      <c r="B6963" s="1" t="n">
        <v>45973</v>
      </c>
      <c r="C6963" s="1" t="n">
        <v>46046</v>
      </c>
      <c r="D6963" t="inlineStr">
        <is>
          <t>NORRBOTTENS LÄN</t>
        </is>
      </c>
      <c r="E6963" t="inlineStr">
        <is>
          <t>PAJALA</t>
        </is>
      </c>
      <c r="G6963" t="n">
        <v>29.8</v>
      </c>
      <c r="H6963" t="n">
        <v>0</v>
      </c>
      <c r="I6963" t="n">
        <v>0</v>
      </c>
      <c r="J6963" t="n">
        <v>0</v>
      </c>
      <c r="K6963" t="n">
        <v>0</v>
      </c>
      <c r="L6963" t="n">
        <v>0</v>
      </c>
      <c r="M6963" t="n">
        <v>0</v>
      </c>
      <c r="N6963" t="n">
        <v>0</v>
      </c>
      <c r="O6963" t="n">
        <v>0</v>
      </c>
      <c r="P6963" t="n">
        <v>0</v>
      </c>
      <c r="Q6963" t="n">
        <v>0</v>
      </c>
      <c r="R6963" s="2" t="inlineStr"/>
    </row>
    <row r="6964" ht="15" customHeight="1">
      <c r="A6964" t="inlineStr">
        <is>
          <t>A 55850-2025</t>
        </is>
      </c>
      <c r="B6964" s="1" t="n">
        <v>45973</v>
      </c>
      <c r="C6964" s="1" t="n">
        <v>46046</v>
      </c>
      <c r="D6964" t="inlineStr">
        <is>
          <t>NORRBOTTENS LÄN</t>
        </is>
      </c>
      <c r="E6964" t="inlineStr">
        <is>
          <t>ÄLVSBYN</t>
        </is>
      </c>
      <c r="F6964" t="inlineStr">
        <is>
          <t>Sveaskog</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55835-2025</t>
        </is>
      </c>
      <c r="B6965" s="1" t="n">
        <v>45972.8428587963</v>
      </c>
      <c r="C6965" s="1" t="n">
        <v>46046</v>
      </c>
      <c r="D6965" t="inlineStr">
        <is>
          <t>NORRBOTTENS LÄN</t>
        </is>
      </c>
      <c r="E6965" t="inlineStr">
        <is>
          <t>PAJALA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55618-2025</t>
        </is>
      </c>
      <c r="B6966" s="1" t="n">
        <v>45972.15158564815</v>
      </c>
      <c r="C6966" s="1" t="n">
        <v>46046</v>
      </c>
      <c r="D6966" t="inlineStr">
        <is>
          <t>NORRBOTTENS LÄN</t>
        </is>
      </c>
      <c r="E6966" t="inlineStr">
        <is>
          <t>PAJALA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55682-2025</t>
        </is>
      </c>
      <c r="B6967" s="1" t="n">
        <v>45972.42414351852</v>
      </c>
      <c r="C6967" s="1" t="n">
        <v>46046</v>
      </c>
      <c r="D6967" t="inlineStr">
        <is>
          <t>NORRBOTTENS LÄN</t>
        </is>
      </c>
      <c r="E6967" t="inlineStr">
        <is>
          <t>PAJALA</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55990-2025</t>
        </is>
      </c>
      <c r="B6968" s="1" t="n">
        <v>45973.55615740741</v>
      </c>
      <c r="C6968" s="1" t="n">
        <v>46046</v>
      </c>
      <c r="D6968" t="inlineStr">
        <is>
          <t>NORRBOTTENS LÄN</t>
        </is>
      </c>
      <c r="E6968" t="inlineStr">
        <is>
          <t>JOKKMOKK</t>
        </is>
      </c>
      <c r="F6968" t="inlineStr">
        <is>
          <t>Naturvårdsverket</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56012-2025</t>
        </is>
      </c>
      <c r="B6969" s="1" t="n">
        <v>45973.58731481482</v>
      </c>
      <c r="C6969" s="1" t="n">
        <v>46046</v>
      </c>
      <c r="D6969" t="inlineStr">
        <is>
          <t>NORRBOTTENS LÄN</t>
        </is>
      </c>
      <c r="E6969" t="inlineStr">
        <is>
          <t>JOKKMOKK</t>
        </is>
      </c>
      <c r="F6969" t="inlineStr">
        <is>
          <t>Naturvårdsverket</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55684-2025</t>
        </is>
      </c>
      <c r="B6970" s="1" t="n">
        <v>45972.4261574074</v>
      </c>
      <c r="C6970" s="1" t="n">
        <v>46046</v>
      </c>
      <c r="D6970" t="inlineStr">
        <is>
          <t>NORRBOTTENS LÄN</t>
        </is>
      </c>
      <c r="E6970" t="inlineStr">
        <is>
          <t>PAJALA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55795-2025</t>
        </is>
      </c>
      <c r="B6971" s="1" t="n">
        <v>45972.65466435185</v>
      </c>
      <c r="C6971" s="1" t="n">
        <v>46046</v>
      </c>
      <c r="D6971" t="inlineStr">
        <is>
          <t>NORRBOTTENS LÄN</t>
        </is>
      </c>
      <c r="E6971" t="inlineStr">
        <is>
          <t>ARVIDSJAUR</t>
        </is>
      </c>
      <c r="F6971" t="inlineStr">
        <is>
          <t>Sveaskog</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55896-2025</t>
        </is>
      </c>
      <c r="B6972" s="1" t="n">
        <v>45973</v>
      </c>
      <c r="C6972" s="1" t="n">
        <v>46046</v>
      </c>
      <c r="D6972" t="inlineStr">
        <is>
          <t>NORRBOTTENS LÄN</t>
        </is>
      </c>
      <c r="E6972" t="inlineStr">
        <is>
          <t>PAJALA</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55900-2025</t>
        </is>
      </c>
      <c r="B6973" s="1" t="n">
        <v>45973</v>
      </c>
      <c r="C6973" s="1" t="n">
        <v>46046</v>
      </c>
      <c r="D6973" t="inlineStr">
        <is>
          <t>NORRBOTTENS LÄN</t>
        </is>
      </c>
      <c r="E6973" t="inlineStr">
        <is>
          <t>PITEÅ</t>
        </is>
      </c>
      <c r="F6973" t="inlineStr">
        <is>
          <t>Sveaskog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55907-2025</t>
        </is>
      </c>
      <c r="B6974" s="1" t="n">
        <v>45973</v>
      </c>
      <c r="C6974" s="1" t="n">
        <v>46046</v>
      </c>
      <c r="D6974" t="inlineStr">
        <is>
          <t>NORRBOTTENS LÄN</t>
        </is>
      </c>
      <c r="E6974" t="inlineStr">
        <is>
          <t>PITEÅ</t>
        </is>
      </c>
      <c r="F6974" t="inlineStr">
        <is>
          <t>Sveaskog</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55635-2025</t>
        </is>
      </c>
      <c r="B6975" s="1" t="n">
        <v>45972.34483796296</v>
      </c>
      <c r="C6975" s="1" t="n">
        <v>46046</v>
      </c>
      <c r="D6975" t="inlineStr">
        <is>
          <t>NORRBOTTENS LÄN</t>
        </is>
      </c>
      <c r="E6975" t="inlineStr">
        <is>
          <t>ÄLVSBYN</t>
        </is>
      </c>
      <c r="F6975" t="inlineStr">
        <is>
          <t>SCA</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55692-2025</t>
        </is>
      </c>
      <c r="B6976" s="1" t="n">
        <v>45972.43684027778</v>
      </c>
      <c r="C6976" s="1" t="n">
        <v>46046</v>
      </c>
      <c r="D6976" t="inlineStr">
        <is>
          <t>NORRBOTTENS LÄN</t>
        </is>
      </c>
      <c r="E6976" t="inlineStr">
        <is>
          <t>PAJALA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55970-2025</t>
        </is>
      </c>
      <c r="B6977" s="1" t="n">
        <v>45973.48805555556</v>
      </c>
      <c r="C6977" s="1" t="n">
        <v>46046</v>
      </c>
      <c r="D6977" t="inlineStr">
        <is>
          <t>NORRBOTTENS LÄN</t>
        </is>
      </c>
      <c r="E6977" t="inlineStr">
        <is>
          <t>PAJALA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55688-2025</t>
        </is>
      </c>
      <c r="B6978" s="1" t="n">
        <v>45972.42938657408</v>
      </c>
      <c r="C6978" s="1" t="n">
        <v>46046</v>
      </c>
      <c r="D6978" t="inlineStr">
        <is>
          <t>NORRBOTTENS LÄN</t>
        </is>
      </c>
      <c r="E6978" t="inlineStr">
        <is>
          <t>PAJALA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55694-2025</t>
        </is>
      </c>
      <c r="B6979" s="1" t="n">
        <v>45972.44777777778</v>
      </c>
      <c r="C6979" s="1" t="n">
        <v>46046</v>
      </c>
      <c r="D6979" t="inlineStr">
        <is>
          <t>NORRBOTTENS LÄN</t>
        </is>
      </c>
      <c r="E6979" t="inlineStr">
        <is>
          <t>PAJALA</t>
        </is>
      </c>
      <c r="G6979" t="n">
        <v>23.4</v>
      </c>
      <c r="H6979" t="n">
        <v>0</v>
      </c>
      <c r="I6979" t="n">
        <v>0</v>
      </c>
      <c r="J6979" t="n">
        <v>0</v>
      </c>
      <c r="K6979" t="n">
        <v>0</v>
      </c>
      <c r="L6979" t="n">
        <v>0</v>
      </c>
      <c r="M6979" t="n">
        <v>0</v>
      </c>
      <c r="N6979" t="n">
        <v>0</v>
      </c>
      <c r="O6979" t="n">
        <v>0</v>
      </c>
      <c r="P6979" t="n">
        <v>0</v>
      </c>
      <c r="Q6979" t="n">
        <v>0</v>
      </c>
      <c r="R6979" s="2" t="inlineStr"/>
    </row>
    <row r="6980" ht="15" customHeight="1">
      <c r="A6980" t="inlineStr">
        <is>
          <t>A 34426-2025</t>
        </is>
      </c>
      <c r="B6980" s="1" t="n">
        <v>45845</v>
      </c>
      <c r="C6980" s="1" t="n">
        <v>46046</v>
      </c>
      <c r="D6980" t="inlineStr">
        <is>
          <t>NORRBOTTENS LÄN</t>
        </is>
      </c>
      <c r="E6980" t="inlineStr">
        <is>
          <t>ARJEPLOG</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55751-2025</t>
        </is>
      </c>
      <c r="B6981" s="1" t="n">
        <v>45972.58217592593</v>
      </c>
      <c r="C6981" s="1" t="n">
        <v>46046</v>
      </c>
      <c r="D6981" t="inlineStr">
        <is>
          <t>NORRBOTTENS LÄN</t>
        </is>
      </c>
      <c r="E6981" t="inlineStr">
        <is>
          <t>PITEÅ</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55755-2025</t>
        </is>
      </c>
      <c r="B6982" s="1" t="n">
        <v>45972.59224537037</v>
      </c>
      <c r="C6982" s="1" t="n">
        <v>46046</v>
      </c>
      <c r="D6982" t="inlineStr">
        <is>
          <t>NORRBOTTENS LÄN</t>
        </is>
      </c>
      <c r="E6982" t="inlineStr">
        <is>
          <t>ARVIDSJAUR</t>
        </is>
      </c>
      <c r="F6982" t="inlineStr">
        <is>
          <t>Sveaskog</t>
        </is>
      </c>
      <c r="G6982" t="n">
        <v>18.9</v>
      </c>
      <c r="H6982" t="n">
        <v>0</v>
      </c>
      <c r="I6982" t="n">
        <v>0</v>
      </c>
      <c r="J6982" t="n">
        <v>0</v>
      </c>
      <c r="K6982" t="n">
        <v>0</v>
      </c>
      <c r="L6982" t="n">
        <v>0</v>
      </c>
      <c r="M6982" t="n">
        <v>0</v>
      </c>
      <c r="N6982" t="n">
        <v>0</v>
      </c>
      <c r="O6982" t="n">
        <v>0</v>
      </c>
      <c r="P6982" t="n">
        <v>0</v>
      </c>
      <c r="Q6982" t="n">
        <v>0</v>
      </c>
      <c r="R6982" s="2" t="inlineStr"/>
    </row>
    <row r="6983" ht="15" customHeight="1">
      <c r="A6983" t="inlineStr">
        <is>
          <t>A 55781-2025</t>
        </is>
      </c>
      <c r="B6983" s="1" t="n">
        <v>45972.63435185186</v>
      </c>
      <c r="C6983" s="1" t="n">
        <v>46046</v>
      </c>
      <c r="D6983" t="inlineStr">
        <is>
          <t>NORRBOTTENS LÄN</t>
        </is>
      </c>
      <c r="E6983" t="inlineStr">
        <is>
          <t>PITEÅ</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55660-2025</t>
        </is>
      </c>
      <c r="B6984" s="1" t="n">
        <v>45972.39515046297</v>
      </c>
      <c r="C6984" s="1" t="n">
        <v>46046</v>
      </c>
      <c r="D6984" t="inlineStr">
        <is>
          <t>NORRBOTTENS LÄN</t>
        </is>
      </c>
      <c r="E6984" t="inlineStr">
        <is>
          <t>PAJALA</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55699-2025</t>
        </is>
      </c>
      <c r="B6985" s="1" t="n">
        <v>45972.45471064815</v>
      </c>
      <c r="C6985" s="1" t="n">
        <v>46046</v>
      </c>
      <c r="D6985" t="inlineStr">
        <is>
          <t>NORRBOTTENS LÄN</t>
        </is>
      </c>
      <c r="E6985" t="inlineStr">
        <is>
          <t>PAJALA</t>
        </is>
      </c>
      <c r="G6985" t="n">
        <v>20.6</v>
      </c>
      <c r="H6985" t="n">
        <v>0</v>
      </c>
      <c r="I6985" t="n">
        <v>0</v>
      </c>
      <c r="J6985" t="n">
        <v>0</v>
      </c>
      <c r="K6985" t="n">
        <v>0</v>
      </c>
      <c r="L6985" t="n">
        <v>0</v>
      </c>
      <c r="M6985" t="n">
        <v>0</v>
      </c>
      <c r="N6985" t="n">
        <v>0</v>
      </c>
      <c r="O6985" t="n">
        <v>0</v>
      </c>
      <c r="P6985" t="n">
        <v>0</v>
      </c>
      <c r="Q6985" t="n">
        <v>0</v>
      </c>
      <c r="R6985" s="2" t="inlineStr"/>
    </row>
    <row r="6986" ht="15" customHeight="1">
      <c r="A6986" t="inlineStr">
        <is>
          <t>A 55702-2025</t>
        </is>
      </c>
      <c r="B6986" s="1" t="n">
        <v>45972.46211805556</v>
      </c>
      <c r="C6986" s="1" t="n">
        <v>46046</v>
      </c>
      <c r="D6986" t="inlineStr">
        <is>
          <t>NORRBOTTENS LÄN</t>
        </is>
      </c>
      <c r="E6986" t="inlineStr">
        <is>
          <t>PAJALA</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55780-2025</t>
        </is>
      </c>
      <c r="B6987" s="1" t="n">
        <v>45972.62940972222</v>
      </c>
      <c r="C6987" s="1" t="n">
        <v>46046</v>
      </c>
      <c r="D6987" t="inlineStr">
        <is>
          <t>NORRBOTTENS LÄN</t>
        </is>
      </c>
      <c r="E6987" t="inlineStr">
        <is>
          <t>GÄLLIVARE</t>
        </is>
      </c>
      <c r="F6987" t="inlineStr">
        <is>
          <t>Sveaskog</t>
        </is>
      </c>
      <c r="G6987" t="n">
        <v>16.8</v>
      </c>
      <c r="H6987" t="n">
        <v>0</v>
      </c>
      <c r="I6987" t="n">
        <v>0</v>
      </c>
      <c r="J6987" t="n">
        <v>0</v>
      </c>
      <c r="K6987" t="n">
        <v>0</v>
      </c>
      <c r="L6987" t="n">
        <v>0</v>
      </c>
      <c r="M6987" t="n">
        <v>0</v>
      </c>
      <c r="N6987" t="n">
        <v>0</v>
      </c>
      <c r="O6987" t="n">
        <v>0</v>
      </c>
      <c r="P6987" t="n">
        <v>0</v>
      </c>
      <c r="Q6987" t="n">
        <v>0</v>
      </c>
      <c r="R6987" s="2" t="inlineStr"/>
    </row>
    <row r="6988" ht="15" customHeight="1">
      <c r="A6988" t="inlineStr">
        <is>
          <t>A 55734-2025</t>
        </is>
      </c>
      <c r="B6988" s="1" t="n">
        <v>45972</v>
      </c>
      <c r="C6988" s="1" t="n">
        <v>46046</v>
      </c>
      <c r="D6988" t="inlineStr">
        <is>
          <t>NORRBOTTENS LÄN</t>
        </is>
      </c>
      <c r="E6988" t="inlineStr">
        <is>
          <t>LULEÅ</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55861-2025</t>
        </is>
      </c>
      <c r="B6989" s="1" t="n">
        <v>45973</v>
      </c>
      <c r="C6989" s="1" t="n">
        <v>46046</v>
      </c>
      <c r="D6989" t="inlineStr">
        <is>
          <t>NORRBOTTENS LÄN</t>
        </is>
      </c>
      <c r="E6989" t="inlineStr">
        <is>
          <t>HAPARANDA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55875-2025</t>
        </is>
      </c>
      <c r="B6990" s="1" t="n">
        <v>45973</v>
      </c>
      <c r="C6990" s="1" t="n">
        <v>46046</v>
      </c>
      <c r="D6990" t="inlineStr">
        <is>
          <t>NORRBOTTENS LÄN</t>
        </is>
      </c>
      <c r="E6990" t="inlineStr">
        <is>
          <t>HAPARANDA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55783-2025</t>
        </is>
      </c>
      <c r="B6991" s="1" t="n">
        <v>45972.63541666666</v>
      </c>
      <c r="C6991" s="1" t="n">
        <v>46046</v>
      </c>
      <c r="D6991" t="inlineStr">
        <is>
          <t>NORRBOTTENS LÄN</t>
        </is>
      </c>
      <c r="E6991" t="inlineStr">
        <is>
          <t>PAJALA</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55673-2025</t>
        </is>
      </c>
      <c r="B6992" s="1" t="n">
        <v>45972.40754629629</v>
      </c>
      <c r="C6992" s="1" t="n">
        <v>46046</v>
      </c>
      <c r="D6992" t="inlineStr">
        <is>
          <t>NORRBOTTENS LÄN</t>
        </is>
      </c>
      <c r="E6992" t="inlineStr">
        <is>
          <t>JOKKMOKK</t>
        </is>
      </c>
      <c r="F6992" t="inlineStr">
        <is>
          <t>SCA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56498-2025</t>
        </is>
      </c>
      <c r="B6993" s="1" t="n">
        <v>45975.43135416666</v>
      </c>
      <c r="C6993" s="1" t="n">
        <v>46046</v>
      </c>
      <c r="D6993" t="inlineStr">
        <is>
          <t>NORRBOTTENS LÄN</t>
        </is>
      </c>
      <c r="E6993" t="inlineStr">
        <is>
          <t>KALIX</t>
        </is>
      </c>
      <c r="G6993" t="n">
        <v>11.2</v>
      </c>
      <c r="H6993" t="n">
        <v>0</v>
      </c>
      <c r="I6993" t="n">
        <v>0</v>
      </c>
      <c r="J6993" t="n">
        <v>0</v>
      </c>
      <c r="K6993" t="n">
        <v>0</v>
      </c>
      <c r="L6993" t="n">
        <v>0</v>
      </c>
      <c r="M6993" t="n">
        <v>0</v>
      </c>
      <c r="N6993" t="n">
        <v>0</v>
      </c>
      <c r="O6993" t="n">
        <v>0</v>
      </c>
      <c r="P6993" t="n">
        <v>0</v>
      </c>
      <c r="Q6993" t="n">
        <v>0</v>
      </c>
      <c r="R6993" s="2" t="inlineStr"/>
    </row>
    <row r="6994" ht="15" customHeight="1">
      <c r="A6994" t="inlineStr">
        <is>
          <t>A 56500-2025</t>
        </is>
      </c>
      <c r="B6994" s="1" t="n">
        <v>45975.43429398148</v>
      </c>
      <c r="C6994" s="1" t="n">
        <v>46046</v>
      </c>
      <c r="D6994" t="inlineStr">
        <is>
          <t>NORRBOTTENS LÄN</t>
        </is>
      </c>
      <c r="E6994" t="inlineStr">
        <is>
          <t>GÄLLIVARE</t>
        </is>
      </c>
      <c r="F6994" t="inlineStr">
        <is>
          <t>Sveaskog</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56503-2025</t>
        </is>
      </c>
      <c r="B6995" s="1" t="n">
        <v>45975.43760416667</v>
      </c>
      <c r="C6995" s="1" t="n">
        <v>46046</v>
      </c>
      <c r="D6995" t="inlineStr">
        <is>
          <t>NORRBOTTENS LÄN</t>
        </is>
      </c>
      <c r="E6995" t="inlineStr">
        <is>
          <t>GÄLLIVARE</t>
        </is>
      </c>
      <c r="F6995" t="inlineStr">
        <is>
          <t>Sveaskog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56507-2025</t>
        </is>
      </c>
      <c r="B6996" s="1" t="n">
        <v>45975</v>
      </c>
      <c r="C6996" s="1" t="n">
        <v>46046</v>
      </c>
      <c r="D6996" t="inlineStr">
        <is>
          <t>NORRBOTTENS LÄN</t>
        </is>
      </c>
      <c r="E6996" t="inlineStr">
        <is>
          <t>JOKKMOKK</t>
        </is>
      </c>
      <c r="F6996" t="inlineStr">
        <is>
          <t>Allmännings- och besparingsskogar</t>
        </is>
      </c>
      <c r="G6996" t="n">
        <v>20</v>
      </c>
      <c r="H6996" t="n">
        <v>0</v>
      </c>
      <c r="I6996" t="n">
        <v>0</v>
      </c>
      <c r="J6996" t="n">
        <v>0</v>
      </c>
      <c r="K6996" t="n">
        <v>0</v>
      </c>
      <c r="L6996" t="n">
        <v>0</v>
      </c>
      <c r="M6996" t="n">
        <v>0</v>
      </c>
      <c r="N6996" t="n">
        <v>0</v>
      </c>
      <c r="O6996" t="n">
        <v>0</v>
      </c>
      <c r="P6996" t="n">
        <v>0</v>
      </c>
      <c r="Q6996" t="n">
        <v>0</v>
      </c>
      <c r="R6996" s="2" t="inlineStr"/>
    </row>
    <row r="6997" ht="15" customHeight="1">
      <c r="A6997" t="inlineStr">
        <is>
          <t>A 56322-2025</t>
        </is>
      </c>
      <c r="B6997" s="1" t="n">
        <v>45974.63550925926</v>
      </c>
      <c r="C6997" s="1" t="n">
        <v>46046</v>
      </c>
      <c r="D6997" t="inlineStr">
        <is>
          <t>NORRBOTTENS LÄN</t>
        </is>
      </c>
      <c r="E6997" t="inlineStr">
        <is>
          <t>JOKKMOKK</t>
        </is>
      </c>
      <c r="F6997" t="inlineStr">
        <is>
          <t>Övriga statliga verk och myndigheter</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56325-2025</t>
        </is>
      </c>
      <c r="B6998" s="1" t="n">
        <v>45974.63704861111</v>
      </c>
      <c r="C6998" s="1" t="n">
        <v>46046</v>
      </c>
      <c r="D6998" t="inlineStr">
        <is>
          <t>NORRBOTTENS LÄN</t>
        </is>
      </c>
      <c r="E6998" t="inlineStr">
        <is>
          <t>PAJALA</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56341-2025</t>
        </is>
      </c>
      <c r="B6999" s="1" t="n">
        <v>45974.64761574074</v>
      </c>
      <c r="C6999" s="1" t="n">
        <v>46046</v>
      </c>
      <c r="D6999" t="inlineStr">
        <is>
          <t>NORRBOTTENS LÄN</t>
        </is>
      </c>
      <c r="E6999" t="inlineStr">
        <is>
          <t>GÄLLIVARE</t>
        </is>
      </c>
      <c r="F6999" t="inlineStr">
        <is>
          <t>Sveaskog</t>
        </is>
      </c>
      <c r="G6999" t="n">
        <v>12.9</v>
      </c>
      <c r="H6999" t="n">
        <v>0</v>
      </c>
      <c r="I6999" t="n">
        <v>0</v>
      </c>
      <c r="J6999" t="n">
        <v>0</v>
      </c>
      <c r="K6999" t="n">
        <v>0</v>
      </c>
      <c r="L6999" t="n">
        <v>0</v>
      </c>
      <c r="M6999" t="n">
        <v>0</v>
      </c>
      <c r="N6999" t="n">
        <v>0</v>
      </c>
      <c r="O6999" t="n">
        <v>0</v>
      </c>
      <c r="P6999" t="n">
        <v>0</v>
      </c>
      <c r="Q6999" t="n">
        <v>0</v>
      </c>
      <c r="R6999" s="2" t="inlineStr"/>
    </row>
    <row r="7000" ht="15" customHeight="1">
      <c r="A7000" t="inlineStr">
        <is>
          <t>A 56323-2025</t>
        </is>
      </c>
      <c r="B7000" s="1" t="n">
        <v>45974.63583333333</v>
      </c>
      <c r="C7000" s="1" t="n">
        <v>46046</v>
      </c>
      <c r="D7000" t="inlineStr">
        <is>
          <t>NORRBOTTENS LÄN</t>
        </is>
      </c>
      <c r="E7000" t="inlineStr">
        <is>
          <t>JOKKMOKK</t>
        </is>
      </c>
      <c r="F7000" t="inlineStr">
        <is>
          <t>Övriga statliga verk och myndigheter</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56283-2025</t>
        </is>
      </c>
      <c r="B7001" s="1" t="n">
        <v>45974.59386574074</v>
      </c>
      <c r="C7001" s="1" t="n">
        <v>46046</v>
      </c>
      <c r="D7001" t="inlineStr">
        <is>
          <t>NORRBOTTENS LÄN</t>
        </is>
      </c>
      <c r="E7001" t="inlineStr">
        <is>
          <t>ARVIDSJAUR</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56387-2025</t>
        </is>
      </c>
      <c r="B7002" s="1" t="n">
        <v>45974.72184027778</v>
      </c>
      <c r="C7002" s="1" t="n">
        <v>46046</v>
      </c>
      <c r="D7002" t="inlineStr">
        <is>
          <t>NORRBOTTENS LÄN</t>
        </is>
      </c>
      <c r="E7002" t="inlineStr">
        <is>
          <t>JOKKMOKK</t>
        </is>
      </c>
      <c r="F7002" t="inlineStr">
        <is>
          <t>Sveaskog</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56439-2025</t>
        </is>
      </c>
      <c r="B7003" s="1" t="n">
        <v>45975</v>
      </c>
      <c r="C7003" s="1" t="n">
        <v>46046</v>
      </c>
      <c r="D7003" t="inlineStr">
        <is>
          <t>NORRBOTTENS LÄN</t>
        </is>
      </c>
      <c r="E7003" t="inlineStr">
        <is>
          <t>BODEN</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56520-2025</t>
        </is>
      </c>
      <c r="B7004" s="1" t="n">
        <v>45975.46047453704</v>
      </c>
      <c r="C7004" s="1" t="n">
        <v>46046</v>
      </c>
      <c r="D7004" t="inlineStr">
        <is>
          <t>NORRBOTTENS LÄN</t>
        </is>
      </c>
      <c r="E7004" t="inlineStr">
        <is>
          <t>ARVIDSJAUR</t>
        </is>
      </c>
      <c r="F7004" t="inlineStr">
        <is>
          <t>Sveaskog</t>
        </is>
      </c>
      <c r="G7004" t="n">
        <v>14.9</v>
      </c>
      <c r="H7004" t="n">
        <v>0</v>
      </c>
      <c r="I7004" t="n">
        <v>0</v>
      </c>
      <c r="J7004" t="n">
        <v>0</v>
      </c>
      <c r="K7004" t="n">
        <v>0</v>
      </c>
      <c r="L7004" t="n">
        <v>0</v>
      </c>
      <c r="M7004" t="n">
        <v>0</v>
      </c>
      <c r="N7004" t="n">
        <v>0</v>
      </c>
      <c r="O7004" t="n">
        <v>0</v>
      </c>
      <c r="P7004" t="n">
        <v>0</v>
      </c>
      <c r="Q7004" t="n">
        <v>0</v>
      </c>
      <c r="R7004" s="2" t="inlineStr"/>
    </row>
    <row r="7005" ht="15" customHeight="1">
      <c r="A7005" t="inlineStr">
        <is>
          <t>A 56317-2025</t>
        </is>
      </c>
      <c r="B7005" s="1" t="n">
        <v>45974.63099537037</v>
      </c>
      <c r="C7005" s="1" t="n">
        <v>46046</v>
      </c>
      <c r="D7005" t="inlineStr">
        <is>
          <t>NORRBOTTENS LÄN</t>
        </is>
      </c>
      <c r="E7005" t="inlineStr">
        <is>
          <t>JOKKMOKK</t>
        </is>
      </c>
      <c r="F7005" t="inlineStr">
        <is>
          <t>Övriga statliga verk och myndigheter</t>
        </is>
      </c>
      <c r="G7005" t="n">
        <v>14.5</v>
      </c>
      <c r="H7005" t="n">
        <v>0</v>
      </c>
      <c r="I7005" t="n">
        <v>0</v>
      </c>
      <c r="J7005" t="n">
        <v>0</v>
      </c>
      <c r="K7005" t="n">
        <v>0</v>
      </c>
      <c r="L7005" t="n">
        <v>0</v>
      </c>
      <c r="M7005" t="n">
        <v>0</v>
      </c>
      <c r="N7005" t="n">
        <v>0</v>
      </c>
      <c r="O7005" t="n">
        <v>0</v>
      </c>
      <c r="P7005" t="n">
        <v>0</v>
      </c>
      <c r="Q7005" t="n">
        <v>0</v>
      </c>
      <c r="R7005" s="2" t="inlineStr"/>
    </row>
    <row r="7006" ht="15" customHeight="1">
      <c r="A7006" t="inlineStr">
        <is>
          <t>A 56321-2025</t>
        </is>
      </c>
      <c r="B7006" s="1" t="n">
        <v>45974.63530092593</v>
      </c>
      <c r="C7006" s="1" t="n">
        <v>46046</v>
      </c>
      <c r="D7006" t="inlineStr">
        <is>
          <t>NORRBOTTENS LÄN</t>
        </is>
      </c>
      <c r="E7006" t="inlineStr">
        <is>
          <t>JOKKMOKK</t>
        </is>
      </c>
      <c r="F7006" t="inlineStr">
        <is>
          <t>Övriga statliga verk och myndigheter</t>
        </is>
      </c>
      <c r="G7006" t="n">
        <v>14.6</v>
      </c>
      <c r="H7006" t="n">
        <v>0</v>
      </c>
      <c r="I7006" t="n">
        <v>0</v>
      </c>
      <c r="J7006" t="n">
        <v>0</v>
      </c>
      <c r="K7006" t="n">
        <v>0</v>
      </c>
      <c r="L7006" t="n">
        <v>0</v>
      </c>
      <c r="M7006" t="n">
        <v>0</v>
      </c>
      <c r="N7006" t="n">
        <v>0</v>
      </c>
      <c r="O7006" t="n">
        <v>0</v>
      </c>
      <c r="P7006" t="n">
        <v>0</v>
      </c>
      <c r="Q7006" t="n">
        <v>0</v>
      </c>
      <c r="R7006" s="2" t="inlineStr"/>
    </row>
    <row r="7007" ht="15" customHeight="1">
      <c r="A7007" t="inlineStr">
        <is>
          <t>A 56588-2025</t>
        </is>
      </c>
      <c r="B7007" s="1" t="n">
        <v>45975.56208333333</v>
      </c>
      <c r="C7007" s="1" t="n">
        <v>46046</v>
      </c>
      <c r="D7007" t="inlineStr">
        <is>
          <t>NORRBOTTENS LÄN</t>
        </is>
      </c>
      <c r="E7007" t="inlineStr">
        <is>
          <t>ARVIDSJAUR</t>
        </is>
      </c>
      <c r="F7007" t="inlineStr">
        <is>
          <t>Sveaskog</t>
        </is>
      </c>
      <c r="G7007" t="n">
        <v>12.8</v>
      </c>
      <c r="H7007" t="n">
        <v>0</v>
      </c>
      <c r="I7007" t="n">
        <v>0</v>
      </c>
      <c r="J7007" t="n">
        <v>0</v>
      </c>
      <c r="K7007" t="n">
        <v>0</v>
      </c>
      <c r="L7007" t="n">
        <v>0</v>
      </c>
      <c r="M7007" t="n">
        <v>0</v>
      </c>
      <c r="N7007" t="n">
        <v>0</v>
      </c>
      <c r="O7007" t="n">
        <v>0</v>
      </c>
      <c r="P7007" t="n">
        <v>0</v>
      </c>
      <c r="Q7007" t="n">
        <v>0</v>
      </c>
      <c r="R7007" s="2" t="inlineStr"/>
    </row>
    <row r="7008" ht="15" customHeight="1">
      <c r="A7008" t="inlineStr">
        <is>
          <t>A 56534-2025</t>
        </is>
      </c>
      <c r="B7008" s="1" t="n">
        <v>45975</v>
      </c>
      <c r="C7008" s="1" t="n">
        <v>46046</v>
      </c>
      <c r="D7008" t="inlineStr">
        <is>
          <t>NORRBOTTENS LÄN</t>
        </is>
      </c>
      <c r="E7008" t="inlineStr">
        <is>
          <t>PAJALA</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56651-2025</t>
        </is>
      </c>
      <c r="B7009" s="1" t="n">
        <v>45975.64247685186</v>
      </c>
      <c r="C7009" s="1" t="n">
        <v>46046</v>
      </c>
      <c r="D7009" t="inlineStr">
        <is>
          <t>NORRBOTTENS LÄN</t>
        </is>
      </c>
      <c r="E7009" t="inlineStr">
        <is>
          <t>ARVIDSJAUR</t>
        </is>
      </c>
      <c r="F7009" t="inlineStr">
        <is>
          <t>Sveaskog</t>
        </is>
      </c>
      <c r="G7009" t="n">
        <v>11.3</v>
      </c>
      <c r="H7009" t="n">
        <v>0</v>
      </c>
      <c r="I7009" t="n">
        <v>0</v>
      </c>
      <c r="J7009" t="n">
        <v>0</v>
      </c>
      <c r="K7009" t="n">
        <v>0</v>
      </c>
      <c r="L7009" t="n">
        <v>0</v>
      </c>
      <c r="M7009" t="n">
        <v>0</v>
      </c>
      <c r="N7009" t="n">
        <v>0</v>
      </c>
      <c r="O7009" t="n">
        <v>0</v>
      </c>
      <c r="P7009" t="n">
        <v>0</v>
      </c>
      <c r="Q7009" t="n">
        <v>0</v>
      </c>
      <c r="R7009" s="2" t="inlineStr"/>
    </row>
    <row r="7010" ht="15" customHeight="1">
      <c r="A7010" t="inlineStr">
        <is>
          <t>A 56235-2025</t>
        </is>
      </c>
      <c r="B7010" s="1" t="n">
        <v>45974.53821759259</v>
      </c>
      <c r="C7010" s="1" t="n">
        <v>46046</v>
      </c>
      <c r="D7010" t="inlineStr">
        <is>
          <t>NORRBOTTENS LÄN</t>
        </is>
      </c>
      <c r="E7010" t="inlineStr">
        <is>
          <t>BODEN</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56560-2025</t>
        </is>
      </c>
      <c r="B7011" s="1" t="n">
        <v>45975</v>
      </c>
      <c r="C7011" s="1" t="n">
        <v>46046</v>
      </c>
      <c r="D7011" t="inlineStr">
        <is>
          <t>NORRBOTTENS LÄN</t>
        </is>
      </c>
      <c r="E7011" t="inlineStr">
        <is>
          <t>BODEN</t>
        </is>
      </c>
      <c r="F7011" t="inlineStr">
        <is>
          <t>Naturvårdsverket</t>
        </is>
      </c>
      <c r="G7011" t="n">
        <v>9.800000000000001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56366-2025</t>
        </is>
      </c>
      <c r="B7012" s="1" t="n">
        <v>45974.67400462963</v>
      </c>
      <c r="C7012" s="1" t="n">
        <v>46046</v>
      </c>
      <c r="D7012" t="inlineStr">
        <is>
          <t>NORRBOTTENS LÄN</t>
        </is>
      </c>
      <c r="E7012" t="inlineStr">
        <is>
          <t>HAPARANDA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56286-2025</t>
        </is>
      </c>
      <c r="B7013" s="1" t="n">
        <v>45974.59608796296</v>
      </c>
      <c r="C7013" s="1" t="n">
        <v>46046</v>
      </c>
      <c r="D7013" t="inlineStr">
        <is>
          <t>NORRBOTTENS LÄN</t>
        </is>
      </c>
      <c r="E7013" t="inlineStr">
        <is>
          <t>JOKKMOKK</t>
        </is>
      </c>
      <c r="F7013" t="inlineStr">
        <is>
          <t>Sveaskog</t>
        </is>
      </c>
      <c r="G7013" t="n">
        <v>22.8</v>
      </c>
      <c r="H7013" t="n">
        <v>0</v>
      </c>
      <c r="I7013" t="n">
        <v>0</v>
      </c>
      <c r="J7013" t="n">
        <v>0</v>
      </c>
      <c r="K7013" t="n">
        <v>0</v>
      </c>
      <c r="L7013" t="n">
        <v>0</v>
      </c>
      <c r="M7013" t="n">
        <v>0</v>
      </c>
      <c r="N7013" t="n">
        <v>0</v>
      </c>
      <c r="O7013" t="n">
        <v>0</v>
      </c>
      <c r="P7013" t="n">
        <v>0</v>
      </c>
      <c r="Q7013" t="n">
        <v>0</v>
      </c>
      <c r="R7013" s="2" t="inlineStr"/>
    </row>
    <row r="7014" ht="15" customHeight="1">
      <c r="A7014" t="inlineStr">
        <is>
          <t>A 56265-2025</t>
        </is>
      </c>
      <c r="B7014" s="1" t="n">
        <v>45974.57791666667</v>
      </c>
      <c r="C7014" s="1" t="n">
        <v>46046</v>
      </c>
      <c r="D7014" t="inlineStr">
        <is>
          <t>NORRBOTTENS LÄN</t>
        </is>
      </c>
      <c r="E7014" t="inlineStr">
        <is>
          <t>ARVIDSJAUR</t>
        </is>
      </c>
      <c r="F7014" t="inlineStr">
        <is>
          <t>Sveaskog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56723-2025</t>
        </is>
      </c>
      <c r="B7015" s="1" t="n">
        <v>45975</v>
      </c>
      <c r="C7015" s="1" t="n">
        <v>46046</v>
      </c>
      <c r="D7015" t="inlineStr">
        <is>
          <t>NORRBOTTENS LÄN</t>
        </is>
      </c>
      <c r="E7015" t="inlineStr">
        <is>
          <t>ARVIDSJAUR</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56136-2025</t>
        </is>
      </c>
      <c r="B7016" s="1" t="n">
        <v>45974.32560185185</v>
      </c>
      <c r="C7016" s="1" t="n">
        <v>46046</v>
      </c>
      <c r="D7016" t="inlineStr">
        <is>
          <t>NORRBOTTENS LÄN</t>
        </is>
      </c>
      <c r="E7016" t="inlineStr">
        <is>
          <t>PITEÅ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56356-2025</t>
        </is>
      </c>
      <c r="B7017" s="1" t="n">
        <v>45974.66077546297</v>
      </c>
      <c r="C7017" s="1" t="n">
        <v>46046</v>
      </c>
      <c r="D7017" t="inlineStr">
        <is>
          <t>NORRBOTTENS LÄN</t>
        </is>
      </c>
      <c r="E7017" t="inlineStr">
        <is>
          <t>HAPARANDA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56440-2025</t>
        </is>
      </c>
      <c r="B7018" s="1" t="n">
        <v>45975.34753472222</v>
      </c>
      <c r="C7018" s="1" t="n">
        <v>46046</v>
      </c>
      <c r="D7018" t="inlineStr">
        <is>
          <t>NORRBOTTENS LÄN</t>
        </is>
      </c>
      <c r="E7018" t="inlineStr">
        <is>
          <t>BODEN</t>
        </is>
      </c>
      <c r="F7018" t="inlineStr">
        <is>
          <t>SCA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56371-2025</t>
        </is>
      </c>
      <c r="B7019" s="1" t="n">
        <v>45974.68179398148</v>
      </c>
      <c r="C7019" s="1" t="n">
        <v>46046</v>
      </c>
      <c r="D7019" t="inlineStr">
        <is>
          <t>NORRBOTTENS LÄN</t>
        </is>
      </c>
      <c r="E7019" t="inlineStr">
        <is>
          <t>BODEN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56649-2025</t>
        </is>
      </c>
      <c r="B7020" s="1" t="n">
        <v>45975</v>
      </c>
      <c r="C7020" s="1" t="n">
        <v>46046</v>
      </c>
      <c r="D7020" t="inlineStr">
        <is>
          <t>NORRBOTTENS LÄN</t>
        </is>
      </c>
      <c r="E7020" t="inlineStr">
        <is>
          <t>LULEÅ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56430-2025</t>
        </is>
      </c>
      <c r="B7021" s="1" t="n">
        <v>45975.34607638889</v>
      </c>
      <c r="C7021" s="1" t="n">
        <v>46046</v>
      </c>
      <c r="D7021" t="inlineStr">
        <is>
          <t>NORRBOTTENS LÄN</t>
        </is>
      </c>
      <c r="E7021" t="inlineStr">
        <is>
          <t>ARVIDSJAUR</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56445-2025</t>
        </is>
      </c>
      <c r="B7022" s="1" t="n">
        <v>45975.34825231481</v>
      </c>
      <c r="C7022" s="1" t="n">
        <v>46046</v>
      </c>
      <c r="D7022" t="inlineStr">
        <is>
          <t>NORRBOTTENS LÄN</t>
        </is>
      </c>
      <c r="E7022" t="inlineStr">
        <is>
          <t>JOKKMOKK</t>
        </is>
      </c>
      <c r="G7022" t="n">
        <v>35.7</v>
      </c>
      <c r="H7022" t="n">
        <v>0</v>
      </c>
      <c r="I7022" t="n">
        <v>0</v>
      </c>
      <c r="J7022" t="n">
        <v>0</v>
      </c>
      <c r="K7022" t="n">
        <v>0</v>
      </c>
      <c r="L7022" t="n">
        <v>0</v>
      </c>
      <c r="M7022" t="n">
        <v>0</v>
      </c>
      <c r="N7022" t="n">
        <v>0</v>
      </c>
      <c r="O7022" t="n">
        <v>0</v>
      </c>
      <c r="P7022" t="n">
        <v>0</v>
      </c>
      <c r="Q7022" t="n">
        <v>0</v>
      </c>
      <c r="R7022" s="2" t="inlineStr"/>
    </row>
    <row r="7023" ht="15" customHeight="1">
      <c r="A7023" t="inlineStr">
        <is>
          <t>A 56343-2025</t>
        </is>
      </c>
      <c r="B7023" s="1" t="n">
        <v>45974.64890046296</v>
      </c>
      <c r="C7023" s="1" t="n">
        <v>46046</v>
      </c>
      <c r="D7023" t="inlineStr">
        <is>
          <t>NORRBOTTENS LÄN</t>
        </is>
      </c>
      <c r="E7023" t="inlineStr">
        <is>
          <t>JOKKMOKK</t>
        </is>
      </c>
      <c r="F7023" t="inlineStr">
        <is>
          <t>Övriga statliga verk och myndigheter</t>
        </is>
      </c>
      <c r="G7023" t="n">
        <v>14.8</v>
      </c>
      <c r="H7023" t="n">
        <v>0</v>
      </c>
      <c r="I7023" t="n">
        <v>0</v>
      </c>
      <c r="J7023" t="n">
        <v>0</v>
      </c>
      <c r="K7023" t="n">
        <v>0</v>
      </c>
      <c r="L7023" t="n">
        <v>0</v>
      </c>
      <c r="M7023" t="n">
        <v>0</v>
      </c>
      <c r="N7023" t="n">
        <v>0</v>
      </c>
      <c r="O7023" t="n">
        <v>0</v>
      </c>
      <c r="P7023" t="n">
        <v>0</v>
      </c>
      <c r="Q7023" t="n">
        <v>0</v>
      </c>
      <c r="R7023" s="2" t="inlineStr"/>
    </row>
    <row r="7024" ht="15" customHeight="1">
      <c r="A7024" t="inlineStr">
        <is>
          <t>A 56652-2025</t>
        </is>
      </c>
      <c r="B7024" s="1" t="n">
        <v>45975.64438657407</v>
      </c>
      <c r="C7024" s="1" t="n">
        <v>46046</v>
      </c>
      <c r="D7024" t="inlineStr">
        <is>
          <t>NORRBOTTENS LÄN</t>
        </is>
      </c>
      <c r="E7024" t="inlineStr">
        <is>
          <t>ARVIDSJAUR</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56657-2025</t>
        </is>
      </c>
      <c r="B7025" s="1" t="n">
        <v>45975.65388888889</v>
      </c>
      <c r="C7025" s="1" t="n">
        <v>46046</v>
      </c>
      <c r="D7025" t="inlineStr">
        <is>
          <t>NORRBOTTENS LÄN</t>
        </is>
      </c>
      <c r="E7025" t="inlineStr">
        <is>
          <t>ARVIDSJAUR</t>
        </is>
      </c>
      <c r="F7025" t="inlineStr">
        <is>
          <t>Sveaskog</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56680-2025</t>
        </is>
      </c>
      <c r="B7026" s="1" t="n">
        <v>45975</v>
      </c>
      <c r="C7026" s="1" t="n">
        <v>46046</v>
      </c>
      <c r="D7026" t="inlineStr">
        <is>
          <t>NORRBOTTENS LÄN</t>
        </is>
      </c>
      <c r="E7026" t="inlineStr">
        <is>
          <t>ARVIDSJAUR</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56142-2025</t>
        </is>
      </c>
      <c r="B7027" s="1" t="n">
        <v>45974.34443287037</v>
      </c>
      <c r="C7027" s="1" t="n">
        <v>46046</v>
      </c>
      <c r="D7027" t="inlineStr">
        <is>
          <t>NORRBOTTENS LÄN</t>
        </is>
      </c>
      <c r="E7027" t="inlineStr">
        <is>
          <t>LULEÅ</t>
        </is>
      </c>
      <c r="F7027" t="inlineStr">
        <is>
          <t>Naturvårdsverket</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56168-2025</t>
        </is>
      </c>
      <c r="B7028" s="1" t="n">
        <v>45974.38932870371</v>
      </c>
      <c r="C7028" s="1" t="n">
        <v>46046</v>
      </c>
      <c r="D7028" t="inlineStr">
        <is>
          <t>NORRBOTTENS LÄN</t>
        </is>
      </c>
      <c r="E7028" t="inlineStr">
        <is>
          <t>ARVIDSJAUR</t>
        </is>
      </c>
      <c r="F7028" t="inlineStr">
        <is>
          <t>Sveaskog</t>
        </is>
      </c>
      <c r="G7028" t="n">
        <v>14.4</v>
      </c>
      <c r="H7028" t="n">
        <v>0</v>
      </c>
      <c r="I7028" t="n">
        <v>0</v>
      </c>
      <c r="J7028" t="n">
        <v>0</v>
      </c>
      <c r="K7028" t="n">
        <v>0</v>
      </c>
      <c r="L7028" t="n">
        <v>0</v>
      </c>
      <c r="M7028" t="n">
        <v>0</v>
      </c>
      <c r="N7028" t="n">
        <v>0</v>
      </c>
      <c r="O7028" t="n">
        <v>0</v>
      </c>
      <c r="P7028" t="n">
        <v>0</v>
      </c>
      <c r="Q7028" t="n">
        <v>0</v>
      </c>
      <c r="R7028" s="2" t="inlineStr"/>
    </row>
    <row r="7029" ht="15" customHeight="1">
      <c r="A7029" t="inlineStr">
        <is>
          <t>A 56529-2025</t>
        </is>
      </c>
      <c r="B7029" s="1" t="n">
        <v>45975.46728009259</v>
      </c>
      <c r="C7029" s="1" t="n">
        <v>46046</v>
      </c>
      <c r="D7029" t="inlineStr">
        <is>
          <t>NORRBOTTENS LÄN</t>
        </is>
      </c>
      <c r="E7029" t="inlineStr">
        <is>
          <t>ARVIDSJAUR</t>
        </is>
      </c>
      <c r="F7029" t="inlineStr">
        <is>
          <t>Sveaskog</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56598-2025</t>
        </is>
      </c>
      <c r="B7030" s="1" t="n">
        <v>45975.5727662037</v>
      </c>
      <c r="C7030" s="1" t="n">
        <v>46046</v>
      </c>
      <c r="D7030" t="inlineStr">
        <is>
          <t>NORRBOTTENS LÄN</t>
        </is>
      </c>
      <c r="E7030" t="inlineStr">
        <is>
          <t>BODEN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56619-2025</t>
        </is>
      </c>
      <c r="B7031" s="1" t="n">
        <v>45975.59459490741</v>
      </c>
      <c r="C7031" s="1" t="n">
        <v>46046</v>
      </c>
      <c r="D7031" t="inlineStr">
        <is>
          <t>NORRBOTTENS LÄN</t>
        </is>
      </c>
      <c r="E7031" t="inlineStr">
        <is>
          <t>PITEÅ</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56627-2025</t>
        </is>
      </c>
      <c r="B7032" s="1" t="n">
        <v>45975</v>
      </c>
      <c r="C7032" s="1" t="n">
        <v>46046</v>
      </c>
      <c r="D7032" t="inlineStr">
        <is>
          <t>NORRBOTTENS LÄN</t>
        </is>
      </c>
      <c r="E7032" t="inlineStr">
        <is>
          <t>ÄLVSBYN</t>
        </is>
      </c>
      <c r="F7032" t="inlineStr">
        <is>
          <t>Sveaskog</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56643-2025</t>
        </is>
      </c>
      <c r="B7033" s="1" t="n">
        <v>45975.62664351852</v>
      </c>
      <c r="C7033" s="1" t="n">
        <v>46046</v>
      </c>
      <c r="D7033" t="inlineStr">
        <is>
          <t>NORRBOTTENS LÄN</t>
        </is>
      </c>
      <c r="E7033" t="inlineStr">
        <is>
          <t>LULEÅ</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56364-2025</t>
        </is>
      </c>
      <c r="B7034" s="1" t="n">
        <v>45974.67253472222</v>
      </c>
      <c r="C7034" s="1" t="n">
        <v>46046</v>
      </c>
      <c r="D7034" t="inlineStr">
        <is>
          <t>NORRBOTTENS LÄN</t>
        </is>
      </c>
      <c r="E7034" t="inlineStr">
        <is>
          <t>HAPARANDA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56372-2025</t>
        </is>
      </c>
      <c r="B7035" s="1" t="n">
        <v>45974.68207175926</v>
      </c>
      <c r="C7035" s="1" t="n">
        <v>46046</v>
      </c>
      <c r="D7035" t="inlineStr">
        <is>
          <t>NORRBOTTENS LÄN</t>
        </is>
      </c>
      <c r="E7035" t="inlineStr">
        <is>
          <t>JOKKMOKK</t>
        </is>
      </c>
      <c r="F7035" t="inlineStr">
        <is>
          <t>Sveaskog</t>
        </is>
      </c>
      <c r="G7035" t="n">
        <v>26.4</v>
      </c>
      <c r="H7035" t="n">
        <v>0</v>
      </c>
      <c r="I7035" t="n">
        <v>0</v>
      </c>
      <c r="J7035" t="n">
        <v>0</v>
      </c>
      <c r="K7035" t="n">
        <v>0</v>
      </c>
      <c r="L7035" t="n">
        <v>0</v>
      </c>
      <c r="M7035" t="n">
        <v>0</v>
      </c>
      <c r="N7035" t="n">
        <v>0</v>
      </c>
      <c r="O7035" t="n">
        <v>0</v>
      </c>
      <c r="P7035" t="n">
        <v>0</v>
      </c>
      <c r="Q7035" t="n">
        <v>0</v>
      </c>
      <c r="R7035" s="2" t="inlineStr"/>
    </row>
    <row r="7036" ht="15" customHeight="1">
      <c r="A7036" t="inlineStr">
        <is>
          <t>A 56173-2025</t>
        </is>
      </c>
      <c r="B7036" s="1" t="n">
        <v>45974.39626157407</v>
      </c>
      <c r="C7036" s="1" t="n">
        <v>46046</v>
      </c>
      <c r="D7036" t="inlineStr">
        <is>
          <t>NORRBOTTENS LÄN</t>
        </is>
      </c>
      <c r="E7036" t="inlineStr">
        <is>
          <t>ARVIDSJAUR</t>
        </is>
      </c>
      <c r="F7036" t="inlineStr">
        <is>
          <t>Sveaskog</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56174-2025</t>
        </is>
      </c>
      <c r="B7037" s="1" t="n">
        <v>45974.39755787037</v>
      </c>
      <c r="C7037" s="1" t="n">
        <v>46046</v>
      </c>
      <c r="D7037" t="inlineStr">
        <is>
          <t>NORRBOTTENS LÄN</t>
        </is>
      </c>
      <c r="E7037" t="inlineStr">
        <is>
          <t>ARVIDSJAUR</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56246-2025</t>
        </is>
      </c>
      <c r="B7038" s="1" t="n">
        <v>45974</v>
      </c>
      <c r="C7038" s="1" t="n">
        <v>46046</v>
      </c>
      <c r="D7038" t="inlineStr">
        <is>
          <t>NORRBOTTENS LÄN</t>
        </is>
      </c>
      <c r="E7038" t="inlineStr">
        <is>
          <t>ÄLVSBYN</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56606-2025</t>
        </is>
      </c>
      <c r="B7039" s="1" t="n">
        <v>45975.58065972223</v>
      </c>
      <c r="C7039" s="1" t="n">
        <v>46046</v>
      </c>
      <c r="D7039" t="inlineStr">
        <is>
          <t>NORRBOTTENS LÄN</t>
        </is>
      </c>
      <c r="E7039" t="inlineStr">
        <is>
          <t>ARVIDSJAUR</t>
        </is>
      </c>
      <c r="F7039" t="inlineStr">
        <is>
          <t>Sveaskog</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56630-2025</t>
        </is>
      </c>
      <c r="B7040" s="1" t="n">
        <v>45975.61517361111</v>
      </c>
      <c r="C7040" s="1" t="n">
        <v>46046</v>
      </c>
      <c r="D7040" t="inlineStr">
        <is>
          <t>NORRBOTTENS LÄN</t>
        </is>
      </c>
      <c r="E7040" t="inlineStr">
        <is>
          <t>ARVIDSJAUR</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56192-2025</t>
        </is>
      </c>
      <c r="B7041" s="1" t="n">
        <v>45974.44472222222</v>
      </c>
      <c r="C7041" s="1" t="n">
        <v>46046</v>
      </c>
      <c r="D7041" t="inlineStr">
        <is>
          <t>NORRBOTTENS LÄN</t>
        </is>
      </c>
      <c r="E7041" t="inlineStr">
        <is>
          <t>JOKKMOKK</t>
        </is>
      </c>
      <c r="F7041" t="inlineStr">
        <is>
          <t>Sveaskog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56193-2025</t>
        </is>
      </c>
      <c r="B7042" s="1" t="n">
        <v>45974.44701388889</v>
      </c>
      <c r="C7042" s="1" t="n">
        <v>46046</v>
      </c>
      <c r="D7042" t="inlineStr">
        <is>
          <t>NORRBOTTENS LÄN</t>
        </is>
      </c>
      <c r="E7042" t="inlineStr">
        <is>
          <t>JOKKMOKK</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56242-2025</t>
        </is>
      </c>
      <c r="B7043" s="1" t="n">
        <v>45974.54921296296</v>
      </c>
      <c r="C7043" s="1" t="n">
        <v>46046</v>
      </c>
      <c r="D7043" t="inlineStr">
        <is>
          <t>NORRBOTTENS LÄN</t>
        </is>
      </c>
      <c r="E7043" t="inlineStr">
        <is>
          <t>BODEN</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56260-2025</t>
        </is>
      </c>
      <c r="B7044" s="1" t="n">
        <v>45974.56701388889</v>
      </c>
      <c r="C7044" s="1" t="n">
        <v>46046</v>
      </c>
      <c r="D7044" t="inlineStr">
        <is>
          <t>NORRBOTTENS LÄN</t>
        </is>
      </c>
      <c r="E7044" t="inlineStr">
        <is>
          <t>ÄLVSBYN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56532-2025</t>
        </is>
      </c>
      <c r="B7045" s="1" t="n">
        <v>45975.46935185185</v>
      </c>
      <c r="C7045" s="1" t="n">
        <v>46046</v>
      </c>
      <c r="D7045" t="inlineStr">
        <is>
          <t>NORRBOTTENS LÄN</t>
        </is>
      </c>
      <c r="E7045" t="inlineStr">
        <is>
          <t>ÄLVSBYN</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56257-2025</t>
        </is>
      </c>
      <c r="B7046" s="1" t="n">
        <v>45974.56496527778</v>
      </c>
      <c r="C7046" s="1" t="n">
        <v>46046</v>
      </c>
      <c r="D7046" t="inlineStr">
        <is>
          <t>NORRBOTTENS LÄN</t>
        </is>
      </c>
      <c r="E7046" t="inlineStr">
        <is>
          <t>ÄLVSBYN</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56638-2025</t>
        </is>
      </c>
      <c r="B7047" s="1" t="n">
        <v>45975.61684027778</v>
      </c>
      <c r="C7047" s="1" t="n">
        <v>46046</v>
      </c>
      <c r="D7047" t="inlineStr">
        <is>
          <t>NORRBOTTENS LÄN</t>
        </is>
      </c>
      <c r="E7047" t="inlineStr">
        <is>
          <t>PITEÅ</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56677-2025</t>
        </is>
      </c>
      <c r="B7048" s="1" t="n">
        <v>45975.72868055556</v>
      </c>
      <c r="C7048" s="1" t="n">
        <v>46046</v>
      </c>
      <c r="D7048" t="inlineStr">
        <is>
          <t>NORRBOTTENS LÄN</t>
        </is>
      </c>
      <c r="E7048" t="inlineStr">
        <is>
          <t>LULEÅ</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56334-2025</t>
        </is>
      </c>
      <c r="B7049" s="1" t="n">
        <v>45974.64328703703</v>
      </c>
      <c r="C7049" s="1" t="n">
        <v>46046</v>
      </c>
      <c r="D7049" t="inlineStr">
        <is>
          <t>NORRBOTTENS LÄN</t>
        </is>
      </c>
      <c r="E7049" t="inlineStr">
        <is>
          <t>ÖVERTORNEÅ</t>
        </is>
      </c>
      <c r="F7049" t="inlineStr">
        <is>
          <t>Sveaskog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56233-2025</t>
        </is>
      </c>
      <c r="B7050" s="1" t="n">
        <v>45974.53537037037</v>
      </c>
      <c r="C7050" s="1" t="n">
        <v>46046</v>
      </c>
      <c r="D7050" t="inlineStr">
        <is>
          <t>NORRBOTTENS LÄN</t>
        </is>
      </c>
      <c r="E7050" t="inlineStr">
        <is>
          <t>PITEÅ</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56245-2025</t>
        </is>
      </c>
      <c r="B7051" s="1" t="n">
        <v>45974.55252314815</v>
      </c>
      <c r="C7051" s="1" t="n">
        <v>46046</v>
      </c>
      <c r="D7051" t="inlineStr">
        <is>
          <t>NORRBOTTENS LÄN</t>
        </is>
      </c>
      <c r="E7051" t="inlineStr">
        <is>
          <t>ÄLVSBYN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56862-2025</t>
        </is>
      </c>
      <c r="B7052" s="1" t="n">
        <v>45978.50950231482</v>
      </c>
      <c r="C7052" s="1" t="n">
        <v>46046</v>
      </c>
      <c r="D7052" t="inlineStr">
        <is>
          <t>NORRBOTTENS LÄN</t>
        </is>
      </c>
      <c r="E7052" t="inlineStr">
        <is>
          <t>LULEÅ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63794-2025</t>
        </is>
      </c>
      <c r="B7053" s="1" t="n">
        <v>46019.80629629629</v>
      </c>
      <c r="C7053" s="1" t="n">
        <v>46046</v>
      </c>
      <c r="D7053" t="inlineStr">
        <is>
          <t>NORRBOTTENS LÄN</t>
        </is>
      </c>
      <c r="E7053" t="inlineStr">
        <is>
          <t>ÄLVSBYN</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57293-2025</t>
        </is>
      </c>
      <c r="B7054" s="1" t="n">
        <v>45979</v>
      </c>
      <c r="C7054" s="1" t="n">
        <v>46046</v>
      </c>
      <c r="D7054" t="inlineStr">
        <is>
          <t>NORRBOTTENS LÄN</t>
        </is>
      </c>
      <c r="E7054" t="inlineStr">
        <is>
          <t>KALIX</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63367-2025</t>
        </is>
      </c>
      <c r="B7055" s="1" t="n">
        <v>46009</v>
      </c>
      <c r="C7055" s="1" t="n">
        <v>46046</v>
      </c>
      <c r="D7055" t="inlineStr">
        <is>
          <t>NORRBOTTENS LÄN</t>
        </is>
      </c>
      <c r="E7055" t="inlineStr">
        <is>
          <t>HAPARANDA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63396-2025</t>
        </is>
      </c>
      <c r="B7056" s="1" t="n">
        <v>46012.56715277778</v>
      </c>
      <c r="C7056" s="1" t="n">
        <v>46046</v>
      </c>
      <c r="D7056" t="inlineStr">
        <is>
          <t>NORRBOTTENS LÄN</t>
        </is>
      </c>
      <c r="E7056" t="inlineStr">
        <is>
          <t>BODEN</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57158-2025</t>
        </is>
      </c>
      <c r="B7057" s="1" t="n">
        <v>45978</v>
      </c>
      <c r="C7057" s="1" t="n">
        <v>46046</v>
      </c>
      <c r="D7057" t="inlineStr">
        <is>
          <t>NORRBOTTENS LÄN</t>
        </is>
      </c>
      <c r="E7057" t="inlineStr">
        <is>
          <t>ARVIDSJAUR</t>
        </is>
      </c>
      <c r="G7057" t="n">
        <v>9.5</v>
      </c>
      <c r="H7057" t="n">
        <v>0</v>
      </c>
      <c r="I7057" t="n">
        <v>0</v>
      </c>
      <c r="J7057" t="n">
        <v>0</v>
      </c>
      <c r="K7057" t="n">
        <v>0</v>
      </c>
      <c r="L7057" t="n">
        <v>0</v>
      </c>
      <c r="M7057" t="n">
        <v>0</v>
      </c>
      <c r="N7057" t="n">
        <v>0</v>
      </c>
      <c r="O7057" t="n">
        <v>0</v>
      </c>
      <c r="P7057" t="n">
        <v>0</v>
      </c>
      <c r="Q7057" t="n">
        <v>0</v>
      </c>
      <c r="R7057" s="2" t="inlineStr"/>
    </row>
    <row r="7058" ht="15" customHeight="1">
      <c r="A7058" t="inlineStr">
        <is>
          <t>A 57166-2025</t>
        </is>
      </c>
      <c r="B7058" s="1" t="n">
        <v>45978</v>
      </c>
      <c r="C7058" s="1" t="n">
        <v>46046</v>
      </c>
      <c r="D7058" t="inlineStr">
        <is>
          <t>NORRBOTTENS LÄN</t>
        </is>
      </c>
      <c r="E7058" t="inlineStr">
        <is>
          <t>ARVIDSJAUR</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63795-2025</t>
        </is>
      </c>
      <c r="B7059" s="1" t="n">
        <v>46019.80730324074</v>
      </c>
      <c r="C7059" s="1" t="n">
        <v>46046</v>
      </c>
      <c r="D7059" t="inlineStr">
        <is>
          <t>NORRBOTTENS LÄN</t>
        </is>
      </c>
      <c r="E7059" t="inlineStr">
        <is>
          <t>ÄLVSBYN</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64041-2025</t>
        </is>
      </c>
      <c r="B7060" s="1" t="n">
        <v>46021.54532407408</v>
      </c>
      <c r="C7060" s="1" t="n">
        <v>46046</v>
      </c>
      <c r="D7060" t="inlineStr">
        <is>
          <t>NORRBOTTENS LÄN</t>
        </is>
      </c>
      <c r="E7060" t="inlineStr">
        <is>
          <t>KALIX</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56740-2025</t>
        </is>
      </c>
      <c r="B7061" s="1" t="n">
        <v>45978.345</v>
      </c>
      <c r="C7061" s="1" t="n">
        <v>46046</v>
      </c>
      <c r="D7061" t="inlineStr">
        <is>
          <t>NORRBOTTENS LÄN</t>
        </is>
      </c>
      <c r="E7061" t="inlineStr">
        <is>
          <t>PITEÅ</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8235-2025</t>
        </is>
      </c>
      <c r="B7062" s="1" t="n">
        <v>45708</v>
      </c>
      <c r="C7062" s="1" t="n">
        <v>46046</v>
      </c>
      <c r="D7062" t="inlineStr">
        <is>
          <t>NORRBOTTENS LÄN</t>
        </is>
      </c>
      <c r="E7062" t="inlineStr">
        <is>
          <t>LULEÅ</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8243-2025</t>
        </is>
      </c>
      <c r="B7063" s="1" t="n">
        <v>45708</v>
      </c>
      <c r="C7063" s="1" t="n">
        <v>46046</v>
      </c>
      <c r="D7063" t="inlineStr">
        <is>
          <t>NORRBOTTENS LÄN</t>
        </is>
      </c>
      <c r="E7063" t="inlineStr">
        <is>
          <t>LULEÅ</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8247-2025</t>
        </is>
      </c>
      <c r="B7064" s="1" t="n">
        <v>45708</v>
      </c>
      <c r="C7064" s="1" t="n">
        <v>46046</v>
      </c>
      <c r="D7064" t="inlineStr">
        <is>
          <t>NORRBOTTENS LÄN</t>
        </is>
      </c>
      <c r="E7064" t="inlineStr">
        <is>
          <t>LULEÅ</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56932-2025</t>
        </is>
      </c>
      <c r="B7065" s="1" t="n">
        <v>45978.61122685186</v>
      </c>
      <c r="C7065" s="1" t="n">
        <v>46046</v>
      </c>
      <c r="D7065" t="inlineStr">
        <is>
          <t>NORRBOTTENS LÄN</t>
        </is>
      </c>
      <c r="E7065" t="inlineStr">
        <is>
          <t>LULEÅ</t>
        </is>
      </c>
      <c r="G7065" t="n">
        <v>10.8</v>
      </c>
      <c r="H7065" t="n">
        <v>0</v>
      </c>
      <c r="I7065" t="n">
        <v>0</v>
      </c>
      <c r="J7065" t="n">
        <v>0</v>
      </c>
      <c r="K7065" t="n">
        <v>0</v>
      </c>
      <c r="L7065" t="n">
        <v>0</v>
      </c>
      <c r="M7065" t="n">
        <v>0</v>
      </c>
      <c r="N7065" t="n">
        <v>0</v>
      </c>
      <c r="O7065" t="n">
        <v>0</v>
      </c>
      <c r="P7065" t="n">
        <v>0</v>
      </c>
      <c r="Q7065" t="n">
        <v>0</v>
      </c>
      <c r="R7065" s="2" t="inlineStr"/>
    </row>
    <row r="7066" ht="15" customHeight="1">
      <c r="A7066" t="inlineStr">
        <is>
          <t>A 14604-2025</t>
        </is>
      </c>
      <c r="B7066" s="1" t="n">
        <v>45742</v>
      </c>
      <c r="C7066" s="1" t="n">
        <v>46046</v>
      </c>
      <c r="D7066" t="inlineStr">
        <is>
          <t>NORRBOTTENS LÄN</t>
        </is>
      </c>
      <c r="E7066" t="inlineStr">
        <is>
          <t>GÄLLIVARE</t>
        </is>
      </c>
      <c r="G7066" t="n">
        <v>8.1</v>
      </c>
      <c r="H7066" t="n">
        <v>0</v>
      </c>
      <c r="I7066" t="n">
        <v>0</v>
      </c>
      <c r="J7066" t="n">
        <v>0</v>
      </c>
      <c r="K7066" t="n">
        <v>0</v>
      </c>
      <c r="L7066" t="n">
        <v>0</v>
      </c>
      <c r="M7066" t="n">
        <v>0</v>
      </c>
      <c r="N7066" t="n">
        <v>0</v>
      </c>
      <c r="O7066" t="n">
        <v>0</v>
      </c>
      <c r="P7066" t="n">
        <v>0</v>
      </c>
      <c r="Q7066" t="n">
        <v>0</v>
      </c>
      <c r="R7066" s="2" t="inlineStr"/>
    </row>
    <row r="7067" ht="15" customHeight="1">
      <c r="A7067" t="inlineStr">
        <is>
          <t>A 63523-2025</t>
        </is>
      </c>
      <c r="B7067" s="1" t="n">
        <v>46013.53849537037</v>
      </c>
      <c r="C7067" s="1" t="n">
        <v>46046</v>
      </c>
      <c r="D7067" t="inlineStr">
        <is>
          <t>NORRBOTTENS LÄN</t>
        </is>
      </c>
      <c r="E7067" t="inlineStr">
        <is>
          <t>GÄLLIVARE</t>
        </is>
      </c>
      <c r="G7067" t="n">
        <v>13.7</v>
      </c>
      <c r="H7067" t="n">
        <v>0</v>
      </c>
      <c r="I7067" t="n">
        <v>0</v>
      </c>
      <c r="J7067" t="n">
        <v>0</v>
      </c>
      <c r="K7067" t="n">
        <v>0</v>
      </c>
      <c r="L7067" t="n">
        <v>0</v>
      </c>
      <c r="M7067" t="n">
        <v>0</v>
      </c>
      <c r="N7067" t="n">
        <v>0</v>
      </c>
      <c r="O7067" t="n">
        <v>0</v>
      </c>
      <c r="P7067" t="n">
        <v>0</v>
      </c>
      <c r="Q7067" t="n">
        <v>0</v>
      </c>
      <c r="R7067" s="2" t="inlineStr"/>
    </row>
    <row r="7068" ht="15" customHeight="1">
      <c r="A7068" t="inlineStr">
        <is>
          <t>A 11782-2025</t>
        </is>
      </c>
      <c r="B7068" s="1" t="n">
        <v>45727</v>
      </c>
      <c r="C7068" s="1" t="n">
        <v>46046</v>
      </c>
      <c r="D7068" t="inlineStr">
        <is>
          <t>NORRBOTTENS LÄN</t>
        </is>
      </c>
      <c r="E7068" t="inlineStr">
        <is>
          <t>GÄLLIVARE</t>
        </is>
      </c>
      <c r="F7068" t="inlineStr">
        <is>
          <t>SCA</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13387-2025</t>
        </is>
      </c>
      <c r="B7069" s="1" t="n">
        <v>45735</v>
      </c>
      <c r="C7069" s="1" t="n">
        <v>46046</v>
      </c>
      <c r="D7069" t="inlineStr">
        <is>
          <t>NORRBOTTENS LÄN</t>
        </is>
      </c>
      <c r="E7069" t="inlineStr">
        <is>
          <t>PITEÅ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13864-2025</t>
        </is>
      </c>
      <c r="B7070" s="1" t="n">
        <v>45737</v>
      </c>
      <c r="C7070" s="1" t="n">
        <v>46046</v>
      </c>
      <c r="D7070" t="inlineStr">
        <is>
          <t>NORRBOTTENS LÄN</t>
        </is>
      </c>
      <c r="E7070" t="inlineStr">
        <is>
          <t>JOKKMOKK</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8214-2025</t>
        </is>
      </c>
      <c r="B7071" s="1" t="n">
        <v>45708</v>
      </c>
      <c r="C7071" s="1" t="n">
        <v>46046</v>
      </c>
      <c r="D7071" t="inlineStr">
        <is>
          <t>NORRBOTTENS LÄN</t>
        </is>
      </c>
      <c r="E7071" t="inlineStr">
        <is>
          <t>LULEÅ</t>
        </is>
      </c>
      <c r="G7071" t="n">
        <v>9.9</v>
      </c>
      <c r="H7071" t="n">
        <v>0</v>
      </c>
      <c r="I7071" t="n">
        <v>0</v>
      </c>
      <c r="J7071" t="n">
        <v>0</v>
      </c>
      <c r="K7071" t="n">
        <v>0</v>
      </c>
      <c r="L7071" t="n">
        <v>0</v>
      </c>
      <c r="M7071" t="n">
        <v>0</v>
      </c>
      <c r="N7071" t="n">
        <v>0</v>
      </c>
      <c r="O7071" t="n">
        <v>0</v>
      </c>
      <c r="P7071" t="n">
        <v>0</v>
      </c>
      <c r="Q7071" t="n">
        <v>0</v>
      </c>
      <c r="R7071" s="2" t="inlineStr"/>
    </row>
    <row r="7072" ht="15" customHeight="1">
      <c r="A7072" t="inlineStr">
        <is>
          <t>A 57230-2025</t>
        </is>
      </c>
      <c r="B7072" s="1" t="n">
        <v>45979.61831018519</v>
      </c>
      <c r="C7072" s="1" t="n">
        <v>46046</v>
      </c>
      <c r="D7072" t="inlineStr">
        <is>
          <t>NORRBOTTENS LÄN</t>
        </is>
      </c>
      <c r="E7072" t="inlineStr">
        <is>
          <t>LULEÅ</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64021-2025</t>
        </is>
      </c>
      <c r="B7073" s="1" t="n">
        <v>46021.46907407408</v>
      </c>
      <c r="C7073" s="1" t="n">
        <v>46046</v>
      </c>
      <c r="D7073" t="inlineStr">
        <is>
          <t>NORRBOTTENS LÄN</t>
        </is>
      </c>
      <c r="E7073" t="inlineStr">
        <is>
          <t>LULEÅ</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64031-2025</t>
        </is>
      </c>
      <c r="B7074" s="1" t="n">
        <v>46021.48987268518</v>
      </c>
      <c r="C7074" s="1" t="n">
        <v>46046</v>
      </c>
      <c r="D7074" t="inlineStr">
        <is>
          <t>NORRBOTTENS LÄN</t>
        </is>
      </c>
      <c r="E7074" t="inlineStr">
        <is>
          <t>KALIX</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64040-2025</t>
        </is>
      </c>
      <c r="B7075" s="1" t="n">
        <v>46021.54148148148</v>
      </c>
      <c r="C7075" s="1" t="n">
        <v>46046</v>
      </c>
      <c r="D7075" t="inlineStr">
        <is>
          <t>NORRBOTTENS LÄN</t>
        </is>
      </c>
      <c r="E7075" t="inlineStr">
        <is>
          <t>PAJALA</t>
        </is>
      </c>
      <c r="G7075" t="n">
        <v>6.7</v>
      </c>
      <c r="H7075" t="n">
        <v>0</v>
      </c>
      <c r="I7075" t="n">
        <v>0</v>
      </c>
      <c r="J7075" t="n">
        <v>0</v>
      </c>
      <c r="K7075" t="n">
        <v>0</v>
      </c>
      <c r="L7075" t="n">
        <v>0</v>
      </c>
      <c r="M7075" t="n">
        <v>0</v>
      </c>
      <c r="N7075" t="n">
        <v>0</v>
      </c>
      <c r="O7075" t="n">
        <v>0</v>
      </c>
      <c r="P7075" t="n">
        <v>0</v>
      </c>
      <c r="Q7075" t="n">
        <v>0</v>
      </c>
      <c r="R7075" s="2" t="inlineStr"/>
    </row>
    <row r="7076" ht="15" customHeight="1">
      <c r="A7076" t="inlineStr">
        <is>
          <t>A 63204-2025</t>
        </is>
      </c>
      <c r="B7076" s="1" t="n">
        <v>46010.46950231482</v>
      </c>
      <c r="C7076" s="1" t="n">
        <v>46046</v>
      </c>
      <c r="D7076" t="inlineStr">
        <is>
          <t>NORRBOTTENS LÄN</t>
        </is>
      </c>
      <c r="E7076" t="inlineStr">
        <is>
          <t>LULEÅ</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57162-2025</t>
        </is>
      </c>
      <c r="B7077" s="1" t="n">
        <v>45978</v>
      </c>
      <c r="C7077" s="1" t="n">
        <v>46046</v>
      </c>
      <c r="D7077" t="inlineStr">
        <is>
          <t>NORRBOTTENS LÄN</t>
        </is>
      </c>
      <c r="E7077" t="inlineStr">
        <is>
          <t>PITEÅ</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56853-2025</t>
        </is>
      </c>
      <c r="B7078" s="1" t="n">
        <v>45978.49459490741</v>
      </c>
      <c r="C7078" s="1" t="n">
        <v>46046</v>
      </c>
      <c r="D7078" t="inlineStr">
        <is>
          <t>NORRBOTTENS LÄN</t>
        </is>
      </c>
      <c r="E7078" t="inlineStr">
        <is>
          <t>LULEÅ</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56867-2025</t>
        </is>
      </c>
      <c r="B7079" s="1" t="n">
        <v>45978.52048611111</v>
      </c>
      <c r="C7079" s="1" t="n">
        <v>46046</v>
      </c>
      <c r="D7079" t="inlineStr">
        <is>
          <t>NORRBOTTENS LÄN</t>
        </is>
      </c>
      <c r="E7079" t="inlineStr">
        <is>
          <t>BODEN</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63943-2025</t>
        </is>
      </c>
      <c r="B7080" s="1" t="n">
        <v>46010</v>
      </c>
      <c r="C7080" s="1" t="n">
        <v>46046</v>
      </c>
      <c r="D7080" t="inlineStr">
        <is>
          <t>NORRBOTTENS LÄN</t>
        </is>
      </c>
      <c r="E7080" t="inlineStr">
        <is>
          <t>LULEÅ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63942-2025</t>
        </is>
      </c>
      <c r="B7081" s="1" t="n">
        <v>46010</v>
      </c>
      <c r="C7081" s="1" t="n">
        <v>46046</v>
      </c>
      <c r="D7081" t="inlineStr">
        <is>
          <t>NORRBOTTENS LÄN</t>
        </is>
      </c>
      <c r="E7081" t="inlineStr">
        <is>
          <t>LULEÅ</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64062-2025</t>
        </is>
      </c>
      <c r="B7082" s="1" t="n">
        <v>46010</v>
      </c>
      <c r="C7082" s="1" t="n">
        <v>46046</v>
      </c>
      <c r="D7082" t="inlineStr">
        <is>
          <t>NORRBOTTENS LÄN</t>
        </is>
      </c>
      <c r="E7082" t="inlineStr">
        <is>
          <t>LULEÅ</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56800-2025</t>
        </is>
      </c>
      <c r="B7083" s="1" t="n">
        <v>45978</v>
      </c>
      <c r="C7083" s="1" t="n">
        <v>46046</v>
      </c>
      <c r="D7083" t="inlineStr">
        <is>
          <t>NORRBOTTENS LÄN</t>
        </is>
      </c>
      <c r="E7083" t="inlineStr">
        <is>
          <t>PITEÅ</t>
        </is>
      </c>
      <c r="F7083" t="inlineStr">
        <is>
          <t>Sveaskog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63566-2025</t>
        </is>
      </c>
      <c r="B7084" s="1" t="n">
        <v>46013.63587962963</v>
      </c>
      <c r="C7084" s="1" t="n">
        <v>46046</v>
      </c>
      <c r="D7084" t="inlineStr">
        <is>
          <t>NORRBOTTENS LÄN</t>
        </is>
      </c>
      <c r="E7084" t="inlineStr">
        <is>
          <t>PITEÅ</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37842-2025</t>
        </is>
      </c>
      <c r="B7085" s="1" t="n">
        <v>45881</v>
      </c>
      <c r="C7085" s="1" t="n">
        <v>46046</v>
      </c>
      <c r="D7085" t="inlineStr">
        <is>
          <t>NORRBOTTENS LÄN</t>
        </is>
      </c>
      <c r="E7085" t="inlineStr">
        <is>
          <t>PITEÅ</t>
        </is>
      </c>
      <c r="G7085" t="n">
        <v>13.7</v>
      </c>
      <c r="H7085" t="n">
        <v>0</v>
      </c>
      <c r="I7085" t="n">
        <v>0</v>
      </c>
      <c r="J7085" t="n">
        <v>0</v>
      </c>
      <c r="K7085" t="n">
        <v>0</v>
      </c>
      <c r="L7085" t="n">
        <v>0</v>
      </c>
      <c r="M7085" t="n">
        <v>0</v>
      </c>
      <c r="N7085" t="n">
        <v>0</v>
      </c>
      <c r="O7085" t="n">
        <v>0</v>
      </c>
      <c r="P7085" t="n">
        <v>0</v>
      </c>
      <c r="Q7085" t="n">
        <v>0</v>
      </c>
      <c r="R7085" s="2" t="inlineStr"/>
    </row>
    <row r="7086" ht="15" customHeight="1">
      <c r="A7086" t="inlineStr">
        <is>
          <t>A 10611-2025</t>
        </is>
      </c>
      <c r="B7086" s="1" t="n">
        <v>45721</v>
      </c>
      <c r="C7086" s="1" t="n">
        <v>46046</v>
      </c>
      <c r="D7086" t="inlineStr">
        <is>
          <t>NORRBOTTENS LÄN</t>
        </is>
      </c>
      <c r="E7086" t="inlineStr">
        <is>
          <t>LULEÅ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63873-2025</t>
        </is>
      </c>
      <c r="B7087" s="1" t="n">
        <v>46020.52609953703</v>
      </c>
      <c r="C7087" s="1" t="n">
        <v>46046</v>
      </c>
      <c r="D7087" t="inlineStr">
        <is>
          <t>NORRBOTTENS LÄN</t>
        </is>
      </c>
      <c r="E7087" t="inlineStr">
        <is>
          <t>PAJALA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63210-2025</t>
        </is>
      </c>
      <c r="B7088" s="1" t="n">
        <v>46010.4771875</v>
      </c>
      <c r="C7088" s="1" t="n">
        <v>46046</v>
      </c>
      <c r="D7088" t="inlineStr">
        <is>
          <t>NORRBOTTENS LÄN</t>
        </is>
      </c>
      <c r="E7088" t="inlineStr">
        <is>
          <t>LULEÅ</t>
        </is>
      </c>
      <c r="G7088" t="n">
        <v>10</v>
      </c>
      <c r="H7088" t="n">
        <v>0</v>
      </c>
      <c r="I7088" t="n">
        <v>0</v>
      </c>
      <c r="J7088" t="n">
        <v>0</v>
      </c>
      <c r="K7088" t="n">
        <v>0</v>
      </c>
      <c r="L7088" t="n">
        <v>0</v>
      </c>
      <c r="M7088" t="n">
        <v>0</v>
      </c>
      <c r="N7088" t="n">
        <v>0</v>
      </c>
      <c r="O7088" t="n">
        <v>0</v>
      </c>
      <c r="P7088" t="n">
        <v>0</v>
      </c>
      <c r="Q7088" t="n">
        <v>0</v>
      </c>
      <c r="R7088" s="2" t="inlineStr"/>
    </row>
    <row r="7089" ht="15" customHeight="1">
      <c r="A7089" t="inlineStr">
        <is>
          <t>A 63766-2025</t>
        </is>
      </c>
      <c r="B7089" s="1" t="n">
        <v>46018.78116898148</v>
      </c>
      <c r="C7089" s="1" t="n">
        <v>46046</v>
      </c>
      <c r="D7089" t="inlineStr">
        <is>
          <t>NORRBOTTENS LÄN</t>
        </is>
      </c>
      <c r="E7089" t="inlineStr">
        <is>
          <t>LULEÅ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57067-2025</t>
        </is>
      </c>
      <c r="B7090" s="1" t="n">
        <v>45979</v>
      </c>
      <c r="C7090" s="1" t="n">
        <v>46046</v>
      </c>
      <c r="D7090" t="inlineStr">
        <is>
          <t>NORRBOTTENS LÄN</t>
        </is>
      </c>
      <c r="E7090" t="inlineStr">
        <is>
          <t>ÄLVSBYN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64029-2025</t>
        </is>
      </c>
      <c r="B7091" s="1" t="n">
        <v>46021.4858912037</v>
      </c>
      <c r="C7091" s="1" t="n">
        <v>46046</v>
      </c>
      <c r="D7091" t="inlineStr">
        <is>
          <t>NORRBOTTENS LÄN</t>
        </is>
      </c>
      <c r="E7091" t="inlineStr">
        <is>
          <t>KALIX</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57076-2025</t>
        </is>
      </c>
      <c r="B7092" s="1" t="n">
        <v>45979.40319444444</v>
      </c>
      <c r="C7092" s="1" t="n">
        <v>46046</v>
      </c>
      <c r="D7092" t="inlineStr">
        <is>
          <t>NORRBOTTENS LÄN</t>
        </is>
      </c>
      <c r="E7092" t="inlineStr">
        <is>
          <t>LULEÅ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63867-2025</t>
        </is>
      </c>
      <c r="B7093" s="1" t="n">
        <v>46020.50987268519</v>
      </c>
      <c r="C7093" s="1" t="n">
        <v>46046</v>
      </c>
      <c r="D7093" t="inlineStr">
        <is>
          <t>NORRBOTTENS LÄN</t>
        </is>
      </c>
      <c r="E7093" t="inlineStr">
        <is>
          <t>PAJALA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27776-2025</t>
        </is>
      </c>
      <c r="B7094" s="1" t="n">
        <v>45816</v>
      </c>
      <c r="C7094" s="1" t="n">
        <v>46046</v>
      </c>
      <c r="D7094" t="inlineStr">
        <is>
          <t>NORRBOTTENS LÄN</t>
        </is>
      </c>
      <c r="E7094" t="inlineStr">
        <is>
          <t>KALIX</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63941-2025</t>
        </is>
      </c>
      <c r="B7095" s="1" t="n">
        <v>46010</v>
      </c>
      <c r="C7095" s="1" t="n">
        <v>46046</v>
      </c>
      <c r="D7095" t="inlineStr">
        <is>
          <t>NORRBOTTENS LÄN</t>
        </is>
      </c>
      <c r="E7095" t="inlineStr">
        <is>
          <t>LULEÅ</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63368-2025</t>
        </is>
      </c>
      <c r="B7096" s="1" t="n">
        <v>46009</v>
      </c>
      <c r="C7096" s="1" t="n">
        <v>46046</v>
      </c>
      <c r="D7096" t="inlineStr">
        <is>
          <t>NORRBOTTENS LÄN</t>
        </is>
      </c>
      <c r="E7096" t="inlineStr">
        <is>
          <t>HAPARANDA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63369-2025</t>
        </is>
      </c>
      <c r="B7097" s="1" t="n">
        <v>46009</v>
      </c>
      <c r="C7097" s="1" t="n">
        <v>46046</v>
      </c>
      <c r="D7097" t="inlineStr">
        <is>
          <t>NORRBOTTENS LÄN</t>
        </is>
      </c>
      <c r="E7097" t="inlineStr">
        <is>
          <t>HAPARANDA</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63370-2025</t>
        </is>
      </c>
      <c r="B7098" s="1" t="n">
        <v>46009</v>
      </c>
      <c r="C7098" s="1" t="n">
        <v>46046</v>
      </c>
      <c r="D7098" t="inlineStr">
        <is>
          <t>NORRBOTTENS LÄN</t>
        </is>
      </c>
      <c r="E7098" t="inlineStr">
        <is>
          <t>HAPARANDA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63398-2025</t>
        </is>
      </c>
      <c r="B7099" s="1" t="n">
        <v>46012.57534722222</v>
      </c>
      <c r="C7099" s="1" t="n">
        <v>46046</v>
      </c>
      <c r="D7099" t="inlineStr">
        <is>
          <t>NORRBOTTENS LÄN</t>
        </is>
      </c>
      <c r="E7099" t="inlineStr">
        <is>
          <t>BODEN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10417-2025</t>
        </is>
      </c>
      <c r="B7100" s="1" t="n">
        <v>45720</v>
      </c>
      <c r="C7100" s="1" t="n">
        <v>46046</v>
      </c>
      <c r="D7100" t="inlineStr">
        <is>
          <t>NORRBOTTENS LÄN</t>
        </is>
      </c>
      <c r="E7100" t="inlineStr">
        <is>
          <t>PITEÅ</t>
        </is>
      </c>
      <c r="G7100" t="n">
        <v>21.9</v>
      </c>
      <c r="H7100" t="n">
        <v>0</v>
      </c>
      <c r="I7100" t="n">
        <v>0</v>
      </c>
      <c r="J7100" t="n">
        <v>0</v>
      </c>
      <c r="K7100" t="n">
        <v>0</v>
      </c>
      <c r="L7100" t="n">
        <v>0</v>
      </c>
      <c r="M7100" t="n">
        <v>0</v>
      </c>
      <c r="N7100" t="n">
        <v>0</v>
      </c>
      <c r="O7100" t="n">
        <v>0</v>
      </c>
      <c r="P7100" t="n">
        <v>0</v>
      </c>
      <c r="Q7100" t="n">
        <v>0</v>
      </c>
      <c r="R7100" s="2" t="inlineStr"/>
    </row>
    <row r="7101" ht="15" customHeight="1">
      <c r="A7101" t="inlineStr">
        <is>
          <t>A 64047-2025</t>
        </is>
      </c>
      <c r="B7101" s="1" t="n">
        <v>46021.57800925926</v>
      </c>
      <c r="C7101" s="1" t="n">
        <v>46046</v>
      </c>
      <c r="D7101" t="inlineStr">
        <is>
          <t>NORRBOTTENS LÄN</t>
        </is>
      </c>
      <c r="E7101" t="inlineStr">
        <is>
          <t>PAJALA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57142-2025</t>
        </is>
      </c>
      <c r="B7102" s="1" t="n">
        <v>45978</v>
      </c>
      <c r="C7102" s="1" t="n">
        <v>46046</v>
      </c>
      <c r="D7102" t="inlineStr">
        <is>
          <t>NORRBOTTENS LÄN</t>
        </is>
      </c>
      <c r="E7102" t="inlineStr">
        <is>
          <t>LULEÅ</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57256-2025</t>
        </is>
      </c>
      <c r="B7103" s="1" t="n">
        <v>45979.65127314815</v>
      </c>
      <c r="C7103" s="1" t="n">
        <v>46046</v>
      </c>
      <c r="D7103" t="inlineStr">
        <is>
          <t>NORRBOTTENS LÄN</t>
        </is>
      </c>
      <c r="E7103" t="inlineStr">
        <is>
          <t>JOKKMOKK</t>
        </is>
      </c>
      <c r="F7103" t="inlineStr">
        <is>
          <t>Allmännings- och besparingsskogar</t>
        </is>
      </c>
      <c r="G7103" t="n">
        <v>12.3</v>
      </c>
      <c r="H7103" t="n">
        <v>0</v>
      </c>
      <c r="I7103" t="n">
        <v>0</v>
      </c>
      <c r="J7103" t="n">
        <v>0</v>
      </c>
      <c r="K7103" t="n">
        <v>0</v>
      </c>
      <c r="L7103" t="n">
        <v>0</v>
      </c>
      <c r="M7103" t="n">
        <v>0</v>
      </c>
      <c r="N7103" t="n">
        <v>0</v>
      </c>
      <c r="O7103" t="n">
        <v>0</v>
      </c>
      <c r="P7103" t="n">
        <v>0</v>
      </c>
      <c r="Q7103" t="n">
        <v>0</v>
      </c>
      <c r="R7103" s="2" t="inlineStr"/>
    </row>
    <row r="7104" ht="15" customHeight="1">
      <c r="A7104" t="inlineStr">
        <is>
          <t>A 56952-2025</t>
        </is>
      </c>
      <c r="B7104" s="1" t="n">
        <v>45978.65111111111</v>
      </c>
      <c r="C7104" s="1" t="n">
        <v>46046</v>
      </c>
      <c r="D7104" t="inlineStr">
        <is>
          <t>NORRBOTTENS LÄN</t>
        </is>
      </c>
      <c r="E7104" t="inlineStr">
        <is>
          <t>ÖVERTORNEÅ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63366-2025</t>
        </is>
      </c>
      <c r="B7105" s="1" t="n">
        <v>46009</v>
      </c>
      <c r="C7105" s="1" t="n">
        <v>46046</v>
      </c>
      <c r="D7105" t="inlineStr">
        <is>
          <t>NORRBOTTENS LÄN</t>
        </is>
      </c>
      <c r="E7105" t="inlineStr">
        <is>
          <t>HAPARANDA</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63372-2025</t>
        </is>
      </c>
      <c r="B7106" s="1" t="n">
        <v>46009</v>
      </c>
      <c r="C7106" s="1" t="n">
        <v>46046</v>
      </c>
      <c r="D7106" t="inlineStr">
        <is>
          <t>NORRBOTTENS LÄN</t>
        </is>
      </c>
      <c r="E7106" t="inlineStr">
        <is>
          <t>HAPARANDA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63451-2025</t>
        </is>
      </c>
      <c r="B7107" s="1" t="n">
        <v>46013</v>
      </c>
      <c r="C7107" s="1" t="n">
        <v>46046</v>
      </c>
      <c r="D7107" t="inlineStr">
        <is>
          <t>NORRBOTTENS LÄN</t>
        </is>
      </c>
      <c r="E7107" t="inlineStr">
        <is>
          <t>ÖVERKALIX</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63465-2025</t>
        </is>
      </c>
      <c r="B7108" s="1" t="n">
        <v>46013.42859953704</v>
      </c>
      <c r="C7108" s="1" t="n">
        <v>46046</v>
      </c>
      <c r="D7108" t="inlineStr">
        <is>
          <t>NORRBOTTENS LÄN</t>
        </is>
      </c>
      <c r="E7108" t="inlineStr">
        <is>
          <t>ÖVERTORNEÅ</t>
        </is>
      </c>
      <c r="G7108" t="n">
        <v>12.7</v>
      </c>
      <c r="H7108" t="n">
        <v>0</v>
      </c>
      <c r="I7108" t="n">
        <v>0</v>
      </c>
      <c r="J7108" t="n">
        <v>0</v>
      </c>
      <c r="K7108" t="n">
        <v>0</v>
      </c>
      <c r="L7108" t="n">
        <v>0</v>
      </c>
      <c r="M7108" t="n">
        <v>0</v>
      </c>
      <c r="N7108" t="n">
        <v>0</v>
      </c>
      <c r="O7108" t="n">
        <v>0</v>
      </c>
      <c r="P7108" t="n">
        <v>0</v>
      </c>
      <c r="Q7108" t="n">
        <v>0</v>
      </c>
      <c r="R7108" s="2" t="inlineStr"/>
    </row>
    <row r="7109" ht="15" customHeight="1">
      <c r="A7109" t="inlineStr">
        <is>
          <t>A 10727-2025</t>
        </is>
      </c>
      <c r="B7109" s="1" t="n">
        <v>45722</v>
      </c>
      <c r="C7109" s="1" t="n">
        <v>46046</v>
      </c>
      <c r="D7109" t="inlineStr">
        <is>
          <t>NORRBOTTENS LÄN</t>
        </is>
      </c>
      <c r="E7109" t="inlineStr">
        <is>
          <t>BODEN</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57164-2025</t>
        </is>
      </c>
      <c r="B7110" s="1" t="n">
        <v>45978</v>
      </c>
      <c r="C7110" s="1" t="n">
        <v>46046</v>
      </c>
      <c r="D7110" t="inlineStr">
        <is>
          <t>NORRBOTTENS LÄN</t>
        </is>
      </c>
      <c r="E7110" t="inlineStr">
        <is>
          <t>ARVIDSJAUR</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56828-2025</t>
        </is>
      </c>
      <c r="B7111" s="1" t="n">
        <v>45978.46653935185</v>
      </c>
      <c r="C7111" s="1" t="n">
        <v>46046</v>
      </c>
      <c r="D7111" t="inlineStr">
        <is>
          <t>NORRBOTTENS LÄN</t>
        </is>
      </c>
      <c r="E7111" t="inlineStr">
        <is>
          <t>PITEÅ</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56947-2025</t>
        </is>
      </c>
      <c r="B7112" s="1" t="n">
        <v>45978.64319444444</v>
      </c>
      <c r="C7112" s="1" t="n">
        <v>46046</v>
      </c>
      <c r="D7112" t="inlineStr">
        <is>
          <t>NORRBOTTENS LÄN</t>
        </is>
      </c>
      <c r="E7112" t="inlineStr">
        <is>
          <t>BODEN</t>
        </is>
      </c>
      <c r="F7112" t="inlineStr">
        <is>
          <t>Naturvårdsverket</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63891-2025</t>
        </is>
      </c>
      <c r="B7113" s="1" t="n">
        <v>46020.64043981482</v>
      </c>
      <c r="C7113" s="1" t="n">
        <v>46046</v>
      </c>
      <c r="D7113" t="inlineStr">
        <is>
          <t>NORRBOTTENS LÄN</t>
        </is>
      </c>
      <c r="E7113" t="inlineStr">
        <is>
          <t>BODEN</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33080-2025</t>
        </is>
      </c>
      <c r="B7114" s="1" t="n">
        <v>45840</v>
      </c>
      <c r="C7114" s="1" t="n">
        <v>46046</v>
      </c>
      <c r="D7114" t="inlineStr">
        <is>
          <t>NORRBOTTENS LÄN</t>
        </is>
      </c>
      <c r="E7114" t="inlineStr">
        <is>
          <t>KALIX</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56860-2025</t>
        </is>
      </c>
      <c r="B7115" s="1" t="n">
        <v>45978.50525462963</v>
      </c>
      <c r="C7115" s="1" t="n">
        <v>46046</v>
      </c>
      <c r="D7115" t="inlineStr">
        <is>
          <t>NORRBOTTENS LÄN</t>
        </is>
      </c>
      <c r="E7115" t="inlineStr">
        <is>
          <t>LULEÅ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63333-2025</t>
        </is>
      </c>
      <c r="B7116" s="1" t="n">
        <v>46009</v>
      </c>
      <c r="C7116" s="1" t="n">
        <v>46046</v>
      </c>
      <c r="D7116" t="inlineStr">
        <is>
          <t>NORRBOTTENS LÄN</t>
        </is>
      </c>
      <c r="E7116" t="inlineStr">
        <is>
          <t>BODEN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57167-2025</t>
        </is>
      </c>
      <c r="B7117" s="1" t="n">
        <v>45979.54135416666</v>
      </c>
      <c r="C7117" s="1" t="n">
        <v>46046</v>
      </c>
      <c r="D7117" t="inlineStr">
        <is>
          <t>NORRBOTTENS LÄN</t>
        </is>
      </c>
      <c r="E7117" t="inlineStr">
        <is>
          <t>JOKKMOKK</t>
        </is>
      </c>
      <c r="F7117" t="inlineStr">
        <is>
          <t>Allmännings- och besparingsskogar</t>
        </is>
      </c>
      <c r="G7117" t="n">
        <v>12.8</v>
      </c>
      <c r="H7117" t="n">
        <v>0</v>
      </c>
      <c r="I7117" t="n">
        <v>0</v>
      </c>
      <c r="J7117" t="n">
        <v>0</v>
      </c>
      <c r="K7117" t="n">
        <v>0</v>
      </c>
      <c r="L7117" t="n">
        <v>0</v>
      </c>
      <c r="M7117" t="n">
        <v>0</v>
      </c>
      <c r="N7117" t="n">
        <v>0</v>
      </c>
      <c r="O7117" t="n">
        <v>0</v>
      </c>
      <c r="P7117" t="n">
        <v>0</v>
      </c>
      <c r="Q7117" t="n">
        <v>0</v>
      </c>
      <c r="R7117" s="2" t="inlineStr"/>
    </row>
    <row r="7118" ht="15" customHeight="1">
      <c r="A7118" t="inlineStr">
        <is>
          <t>A 13234-2025</t>
        </is>
      </c>
      <c r="B7118" s="1" t="n">
        <v>45735</v>
      </c>
      <c r="C7118" s="1" t="n">
        <v>46046</v>
      </c>
      <c r="D7118" t="inlineStr">
        <is>
          <t>NORRBOTTENS LÄN</t>
        </is>
      </c>
      <c r="E7118" t="inlineStr">
        <is>
          <t>KALIX</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14660-2025</t>
        </is>
      </c>
      <c r="B7119" s="1" t="n">
        <v>45742</v>
      </c>
      <c r="C7119" s="1" t="n">
        <v>46046</v>
      </c>
      <c r="D7119" t="inlineStr">
        <is>
          <t>NORRBOTTENS LÄN</t>
        </is>
      </c>
      <c r="E7119" t="inlineStr">
        <is>
          <t>GÄLLIVARE</t>
        </is>
      </c>
      <c r="G7119" t="n">
        <v>10.3</v>
      </c>
      <c r="H7119" t="n">
        <v>0</v>
      </c>
      <c r="I7119" t="n">
        <v>0</v>
      </c>
      <c r="J7119" t="n">
        <v>0</v>
      </c>
      <c r="K7119" t="n">
        <v>0</v>
      </c>
      <c r="L7119" t="n">
        <v>0</v>
      </c>
      <c r="M7119" t="n">
        <v>0</v>
      </c>
      <c r="N7119" t="n">
        <v>0</v>
      </c>
      <c r="O7119" t="n">
        <v>0</v>
      </c>
      <c r="P7119" t="n">
        <v>0</v>
      </c>
      <c r="Q7119" t="n">
        <v>0</v>
      </c>
      <c r="R7119" s="2" t="inlineStr"/>
    </row>
    <row r="7120" ht="15" customHeight="1">
      <c r="A7120" t="inlineStr">
        <is>
          <t>A 56777-2025</t>
        </is>
      </c>
      <c r="B7120" s="1" t="n">
        <v>45978</v>
      </c>
      <c r="C7120" s="1" t="n">
        <v>46046</v>
      </c>
      <c r="D7120" t="inlineStr">
        <is>
          <t>NORRBOTTENS LÄN</t>
        </is>
      </c>
      <c r="E7120" t="inlineStr">
        <is>
          <t>BODEN</t>
        </is>
      </c>
      <c r="G7120" t="n">
        <v>42.2</v>
      </c>
      <c r="H7120" t="n">
        <v>0</v>
      </c>
      <c r="I7120" t="n">
        <v>0</v>
      </c>
      <c r="J7120" t="n">
        <v>0</v>
      </c>
      <c r="K7120" t="n">
        <v>0</v>
      </c>
      <c r="L7120" t="n">
        <v>0</v>
      </c>
      <c r="M7120" t="n">
        <v>0</v>
      </c>
      <c r="N7120" t="n">
        <v>0</v>
      </c>
      <c r="O7120" t="n">
        <v>0</v>
      </c>
      <c r="P7120" t="n">
        <v>0</v>
      </c>
      <c r="Q7120" t="n">
        <v>0</v>
      </c>
      <c r="R7120" s="2" t="inlineStr"/>
    </row>
    <row r="7121" ht="15" customHeight="1">
      <c r="A7121" t="inlineStr">
        <is>
          <t>A 63940-2025</t>
        </is>
      </c>
      <c r="B7121" s="1" t="n">
        <v>46010</v>
      </c>
      <c r="C7121" s="1" t="n">
        <v>46046</v>
      </c>
      <c r="D7121" t="inlineStr">
        <is>
          <t>NORRBOTTENS LÄN</t>
        </is>
      </c>
      <c r="E7121" t="inlineStr">
        <is>
          <t>LULEÅ</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57292-2025</t>
        </is>
      </c>
      <c r="B7122" s="1" t="n">
        <v>45979</v>
      </c>
      <c r="C7122" s="1" t="n">
        <v>46046</v>
      </c>
      <c r="D7122" t="inlineStr">
        <is>
          <t>NORRBOTTENS LÄN</t>
        </is>
      </c>
      <c r="E7122" t="inlineStr">
        <is>
          <t>KALIX</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57043-2025</t>
        </is>
      </c>
      <c r="B7123" s="1" t="n">
        <v>45979.34614583333</v>
      </c>
      <c r="C7123" s="1" t="n">
        <v>46046</v>
      </c>
      <c r="D7123" t="inlineStr">
        <is>
          <t>NORRBOTTENS LÄN</t>
        </is>
      </c>
      <c r="E7123" t="inlineStr">
        <is>
          <t>ÄLVSBYN</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63242-2025</t>
        </is>
      </c>
      <c r="B7124" s="1" t="n">
        <v>46010.53060185185</v>
      </c>
      <c r="C7124" s="1" t="n">
        <v>46046</v>
      </c>
      <c r="D7124" t="inlineStr">
        <is>
          <t>NORRBOTTENS LÄN</t>
        </is>
      </c>
      <c r="E7124" t="inlineStr">
        <is>
          <t>ÖVERKALIX</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63725-2025</t>
        </is>
      </c>
      <c r="B7125" s="1" t="n">
        <v>46010</v>
      </c>
      <c r="C7125" s="1" t="n">
        <v>46046</v>
      </c>
      <c r="D7125" t="inlineStr">
        <is>
          <t>NORRBOTTENS LÄN</t>
        </is>
      </c>
      <c r="E7125" t="inlineStr">
        <is>
          <t>LULEÅ</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63208-2025</t>
        </is>
      </c>
      <c r="B7126" s="1" t="n">
        <v>46010.47444444444</v>
      </c>
      <c r="C7126" s="1" t="n">
        <v>46046</v>
      </c>
      <c r="D7126" t="inlineStr">
        <is>
          <t>NORRBOTTENS LÄN</t>
        </is>
      </c>
      <c r="E7126" t="inlineStr">
        <is>
          <t>LULEÅ</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56852-2025</t>
        </is>
      </c>
      <c r="B7127" s="1" t="n">
        <v>45978</v>
      </c>
      <c r="C7127" s="1" t="n">
        <v>46046</v>
      </c>
      <c r="D7127" t="inlineStr">
        <is>
          <t>NORRBOTTENS LÄN</t>
        </is>
      </c>
      <c r="E7127" t="inlineStr">
        <is>
          <t>LULEÅ</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63402-2025</t>
        </is>
      </c>
      <c r="B7128" s="1" t="n">
        <v>46012</v>
      </c>
      <c r="C7128" s="1" t="n">
        <v>46046</v>
      </c>
      <c r="D7128" t="inlineStr">
        <is>
          <t>NORRBOTTENS LÄN</t>
        </is>
      </c>
      <c r="E7128" t="inlineStr">
        <is>
          <t>BODEN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63403-2025</t>
        </is>
      </c>
      <c r="B7129" s="1" t="n">
        <v>46012.60145833333</v>
      </c>
      <c r="C7129" s="1" t="n">
        <v>46046</v>
      </c>
      <c r="D7129" t="inlineStr">
        <is>
          <t>NORRBOTTENS LÄN</t>
        </is>
      </c>
      <c r="E7129" t="inlineStr">
        <is>
          <t>LULEÅ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14664-2025</t>
        </is>
      </c>
      <c r="B7130" s="1" t="n">
        <v>45742</v>
      </c>
      <c r="C7130" s="1" t="n">
        <v>46046</v>
      </c>
      <c r="D7130" t="inlineStr">
        <is>
          <t>NORRBOTTENS LÄN</t>
        </is>
      </c>
      <c r="E7130" t="inlineStr">
        <is>
          <t>GÄLLIVARE</t>
        </is>
      </c>
      <c r="G7130" t="n">
        <v>20.8</v>
      </c>
      <c r="H7130" t="n">
        <v>0</v>
      </c>
      <c r="I7130" t="n">
        <v>0</v>
      </c>
      <c r="J7130" t="n">
        <v>0</v>
      </c>
      <c r="K7130" t="n">
        <v>0</v>
      </c>
      <c r="L7130" t="n">
        <v>0</v>
      </c>
      <c r="M7130" t="n">
        <v>0</v>
      </c>
      <c r="N7130" t="n">
        <v>0</v>
      </c>
      <c r="O7130" t="n">
        <v>0</v>
      </c>
      <c r="P7130" t="n">
        <v>0</v>
      </c>
      <c r="Q7130" t="n">
        <v>0</v>
      </c>
      <c r="R7130" s="2" t="inlineStr"/>
    </row>
    <row r="7131" ht="15" customHeight="1">
      <c r="A7131" t="inlineStr">
        <is>
          <t>A 57027-2025</t>
        </is>
      </c>
      <c r="B7131" s="1" t="n">
        <v>45979</v>
      </c>
      <c r="C7131" s="1" t="n">
        <v>46046</v>
      </c>
      <c r="D7131" t="inlineStr">
        <is>
          <t>NORRBOTTENS LÄN</t>
        </is>
      </c>
      <c r="E7131" t="inlineStr">
        <is>
          <t>ÖVERTORNEÅ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57028-2025</t>
        </is>
      </c>
      <c r="B7132" s="1" t="n">
        <v>45979.32758101852</v>
      </c>
      <c r="C7132" s="1" t="n">
        <v>46046</v>
      </c>
      <c r="D7132" t="inlineStr">
        <is>
          <t>NORRBOTTENS LÄN</t>
        </is>
      </c>
      <c r="E7132" t="inlineStr">
        <is>
          <t>ÖVERTORNEÅ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57032-2025</t>
        </is>
      </c>
      <c r="B7133" s="1" t="n">
        <v>45979</v>
      </c>
      <c r="C7133" s="1" t="n">
        <v>46046</v>
      </c>
      <c r="D7133" t="inlineStr">
        <is>
          <t>NORRBOTTENS LÄN</t>
        </is>
      </c>
      <c r="E7133" t="inlineStr">
        <is>
          <t>ÖVERTORNEÅ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57066-2025</t>
        </is>
      </c>
      <c r="B7134" s="1" t="n">
        <v>45979</v>
      </c>
      <c r="C7134" s="1" t="n">
        <v>46046</v>
      </c>
      <c r="D7134" t="inlineStr">
        <is>
          <t>NORRBOTTENS LÄN</t>
        </is>
      </c>
      <c r="E7134" t="inlineStr">
        <is>
          <t>ÄLVSBYN</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63329-2025</t>
        </is>
      </c>
      <c r="B7135" s="1" t="n">
        <v>46009</v>
      </c>
      <c r="C7135" s="1" t="n">
        <v>46046</v>
      </c>
      <c r="D7135" t="inlineStr">
        <is>
          <t>NORRBOTTENS LÄN</t>
        </is>
      </c>
      <c r="E7135" t="inlineStr">
        <is>
          <t>BODEN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57031-2025</t>
        </is>
      </c>
      <c r="B7136" s="1" t="n">
        <v>45979</v>
      </c>
      <c r="C7136" s="1" t="n">
        <v>46046</v>
      </c>
      <c r="D7136" t="inlineStr">
        <is>
          <t>NORRBOTTENS LÄN</t>
        </is>
      </c>
      <c r="E7136" t="inlineStr">
        <is>
          <t>ÖVERTORNEÅ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57045-2025</t>
        </is>
      </c>
      <c r="B7137" s="1" t="n">
        <v>45979</v>
      </c>
      <c r="C7137" s="1" t="n">
        <v>46046</v>
      </c>
      <c r="D7137" t="inlineStr">
        <is>
          <t>NORRBOTTENS LÄN</t>
        </is>
      </c>
      <c r="E7137" t="inlineStr">
        <is>
          <t>ÄLVSBYN</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57143-2025</t>
        </is>
      </c>
      <c r="B7138" s="1" t="n">
        <v>45978</v>
      </c>
      <c r="C7138" s="1" t="n">
        <v>46046</v>
      </c>
      <c r="D7138" t="inlineStr">
        <is>
          <t>NORRBOTTENS LÄN</t>
        </is>
      </c>
      <c r="E7138" t="inlineStr">
        <is>
          <t>LULEÅ</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56374-2025</t>
        </is>
      </c>
      <c r="B7139" s="1" t="n">
        <v>45974.68696759259</v>
      </c>
      <c r="C7139" s="1" t="n">
        <v>46046</v>
      </c>
      <c r="D7139" t="inlineStr">
        <is>
          <t>NORRBOTTENS LÄN</t>
        </is>
      </c>
      <c r="E7139" t="inlineStr">
        <is>
          <t>HAPARANDA</t>
        </is>
      </c>
      <c r="G7139" t="n">
        <v>15.3</v>
      </c>
      <c r="H7139" t="n">
        <v>0</v>
      </c>
      <c r="I7139" t="n">
        <v>0</v>
      </c>
      <c r="J7139" t="n">
        <v>0</v>
      </c>
      <c r="K7139" t="n">
        <v>0</v>
      </c>
      <c r="L7139" t="n">
        <v>0</v>
      </c>
      <c r="M7139" t="n">
        <v>0</v>
      </c>
      <c r="N7139" t="n">
        <v>0</v>
      </c>
      <c r="O7139" t="n">
        <v>0</v>
      </c>
      <c r="P7139" t="n">
        <v>0</v>
      </c>
      <c r="Q7139" t="n">
        <v>0</v>
      </c>
      <c r="R7139" s="2" t="inlineStr"/>
    </row>
    <row r="7140" ht="15" customHeight="1">
      <c r="A7140" t="inlineStr">
        <is>
          <t>A 63854-2025</t>
        </is>
      </c>
      <c r="B7140" s="1" t="n">
        <v>46020.47179398148</v>
      </c>
      <c r="C7140" s="1" t="n">
        <v>46046</v>
      </c>
      <c r="D7140" t="inlineStr">
        <is>
          <t>NORRBOTTENS LÄN</t>
        </is>
      </c>
      <c r="E7140" t="inlineStr">
        <is>
          <t>LULEÅ</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14345-2025</t>
        </is>
      </c>
      <c r="B7141" s="1" t="n">
        <v>45741</v>
      </c>
      <c r="C7141" s="1" t="n">
        <v>46046</v>
      </c>
      <c r="D7141" t="inlineStr">
        <is>
          <t>NORRBOTTENS LÄN</t>
        </is>
      </c>
      <c r="E7141" t="inlineStr">
        <is>
          <t>ARVIDSJAUR</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23692-2025</t>
        </is>
      </c>
      <c r="B7142" s="1" t="n">
        <v>45793</v>
      </c>
      <c r="C7142" s="1" t="n">
        <v>46046</v>
      </c>
      <c r="D7142" t="inlineStr">
        <is>
          <t>NORRBOTTENS LÄN</t>
        </is>
      </c>
      <c r="E7142" t="inlineStr">
        <is>
          <t>PITEÅ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14216-2025</t>
        </is>
      </c>
      <c r="B7143" s="1" t="n">
        <v>45740</v>
      </c>
      <c r="C7143" s="1" t="n">
        <v>46046</v>
      </c>
      <c r="D7143" t="inlineStr">
        <is>
          <t>NORRBOTTENS LÄN</t>
        </is>
      </c>
      <c r="E7143" t="inlineStr">
        <is>
          <t>LULEÅ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57671-2025</t>
        </is>
      </c>
      <c r="B7144" s="1" t="n">
        <v>45980.2478125</v>
      </c>
      <c r="C7144" s="1" t="n">
        <v>46046</v>
      </c>
      <c r="D7144" t="inlineStr">
        <is>
          <t>NORRBOTTENS LÄN</t>
        </is>
      </c>
      <c r="E7144" t="inlineStr">
        <is>
          <t>KALIX</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57676-2025</t>
        </is>
      </c>
      <c r="B7145" s="1" t="n">
        <v>45980.2719212963</v>
      </c>
      <c r="C7145" s="1" t="n">
        <v>46046</v>
      </c>
      <c r="D7145" t="inlineStr">
        <is>
          <t>NORRBOTTENS LÄN</t>
        </is>
      </c>
      <c r="E7145" t="inlineStr">
        <is>
          <t>KALIX</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57367-2025</t>
        </is>
      </c>
      <c r="B7146" s="1" t="n">
        <v>45980.3780787037</v>
      </c>
      <c r="C7146" s="1" t="n">
        <v>46046</v>
      </c>
      <c r="D7146" t="inlineStr">
        <is>
          <t>NORRBOTTENS LÄN</t>
        </is>
      </c>
      <c r="E7146" t="inlineStr">
        <is>
          <t>GÄLLIVARE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57331-2025</t>
        </is>
      </c>
      <c r="B7147" s="1" t="n">
        <v>45980</v>
      </c>
      <c r="C7147" s="1" t="n">
        <v>46046</v>
      </c>
      <c r="D7147" t="inlineStr">
        <is>
          <t>NORRBOTTENS LÄN</t>
        </is>
      </c>
      <c r="E7147" t="inlineStr">
        <is>
          <t>ÄLVSBYN</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57865-2025</t>
        </is>
      </c>
      <c r="B7148" s="1" t="n">
        <v>45981</v>
      </c>
      <c r="C7148" s="1" t="n">
        <v>46046</v>
      </c>
      <c r="D7148" t="inlineStr">
        <is>
          <t>NORRBOTTENS LÄN</t>
        </is>
      </c>
      <c r="E7148" t="inlineStr">
        <is>
          <t>PAJALA</t>
        </is>
      </c>
      <c r="G7148" t="n">
        <v>30.1</v>
      </c>
      <c r="H7148" t="n">
        <v>0</v>
      </c>
      <c r="I7148" t="n">
        <v>0</v>
      </c>
      <c r="J7148" t="n">
        <v>0</v>
      </c>
      <c r="K7148" t="n">
        <v>0</v>
      </c>
      <c r="L7148" t="n">
        <v>0</v>
      </c>
      <c r="M7148" t="n">
        <v>0</v>
      </c>
      <c r="N7148" t="n">
        <v>0</v>
      </c>
      <c r="O7148" t="n">
        <v>0</v>
      </c>
      <c r="P7148" t="n">
        <v>0</v>
      </c>
      <c r="Q7148" t="n">
        <v>0</v>
      </c>
      <c r="R7148" s="2" t="inlineStr"/>
    </row>
    <row r="7149" ht="15" customHeight="1">
      <c r="A7149" t="inlineStr">
        <is>
          <t>A 57873-2025</t>
        </is>
      </c>
      <c r="B7149" s="1" t="n">
        <v>45981.65486111111</v>
      </c>
      <c r="C7149" s="1" t="n">
        <v>46046</v>
      </c>
      <c r="D7149" t="inlineStr">
        <is>
          <t>NORRBOTTENS LÄN</t>
        </is>
      </c>
      <c r="E7149" t="inlineStr">
        <is>
          <t>HAPARANDA</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57600-2025</t>
        </is>
      </c>
      <c r="B7150" s="1" t="n">
        <v>45981.28849537037</v>
      </c>
      <c r="C7150" s="1" t="n">
        <v>46046</v>
      </c>
      <c r="D7150" t="inlineStr">
        <is>
          <t>NORRBOTTENS LÄN</t>
        </is>
      </c>
      <c r="E7150" t="inlineStr">
        <is>
          <t>KALIX</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57777-2025</t>
        </is>
      </c>
      <c r="B7151" s="1" t="n">
        <v>45981</v>
      </c>
      <c r="C7151" s="1" t="n">
        <v>46046</v>
      </c>
      <c r="D7151" t="inlineStr">
        <is>
          <t>NORRBOTTENS LÄN</t>
        </is>
      </c>
      <c r="E7151" t="inlineStr">
        <is>
          <t>BODEN</t>
        </is>
      </c>
      <c r="F7151" t="inlineStr">
        <is>
          <t>Sveaskog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57778-2025</t>
        </is>
      </c>
      <c r="B7152" s="1" t="n">
        <v>45981</v>
      </c>
      <c r="C7152" s="1" t="n">
        <v>46046</v>
      </c>
      <c r="D7152" t="inlineStr">
        <is>
          <t>NORRBOTTENS LÄN</t>
        </is>
      </c>
      <c r="E7152" t="inlineStr">
        <is>
          <t>BODEN</t>
        </is>
      </c>
      <c r="F7152" t="inlineStr">
        <is>
          <t>Sveaskog</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57349-2025</t>
        </is>
      </c>
      <c r="B7153" s="1" t="n">
        <v>45980.35990740741</v>
      </c>
      <c r="C7153" s="1" t="n">
        <v>46046</v>
      </c>
      <c r="D7153" t="inlineStr">
        <is>
          <t>NORRBOTTENS LÄN</t>
        </is>
      </c>
      <c r="E7153" t="inlineStr">
        <is>
          <t>GÄLLIVARE</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57876-2025</t>
        </is>
      </c>
      <c r="B7154" s="1" t="n">
        <v>45981</v>
      </c>
      <c r="C7154" s="1" t="n">
        <v>46046</v>
      </c>
      <c r="D7154" t="inlineStr">
        <is>
          <t>NORRBOTTENS LÄN</t>
        </is>
      </c>
      <c r="E7154" t="inlineStr">
        <is>
          <t>PAJALA</t>
        </is>
      </c>
      <c r="G7154" t="n">
        <v>22.4</v>
      </c>
      <c r="H7154" t="n">
        <v>0</v>
      </c>
      <c r="I7154" t="n">
        <v>0</v>
      </c>
      <c r="J7154" t="n">
        <v>0</v>
      </c>
      <c r="K7154" t="n">
        <v>0</v>
      </c>
      <c r="L7154" t="n">
        <v>0</v>
      </c>
      <c r="M7154" t="n">
        <v>0</v>
      </c>
      <c r="N7154" t="n">
        <v>0</v>
      </c>
      <c r="O7154" t="n">
        <v>0</v>
      </c>
      <c r="P7154" t="n">
        <v>0</v>
      </c>
      <c r="Q7154" t="n">
        <v>0</v>
      </c>
      <c r="R7154" s="2" t="inlineStr"/>
    </row>
    <row r="7155" ht="15" customHeight="1">
      <c r="A7155" t="inlineStr">
        <is>
          <t>A 57650-2025</t>
        </is>
      </c>
      <c r="B7155" s="1" t="n">
        <v>45981</v>
      </c>
      <c r="C7155" s="1" t="n">
        <v>46046</v>
      </c>
      <c r="D7155" t="inlineStr">
        <is>
          <t>NORRBOTTENS LÄN</t>
        </is>
      </c>
      <c r="E7155" t="inlineStr">
        <is>
          <t>KALIX</t>
        </is>
      </c>
      <c r="G7155" t="n">
        <v>16.2</v>
      </c>
      <c r="H7155" t="n">
        <v>0</v>
      </c>
      <c r="I7155" t="n">
        <v>0</v>
      </c>
      <c r="J7155" t="n">
        <v>0</v>
      </c>
      <c r="K7155" t="n">
        <v>0</v>
      </c>
      <c r="L7155" t="n">
        <v>0</v>
      </c>
      <c r="M7155" t="n">
        <v>0</v>
      </c>
      <c r="N7155" t="n">
        <v>0</v>
      </c>
      <c r="O7155" t="n">
        <v>0</v>
      </c>
      <c r="P7155" t="n">
        <v>0</v>
      </c>
      <c r="Q7155" t="n">
        <v>0</v>
      </c>
      <c r="R7155" s="2" t="inlineStr"/>
    </row>
    <row r="7156" ht="15" customHeight="1">
      <c r="A7156" t="inlineStr">
        <is>
          <t>A 57353-2025</t>
        </is>
      </c>
      <c r="B7156" s="1" t="n">
        <v>45980.36521990741</v>
      </c>
      <c r="C7156" s="1" t="n">
        <v>46046</v>
      </c>
      <c r="D7156" t="inlineStr">
        <is>
          <t>NORRBOTTENS LÄN</t>
        </is>
      </c>
      <c r="E7156" t="inlineStr">
        <is>
          <t>GÄLLIVARE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58103-2025</t>
        </is>
      </c>
      <c r="B7157" s="1" t="n">
        <v>45981</v>
      </c>
      <c r="C7157" s="1" t="n">
        <v>46046</v>
      </c>
      <c r="D7157" t="inlineStr">
        <is>
          <t>NORRBOTTENS LÄN</t>
        </is>
      </c>
      <c r="E7157" t="inlineStr">
        <is>
          <t>BODEN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57369-2025</t>
        </is>
      </c>
      <c r="B7158" s="1" t="n">
        <v>45980</v>
      </c>
      <c r="C7158" s="1" t="n">
        <v>46046</v>
      </c>
      <c r="D7158" t="inlineStr">
        <is>
          <t>NORRBOTTENS LÄN</t>
        </is>
      </c>
      <c r="E7158" t="inlineStr">
        <is>
          <t>GÄLLIVARE</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57477-2025</t>
        </is>
      </c>
      <c r="B7159" s="1" t="n">
        <v>45980.57114583333</v>
      </c>
      <c r="C7159" s="1" t="n">
        <v>46046</v>
      </c>
      <c r="D7159" t="inlineStr">
        <is>
          <t>NORRBOTTENS LÄN</t>
        </is>
      </c>
      <c r="E7159" t="inlineStr">
        <is>
          <t>BODEN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57744-2025</t>
        </is>
      </c>
      <c r="B7160" s="1" t="n">
        <v>45981</v>
      </c>
      <c r="C7160" s="1" t="n">
        <v>46046</v>
      </c>
      <c r="D7160" t="inlineStr">
        <is>
          <t>NORRBOTTENS LÄN</t>
        </is>
      </c>
      <c r="E7160" t="inlineStr">
        <is>
          <t>ÖVERKALIX</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57747-2025</t>
        </is>
      </c>
      <c r="B7161" s="1" t="n">
        <v>45981.53230324074</v>
      </c>
      <c r="C7161" s="1" t="n">
        <v>46046</v>
      </c>
      <c r="D7161" t="inlineStr">
        <is>
          <t>NORRBOTTENS LÄN</t>
        </is>
      </c>
      <c r="E7161" t="inlineStr">
        <is>
          <t>PITEÅ</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57746-2025</t>
        </is>
      </c>
      <c r="B7162" s="1" t="n">
        <v>45981.53223379629</v>
      </c>
      <c r="C7162" s="1" t="n">
        <v>46046</v>
      </c>
      <c r="D7162" t="inlineStr">
        <is>
          <t>NORRBOTTENS LÄN</t>
        </is>
      </c>
      <c r="E7162" t="inlineStr">
        <is>
          <t>PITEÅ</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57723-2025</t>
        </is>
      </c>
      <c r="B7163" s="1" t="n">
        <v>45981.49033564814</v>
      </c>
      <c r="C7163" s="1" t="n">
        <v>46046</v>
      </c>
      <c r="D7163" t="inlineStr">
        <is>
          <t>NORRBOTTENS LÄN</t>
        </is>
      </c>
      <c r="E7163" t="inlineStr">
        <is>
          <t>LULEÅ</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57732-2025</t>
        </is>
      </c>
      <c r="B7164" s="1" t="n">
        <v>45981</v>
      </c>
      <c r="C7164" s="1" t="n">
        <v>46046</v>
      </c>
      <c r="D7164" t="inlineStr">
        <is>
          <t>NORRBOTTENS LÄN</t>
        </is>
      </c>
      <c r="E7164" t="inlineStr">
        <is>
          <t>PITEÅ</t>
        </is>
      </c>
      <c r="G7164" t="n">
        <v>8.4</v>
      </c>
      <c r="H7164" t="n">
        <v>0</v>
      </c>
      <c r="I7164" t="n">
        <v>0</v>
      </c>
      <c r="J7164" t="n">
        <v>0</v>
      </c>
      <c r="K7164" t="n">
        <v>0</v>
      </c>
      <c r="L7164" t="n">
        <v>0</v>
      </c>
      <c r="M7164" t="n">
        <v>0</v>
      </c>
      <c r="N7164" t="n">
        <v>0</v>
      </c>
      <c r="O7164" t="n">
        <v>0</v>
      </c>
      <c r="P7164" t="n">
        <v>0</v>
      </c>
      <c r="Q7164" t="n">
        <v>0</v>
      </c>
      <c r="R7164" s="2" t="inlineStr"/>
    </row>
    <row r="7165" ht="15" customHeight="1">
      <c r="A7165" t="inlineStr">
        <is>
          <t>A 57733-2025</t>
        </is>
      </c>
      <c r="B7165" s="1" t="n">
        <v>45981.51106481482</v>
      </c>
      <c r="C7165" s="1" t="n">
        <v>46046</v>
      </c>
      <c r="D7165" t="inlineStr">
        <is>
          <t>NORRBOTTENS LÄN</t>
        </is>
      </c>
      <c r="E7165" t="inlineStr">
        <is>
          <t>PITEÅ</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57751-2025</t>
        </is>
      </c>
      <c r="B7166" s="1" t="n">
        <v>45981.54108796296</v>
      </c>
      <c r="C7166" s="1" t="n">
        <v>46046</v>
      </c>
      <c r="D7166" t="inlineStr">
        <is>
          <t>NORRBOTTENS LÄN</t>
        </is>
      </c>
      <c r="E7166" t="inlineStr">
        <is>
          <t>LULEÅ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57656-2025</t>
        </is>
      </c>
      <c r="B7167" s="1" t="n">
        <v>45981.40686342592</v>
      </c>
      <c r="C7167" s="1" t="n">
        <v>46046</v>
      </c>
      <c r="D7167" t="inlineStr">
        <is>
          <t>NORRBOTTENS LÄN</t>
        </is>
      </c>
      <c r="E7167" t="inlineStr">
        <is>
          <t>KALIX</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57703-2025</t>
        </is>
      </c>
      <c r="B7168" s="1" t="n">
        <v>45981</v>
      </c>
      <c r="C7168" s="1" t="n">
        <v>46046</v>
      </c>
      <c r="D7168" t="inlineStr">
        <is>
          <t>NORRBOTTENS LÄN</t>
        </is>
      </c>
      <c r="E7168" t="inlineStr">
        <is>
          <t>GÄLLIVARE</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57705-2025</t>
        </is>
      </c>
      <c r="B7169" s="1" t="n">
        <v>45981.46944444445</v>
      </c>
      <c r="C7169" s="1" t="n">
        <v>46046</v>
      </c>
      <c r="D7169" t="inlineStr">
        <is>
          <t>NORRBOTTENS LÄN</t>
        </is>
      </c>
      <c r="E7169" t="inlineStr">
        <is>
          <t>ARVIDSJAUR</t>
        </is>
      </c>
      <c r="G7169" t="n">
        <v>9.300000000000001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57834-2025</t>
        </is>
      </c>
      <c r="B7170" s="1" t="n">
        <v>45981</v>
      </c>
      <c r="C7170" s="1" t="n">
        <v>46046</v>
      </c>
      <c r="D7170" t="inlineStr">
        <is>
          <t>NORRBOTTENS LÄN</t>
        </is>
      </c>
      <c r="E7170" t="inlineStr">
        <is>
          <t>ÖVERKALIX</t>
        </is>
      </c>
      <c r="F7170" t="inlineStr">
        <is>
          <t>SCA</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57880-2025</t>
        </is>
      </c>
      <c r="B7171" s="1" t="n">
        <v>45981</v>
      </c>
      <c r="C7171" s="1" t="n">
        <v>46046</v>
      </c>
      <c r="D7171" t="inlineStr">
        <is>
          <t>NORRBOTTENS LÄN</t>
        </is>
      </c>
      <c r="E7171" t="inlineStr">
        <is>
          <t>PAJALA</t>
        </is>
      </c>
      <c r="G7171" t="n">
        <v>35.7</v>
      </c>
      <c r="H7171" t="n">
        <v>0</v>
      </c>
      <c r="I7171" t="n">
        <v>0</v>
      </c>
      <c r="J7171" t="n">
        <v>0</v>
      </c>
      <c r="K7171" t="n">
        <v>0</v>
      </c>
      <c r="L7171" t="n">
        <v>0</v>
      </c>
      <c r="M7171" t="n">
        <v>0</v>
      </c>
      <c r="N7171" t="n">
        <v>0</v>
      </c>
      <c r="O7171" t="n">
        <v>0</v>
      </c>
      <c r="P7171" t="n">
        <v>0</v>
      </c>
      <c r="Q7171" t="n">
        <v>0</v>
      </c>
      <c r="R7171" s="2" t="inlineStr"/>
    </row>
    <row r="7172" ht="15" customHeight="1">
      <c r="A7172" t="inlineStr">
        <is>
          <t>A 57883-2025</t>
        </is>
      </c>
      <c r="B7172" s="1" t="n">
        <v>45981</v>
      </c>
      <c r="C7172" s="1" t="n">
        <v>46046</v>
      </c>
      <c r="D7172" t="inlineStr">
        <is>
          <t>NORRBOTTENS LÄN</t>
        </is>
      </c>
      <c r="E7172" t="inlineStr">
        <is>
          <t>PAJALA</t>
        </is>
      </c>
      <c r="G7172" t="n">
        <v>41.4</v>
      </c>
      <c r="H7172" t="n">
        <v>0</v>
      </c>
      <c r="I7172" t="n">
        <v>0</v>
      </c>
      <c r="J7172" t="n">
        <v>0</v>
      </c>
      <c r="K7172" t="n">
        <v>0</v>
      </c>
      <c r="L7172" t="n">
        <v>0</v>
      </c>
      <c r="M7172" t="n">
        <v>0</v>
      </c>
      <c r="N7172" t="n">
        <v>0</v>
      </c>
      <c r="O7172" t="n">
        <v>0</v>
      </c>
      <c r="P7172" t="n">
        <v>0</v>
      </c>
      <c r="Q7172" t="n">
        <v>0</v>
      </c>
      <c r="R7172" s="2" t="inlineStr"/>
    </row>
    <row r="7173" ht="15" customHeight="1">
      <c r="A7173" t="inlineStr">
        <is>
          <t>A 57524-2025</t>
        </is>
      </c>
      <c r="B7173" s="1" t="n">
        <v>45980.62547453704</v>
      </c>
      <c r="C7173" s="1" t="n">
        <v>46046</v>
      </c>
      <c r="D7173" t="inlineStr">
        <is>
          <t>NORRBOTTENS LÄN</t>
        </is>
      </c>
      <c r="E7173" t="inlineStr">
        <is>
          <t>PITEÅ</t>
        </is>
      </c>
      <c r="F7173" t="inlineStr">
        <is>
          <t>Sveaskog</t>
        </is>
      </c>
      <c r="G7173" t="n">
        <v>13.2</v>
      </c>
      <c r="H7173" t="n">
        <v>0</v>
      </c>
      <c r="I7173" t="n">
        <v>0</v>
      </c>
      <c r="J7173" t="n">
        <v>0</v>
      </c>
      <c r="K7173" t="n">
        <v>0</v>
      </c>
      <c r="L7173" t="n">
        <v>0</v>
      </c>
      <c r="M7173" t="n">
        <v>0</v>
      </c>
      <c r="N7173" t="n">
        <v>0</v>
      </c>
      <c r="O7173" t="n">
        <v>0</v>
      </c>
      <c r="P7173" t="n">
        <v>0</v>
      </c>
      <c r="Q7173" t="n">
        <v>0</v>
      </c>
      <c r="R7173" s="2" t="inlineStr"/>
    </row>
    <row r="7174" ht="15" customHeight="1">
      <c r="A7174" t="inlineStr">
        <is>
          <t>A 57795-2025</t>
        </is>
      </c>
      <c r="B7174" s="1" t="n">
        <v>45981</v>
      </c>
      <c r="C7174" s="1" t="n">
        <v>46046</v>
      </c>
      <c r="D7174" t="inlineStr">
        <is>
          <t>NORRBOTTENS LÄN</t>
        </is>
      </c>
      <c r="E7174" t="inlineStr">
        <is>
          <t>ARVIDSJAUR</t>
        </is>
      </c>
      <c r="F7174" t="inlineStr">
        <is>
          <t>Sveaskog</t>
        </is>
      </c>
      <c r="G7174" t="n">
        <v>21.6</v>
      </c>
      <c r="H7174" t="n">
        <v>0</v>
      </c>
      <c r="I7174" t="n">
        <v>0</v>
      </c>
      <c r="J7174" t="n">
        <v>0</v>
      </c>
      <c r="K7174" t="n">
        <v>0</v>
      </c>
      <c r="L7174" t="n">
        <v>0</v>
      </c>
      <c r="M7174" t="n">
        <v>0</v>
      </c>
      <c r="N7174" t="n">
        <v>0</v>
      </c>
      <c r="O7174" t="n">
        <v>0</v>
      </c>
      <c r="P7174" t="n">
        <v>0</v>
      </c>
      <c r="Q7174" t="n">
        <v>0</v>
      </c>
      <c r="R7174" s="2" t="inlineStr"/>
    </row>
    <row r="7175" ht="15" customHeight="1">
      <c r="A7175" t="inlineStr">
        <is>
          <t>A 57576-2025</t>
        </is>
      </c>
      <c r="B7175" s="1" t="n">
        <v>45980.88444444445</v>
      </c>
      <c r="C7175" s="1" t="n">
        <v>46046</v>
      </c>
      <c r="D7175" t="inlineStr">
        <is>
          <t>NORRBOTTENS LÄN</t>
        </is>
      </c>
      <c r="E7175" t="inlineStr">
        <is>
          <t>PITEÅ</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57675-2025</t>
        </is>
      </c>
      <c r="B7176" s="1" t="n">
        <v>45980.27033564815</v>
      </c>
      <c r="C7176" s="1" t="n">
        <v>46046</v>
      </c>
      <c r="D7176" t="inlineStr">
        <is>
          <t>NORRBOTTENS LÄN</t>
        </is>
      </c>
      <c r="E7176" t="inlineStr">
        <is>
          <t>KALIX</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57381-2025</t>
        </is>
      </c>
      <c r="B7177" s="1" t="n">
        <v>45980</v>
      </c>
      <c r="C7177" s="1" t="n">
        <v>46046</v>
      </c>
      <c r="D7177" t="inlineStr">
        <is>
          <t>NORRBOTTENS LÄN</t>
        </is>
      </c>
      <c r="E7177" t="inlineStr">
        <is>
          <t>ÖVERKALIX</t>
        </is>
      </c>
      <c r="F7177" t="inlineStr">
        <is>
          <t>SCA</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57428-2025</t>
        </is>
      </c>
      <c r="B7178" s="1" t="n">
        <v>45980.46717592593</v>
      </c>
      <c r="C7178" s="1" t="n">
        <v>46046</v>
      </c>
      <c r="D7178" t="inlineStr">
        <is>
          <t>NORRBOTTENS LÄN</t>
        </is>
      </c>
      <c r="E7178" t="inlineStr">
        <is>
          <t>BODEN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57670-2025</t>
        </is>
      </c>
      <c r="B7179" s="1" t="n">
        <v>45980.24248842592</v>
      </c>
      <c r="C7179" s="1" t="n">
        <v>46046</v>
      </c>
      <c r="D7179" t="inlineStr">
        <is>
          <t>NORRBOTTENS LÄN</t>
        </is>
      </c>
      <c r="E7179" t="inlineStr">
        <is>
          <t>KALIX</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57582-2025</t>
        </is>
      </c>
      <c r="B7180" s="1" t="n">
        <v>45980</v>
      </c>
      <c r="C7180" s="1" t="n">
        <v>46046</v>
      </c>
      <c r="D7180" t="inlineStr">
        <is>
          <t>NORRBOTTENS LÄN</t>
        </is>
      </c>
      <c r="E7180" t="inlineStr">
        <is>
          <t>PAJALA</t>
        </is>
      </c>
      <c r="F7180" t="inlineStr">
        <is>
          <t>Allmännings- och besparingsskogar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58229-2025</t>
        </is>
      </c>
      <c r="B7181" s="1" t="n">
        <v>45985.37741898148</v>
      </c>
      <c r="C7181" s="1" t="n">
        <v>46046</v>
      </c>
      <c r="D7181" t="inlineStr">
        <is>
          <t>NORRBOTTENS LÄN</t>
        </is>
      </c>
      <c r="E7181" t="inlineStr">
        <is>
          <t>GÄLLIVARE</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58133-2025</t>
        </is>
      </c>
      <c r="B7182" s="1" t="n">
        <v>45982.61763888889</v>
      </c>
      <c r="C7182" s="1" t="n">
        <v>46046</v>
      </c>
      <c r="D7182" t="inlineStr">
        <is>
          <t>NORRBOTTENS LÄN</t>
        </is>
      </c>
      <c r="E7182" t="inlineStr">
        <is>
          <t>JOKKMOKK</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58374-2025</t>
        </is>
      </c>
      <c r="B7183" s="1" t="n">
        <v>45985.53171296296</v>
      </c>
      <c r="C7183" s="1" t="n">
        <v>46046</v>
      </c>
      <c r="D7183" t="inlineStr">
        <is>
          <t>NORRBOTTENS LÄN</t>
        </is>
      </c>
      <c r="E7183" t="inlineStr">
        <is>
          <t>PITEÅ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63793-2025</t>
        </is>
      </c>
      <c r="B7184" s="1" t="n">
        <v>46019.79444444444</v>
      </c>
      <c r="C7184" s="1" t="n">
        <v>46046</v>
      </c>
      <c r="D7184" t="inlineStr">
        <is>
          <t>NORRBOTTENS LÄN</t>
        </is>
      </c>
      <c r="E7184" t="inlineStr">
        <is>
          <t>ÄLVSBYN</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58203-2025</t>
        </is>
      </c>
      <c r="B7185" s="1" t="n">
        <v>45984.59300925926</v>
      </c>
      <c r="C7185" s="1" t="n">
        <v>46046</v>
      </c>
      <c r="D7185" t="inlineStr">
        <is>
          <t>NORRBOTTENS LÄN</t>
        </is>
      </c>
      <c r="E7185" t="inlineStr">
        <is>
          <t>BODEN</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58232-2025</t>
        </is>
      </c>
      <c r="B7186" s="1" t="n">
        <v>45985.38268518518</v>
      </c>
      <c r="C7186" s="1" t="n">
        <v>46046</v>
      </c>
      <c r="D7186" t="inlineStr">
        <is>
          <t>NORRBOTTENS LÄN</t>
        </is>
      </c>
      <c r="E7186" t="inlineStr">
        <is>
          <t>KALIX</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58323-2025</t>
        </is>
      </c>
      <c r="B7187" s="1" t="n">
        <v>45985.4762962963</v>
      </c>
      <c r="C7187" s="1" t="n">
        <v>46046</v>
      </c>
      <c r="D7187" t="inlineStr">
        <is>
          <t>NORRBOTTENS LÄN</t>
        </is>
      </c>
      <c r="E7187" t="inlineStr">
        <is>
          <t>KALIX</t>
        </is>
      </c>
      <c r="F7187" t="inlineStr">
        <is>
          <t>Kommuner</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58219-2025</t>
        </is>
      </c>
      <c r="B7188" s="1" t="n">
        <v>45985.36137731482</v>
      </c>
      <c r="C7188" s="1" t="n">
        <v>46046</v>
      </c>
      <c r="D7188" t="inlineStr">
        <is>
          <t>NORRBOTTENS LÄN</t>
        </is>
      </c>
      <c r="E7188" t="inlineStr">
        <is>
          <t>PITEÅ</t>
        </is>
      </c>
      <c r="F7188" t="inlineStr">
        <is>
          <t>Övriga Aktiebolag</t>
        </is>
      </c>
      <c r="G7188" t="n">
        <v>12.9</v>
      </c>
      <c r="H7188" t="n">
        <v>0</v>
      </c>
      <c r="I7188" t="n">
        <v>0</v>
      </c>
      <c r="J7188" t="n">
        <v>0</v>
      </c>
      <c r="K7188" t="n">
        <v>0</v>
      </c>
      <c r="L7188" t="n">
        <v>0</v>
      </c>
      <c r="M7188" t="n">
        <v>0</v>
      </c>
      <c r="N7188" t="n">
        <v>0</v>
      </c>
      <c r="O7188" t="n">
        <v>0</v>
      </c>
      <c r="P7188" t="n">
        <v>0</v>
      </c>
      <c r="Q7188" t="n">
        <v>0</v>
      </c>
      <c r="R7188" s="2" t="inlineStr"/>
    </row>
    <row r="7189" ht="15" customHeight="1">
      <c r="A7189" t="inlineStr">
        <is>
          <t>A 184-2026</t>
        </is>
      </c>
      <c r="B7189" s="1" t="n">
        <v>46025</v>
      </c>
      <c r="C7189" s="1" t="n">
        <v>46046</v>
      </c>
      <c r="D7189" t="inlineStr">
        <is>
          <t>NORRBOTTENS LÄN</t>
        </is>
      </c>
      <c r="E7189" t="inlineStr">
        <is>
          <t>PAJALA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214-2026</t>
        </is>
      </c>
      <c r="B7190" s="1" t="n">
        <v>46026.64652777778</v>
      </c>
      <c r="C7190" s="1" t="n">
        <v>46046</v>
      </c>
      <c r="D7190" t="inlineStr">
        <is>
          <t>NORRBOTTENS LÄN</t>
        </is>
      </c>
      <c r="E7190" t="inlineStr">
        <is>
          <t>LULEÅ</t>
        </is>
      </c>
      <c r="G7190" t="n">
        <v>15.4</v>
      </c>
      <c r="H7190" t="n">
        <v>0</v>
      </c>
      <c r="I7190" t="n">
        <v>0</v>
      </c>
      <c r="J7190" t="n">
        <v>0</v>
      </c>
      <c r="K7190" t="n">
        <v>0</v>
      </c>
      <c r="L7190" t="n">
        <v>0</v>
      </c>
      <c r="M7190" t="n">
        <v>0</v>
      </c>
      <c r="N7190" t="n">
        <v>0</v>
      </c>
      <c r="O7190" t="n">
        <v>0</v>
      </c>
      <c r="P7190" t="n">
        <v>0</v>
      </c>
      <c r="Q7190" t="n">
        <v>0</v>
      </c>
      <c r="R7190" s="2" t="inlineStr"/>
    </row>
    <row r="7191" ht="15" customHeight="1">
      <c r="A7191" t="inlineStr">
        <is>
          <t>A 303-2026</t>
        </is>
      </c>
      <c r="B7191" s="1" t="n">
        <v>46027.53427083333</v>
      </c>
      <c r="C7191" s="1" t="n">
        <v>46046</v>
      </c>
      <c r="D7191" t="inlineStr">
        <is>
          <t>NORRBOTTENS LÄN</t>
        </is>
      </c>
      <c r="E7191" t="inlineStr">
        <is>
          <t>LULEÅ</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132-2026</t>
        </is>
      </c>
      <c r="B7192" s="1" t="n">
        <v>46024.60086805555</v>
      </c>
      <c r="C7192" s="1" t="n">
        <v>46046</v>
      </c>
      <c r="D7192" t="inlineStr">
        <is>
          <t>NORRBOTTENS LÄN</t>
        </is>
      </c>
      <c r="E7192" t="inlineStr">
        <is>
          <t>LULEÅ</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148-2026</t>
        </is>
      </c>
      <c r="B7193" s="1" t="n">
        <v>46024.6446875</v>
      </c>
      <c r="C7193" s="1" t="n">
        <v>46046</v>
      </c>
      <c r="D7193" t="inlineStr">
        <is>
          <t>NORRBOTTENS LÄN</t>
        </is>
      </c>
      <c r="E7193" t="inlineStr">
        <is>
          <t>KIRUNA</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58490-2025</t>
        </is>
      </c>
      <c r="B7194" s="1" t="n">
        <v>45985.66855324074</v>
      </c>
      <c r="C7194" s="1" t="n">
        <v>46046</v>
      </c>
      <c r="D7194" t="inlineStr">
        <is>
          <t>NORRBOTTENS LÄN</t>
        </is>
      </c>
      <c r="E7194" t="inlineStr">
        <is>
          <t>BODEN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58305-2025</t>
        </is>
      </c>
      <c r="B7195" s="1" t="n">
        <v>45985.46179398148</v>
      </c>
      <c r="C7195" s="1" t="n">
        <v>46046</v>
      </c>
      <c r="D7195" t="inlineStr">
        <is>
          <t>NORRBOTTENS LÄN</t>
        </is>
      </c>
      <c r="E7195" t="inlineStr">
        <is>
          <t>PITEÅ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26-2026</t>
        </is>
      </c>
      <c r="B7196" s="1" t="n">
        <v>46013</v>
      </c>
      <c r="C7196" s="1" t="n">
        <v>46046</v>
      </c>
      <c r="D7196" t="inlineStr">
        <is>
          <t>NORRBOTTENS LÄN</t>
        </is>
      </c>
      <c r="E7196" t="inlineStr">
        <is>
          <t>KALIX</t>
        </is>
      </c>
      <c r="F7196" t="inlineStr">
        <is>
          <t>Kommuner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58424-2025</t>
        </is>
      </c>
      <c r="B7197" s="1" t="n">
        <v>45985.59467592592</v>
      </c>
      <c r="C7197" s="1" t="n">
        <v>46046</v>
      </c>
      <c r="D7197" t="inlineStr">
        <is>
          <t>NORRBOTTENS LÄN</t>
        </is>
      </c>
      <c r="E7197" t="inlineStr">
        <is>
          <t>ÖVERTORNEÅ</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58404-2025</t>
        </is>
      </c>
      <c r="B7198" s="1" t="n">
        <v>45985.56795138889</v>
      </c>
      <c r="C7198" s="1" t="n">
        <v>46046</v>
      </c>
      <c r="D7198" t="inlineStr">
        <is>
          <t>NORRBOTTENS LÄN</t>
        </is>
      </c>
      <c r="E7198" t="inlineStr">
        <is>
          <t>JOKKMOKK</t>
        </is>
      </c>
      <c r="F7198" t="inlineStr">
        <is>
          <t>Övriga statliga verk och myndigheter</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182-2026</t>
        </is>
      </c>
      <c r="B7199" s="1" t="n">
        <v>46025</v>
      </c>
      <c r="C7199" s="1" t="n">
        <v>46046</v>
      </c>
      <c r="D7199" t="inlineStr">
        <is>
          <t>NORRBOTTENS LÄN</t>
        </is>
      </c>
      <c r="E7199" t="inlineStr">
        <is>
          <t>PAJALA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58418-2025</t>
        </is>
      </c>
      <c r="B7200" s="1" t="n">
        <v>45985.58361111111</v>
      </c>
      <c r="C7200" s="1" t="n">
        <v>46046</v>
      </c>
      <c r="D7200" t="inlineStr">
        <is>
          <t>NORRBOTTENS LÄN</t>
        </is>
      </c>
      <c r="E7200" t="inlineStr">
        <is>
          <t>JOKKMOKK</t>
        </is>
      </c>
      <c r="F7200" t="inlineStr">
        <is>
          <t>Övriga statliga verk och myndigheter</t>
        </is>
      </c>
      <c r="G7200" t="n">
        <v>18.1</v>
      </c>
      <c r="H7200" t="n">
        <v>0</v>
      </c>
      <c r="I7200" t="n">
        <v>0</v>
      </c>
      <c r="J7200" t="n">
        <v>0</v>
      </c>
      <c r="K7200" t="n">
        <v>0</v>
      </c>
      <c r="L7200" t="n">
        <v>0</v>
      </c>
      <c r="M7200" t="n">
        <v>0</v>
      </c>
      <c r="N7200" t="n">
        <v>0</v>
      </c>
      <c r="O7200" t="n">
        <v>0</v>
      </c>
      <c r="P7200" t="n">
        <v>0</v>
      </c>
      <c r="Q7200" t="n">
        <v>0</v>
      </c>
      <c r="R7200" s="2" t="inlineStr"/>
    </row>
    <row r="7201" ht="15" customHeight="1">
      <c r="A7201" t="inlineStr">
        <is>
          <t>A 58447-2025</t>
        </is>
      </c>
      <c r="B7201" s="1" t="n">
        <v>45985.62443287037</v>
      </c>
      <c r="C7201" s="1" t="n">
        <v>46046</v>
      </c>
      <c r="D7201" t="inlineStr">
        <is>
          <t>NORRBOTTENS LÄN</t>
        </is>
      </c>
      <c r="E7201" t="inlineStr">
        <is>
          <t>ÖVERTORNEÅ</t>
        </is>
      </c>
      <c r="F7201" t="inlineStr">
        <is>
          <t>Sveaskog</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57994-2025</t>
        </is>
      </c>
      <c r="B7202" s="1" t="n">
        <v>45982.42932870371</v>
      </c>
      <c r="C7202" s="1" t="n">
        <v>46046</v>
      </c>
      <c r="D7202" t="inlineStr">
        <is>
          <t>NORRBOTTENS LÄN</t>
        </is>
      </c>
      <c r="E7202" t="inlineStr">
        <is>
          <t>PITEÅ</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58328-2025</t>
        </is>
      </c>
      <c r="B7203" s="1" t="n">
        <v>45985.4790162037</v>
      </c>
      <c r="C7203" s="1" t="n">
        <v>46046</v>
      </c>
      <c r="D7203" t="inlineStr">
        <is>
          <t>NORRBOTTENS LÄN</t>
        </is>
      </c>
      <c r="E7203" t="inlineStr">
        <is>
          <t>KALIX</t>
        </is>
      </c>
      <c r="F7203" t="inlineStr">
        <is>
          <t>Kommuner</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57943-2025</t>
        </is>
      </c>
      <c r="B7204" s="1" t="n">
        <v>45982.3181712963</v>
      </c>
      <c r="C7204" s="1" t="n">
        <v>46046</v>
      </c>
      <c r="D7204" t="inlineStr">
        <is>
          <t>NORRBOTTENS LÄN</t>
        </is>
      </c>
      <c r="E7204" t="inlineStr">
        <is>
          <t>ARVIDSJAUR</t>
        </is>
      </c>
      <c r="F7204" t="inlineStr">
        <is>
          <t>Sveaskog</t>
        </is>
      </c>
      <c r="G7204" t="n">
        <v>18.9</v>
      </c>
      <c r="H7204" t="n">
        <v>0</v>
      </c>
      <c r="I7204" t="n">
        <v>0</v>
      </c>
      <c r="J7204" t="n">
        <v>0</v>
      </c>
      <c r="K7204" t="n">
        <v>0</v>
      </c>
      <c r="L7204" t="n">
        <v>0</v>
      </c>
      <c r="M7204" t="n">
        <v>0</v>
      </c>
      <c r="N7204" t="n">
        <v>0</v>
      </c>
      <c r="O7204" t="n">
        <v>0</v>
      </c>
      <c r="P7204" t="n">
        <v>0</v>
      </c>
      <c r="Q7204" t="n">
        <v>0</v>
      </c>
      <c r="R7204" s="2" t="inlineStr"/>
    </row>
    <row r="7205" ht="15" customHeight="1">
      <c r="A7205" t="inlineStr">
        <is>
          <t>A 58078-2025</t>
        </is>
      </c>
      <c r="B7205" s="1" t="n">
        <v>45982</v>
      </c>
      <c r="C7205" s="1" t="n">
        <v>46046</v>
      </c>
      <c r="D7205" t="inlineStr">
        <is>
          <t>NORRBOTTENS LÄN</t>
        </is>
      </c>
      <c r="E7205" t="inlineStr">
        <is>
          <t>PITEÅ</t>
        </is>
      </c>
      <c r="F7205" t="inlineStr">
        <is>
          <t>Sveaskog</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57968-2025</t>
        </is>
      </c>
      <c r="B7206" s="1" t="n">
        <v>45982</v>
      </c>
      <c r="C7206" s="1" t="n">
        <v>46046</v>
      </c>
      <c r="D7206" t="inlineStr">
        <is>
          <t>NORRBOTTENS LÄN</t>
        </is>
      </c>
      <c r="E7206" t="inlineStr">
        <is>
          <t>ÖVERTORNEÅ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58417-2025</t>
        </is>
      </c>
      <c r="B7207" s="1" t="n">
        <v>45985.58087962963</v>
      </c>
      <c r="C7207" s="1" t="n">
        <v>46046</v>
      </c>
      <c r="D7207" t="inlineStr">
        <is>
          <t>NORRBOTTENS LÄN</t>
        </is>
      </c>
      <c r="E7207" t="inlineStr">
        <is>
          <t>KALIX</t>
        </is>
      </c>
      <c r="F7207" t="inlineStr">
        <is>
          <t>Kommuner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58419-2025</t>
        </is>
      </c>
      <c r="B7208" s="1" t="n">
        <v>45985.58466435185</v>
      </c>
      <c r="C7208" s="1" t="n">
        <v>46046</v>
      </c>
      <c r="D7208" t="inlineStr">
        <is>
          <t>NORRBOTTENS LÄN</t>
        </is>
      </c>
      <c r="E7208" t="inlineStr">
        <is>
          <t>JOKKMOKK</t>
        </is>
      </c>
      <c r="F7208" t="inlineStr">
        <is>
          <t>Övriga statliga verk och myndigheter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64052-2025</t>
        </is>
      </c>
      <c r="B7209" s="1" t="n">
        <v>46021.59439814815</v>
      </c>
      <c r="C7209" s="1" t="n">
        <v>46046</v>
      </c>
      <c r="D7209" t="inlineStr">
        <is>
          <t>NORRBOTTENS LÄN</t>
        </is>
      </c>
      <c r="E7209" t="inlineStr">
        <is>
          <t>GÄLLIVARE</t>
        </is>
      </c>
      <c r="F7209" t="inlineStr">
        <is>
          <t>SCA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17536-2023</t>
        </is>
      </c>
      <c r="B7210" s="1" t="n">
        <v>45034</v>
      </c>
      <c r="C7210" s="1" t="n">
        <v>46046</v>
      </c>
      <c r="D7210" t="inlineStr">
        <is>
          <t>NORRBOTTENS LÄN</t>
        </is>
      </c>
      <c r="E7210" t="inlineStr">
        <is>
          <t>ARJEPLOG</t>
        </is>
      </c>
      <c r="F7210" t="inlineStr">
        <is>
          <t>Övriga statliga verk och myndigheter</t>
        </is>
      </c>
      <c r="G7210" t="n">
        <v>20.3</v>
      </c>
      <c r="H7210" t="n">
        <v>0</v>
      </c>
      <c r="I7210" t="n">
        <v>0</v>
      </c>
      <c r="J7210" t="n">
        <v>0</v>
      </c>
      <c r="K7210" t="n">
        <v>0</v>
      </c>
      <c r="L7210" t="n">
        <v>0</v>
      </c>
      <c r="M7210" t="n">
        <v>0</v>
      </c>
      <c r="N7210" t="n">
        <v>0</v>
      </c>
      <c r="O7210" t="n">
        <v>0</v>
      </c>
      <c r="P7210" t="n">
        <v>0</v>
      </c>
      <c r="Q7210" t="n">
        <v>0</v>
      </c>
      <c r="R7210" s="2" t="inlineStr"/>
    </row>
    <row r="7211" ht="15" customHeight="1">
      <c r="A7211" t="inlineStr">
        <is>
          <t>A 63024-2025</t>
        </is>
      </c>
      <c r="B7211" s="1" t="n">
        <v>46009</v>
      </c>
      <c r="C7211" s="1" t="n">
        <v>46046</v>
      </c>
      <c r="D7211" t="inlineStr">
        <is>
          <t>NORRBOTTENS LÄN</t>
        </is>
      </c>
      <c r="E7211" t="inlineStr">
        <is>
          <t>JOKKMOKK</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58255-2025</t>
        </is>
      </c>
      <c r="B7212" s="1" t="n">
        <v>45985.40084490741</v>
      </c>
      <c r="C7212" s="1" t="n">
        <v>46046</v>
      </c>
      <c r="D7212" t="inlineStr">
        <is>
          <t>NORRBOTTENS LÄN</t>
        </is>
      </c>
      <c r="E7212" t="inlineStr">
        <is>
          <t>GÄLLIVARE</t>
        </is>
      </c>
      <c r="F7212" t="inlineStr">
        <is>
          <t>Sveaskog</t>
        </is>
      </c>
      <c r="G7212" t="n">
        <v>28.9</v>
      </c>
      <c r="H7212" t="n">
        <v>0</v>
      </c>
      <c r="I7212" t="n">
        <v>0</v>
      </c>
      <c r="J7212" t="n">
        <v>0</v>
      </c>
      <c r="K7212" t="n">
        <v>0</v>
      </c>
      <c r="L7212" t="n">
        <v>0</v>
      </c>
      <c r="M7212" t="n">
        <v>0</v>
      </c>
      <c r="N7212" t="n">
        <v>0</v>
      </c>
      <c r="O7212" t="n">
        <v>0</v>
      </c>
      <c r="P7212" t="n">
        <v>0</v>
      </c>
      <c r="Q7212" t="n">
        <v>0</v>
      </c>
      <c r="R7212" s="2" t="inlineStr"/>
    </row>
    <row r="7213" ht="15" customHeight="1">
      <c r="A7213" t="inlineStr">
        <is>
          <t>A 58289-2025</t>
        </is>
      </c>
      <c r="B7213" s="1" t="n">
        <v>45985.44723379629</v>
      </c>
      <c r="C7213" s="1" t="n">
        <v>46046</v>
      </c>
      <c r="D7213" t="inlineStr">
        <is>
          <t>NORRBOTTENS LÄN</t>
        </is>
      </c>
      <c r="E7213" t="inlineStr">
        <is>
          <t>KALIX</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58294-2025</t>
        </is>
      </c>
      <c r="B7214" s="1" t="n">
        <v>45985.45146990741</v>
      </c>
      <c r="C7214" s="1" t="n">
        <v>46046</v>
      </c>
      <c r="D7214" t="inlineStr">
        <is>
          <t>NORRBOTTENS LÄN</t>
        </is>
      </c>
      <c r="E7214" t="inlineStr">
        <is>
          <t>BODEN</t>
        </is>
      </c>
      <c r="F7214" t="inlineStr">
        <is>
          <t>Sveaskog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58202-2025</t>
        </is>
      </c>
      <c r="B7215" s="1" t="n">
        <v>45984.47054398148</v>
      </c>
      <c r="C7215" s="1" t="n">
        <v>46046</v>
      </c>
      <c r="D7215" t="inlineStr">
        <is>
          <t>NORRBOTTENS LÄN</t>
        </is>
      </c>
      <c r="E7215" t="inlineStr">
        <is>
          <t>ARVIDSJAUR</t>
        </is>
      </c>
      <c r="F7215" t="inlineStr">
        <is>
          <t>Sveaskog</t>
        </is>
      </c>
      <c r="G7215" t="n">
        <v>13.8</v>
      </c>
      <c r="H7215" t="n">
        <v>0</v>
      </c>
      <c r="I7215" t="n">
        <v>0</v>
      </c>
      <c r="J7215" t="n">
        <v>0</v>
      </c>
      <c r="K7215" t="n">
        <v>0</v>
      </c>
      <c r="L7215" t="n">
        <v>0</v>
      </c>
      <c r="M7215" t="n">
        <v>0</v>
      </c>
      <c r="N7215" t="n">
        <v>0</v>
      </c>
      <c r="O7215" t="n">
        <v>0</v>
      </c>
      <c r="P7215" t="n">
        <v>0</v>
      </c>
      <c r="Q7215" t="n">
        <v>0</v>
      </c>
      <c r="R7215" s="2" t="inlineStr"/>
    </row>
    <row r="7216" ht="15" customHeight="1">
      <c r="A7216" t="inlineStr">
        <is>
          <t>A 58277-2025</t>
        </is>
      </c>
      <c r="B7216" s="1" t="n">
        <v>45985.43519675926</v>
      </c>
      <c r="C7216" s="1" t="n">
        <v>46046</v>
      </c>
      <c r="D7216" t="inlineStr">
        <is>
          <t>NORRBOTTENS LÄN</t>
        </is>
      </c>
      <c r="E7216" t="inlineStr">
        <is>
          <t>KALIX</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63135-2025</t>
        </is>
      </c>
      <c r="B7217" s="1" t="n">
        <v>46010</v>
      </c>
      <c r="C7217" s="1" t="n">
        <v>46046</v>
      </c>
      <c r="D7217" t="inlineStr">
        <is>
          <t>NORRBOTTENS LÄN</t>
        </is>
      </c>
      <c r="E7217" t="inlineStr">
        <is>
          <t>ARVIDSJAUR</t>
        </is>
      </c>
      <c r="F7217" t="inlineStr">
        <is>
          <t>Allmännings- och besparingsskogar</t>
        </is>
      </c>
      <c r="G7217" t="n">
        <v>10.7</v>
      </c>
      <c r="H7217" t="n">
        <v>0</v>
      </c>
      <c r="I7217" t="n">
        <v>0</v>
      </c>
      <c r="J7217" t="n">
        <v>0</v>
      </c>
      <c r="K7217" t="n">
        <v>0</v>
      </c>
      <c r="L7217" t="n">
        <v>0</v>
      </c>
      <c r="M7217" t="n">
        <v>0</v>
      </c>
      <c r="N7217" t="n">
        <v>0</v>
      </c>
      <c r="O7217" t="n">
        <v>0</v>
      </c>
      <c r="P7217" t="n">
        <v>0</v>
      </c>
      <c r="Q7217" t="n">
        <v>0</v>
      </c>
      <c r="R7217" s="2" t="inlineStr"/>
    </row>
    <row r="7218" ht="15" customHeight="1">
      <c r="A7218" t="inlineStr">
        <is>
          <t>A 58049-2025</t>
        </is>
      </c>
      <c r="B7218" s="1" t="n">
        <v>45982.51090277778</v>
      </c>
      <c r="C7218" s="1" t="n">
        <v>46046</v>
      </c>
      <c r="D7218" t="inlineStr">
        <is>
          <t>NORRBOTTENS LÄN</t>
        </is>
      </c>
      <c r="E7218" t="inlineStr">
        <is>
          <t>LULEÅ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58333-2025</t>
        </is>
      </c>
      <c r="B7219" s="1" t="n">
        <v>45985.48043981481</v>
      </c>
      <c r="C7219" s="1" t="n">
        <v>46046</v>
      </c>
      <c r="D7219" t="inlineStr">
        <is>
          <t>NORRBOTTENS LÄN</t>
        </is>
      </c>
      <c r="E7219" t="inlineStr">
        <is>
          <t>KALIX</t>
        </is>
      </c>
      <c r="F7219" t="inlineStr">
        <is>
          <t>Kommuner</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64016-2025</t>
        </is>
      </c>
      <c r="B7220" s="1" t="n">
        <v>46021.44820601852</v>
      </c>
      <c r="C7220" s="1" t="n">
        <v>46046</v>
      </c>
      <c r="D7220" t="inlineStr">
        <is>
          <t>NORRBOTTENS LÄN</t>
        </is>
      </c>
      <c r="E7220" t="inlineStr">
        <is>
          <t>JOKKMOKK</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64027-2025</t>
        </is>
      </c>
      <c r="B7221" s="1" t="n">
        <v>46021.48355324074</v>
      </c>
      <c r="C7221" s="1" t="n">
        <v>46046</v>
      </c>
      <c r="D7221" t="inlineStr">
        <is>
          <t>NORRBOTTENS LÄN</t>
        </is>
      </c>
      <c r="E7221" t="inlineStr">
        <is>
          <t>KALIX</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58208-2025</t>
        </is>
      </c>
      <c r="B7222" s="1" t="n">
        <v>45985.31954861111</v>
      </c>
      <c r="C7222" s="1" t="n">
        <v>46046</v>
      </c>
      <c r="D7222" t="inlineStr">
        <is>
          <t>NORRBOTTENS LÄN</t>
        </is>
      </c>
      <c r="E7222" t="inlineStr">
        <is>
          <t>KALIX</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58466-2025</t>
        </is>
      </c>
      <c r="B7223" s="1" t="n">
        <v>45985</v>
      </c>
      <c r="C7223" s="1" t="n">
        <v>46046</v>
      </c>
      <c r="D7223" t="inlineStr">
        <is>
          <t>NORRBOTTENS LÄN</t>
        </is>
      </c>
      <c r="E7223" t="inlineStr">
        <is>
          <t>GÄLLIVARE</t>
        </is>
      </c>
      <c r="F7223" t="inlineStr">
        <is>
          <t>SCA</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315-2026</t>
        </is>
      </c>
      <c r="B7224" s="1" t="n">
        <v>46027.56204861111</v>
      </c>
      <c r="C7224" s="1" t="n">
        <v>46046</v>
      </c>
      <c r="D7224" t="inlineStr">
        <is>
          <t>NORRBOTTENS LÄN</t>
        </is>
      </c>
      <c r="E7224" t="inlineStr">
        <is>
          <t>LULEÅ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64113-2025</t>
        </is>
      </c>
      <c r="B7225" s="1" t="n">
        <v>46013</v>
      </c>
      <c r="C7225" s="1" t="n">
        <v>46046</v>
      </c>
      <c r="D7225" t="inlineStr">
        <is>
          <t>NORRBOTTENS LÄN</t>
        </is>
      </c>
      <c r="E7225" t="inlineStr">
        <is>
          <t>ARVIDSJAUR</t>
        </is>
      </c>
      <c r="G7225" t="n">
        <v>14.4</v>
      </c>
      <c r="H7225" t="n">
        <v>0</v>
      </c>
      <c r="I7225" t="n">
        <v>0</v>
      </c>
      <c r="J7225" t="n">
        <v>0</v>
      </c>
      <c r="K7225" t="n">
        <v>0</v>
      </c>
      <c r="L7225" t="n">
        <v>0</v>
      </c>
      <c r="M7225" t="n">
        <v>0</v>
      </c>
      <c r="N7225" t="n">
        <v>0</v>
      </c>
      <c r="O7225" t="n">
        <v>0</v>
      </c>
      <c r="P7225" t="n">
        <v>0</v>
      </c>
      <c r="Q7225" t="n">
        <v>0</v>
      </c>
      <c r="R7225" s="2" t="inlineStr"/>
    </row>
    <row r="7226" ht="15" customHeight="1">
      <c r="A7226" t="inlineStr">
        <is>
          <t>A 58790-2025</t>
        </is>
      </c>
      <c r="B7226" s="1" t="n">
        <v>45985</v>
      </c>
      <c r="C7226" s="1" t="n">
        <v>46046</v>
      </c>
      <c r="D7226" t="inlineStr">
        <is>
          <t>NORRBOTTENS LÄN</t>
        </is>
      </c>
      <c r="E7226" t="inlineStr">
        <is>
          <t>ÄLVSBYN</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58791-2025</t>
        </is>
      </c>
      <c r="B7227" s="1" t="n">
        <v>45985</v>
      </c>
      <c r="C7227" s="1" t="n">
        <v>46046</v>
      </c>
      <c r="D7227" t="inlineStr">
        <is>
          <t>NORRBOTTENS LÄN</t>
        </is>
      </c>
      <c r="E7227" t="inlineStr">
        <is>
          <t>ÄLVSBYN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58352-2025</t>
        </is>
      </c>
      <c r="B7228" s="1" t="n">
        <v>45985.51115740741</v>
      </c>
      <c r="C7228" s="1" t="n">
        <v>46046</v>
      </c>
      <c r="D7228" t="inlineStr">
        <is>
          <t>NORRBOTTENS LÄN</t>
        </is>
      </c>
      <c r="E7228" t="inlineStr">
        <is>
          <t>PITEÅ</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58393-2025</t>
        </is>
      </c>
      <c r="B7229" s="1" t="n">
        <v>45985.55239583334</v>
      </c>
      <c r="C7229" s="1" t="n">
        <v>46046</v>
      </c>
      <c r="D7229" t="inlineStr">
        <is>
          <t>NORRBOTTENS LÄN</t>
        </is>
      </c>
      <c r="E7229" t="inlineStr">
        <is>
          <t>ARVIDSJAUR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58375-2025</t>
        </is>
      </c>
      <c r="B7230" s="1" t="n">
        <v>45985.53173611111</v>
      </c>
      <c r="C7230" s="1" t="n">
        <v>46046</v>
      </c>
      <c r="D7230" t="inlineStr">
        <is>
          <t>NORRBOTTENS LÄN</t>
        </is>
      </c>
      <c r="E7230" t="inlineStr">
        <is>
          <t>PITEÅ</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58231-2025</t>
        </is>
      </c>
      <c r="B7231" s="1" t="n">
        <v>45985.38216435185</v>
      </c>
      <c r="C7231" s="1" t="n">
        <v>46046</v>
      </c>
      <c r="D7231" t="inlineStr">
        <is>
          <t>NORRBOTTENS LÄN</t>
        </is>
      </c>
      <c r="E7231" t="inlineStr">
        <is>
          <t>GÄLLIVARE</t>
        </is>
      </c>
      <c r="F7231" t="inlineStr">
        <is>
          <t>Sveaskog</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51655-2025</t>
        </is>
      </c>
      <c r="B7232" s="1" t="n">
        <v>45951</v>
      </c>
      <c r="C7232" s="1" t="n">
        <v>46046</v>
      </c>
      <c r="D7232" t="inlineStr">
        <is>
          <t>NORRBOTTENS LÄN</t>
        </is>
      </c>
      <c r="E7232" t="inlineStr">
        <is>
          <t>PITEÅ</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589-2026</t>
        </is>
      </c>
      <c r="B7233" s="1" t="n">
        <v>46029</v>
      </c>
      <c r="C7233" s="1" t="n">
        <v>46046</v>
      </c>
      <c r="D7233" t="inlineStr">
        <is>
          <t>NORRBOTTENS LÄN</t>
        </is>
      </c>
      <c r="E7233" t="inlineStr">
        <is>
          <t>KALIX</t>
        </is>
      </c>
      <c r="G7233" t="n">
        <v>11.9</v>
      </c>
      <c r="H7233" t="n">
        <v>0</v>
      </c>
      <c r="I7233" t="n">
        <v>0</v>
      </c>
      <c r="J7233" t="n">
        <v>0</v>
      </c>
      <c r="K7233" t="n">
        <v>0</v>
      </c>
      <c r="L7233" t="n">
        <v>0</v>
      </c>
      <c r="M7233" t="n">
        <v>0</v>
      </c>
      <c r="N7233" t="n">
        <v>0</v>
      </c>
      <c r="O7233" t="n">
        <v>0</v>
      </c>
      <c r="P7233" t="n">
        <v>0</v>
      </c>
      <c r="Q7233" t="n">
        <v>0</v>
      </c>
      <c r="R7233" s="2" t="inlineStr"/>
    </row>
    <row r="7234" ht="15" customHeight="1">
      <c r="A7234" t="inlineStr">
        <is>
          <t>A 729-2026</t>
        </is>
      </c>
      <c r="B7234" s="1" t="n">
        <v>46029.64608796296</v>
      </c>
      <c r="C7234" s="1" t="n">
        <v>46046</v>
      </c>
      <c r="D7234" t="inlineStr">
        <is>
          <t>NORRBOTTENS LÄN</t>
        </is>
      </c>
      <c r="E7234" t="inlineStr">
        <is>
          <t>BODEN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58993-2025</t>
        </is>
      </c>
      <c r="B7235" s="1" t="n">
        <v>45987</v>
      </c>
      <c r="C7235" s="1" t="n">
        <v>46046</v>
      </c>
      <c r="D7235" t="inlineStr">
        <is>
          <t>NORRBOTTENS LÄN</t>
        </is>
      </c>
      <c r="E7235" t="inlineStr">
        <is>
          <t>PITEÅ</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58848-2025</t>
        </is>
      </c>
      <c r="B7236" s="1" t="n">
        <v>45987.38778935185</v>
      </c>
      <c r="C7236" s="1" t="n">
        <v>46046</v>
      </c>
      <c r="D7236" t="inlineStr">
        <is>
          <t>NORRBOTTENS LÄN</t>
        </is>
      </c>
      <c r="E7236" t="inlineStr">
        <is>
          <t>ÄLVSBYN</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58851-2025</t>
        </is>
      </c>
      <c r="B7237" s="1" t="n">
        <v>45987.4022800926</v>
      </c>
      <c r="C7237" s="1" t="n">
        <v>46046</v>
      </c>
      <c r="D7237" t="inlineStr">
        <is>
          <t>NORRBOTTENS LÄN</t>
        </is>
      </c>
      <c r="E7237" t="inlineStr">
        <is>
          <t>HAPARANDA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10630-2025</t>
        </is>
      </c>
      <c r="B7238" s="1" t="n">
        <v>45721</v>
      </c>
      <c r="C7238" s="1" t="n">
        <v>46046</v>
      </c>
      <c r="D7238" t="inlineStr">
        <is>
          <t>NORRBOTTENS LÄN</t>
        </is>
      </c>
      <c r="E7238" t="inlineStr">
        <is>
          <t>JOKKMOKK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14869-2025</t>
        </is>
      </c>
      <c r="B7239" s="1" t="n">
        <v>45743</v>
      </c>
      <c r="C7239" s="1" t="n">
        <v>46046</v>
      </c>
      <c r="D7239" t="inlineStr">
        <is>
          <t>NORRBOTTENS LÄN</t>
        </is>
      </c>
      <c r="E7239" t="inlineStr">
        <is>
          <t>JOKKMOKK</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58629-2025</t>
        </is>
      </c>
      <c r="B7240" s="1" t="n">
        <v>45986.48284722222</v>
      </c>
      <c r="C7240" s="1" t="n">
        <v>46046</v>
      </c>
      <c r="D7240" t="inlineStr">
        <is>
          <t>NORRBOTTENS LÄN</t>
        </is>
      </c>
      <c r="E7240" t="inlineStr">
        <is>
          <t>ÖVERKALIX</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736-2026</t>
        </is>
      </c>
      <c r="B7241" s="1" t="n">
        <v>46029.6553125</v>
      </c>
      <c r="C7241" s="1" t="n">
        <v>46046</v>
      </c>
      <c r="D7241" t="inlineStr">
        <is>
          <t>NORRBOTTENS LÄN</t>
        </is>
      </c>
      <c r="E7241" t="inlineStr">
        <is>
          <t>BODEN</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58664-2025</t>
        </is>
      </c>
      <c r="B7242" s="1" t="n">
        <v>45986.53731481481</v>
      </c>
      <c r="C7242" s="1" t="n">
        <v>46046</v>
      </c>
      <c r="D7242" t="inlineStr">
        <is>
          <t>NORRBOTTENS LÄN</t>
        </is>
      </c>
      <c r="E7242" t="inlineStr">
        <is>
          <t>ÄLVSBYN</t>
        </is>
      </c>
      <c r="F7242" t="inlineStr">
        <is>
          <t>Sveaskog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58667-2025</t>
        </is>
      </c>
      <c r="B7243" s="1" t="n">
        <v>45986.5440162037</v>
      </c>
      <c r="C7243" s="1" t="n">
        <v>46046</v>
      </c>
      <c r="D7243" t="inlineStr">
        <is>
          <t>NORRBOTTENS LÄN</t>
        </is>
      </c>
      <c r="E7243" t="inlineStr">
        <is>
          <t>ARVIDSJAUR</t>
        </is>
      </c>
      <c r="F7243" t="inlineStr">
        <is>
          <t>Övriga Aktiebolag</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648-2026</t>
        </is>
      </c>
      <c r="B7244" s="1" t="n">
        <v>46029.57380787037</v>
      </c>
      <c r="C7244" s="1" t="n">
        <v>46046</v>
      </c>
      <c r="D7244" t="inlineStr">
        <is>
          <t>NORRBOTTENS LÄN</t>
        </is>
      </c>
      <c r="E7244" t="inlineStr">
        <is>
          <t>ÖVERKALIX</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604-2026</t>
        </is>
      </c>
      <c r="B7245" s="1" t="n">
        <v>46029</v>
      </c>
      <c r="C7245" s="1" t="n">
        <v>46046</v>
      </c>
      <c r="D7245" t="inlineStr">
        <is>
          <t>NORRBOTTENS LÄN</t>
        </is>
      </c>
      <c r="E7245" t="inlineStr">
        <is>
          <t>ÖVERKALIX</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605-2026</t>
        </is>
      </c>
      <c r="B7246" s="1" t="n">
        <v>46029.51079861111</v>
      </c>
      <c r="C7246" s="1" t="n">
        <v>46046</v>
      </c>
      <c r="D7246" t="inlineStr">
        <is>
          <t>NORRBOTTENS LÄN</t>
        </is>
      </c>
      <c r="E7246" t="inlineStr">
        <is>
          <t>ÖVERKALIX</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626-2026</t>
        </is>
      </c>
      <c r="B7247" s="1" t="n">
        <v>46029.55248842593</v>
      </c>
      <c r="C7247" s="1" t="n">
        <v>46046</v>
      </c>
      <c r="D7247" t="inlineStr">
        <is>
          <t>NORRBOTTENS LÄN</t>
        </is>
      </c>
      <c r="E7247" t="inlineStr">
        <is>
          <t>KALIX</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630-2026</t>
        </is>
      </c>
      <c r="B7248" s="1" t="n">
        <v>46029.55306712963</v>
      </c>
      <c r="C7248" s="1" t="n">
        <v>46046</v>
      </c>
      <c r="D7248" t="inlineStr">
        <is>
          <t>NORRBOTTENS LÄN</t>
        </is>
      </c>
      <c r="E7248" t="inlineStr">
        <is>
          <t>KALIX</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390-2026</t>
        </is>
      </c>
      <c r="B7249" s="1" t="n">
        <v>46028.22915509259</v>
      </c>
      <c r="C7249" s="1" t="n">
        <v>46046</v>
      </c>
      <c r="D7249" t="inlineStr">
        <is>
          <t>NORRBOTTENS LÄN</t>
        </is>
      </c>
      <c r="E7249" t="inlineStr">
        <is>
          <t>ARJEPLOG</t>
        </is>
      </c>
      <c r="G7249" t="n">
        <v>19.5</v>
      </c>
      <c r="H7249" t="n">
        <v>0</v>
      </c>
      <c r="I7249" t="n">
        <v>0</v>
      </c>
      <c r="J7249" t="n">
        <v>0</v>
      </c>
      <c r="K7249" t="n">
        <v>0</v>
      </c>
      <c r="L7249" t="n">
        <v>0</v>
      </c>
      <c r="M7249" t="n">
        <v>0</v>
      </c>
      <c r="N7249" t="n">
        <v>0</v>
      </c>
      <c r="O7249" t="n">
        <v>0</v>
      </c>
      <c r="P7249" t="n">
        <v>0</v>
      </c>
      <c r="Q7249" t="n">
        <v>0</v>
      </c>
      <c r="R7249" s="2" t="inlineStr"/>
    </row>
    <row r="7250" ht="15" customHeight="1">
      <c r="A7250" t="inlineStr">
        <is>
          <t>A 58710-2025</t>
        </is>
      </c>
      <c r="B7250" s="1" t="n">
        <v>45986.60693287037</v>
      </c>
      <c r="C7250" s="1" t="n">
        <v>46046</v>
      </c>
      <c r="D7250" t="inlineStr">
        <is>
          <t>NORRBOTTENS LÄN</t>
        </is>
      </c>
      <c r="E7250" t="inlineStr">
        <is>
          <t>HAPARANDA</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58701-2025</t>
        </is>
      </c>
      <c r="B7251" s="1" t="n">
        <v>45986.59315972222</v>
      </c>
      <c r="C7251" s="1" t="n">
        <v>46046</v>
      </c>
      <c r="D7251" t="inlineStr">
        <is>
          <t>NORRBOTTENS LÄN</t>
        </is>
      </c>
      <c r="E7251" t="inlineStr">
        <is>
          <t>PITEÅ</t>
        </is>
      </c>
      <c r="F7251" t="inlineStr">
        <is>
          <t>Sveaskog</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467-2026</t>
        </is>
      </c>
      <c r="B7252" s="1" t="n">
        <v>46029.38594907407</v>
      </c>
      <c r="C7252" s="1" t="n">
        <v>46046</v>
      </c>
      <c r="D7252" t="inlineStr">
        <is>
          <t>NORRBOTTENS LÄN</t>
        </is>
      </c>
      <c r="E7252" t="inlineStr">
        <is>
          <t>ARVIDSJAUR</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307-2026</t>
        </is>
      </c>
      <c r="B7253" s="1" t="n">
        <v>46027.55047453703</v>
      </c>
      <c r="C7253" s="1" t="n">
        <v>46046</v>
      </c>
      <c r="D7253" t="inlineStr">
        <is>
          <t>NORRBOTTENS LÄN</t>
        </is>
      </c>
      <c r="E7253" t="inlineStr">
        <is>
          <t>LULEÅ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22565-2025</t>
        </is>
      </c>
      <c r="B7254" s="1" t="n">
        <v>45786</v>
      </c>
      <c r="C7254" s="1" t="n">
        <v>46046</v>
      </c>
      <c r="D7254" t="inlineStr">
        <is>
          <t>NORRBOTTENS LÄN</t>
        </is>
      </c>
      <c r="E7254" t="inlineStr">
        <is>
          <t>ARVIDSJAUR</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58672-2025</t>
        </is>
      </c>
      <c r="B7255" s="1" t="n">
        <v>45986</v>
      </c>
      <c r="C7255" s="1" t="n">
        <v>46046</v>
      </c>
      <c r="D7255" t="inlineStr">
        <is>
          <t>NORRBOTTENS LÄN</t>
        </is>
      </c>
      <c r="E7255" t="inlineStr">
        <is>
          <t>BODEN</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672-2026</t>
        </is>
      </c>
      <c r="B7256" s="1" t="n">
        <v>46029.59305555555</v>
      </c>
      <c r="C7256" s="1" t="n">
        <v>46046</v>
      </c>
      <c r="D7256" t="inlineStr">
        <is>
          <t>NORRBOTTENS LÄN</t>
        </is>
      </c>
      <c r="E7256" t="inlineStr">
        <is>
          <t>BODEN</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58641-2025</t>
        </is>
      </c>
      <c r="B7257" s="1" t="n">
        <v>45986.49460648148</v>
      </c>
      <c r="C7257" s="1" t="n">
        <v>46046</v>
      </c>
      <c r="D7257" t="inlineStr">
        <is>
          <t>NORRBOTTENS LÄN</t>
        </is>
      </c>
      <c r="E7257" t="inlineStr">
        <is>
          <t>ÖVERKALIX</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58646-2025</t>
        </is>
      </c>
      <c r="B7258" s="1" t="n">
        <v>45986.49826388889</v>
      </c>
      <c r="C7258" s="1" t="n">
        <v>46046</v>
      </c>
      <c r="D7258" t="inlineStr">
        <is>
          <t>NORRBOTTENS LÄN</t>
        </is>
      </c>
      <c r="E7258" t="inlineStr">
        <is>
          <t>ÖVERKALIX</t>
        </is>
      </c>
      <c r="G7258" t="n">
        <v>16.1</v>
      </c>
      <c r="H7258" t="n">
        <v>0</v>
      </c>
      <c r="I7258" t="n">
        <v>0</v>
      </c>
      <c r="J7258" t="n">
        <v>0</v>
      </c>
      <c r="K7258" t="n">
        <v>0</v>
      </c>
      <c r="L7258" t="n">
        <v>0</v>
      </c>
      <c r="M7258" t="n">
        <v>0</v>
      </c>
      <c r="N7258" t="n">
        <v>0</v>
      </c>
      <c r="O7258" t="n">
        <v>0</v>
      </c>
      <c r="P7258" t="n">
        <v>0</v>
      </c>
      <c r="Q7258" t="n">
        <v>0</v>
      </c>
      <c r="R7258" s="2" t="inlineStr"/>
    </row>
    <row r="7259" ht="15" customHeight="1">
      <c r="A7259" t="inlineStr">
        <is>
          <t>A 305-2026</t>
        </is>
      </c>
      <c r="B7259" s="1" t="n">
        <v>46027</v>
      </c>
      <c r="C7259" s="1" t="n">
        <v>46046</v>
      </c>
      <c r="D7259" t="inlineStr">
        <is>
          <t>NORRBOTTENS LÄN</t>
        </is>
      </c>
      <c r="E7259" t="inlineStr">
        <is>
          <t>LULEÅ</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58982-2025</t>
        </is>
      </c>
      <c r="B7260" s="1" t="n">
        <v>45987</v>
      </c>
      <c r="C7260" s="1" t="n">
        <v>46046</v>
      </c>
      <c r="D7260" t="inlineStr">
        <is>
          <t>NORRBOTTENS LÄN</t>
        </is>
      </c>
      <c r="E7260" t="inlineStr">
        <is>
          <t>ÄLVSBYN</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58991-2025</t>
        </is>
      </c>
      <c r="B7261" s="1" t="n">
        <v>45987</v>
      </c>
      <c r="C7261" s="1" t="n">
        <v>46046</v>
      </c>
      <c r="D7261" t="inlineStr">
        <is>
          <t>NORRBOTTENS LÄN</t>
        </is>
      </c>
      <c r="E7261" t="inlineStr">
        <is>
          <t>GÄLLIVARE</t>
        </is>
      </c>
      <c r="F7261" t="inlineStr">
        <is>
          <t>Allmännings- och besparingsskogar</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563-2026</t>
        </is>
      </c>
      <c r="B7262" s="1" t="n">
        <v>46029</v>
      </c>
      <c r="C7262" s="1" t="n">
        <v>46046</v>
      </c>
      <c r="D7262" t="inlineStr">
        <is>
          <t>NORRBOTTENS LÄN</t>
        </is>
      </c>
      <c r="E7262" t="inlineStr">
        <is>
          <t>PAJALA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63373-2025</t>
        </is>
      </c>
      <c r="B7263" s="1" t="n">
        <v>46009</v>
      </c>
      <c r="C7263" s="1" t="n">
        <v>46046</v>
      </c>
      <c r="D7263" t="inlineStr">
        <is>
          <t>NORRBOTTENS LÄN</t>
        </is>
      </c>
      <c r="E7263" t="inlineStr">
        <is>
          <t>HAPARANDA</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58943-2025</t>
        </is>
      </c>
      <c r="B7264" s="1" t="n">
        <v>45987.57859953704</v>
      </c>
      <c r="C7264" s="1" t="n">
        <v>46046</v>
      </c>
      <c r="D7264" t="inlineStr">
        <is>
          <t>NORRBOTTENS LÄN</t>
        </is>
      </c>
      <c r="E7264" t="inlineStr">
        <is>
          <t>HAPARANDA</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58688-2025</t>
        </is>
      </c>
      <c r="B7265" s="1" t="n">
        <v>45986.57354166666</v>
      </c>
      <c r="C7265" s="1" t="n">
        <v>46046</v>
      </c>
      <c r="D7265" t="inlineStr">
        <is>
          <t>NORRBOTTENS LÄN</t>
        </is>
      </c>
      <c r="E7265" t="inlineStr">
        <is>
          <t>GÄLLIVARE</t>
        </is>
      </c>
      <c r="F7265" t="inlineStr">
        <is>
          <t>SCA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58601-2025</t>
        </is>
      </c>
      <c r="B7266" s="1" t="n">
        <v>45986.42760416667</v>
      </c>
      <c r="C7266" s="1" t="n">
        <v>46046</v>
      </c>
      <c r="D7266" t="inlineStr">
        <is>
          <t>NORRBOTTENS LÄN</t>
        </is>
      </c>
      <c r="E7266" t="inlineStr">
        <is>
          <t>PITEÅ</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58656-2025</t>
        </is>
      </c>
      <c r="B7267" s="1" t="n">
        <v>45986.52354166667</v>
      </c>
      <c r="C7267" s="1" t="n">
        <v>46046</v>
      </c>
      <c r="D7267" t="inlineStr">
        <is>
          <t>NORRBOTTENS LÄN</t>
        </is>
      </c>
      <c r="E7267" t="inlineStr">
        <is>
          <t>KALIX</t>
        </is>
      </c>
      <c r="F7267" t="inlineStr">
        <is>
          <t>Kommuner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58659-2025</t>
        </is>
      </c>
      <c r="B7268" s="1" t="n">
        <v>45986.52859953704</v>
      </c>
      <c r="C7268" s="1" t="n">
        <v>46046</v>
      </c>
      <c r="D7268" t="inlineStr">
        <is>
          <t>NORRBOTTENS LÄN</t>
        </is>
      </c>
      <c r="E7268" t="inlineStr">
        <is>
          <t>KALIX</t>
        </is>
      </c>
      <c r="F7268" t="inlineStr">
        <is>
          <t>Kommuner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58570-2025</t>
        </is>
      </c>
      <c r="B7269" s="1" t="n">
        <v>45986.37326388889</v>
      </c>
      <c r="C7269" s="1" t="n">
        <v>46046</v>
      </c>
      <c r="D7269" t="inlineStr">
        <is>
          <t>NORRBOTTENS LÄN</t>
        </is>
      </c>
      <c r="E7269" t="inlineStr">
        <is>
          <t>ARVIDSJAUR</t>
        </is>
      </c>
      <c r="F7269" t="inlineStr">
        <is>
          <t>Sveaskog</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58580-2025</t>
        </is>
      </c>
      <c r="B7270" s="1" t="n">
        <v>45986.38614583333</v>
      </c>
      <c r="C7270" s="1" t="n">
        <v>46046</v>
      </c>
      <c r="D7270" t="inlineStr">
        <is>
          <t>NORRBOTTENS LÄN</t>
        </is>
      </c>
      <c r="E7270" t="inlineStr">
        <is>
          <t>PITEÅ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183-2026</t>
        </is>
      </c>
      <c r="B7271" s="1" t="n">
        <v>46025</v>
      </c>
      <c r="C7271" s="1" t="n">
        <v>46046</v>
      </c>
      <c r="D7271" t="inlineStr">
        <is>
          <t>NORRBOTTENS LÄN</t>
        </is>
      </c>
      <c r="E7271" t="inlineStr">
        <is>
          <t>PAJALA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58609-2025</t>
        </is>
      </c>
      <c r="B7272" s="1" t="n">
        <v>45986</v>
      </c>
      <c r="C7272" s="1" t="n">
        <v>46046</v>
      </c>
      <c r="D7272" t="inlineStr">
        <is>
          <t>NORRBOTTENS LÄN</t>
        </is>
      </c>
      <c r="E7272" t="inlineStr">
        <is>
          <t>JOKKMOKK</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525-2026</t>
        </is>
      </c>
      <c r="B7273" s="1" t="n">
        <v>46029.44912037037</v>
      </c>
      <c r="C7273" s="1" t="n">
        <v>46046</v>
      </c>
      <c r="D7273" t="inlineStr">
        <is>
          <t>NORRBOTTENS LÄN</t>
        </is>
      </c>
      <c r="E7273" t="inlineStr">
        <is>
          <t>ÖVERKALIX</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58644-2025</t>
        </is>
      </c>
      <c r="B7274" s="1" t="n">
        <v>45986</v>
      </c>
      <c r="C7274" s="1" t="n">
        <v>46046</v>
      </c>
      <c r="D7274" t="inlineStr">
        <is>
          <t>NORRBOTTENS LÄN</t>
        </is>
      </c>
      <c r="E7274" t="inlineStr">
        <is>
          <t>ÖVERKALIX</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58793-2025</t>
        </is>
      </c>
      <c r="B7275" s="1" t="n">
        <v>45986</v>
      </c>
      <c r="C7275" s="1" t="n">
        <v>46046</v>
      </c>
      <c r="D7275" t="inlineStr">
        <is>
          <t>NORRBOTTENS LÄN</t>
        </is>
      </c>
      <c r="E7275" t="inlineStr">
        <is>
          <t>ARVIDSJAUR</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58660-2025</t>
        </is>
      </c>
      <c r="B7276" s="1" t="n">
        <v>45986</v>
      </c>
      <c r="C7276" s="1" t="n">
        <v>46046</v>
      </c>
      <c r="D7276" t="inlineStr">
        <is>
          <t>NORRBOTTENS LÄN</t>
        </is>
      </c>
      <c r="E7276" t="inlineStr">
        <is>
          <t>ÄLVSBYN</t>
        </is>
      </c>
      <c r="F7276" t="inlineStr">
        <is>
          <t>Sveaskog</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58662-2025</t>
        </is>
      </c>
      <c r="B7277" s="1" t="n">
        <v>45986</v>
      </c>
      <c r="C7277" s="1" t="n">
        <v>46046</v>
      </c>
      <c r="D7277" t="inlineStr">
        <is>
          <t>NORRBOTTENS LÄN</t>
        </is>
      </c>
      <c r="E7277" t="inlineStr">
        <is>
          <t>BODEN</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618-2026</t>
        </is>
      </c>
      <c r="B7278" s="1" t="n">
        <v>46029.54219907407</v>
      </c>
      <c r="C7278" s="1" t="n">
        <v>46046</v>
      </c>
      <c r="D7278" t="inlineStr">
        <is>
          <t>NORRBOTTENS LÄN</t>
        </is>
      </c>
      <c r="E7278" t="inlineStr">
        <is>
          <t>KALIX</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58794-2025</t>
        </is>
      </c>
      <c r="B7279" s="1" t="n">
        <v>45986</v>
      </c>
      <c r="C7279" s="1" t="n">
        <v>46046</v>
      </c>
      <c r="D7279" t="inlineStr">
        <is>
          <t>NORRBOTTENS LÄN</t>
        </is>
      </c>
      <c r="E7279" t="inlineStr">
        <is>
          <t>ARVIDSJAUR</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58624-2025</t>
        </is>
      </c>
      <c r="B7280" s="1" t="n">
        <v>45986.4734837963</v>
      </c>
      <c r="C7280" s="1" t="n">
        <v>46046</v>
      </c>
      <c r="D7280" t="inlineStr">
        <is>
          <t>NORRBOTTENS LÄN</t>
        </is>
      </c>
      <c r="E7280" t="inlineStr">
        <is>
          <t>HAPARANDA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1298-2026</t>
        </is>
      </c>
      <c r="B7281" s="1" t="n">
        <v>46031.52017361111</v>
      </c>
      <c r="C7281" s="1" t="n">
        <v>46046</v>
      </c>
      <c r="D7281" t="inlineStr">
        <is>
          <t>NORRBOTTENS LÄN</t>
        </is>
      </c>
      <c r="E7281" t="inlineStr">
        <is>
          <t>KALIX</t>
        </is>
      </c>
      <c r="G7281" t="n">
        <v>9.699999999999999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1002-2026</t>
        </is>
      </c>
      <c r="B7282" s="1" t="n">
        <v>46030</v>
      </c>
      <c r="C7282" s="1" t="n">
        <v>46046</v>
      </c>
      <c r="D7282" t="inlineStr">
        <is>
          <t>NORRBOTTENS LÄN</t>
        </is>
      </c>
      <c r="E7282" t="inlineStr">
        <is>
          <t>KALIX</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1044-2026</t>
        </is>
      </c>
      <c r="B7283" s="1" t="n">
        <v>46029</v>
      </c>
      <c r="C7283" s="1" t="n">
        <v>46046</v>
      </c>
      <c r="D7283" t="inlineStr">
        <is>
          <t>NORRBOTTENS LÄN</t>
        </is>
      </c>
      <c r="E7283" t="inlineStr">
        <is>
          <t>PAJALA</t>
        </is>
      </c>
      <c r="F7283" t="inlineStr">
        <is>
          <t>Allmännings- och besparingsskogar</t>
        </is>
      </c>
      <c r="G7283" t="n">
        <v>9.4</v>
      </c>
      <c r="H7283" t="n">
        <v>0</v>
      </c>
      <c r="I7283" t="n">
        <v>0</v>
      </c>
      <c r="J7283" t="n">
        <v>0</v>
      </c>
      <c r="K7283" t="n">
        <v>0</v>
      </c>
      <c r="L7283" t="n">
        <v>0</v>
      </c>
      <c r="M7283" t="n">
        <v>0</v>
      </c>
      <c r="N7283" t="n">
        <v>0</v>
      </c>
      <c r="O7283" t="n">
        <v>0</v>
      </c>
      <c r="P7283" t="n">
        <v>0</v>
      </c>
      <c r="Q7283" t="n">
        <v>0</v>
      </c>
      <c r="R7283" s="2" t="inlineStr"/>
    </row>
    <row r="7284" ht="15" customHeight="1">
      <c r="A7284" t="inlineStr">
        <is>
          <t>A 1086-2026</t>
        </is>
      </c>
      <c r="B7284" s="1" t="n">
        <v>46030.65734953704</v>
      </c>
      <c r="C7284" s="1" t="n">
        <v>46046</v>
      </c>
      <c r="D7284" t="inlineStr">
        <is>
          <t>NORRBOTTENS LÄN</t>
        </is>
      </c>
      <c r="E7284" t="inlineStr">
        <is>
          <t>GÄLLIVARE</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1087-2026</t>
        </is>
      </c>
      <c r="B7285" s="1" t="n">
        <v>46030.65747685185</v>
      </c>
      <c r="C7285" s="1" t="n">
        <v>46046</v>
      </c>
      <c r="D7285" t="inlineStr">
        <is>
          <t>NORRBOTTENS LÄN</t>
        </is>
      </c>
      <c r="E7285" t="inlineStr">
        <is>
          <t>GÄLLIVARE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59261-2025</t>
        </is>
      </c>
      <c r="B7286" s="1" t="n">
        <v>45988.65793981482</v>
      </c>
      <c r="C7286" s="1" t="n">
        <v>46046</v>
      </c>
      <c r="D7286" t="inlineStr">
        <is>
          <t>NORRBOTTENS LÄN</t>
        </is>
      </c>
      <c r="E7286" t="inlineStr">
        <is>
          <t>KALIX</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59263-2025</t>
        </is>
      </c>
      <c r="B7287" s="1" t="n">
        <v>45988.65805555556</v>
      </c>
      <c r="C7287" s="1" t="n">
        <v>46046</v>
      </c>
      <c r="D7287" t="inlineStr">
        <is>
          <t>NORRBOTTENS LÄN</t>
        </is>
      </c>
      <c r="E7287" t="inlineStr">
        <is>
          <t>BODEN</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59333-2025</t>
        </is>
      </c>
      <c r="B7288" s="1" t="n">
        <v>45989</v>
      </c>
      <c r="C7288" s="1" t="n">
        <v>46046</v>
      </c>
      <c r="D7288" t="inlineStr">
        <is>
          <t>NORRBOTTENS LÄN</t>
        </is>
      </c>
      <c r="E7288" t="inlineStr">
        <is>
          <t>PAJALA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59239-2025</t>
        </is>
      </c>
      <c r="B7289" s="1" t="n">
        <v>45988.63575231482</v>
      </c>
      <c r="C7289" s="1" t="n">
        <v>46046</v>
      </c>
      <c r="D7289" t="inlineStr">
        <is>
          <t>NORRBOTTENS LÄN</t>
        </is>
      </c>
      <c r="E7289" t="inlineStr">
        <is>
          <t>LULEÅ</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977-2026</t>
        </is>
      </c>
      <c r="B7290" s="1" t="n">
        <v>46030.57347222222</v>
      </c>
      <c r="C7290" s="1" t="n">
        <v>46046</v>
      </c>
      <c r="D7290" t="inlineStr">
        <is>
          <t>NORRBOTTENS LÄN</t>
        </is>
      </c>
      <c r="E7290" t="inlineStr">
        <is>
          <t>BODEN</t>
        </is>
      </c>
      <c r="F7290" t="inlineStr">
        <is>
          <t>SCA</t>
        </is>
      </c>
      <c r="G7290" t="n">
        <v>10.3</v>
      </c>
      <c r="H7290" t="n">
        <v>0</v>
      </c>
      <c r="I7290" t="n">
        <v>0</v>
      </c>
      <c r="J7290" t="n">
        <v>0</v>
      </c>
      <c r="K7290" t="n">
        <v>0</v>
      </c>
      <c r="L7290" t="n">
        <v>0</v>
      </c>
      <c r="M7290" t="n">
        <v>0</v>
      </c>
      <c r="N7290" t="n">
        <v>0</v>
      </c>
      <c r="O7290" t="n">
        <v>0</v>
      </c>
      <c r="P7290" t="n">
        <v>0</v>
      </c>
      <c r="Q7290" t="n">
        <v>0</v>
      </c>
      <c r="R7290" s="2" t="inlineStr"/>
    </row>
    <row r="7291" ht="15" customHeight="1">
      <c r="A7291" t="inlineStr">
        <is>
          <t>A 59292-2025</t>
        </is>
      </c>
      <c r="B7291" s="1" t="n">
        <v>45988</v>
      </c>
      <c r="C7291" s="1" t="n">
        <v>46046</v>
      </c>
      <c r="D7291" t="inlineStr">
        <is>
          <t>NORRBOTTENS LÄN</t>
        </is>
      </c>
      <c r="E7291" t="inlineStr">
        <is>
          <t>PITEÅ</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59498-2025</t>
        </is>
      </c>
      <c r="B7292" s="1" t="n">
        <v>45989.61618055555</v>
      </c>
      <c r="C7292" s="1" t="n">
        <v>46046</v>
      </c>
      <c r="D7292" t="inlineStr">
        <is>
          <t>NORRBOTTENS LÄN</t>
        </is>
      </c>
      <c r="E7292" t="inlineStr">
        <is>
          <t>PITEÅ</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1058-2026</t>
        </is>
      </c>
      <c r="B7293" s="1" t="n">
        <v>46029</v>
      </c>
      <c r="C7293" s="1" t="n">
        <v>46046</v>
      </c>
      <c r="D7293" t="inlineStr">
        <is>
          <t>NORRBOTTENS LÄN</t>
        </is>
      </c>
      <c r="E7293" t="inlineStr">
        <is>
          <t>PAJALA</t>
        </is>
      </c>
      <c r="F7293" t="inlineStr">
        <is>
          <t>Allmännings- och besparingsskogar</t>
        </is>
      </c>
      <c r="G7293" t="n">
        <v>12.2</v>
      </c>
      <c r="H7293" t="n">
        <v>0</v>
      </c>
      <c r="I7293" t="n">
        <v>0</v>
      </c>
      <c r="J7293" t="n">
        <v>0</v>
      </c>
      <c r="K7293" t="n">
        <v>0</v>
      </c>
      <c r="L7293" t="n">
        <v>0</v>
      </c>
      <c r="M7293" t="n">
        <v>0</v>
      </c>
      <c r="N7293" t="n">
        <v>0</v>
      </c>
      <c r="O7293" t="n">
        <v>0</v>
      </c>
      <c r="P7293" t="n">
        <v>0</v>
      </c>
      <c r="Q7293" t="n">
        <v>0</v>
      </c>
      <c r="R7293" s="2" t="inlineStr"/>
    </row>
    <row r="7294" ht="15" customHeight="1">
      <c r="A7294" t="inlineStr">
        <is>
          <t>A 1079-2026</t>
        </is>
      </c>
      <c r="B7294" s="1" t="n">
        <v>46030</v>
      </c>
      <c r="C7294" s="1" t="n">
        <v>46046</v>
      </c>
      <c r="D7294" t="inlineStr">
        <is>
          <t>NORRBOTTENS LÄN</t>
        </is>
      </c>
      <c r="E7294" t="inlineStr">
        <is>
          <t>PAJALA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1094-2026</t>
        </is>
      </c>
      <c r="B7295" s="1" t="n">
        <v>46029</v>
      </c>
      <c r="C7295" s="1" t="n">
        <v>46046</v>
      </c>
      <c r="D7295" t="inlineStr">
        <is>
          <t>NORRBOTTENS LÄN</t>
        </is>
      </c>
      <c r="E7295" t="inlineStr">
        <is>
          <t>PAJALA</t>
        </is>
      </c>
      <c r="F7295" t="inlineStr">
        <is>
          <t>Allmännings- och besparingsskogar</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59150-2025</t>
        </is>
      </c>
      <c r="B7296" s="1" t="n">
        <v>45988.53171296296</v>
      </c>
      <c r="C7296" s="1" t="n">
        <v>46046</v>
      </c>
      <c r="D7296" t="inlineStr">
        <is>
          <t>NORRBOTTENS LÄN</t>
        </is>
      </c>
      <c r="E7296" t="inlineStr">
        <is>
          <t>JOKKMOKK</t>
        </is>
      </c>
      <c r="F7296" t="inlineStr">
        <is>
          <t>SCA</t>
        </is>
      </c>
      <c r="G7296" t="n">
        <v>16.6</v>
      </c>
      <c r="H7296" t="n">
        <v>0</v>
      </c>
      <c r="I7296" t="n">
        <v>0</v>
      </c>
      <c r="J7296" t="n">
        <v>0</v>
      </c>
      <c r="K7296" t="n">
        <v>0</v>
      </c>
      <c r="L7296" t="n">
        <v>0</v>
      </c>
      <c r="M7296" t="n">
        <v>0</v>
      </c>
      <c r="N7296" t="n">
        <v>0</v>
      </c>
      <c r="O7296" t="n">
        <v>0</v>
      </c>
      <c r="P7296" t="n">
        <v>0</v>
      </c>
      <c r="Q7296" t="n">
        <v>0</v>
      </c>
      <c r="R7296" s="2" t="inlineStr"/>
    </row>
    <row r="7297" ht="15" customHeight="1">
      <c r="A7297" t="inlineStr">
        <is>
          <t>A 1163-2026</t>
        </is>
      </c>
      <c r="B7297" s="1" t="n">
        <v>46031.34038194444</v>
      </c>
      <c r="C7297" s="1" t="n">
        <v>46046</v>
      </c>
      <c r="D7297" t="inlineStr">
        <is>
          <t>NORRBOTTENS LÄN</t>
        </is>
      </c>
      <c r="E7297" t="inlineStr">
        <is>
          <t>PAJALA</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62198-2025</t>
        </is>
      </c>
      <c r="B7298" s="1" t="n">
        <v>46006</v>
      </c>
      <c r="C7298" s="1" t="n">
        <v>46046</v>
      </c>
      <c r="D7298" t="inlineStr">
        <is>
          <t>NORRBOTTENS LÄN</t>
        </is>
      </c>
      <c r="E7298" t="inlineStr">
        <is>
          <t>PITEÅ</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62214-2025</t>
        </is>
      </c>
      <c r="B7299" s="1" t="n">
        <v>46006</v>
      </c>
      <c r="C7299" s="1" t="n">
        <v>46046</v>
      </c>
      <c r="D7299" t="inlineStr">
        <is>
          <t>NORRBOTTENS LÄN</t>
        </is>
      </c>
      <c r="E7299" t="inlineStr">
        <is>
          <t>PITEÅ</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848-2026</t>
        </is>
      </c>
      <c r="B7300" s="1" t="n">
        <v>46030.38719907407</v>
      </c>
      <c r="C7300" s="1" t="n">
        <v>46046</v>
      </c>
      <c r="D7300" t="inlineStr">
        <is>
          <t>NORRBOTTENS LÄN</t>
        </is>
      </c>
      <c r="E7300" t="inlineStr">
        <is>
          <t>JOKKMOKK</t>
        </is>
      </c>
      <c r="F7300" t="inlineStr">
        <is>
          <t>SCA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20905-2025</t>
        </is>
      </c>
      <c r="B7301" s="1" t="n">
        <v>45777</v>
      </c>
      <c r="C7301" s="1" t="n">
        <v>46046</v>
      </c>
      <c r="D7301" t="inlineStr">
        <is>
          <t>NORRBOTTENS LÄN</t>
        </is>
      </c>
      <c r="E7301" t="inlineStr">
        <is>
          <t>ARJEPLOG</t>
        </is>
      </c>
      <c r="G7301" t="n">
        <v>10.6</v>
      </c>
      <c r="H7301" t="n">
        <v>0</v>
      </c>
      <c r="I7301" t="n">
        <v>0</v>
      </c>
      <c r="J7301" t="n">
        <v>0</v>
      </c>
      <c r="K7301" t="n">
        <v>0</v>
      </c>
      <c r="L7301" t="n">
        <v>0</v>
      </c>
      <c r="M7301" t="n">
        <v>0</v>
      </c>
      <c r="N7301" t="n">
        <v>0</v>
      </c>
      <c r="O7301" t="n">
        <v>0</v>
      </c>
      <c r="P7301" t="n">
        <v>0</v>
      </c>
      <c r="Q7301" t="n">
        <v>0</v>
      </c>
      <c r="R7301" s="2" t="inlineStr"/>
    </row>
    <row r="7302" ht="15" customHeight="1">
      <c r="A7302" t="inlineStr">
        <is>
          <t>A 60028-2025</t>
        </is>
      </c>
      <c r="B7302" s="1" t="n">
        <v>45993</v>
      </c>
      <c r="C7302" s="1" t="n">
        <v>46046</v>
      </c>
      <c r="D7302" t="inlineStr">
        <is>
          <t>NORRBOTTENS LÄN</t>
        </is>
      </c>
      <c r="E7302" t="inlineStr">
        <is>
          <t>JOKKMOKK</t>
        </is>
      </c>
      <c r="F7302" t="inlineStr">
        <is>
          <t>Övriga statliga verk och myndigheter</t>
        </is>
      </c>
      <c r="G7302" t="n">
        <v>15.8</v>
      </c>
      <c r="H7302" t="n">
        <v>0</v>
      </c>
      <c r="I7302" t="n">
        <v>0</v>
      </c>
      <c r="J7302" t="n">
        <v>0</v>
      </c>
      <c r="K7302" t="n">
        <v>0</v>
      </c>
      <c r="L7302" t="n">
        <v>0</v>
      </c>
      <c r="M7302" t="n">
        <v>0</v>
      </c>
      <c r="N7302" t="n">
        <v>0</v>
      </c>
      <c r="O7302" t="n">
        <v>0</v>
      </c>
      <c r="P7302" t="n">
        <v>0</v>
      </c>
      <c r="Q7302" t="n">
        <v>0</v>
      </c>
      <c r="R7302" s="2" t="inlineStr"/>
    </row>
    <row r="7303" ht="15" customHeight="1">
      <c r="A7303" t="inlineStr">
        <is>
          <t>A 885-2026</t>
        </is>
      </c>
      <c r="B7303" s="1" t="n">
        <v>46030.44842592593</v>
      </c>
      <c r="C7303" s="1" t="n">
        <v>46046</v>
      </c>
      <c r="D7303" t="inlineStr">
        <is>
          <t>NORRBOTTENS LÄN</t>
        </is>
      </c>
      <c r="E7303" t="inlineStr">
        <is>
          <t>LULEÅ</t>
        </is>
      </c>
      <c r="F7303" t="inlineStr">
        <is>
          <t>SCA</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1243-2026</t>
        </is>
      </c>
      <c r="B7304" s="1" t="n">
        <v>46031.42599537037</v>
      </c>
      <c r="C7304" s="1" t="n">
        <v>46046</v>
      </c>
      <c r="D7304" t="inlineStr">
        <is>
          <t>NORRBOTTENS LÄN</t>
        </is>
      </c>
      <c r="E7304" t="inlineStr">
        <is>
          <t>KALIX</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45376-2025</t>
        </is>
      </c>
      <c r="B7305" s="1" t="n">
        <v>45922</v>
      </c>
      <c r="C7305" s="1" t="n">
        <v>46046</v>
      </c>
      <c r="D7305" t="inlineStr">
        <is>
          <t>NORRBOTTENS LÄN</t>
        </is>
      </c>
      <c r="E7305" t="inlineStr">
        <is>
          <t>BODEN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59437-2025</t>
        </is>
      </c>
      <c r="B7306" s="1" t="n">
        <v>45989.556875</v>
      </c>
      <c r="C7306" s="1" t="n">
        <v>46046</v>
      </c>
      <c r="D7306" t="inlineStr">
        <is>
          <t>NORRBOTTENS LÄN</t>
        </is>
      </c>
      <c r="E7306" t="inlineStr">
        <is>
          <t>LULEÅ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59478-2025</t>
        </is>
      </c>
      <c r="B7307" s="1" t="n">
        <v>45989.58756944445</v>
      </c>
      <c r="C7307" s="1" t="n">
        <v>46046</v>
      </c>
      <c r="D7307" t="inlineStr">
        <is>
          <t>NORRBOTTENS LÄN</t>
        </is>
      </c>
      <c r="E7307" t="inlineStr">
        <is>
          <t>HAPARANDA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1185-2026</t>
        </is>
      </c>
      <c r="B7308" s="1" t="n">
        <v>46031.36267361111</v>
      </c>
      <c r="C7308" s="1" t="n">
        <v>46046</v>
      </c>
      <c r="D7308" t="inlineStr">
        <is>
          <t>NORRBOTTENS LÄN</t>
        </is>
      </c>
      <c r="E7308" t="inlineStr">
        <is>
          <t>PAJALA</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41595-2025</t>
        </is>
      </c>
      <c r="B7309" s="1" t="n">
        <v>45901.64849537037</v>
      </c>
      <c r="C7309" s="1" t="n">
        <v>46046</v>
      </c>
      <c r="D7309" t="inlineStr">
        <is>
          <t>NORRBOTTENS LÄN</t>
        </is>
      </c>
      <c r="E7309" t="inlineStr">
        <is>
          <t>BODEN</t>
        </is>
      </c>
      <c r="F7309" t="inlineStr">
        <is>
          <t>Sveaskog</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41598-2025</t>
        </is>
      </c>
      <c r="B7310" s="1" t="n">
        <v>45901.65390046296</v>
      </c>
      <c r="C7310" s="1" t="n">
        <v>46046</v>
      </c>
      <c r="D7310" t="inlineStr">
        <is>
          <t>NORRBOTTENS LÄN</t>
        </is>
      </c>
      <c r="E7310" t="inlineStr">
        <is>
          <t>BODEN</t>
        </is>
      </c>
      <c r="F7310" t="inlineStr">
        <is>
          <t>Sveaskog</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59069-2025</t>
        </is>
      </c>
      <c r="B7311" s="1" t="n">
        <v>45988.42171296296</v>
      </c>
      <c r="C7311" s="1" t="n">
        <v>46046</v>
      </c>
      <c r="D7311" t="inlineStr">
        <is>
          <t>NORRBOTTENS LÄN</t>
        </is>
      </c>
      <c r="E7311" t="inlineStr">
        <is>
          <t>BODEN</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59352-2025</t>
        </is>
      </c>
      <c r="B7312" s="1" t="n">
        <v>45989</v>
      </c>
      <c r="C7312" s="1" t="n">
        <v>46046</v>
      </c>
      <c r="D7312" t="inlineStr">
        <is>
          <t>NORRBOTTENS LÄN</t>
        </is>
      </c>
      <c r="E7312" t="inlineStr">
        <is>
          <t>KALIX</t>
        </is>
      </c>
      <c r="F7312" t="inlineStr">
        <is>
          <t>SCA</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928-2026</t>
        </is>
      </c>
      <c r="B7313" s="1" t="n">
        <v>46030.51109953703</v>
      </c>
      <c r="C7313" s="1" t="n">
        <v>46046</v>
      </c>
      <c r="D7313" t="inlineStr">
        <is>
          <t>NORRBOTTENS LÄN</t>
        </is>
      </c>
      <c r="E7313" t="inlineStr">
        <is>
          <t>BODEN</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59264-2025</t>
        </is>
      </c>
      <c r="B7314" s="1" t="n">
        <v>45988.65815972222</v>
      </c>
      <c r="C7314" s="1" t="n">
        <v>46046</v>
      </c>
      <c r="D7314" t="inlineStr">
        <is>
          <t>NORRBOTTENS LÄN</t>
        </is>
      </c>
      <c r="E7314" t="inlineStr">
        <is>
          <t>BODEN</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56073-2025</t>
        </is>
      </c>
      <c r="B7315" s="1" t="n">
        <v>45973</v>
      </c>
      <c r="C7315" s="1" t="n">
        <v>46046</v>
      </c>
      <c r="D7315" t="inlineStr">
        <is>
          <t>NORRBOTTENS LÄN</t>
        </is>
      </c>
      <c r="E7315" t="inlineStr">
        <is>
          <t>JOKKMOKK</t>
        </is>
      </c>
      <c r="F7315" t="inlineStr">
        <is>
          <t>Naturvårdsverket</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59484-2025</t>
        </is>
      </c>
      <c r="B7316" s="1" t="n">
        <v>45989.5925462963</v>
      </c>
      <c r="C7316" s="1" t="n">
        <v>46046</v>
      </c>
      <c r="D7316" t="inlineStr">
        <is>
          <t>NORRBOTTENS LÄN</t>
        </is>
      </c>
      <c r="E7316" t="inlineStr">
        <is>
          <t>ÄLVSBYN</t>
        </is>
      </c>
      <c r="G7316" t="n">
        <v>14.1</v>
      </c>
      <c r="H7316" t="n">
        <v>0</v>
      </c>
      <c r="I7316" t="n">
        <v>0</v>
      </c>
      <c r="J7316" t="n">
        <v>0</v>
      </c>
      <c r="K7316" t="n">
        <v>0</v>
      </c>
      <c r="L7316" t="n">
        <v>0</v>
      </c>
      <c r="M7316" t="n">
        <v>0</v>
      </c>
      <c r="N7316" t="n">
        <v>0</v>
      </c>
      <c r="O7316" t="n">
        <v>0</v>
      </c>
      <c r="P7316" t="n">
        <v>0</v>
      </c>
      <c r="Q7316" t="n">
        <v>0</v>
      </c>
      <c r="R7316" s="2" t="inlineStr"/>
    </row>
    <row r="7317" ht="15" customHeight="1">
      <c r="A7317" t="inlineStr">
        <is>
          <t>A 59032-2025</t>
        </is>
      </c>
      <c r="B7317" s="1" t="n">
        <v>45988</v>
      </c>
      <c r="C7317" s="1" t="n">
        <v>46046</v>
      </c>
      <c r="D7317" t="inlineStr">
        <is>
          <t>NORRBOTTENS LÄN</t>
        </is>
      </c>
      <c r="E7317" t="inlineStr">
        <is>
          <t>BODEN</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59035-2025</t>
        </is>
      </c>
      <c r="B7318" s="1" t="n">
        <v>45988.36314814815</v>
      </c>
      <c r="C7318" s="1" t="n">
        <v>46046</v>
      </c>
      <c r="D7318" t="inlineStr">
        <is>
          <t>NORRBOTTENS LÄN</t>
        </is>
      </c>
      <c r="E7318" t="inlineStr">
        <is>
          <t>BODEN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1039-2026</t>
        </is>
      </c>
      <c r="B7319" s="1" t="n">
        <v>46029</v>
      </c>
      <c r="C7319" s="1" t="n">
        <v>46046</v>
      </c>
      <c r="D7319" t="inlineStr">
        <is>
          <t>NORRBOTTENS LÄN</t>
        </is>
      </c>
      <c r="E7319" t="inlineStr">
        <is>
          <t>PAJALA</t>
        </is>
      </c>
      <c r="F7319" t="inlineStr">
        <is>
          <t>Allmännings- och besparingsskogar</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1116-2026</t>
        </is>
      </c>
      <c r="B7320" s="1" t="n">
        <v>46030</v>
      </c>
      <c r="C7320" s="1" t="n">
        <v>46046</v>
      </c>
      <c r="D7320" t="inlineStr">
        <is>
          <t>NORRBOTTENS LÄN</t>
        </is>
      </c>
      <c r="E7320" t="inlineStr">
        <is>
          <t>LULEÅ</t>
        </is>
      </c>
      <c r="G7320" t="n">
        <v>17.7</v>
      </c>
      <c r="H7320" t="n">
        <v>0</v>
      </c>
      <c r="I7320" t="n">
        <v>0</v>
      </c>
      <c r="J7320" t="n">
        <v>0</v>
      </c>
      <c r="K7320" t="n">
        <v>0</v>
      </c>
      <c r="L7320" t="n">
        <v>0</v>
      </c>
      <c r="M7320" t="n">
        <v>0</v>
      </c>
      <c r="N7320" t="n">
        <v>0</v>
      </c>
      <c r="O7320" t="n">
        <v>0</v>
      </c>
      <c r="P7320" t="n">
        <v>0</v>
      </c>
      <c r="Q7320" t="n">
        <v>0</v>
      </c>
      <c r="R7320" s="2" t="inlineStr"/>
    </row>
    <row r="7321" ht="15" customHeight="1">
      <c r="A7321" t="inlineStr">
        <is>
          <t>A 7083-2025</t>
        </is>
      </c>
      <c r="B7321" s="1" t="n">
        <v>45701</v>
      </c>
      <c r="C7321" s="1" t="n">
        <v>46046</v>
      </c>
      <c r="D7321" t="inlineStr">
        <is>
          <t>NORRBOTTENS LÄN</t>
        </is>
      </c>
      <c r="E7321" t="inlineStr">
        <is>
          <t>PITEÅ</t>
        </is>
      </c>
      <c r="G7321" t="n">
        <v>10.5</v>
      </c>
      <c r="H7321" t="n">
        <v>0</v>
      </c>
      <c r="I7321" t="n">
        <v>0</v>
      </c>
      <c r="J7321" t="n">
        <v>0</v>
      </c>
      <c r="K7321" t="n">
        <v>0</v>
      </c>
      <c r="L7321" t="n">
        <v>0</v>
      </c>
      <c r="M7321" t="n">
        <v>0</v>
      </c>
      <c r="N7321" t="n">
        <v>0</v>
      </c>
      <c r="O7321" t="n">
        <v>0</v>
      </c>
      <c r="P7321" t="n">
        <v>0</v>
      </c>
      <c r="Q7321" t="n">
        <v>0</v>
      </c>
      <c r="R7321" s="2" t="inlineStr"/>
    </row>
    <row r="7322" ht="15" customHeight="1">
      <c r="A7322" t="inlineStr">
        <is>
          <t>A 1242-2026</t>
        </is>
      </c>
      <c r="B7322" s="1" t="n">
        <v>46031.42508101852</v>
      </c>
      <c r="C7322" s="1" t="n">
        <v>46046</v>
      </c>
      <c r="D7322" t="inlineStr">
        <is>
          <t>NORRBOTTENS LÄN</t>
        </is>
      </c>
      <c r="E7322" t="inlineStr">
        <is>
          <t>KALIX</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8204-2025</t>
        </is>
      </c>
      <c r="B7323" s="1" t="n">
        <v>45708</v>
      </c>
      <c r="C7323" s="1" t="n">
        <v>46046</v>
      </c>
      <c r="D7323" t="inlineStr">
        <is>
          <t>NORRBOTTENS LÄN</t>
        </is>
      </c>
      <c r="E7323" t="inlineStr">
        <is>
          <t>LULEÅ</t>
        </is>
      </c>
      <c r="G7323" t="n">
        <v>10.7</v>
      </c>
      <c r="H7323" t="n">
        <v>0</v>
      </c>
      <c r="I7323" t="n">
        <v>0</v>
      </c>
      <c r="J7323" t="n">
        <v>0</v>
      </c>
      <c r="K7323" t="n">
        <v>0</v>
      </c>
      <c r="L7323" t="n">
        <v>0</v>
      </c>
      <c r="M7323" t="n">
        <v>0</v>
      </c>
      <c r="N7323" t="n">
        <v>0</v>
      </c>
      <c r="O7323" t="n">
        <v>0</v>
      </c>
      <c r="P7323" t="n">
        <v>0</v>
      </c>
      <c r="Q7323" t="n">
        <v>0</v>
      </c>
      <c r="R7323" s="2" t="inlineStr"/>
    </row>
    <row r="7324" ht="15" customHeight="1">
      <c r="A7324" t="inlineStr">
        <is>
          <t>A 60161-2025</t>
        </is>
      </c>
      <c r="B7324" s="1" t="n">
        <v>45994</v>
      </c>
      <c r="C7324" s="1" t="n">
        <v>46046</v>
      </c>
      <c r="D7324" t="inlineStr">
        <is>
          <t>NORRBOTTENS LÄN</t>
        </is>
      </c>
      <c r="E7324" t="inlineStr">
        <is>
          <t>JOKKMOKK</t>
        </is>
      </c>
      <c r="F7324" t="inlineStr">
        <is>
          <t>Övriga statliga verk och myndigheter</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59167-2025</t>
        </is>
      </c>
      <c r="B7325" s="1" t="n">
        <v>45988.56065972222</v>
      </c>
      <c r="C7325" s="1" t="n">
        <v>46046</v>
      </c>
      <c r="D7325" t="inlineStr">
        <is>
          <t>NORRBOTTENS LÄN</t>
        </is>
      </c>
      <c r="E7325" t="inlineStr">
        <is>
          <t>BODEN</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921-2026</t>
        </is>
      </c>
      <c r="B7326" s="1" t="n">
        <v>46030.49018518518</v>
      </c>
      <c r="C7326" s="1" t="n">
        <v>46046</v>
      </c>
      <c r="D7326" t="inlineStr">
        <is>
          <t>NORRBOTTENS LÄN</t>
        </is>
      </c>
      <c r="E7326" t="inlineStr">
        <is>
          <t>JOKKMOKK</t>
        </is>
      </c>
      <c r="F7326" t="inlineStr">
        <is>
          <t>SCA</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1304-2026</t>
        </is>
      </c>
      <c r="B7327" s="1" t="n">
        <v>46031</v>
      </c>
      <c r="C7327" s="1" t="n">
        <v>46046</v>
      </c>
      <c r="D7327" t="inlineStr">
        <is>
          <t>NORRBOTTENS LÄN</t>
        </is>
      </c>
      <c r="E7327" t="inlineStr">
        <is>
          <t>GÄLLIVARE</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901-2026</t>
        </is>
      </c>
      <c r="B7328" s="1" t="n">
        <v>46030.46947916667</v>
      </c>
      <c r="C7328" s="1" t="n">
        <v>46046</v>
      </c>
      <c r="D7328" t="inlineStr">
        <is>
          <t>NORRBOTTENS LÄN</t>
        </is>
      </c>
      <c r="E7328" t="inlineStr">
        <is>
          <t>BODEN</t>
        </is>
      </c>
      <c r="F7328" t="inlineStr">
        <is>
          <t>SCA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59514-2025</t>
        </is>
      </c>
      <c r="B7329" s="1" t="n">
        <v>45989.64967592592</v>
      </c>
      <c r="C7329" s="1" t="n">
        <v>46046</v>
      </c>
      <c r="D7329" t="inlineStr">
        <is>
          <t>NORRBOTTENS LÄN</t>
        </is>
      </c>
      <c r="E7329" t="inlineStr">
        <is>
          <t>LULEÅ</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59314-2025</t>
        </is>
      </c>
      <c r="B7330" s="1" t="n">
        <v>45989</v>
      </c>
      <c r="C7330" s="1" t="n">
        <v>46046</v>
      </c>
      <c r="D7330" t="inlineStr">
        <is>
          <t>NORRBOTTENS LÄN</t>
        </is>
      </c>
      <c r="E7330" t="inlineStr">
        <is>
          <t>PITEÅ</t>
        </is>
      </c>
      <c r="F7330" t="inlineStr">
        <is>
          <t>Sveaskog</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59315-2025</t>
        </is>
      </c>
      <c r="B7331" s="1" t="n">
        <v>45989.31907407408</v>
      </c>
      <c r="C7331" s="1" t="n">
        <v>46046</v>
      </c>
      <c r="D7331" t="inlineStr">
        <is>
          <t>NORRBOTTENS LÄN</t>
        </is>
      </c>
      <c r="E7331" t="inlineStr">
        <is>
          <t>PITEÅ</t>
        </is>
      </c>
      <c r="F7331" t="inlineStr">
        <is>
          <t>Sveaskog</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59422-2025</t>
        </is>
      </c>
      <c r="B7332" s="1" t="n">
        <v>45989.53226851852</v>
      </c>
      <c r="C7332" s="1" t="n">
        <v>46046</v>
      </c>
      <c r="D7332" t="inlineStr">
        <is>
          <t>NORRBOTTENS LÄN</t>
        </is>
      </c>
      <c r="E7332" t="inlineStr">
        <is>
          <t>PITEÅ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564-2026</t>
        </is>
      </c>
      <c r="B7333" s="1" t="n">
        <v>46029</v>
      </c>
      <c r="C7333" s="1" t="n">
        <v>46046</v>
      </c>
      <c r="D7333" t="inlineStr">
        <is>
          <t>NORRBOTTENS LÄN</t>
        </is>
      </c>
      <c r="E7333" t="inlineStr">
        <is>
          <t>BODEN</t>
        </is>
      </c>
      <c r="F7333" t="inlineStr">
        <is>
          <t>Naturvårdsverket</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40619-2022</t>
        </is>
      </c>
      <c r="B7334" s="1" t="n">
        <v>44823</v>
      </c>
      <c r="C7334" s="1" t="n">
        <v>46046</v>
      </c>
      <c r="D7334" t="inlineStr">
        <is>
          <t>NORRBOTTENS LÄN</t>
        </is>
      </c>
      <c r="E7334" t="inlineStr">
        <is>
          <t>ÖVERKALIX</t>
        </is>
      </c>
      <c r="F7334" t="inlineStr">
        <is>
          <t>SCA</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56332-2025</t>
        </is>
      </c>
      <c r="B7335" s="1" t="n">
        <v>45974</v>
      </c>
      <c r="C7335" s="1" t="n">
        <v>46046</v>
      </c>
      <c r="D7335" t="inlineStr">
        <is>
          <t>NORRBOTTENS LÄN</t>
        </is>
      </c>
      <c r="E7335" t="inlineStr">
        <is>
          <t>ARVIDSJAUR</t>
        </is>
      </c>
      <c r="G7335" t="n">
        <v>14.9</v>
      </c>
      <c r="H7335" t="n">
        <v>0</v>
      </c>
      <c r="I7335" t="n">
        <v>0</v>
      </c>
      <c r="J7335" t="n">
        <v>0</v>
      </c>
      <c r="K7335" t="n">
        <v>0</v>
      </c>
      <c r="L7335" t="n">
        <v>0</v>
      </c>
      <c r="M7335" t="n">
        <v>0</v>
      </c>
      <c r="N7335" t="n">
        <v>0</v>
      </c>
      <c r="O7335" t="n">
        <v>0</v>
      </c>
      <c r="P7335" t="n">
        <v>0</v>
      </c>
      <c r="Q7335" t="n">
        <v>0</v>
      </c>
      <c r="R7335" s="2" t="inlineStr"/>
    </row>
    <row r="7336" ht="15" customHeight="1">
      <c r="A7336" t="inlineStr">
        <is>
          <t>A 59121-2025</t>
        </is>
      </c>
      <c r="B7336" s="1" t="n">
        <v>45988.49179398148</v>
      </c>
      <c r="C7336" s="1" t="n">
        <v>46046</v>
      </c>
      <c r="D7336" t="inlineStr">
        <is>
          <t>NORRBOTTENS LÄN</t>
        </is>
      </c>
      <c r="E7336" t="inlineStr">
        <is>
          <t>PAJALA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40281-2022</t>
        </is>
      </c>
      <c r="B7337" s="1" t="n">
        <v>44820</v>
      </c>
      <c r="C7337" s="1" t="n">
        <v>46046</v>
      </c>
      <c r="D7337" t="inlineStr">
        <is>
          <t>NORRBOTTENS LÄN</t>
        </is>
      </c>
      <c r="E7337" t="inlineStr">
        <is>
          <t>ÖVERKALIX</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59262-2025</t>
        </is>
      </c>
      <c r="B7338" s="1" t="n">
        <v>45988.65796296296</v>
      </c>
      <c r="C7338" s="1" t="n">
        <v>46046</v>
      </c>
      <c r="D7338" t="inlineStr">
        <is>
          <t>NORRBOTTENS LÄN</t>
        </is>
      </c>
      <c r="E7338" t="inlineStr">
        <is>
          <t>KALIX</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62135-2025</t>
        </is>
      </c>
      <c r="B7339" s="1" t="n">
        <v>46006</v>
      </c>
      <c r="C7339" s="1" t="n">
        <v>46046</v>
      </c>
      <c r="D7339" t="inlineStr">
        <is>
          <t>NORRBOTTENS LÄN</t>
        </is>
      </c>
      <c r="E7339" t="inlineStr">
        <is>
          <t>LULEÅ</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53810-2025</t>
        </is>
      </c>
      <c r="B7340" s="1" t="n">
        <v>45960</v>
      </c>
      <c r="C7340" s="1" t="n">
        <v>46046</v>
      </c>
      <c r="D7340" t="inlineStr">
        <is>
          <t>NORRBOTTENS LÄN</t>
        </is>
      </c>
      <c r="E7340" t="inlineStr">
        <is>
          <t>ÖVERTORNEÅ</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59031-2025</t>
        </is>
      </c>
      <c r="B7341" s="1" t="n">
        <v>45988</v>
      </c>
      <c r="C7341" s="1" t="n">
        <v>46046</v>
      </c>
      <c r="D7341" t="inlineStr">
        <is>
          <t>NORRBOTTENS LÄN</t>
        </is>
      </c>
      <c r="E7341" t="inlineStr">
        <is>
          <t>BODEN</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59110-2025</t>
        </is>
      </c>
      <c r="B7342" s="1" t="n">
        <v>45988.47903935185</v>
      </c>
      <c r="C7342" s="1" t="n">
        <v>46046</v>
      </c>
      <c r="D7342" t="inlineStr">
        <is>
          <t>NORRBOTTENS LÄN</t>
        </is>
      </c>
      <c r="E7342" t="inlineStr">
        <is>
          <t>ÄLVSBYN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59202-2025</t>
        </is>
      </c>
      <c r="B7343" s="1" t="n">
        <v>45988.60349537037</v>
      </c>
      <c r="C7343" s="1" t="n">
        <v>46046</v>
      </c>
      <c r="D7343" t="inlineStr">
        <is>
          <t>NORRBOTTENS LÄN</t>
        </is>
      </c>
      <c r="E7343" t="inlineStr">
        <is>
          <t>ÖVERKALIX</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59220-2025</t>
        </is>
      </c>
      <c r="B7344" s="1" t="n">
        <v>45988</v>
      </c>
      <c r="C7344" s="1" t="n">
        <v>46046</v>
      </c>
      <c r="D7344" t="inlineStr">
        <is>
          <t>NORRBOTTENS LÄN</t>
        </is>
      </c>
      <c r="E7344" t="inlineStr">
        <is>
          <t>PITEÅ</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1088-2026</t>
        </is>
      </c>
      <c r="B7345" s="1" t="n">
        <v>46030.65751157407</v>
      </c>
      <c r="C7345" s="1" t="n">
        <v>46046</v>
      </c>
      <c r="D7345" t="inlineStr">
        <is>
          <t>NORRBOTTENS LÄN</t>
        </is>
      </c>
      <c r="E7345" t="inlineStr">
        <is>
          <t>GÄLLIVARE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1089-2026</t>
        </is>
      </c>
      <c r="B7346" s="1" t="n">
        <v>46030.65762731482</v>
      </c>
      <c r="C7346" s="1" t="n">
        <v>46046</v>
      </c>
      <c r="D7346" t="inlineStr">
        <is>
          <t>NORRBOTTENS LÄN</t>
        </is>
      </c>
      <c r="E7346" t="inlineStr">
        <is>
          <t>GÄLLIVARE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59277-2025</t>
        </is>
      </c>
      <c r="B7347" s="1" t="n">
        <v>45988</v>
      </c>
      <c r="C7347" s="1" t="n">
        <v>46046</v>
      </c>
      <c r="D7347" t="inlineStr">
        <is>
          <t>NORRBOTTENS LÄN</t>
        </is>
      </c>
      <c r="E7347" t="inlineStr">
        <is>
          <t>ARVIDSJAUR</t>
        </is>
      </c>
      <c r="F7347" t="inlineStr">
        <is>
          <t>Övriga Aktiebolag</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10908-2025</t>
        </is>
      </c>
      <c r="B7348" s="1" t="n">
        <v>45722</v>
      </c>
      <c r="C7348" s="1" t="n">
        <v>46046</v>
      </c>
      <c r="D7348" t="inlineStr">
        <is>
          <t>NORRBOTTENS LÄN</t>
        </is>
      </c>
      <c r="E7348" t="inlineStr">
        <is>
          <t>PAJALA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59421-2025</t>
        </is>
      </c>
      <c r="B7349" s="1" t="n">
        <v>45989</v>
      </c>
      <c r="C7349" s="1" t="n">
        <v>46046</v>
      </c>
      <c r="D7349" t="inlineStr">
        <is>
          <t>NORRBOTTENS LÄN</t>
        </is>
      </c>
      <c r="E7349" t="inlineStr">
        <is>
          <t>PITEÅ</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59074-2025</t>
        </is>
      </c>
      <c r="B7350" s="1" t="n">
        <v>45988.42763888889</v>
      </c>
      <c r="C7350" s="1" t="n">
        <v>46046</v>
      </c>
      <c r="D7350" t="inlineStr">
        <is>
          <t>NORRBOTTENS LÄN</t>
        </is>
      </c>
      <c r="E7350" t="inlineStr">
        <is>
          <t>JOKKMOKK</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59502-2025</t>
        </is>
      </c>
      <c r="B7351" s="1" t="n">
        <v>45989</v>
      </c>
      <c r="C7351" s="1" t="n">
        <v>46046</v>
      </c>
      <c r="D7351" t="inlineStr">
        <is>
          <t>NORRBOTTENS LÄN</t>
        </is>
      </c>
      <c r="E7351" t="inlineStr">
        <is>
          <t>LULEÅ</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58922-2025</t>
        </is>
      </c>
      <c r="B7352" s="1" t="n">
        <v>45986</v>
      </c>
      <c r="C7352" s="1" t="n">
        <v>46046</v>
      </c>
      <c r="D7352" t="inlineStr">
        <is>
          <t>NORRBOTTENS LÄN</t>
        </is>
      </c>
      <c r="E7352" t="inlineStr">
        <is>
          <t>GÄLLIVARE</t>
        </is>
      </c>
      <c r="F7352" t="inlineStr">
        <is>
          <t>Allmännings- och besparingsskogar</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1052-2026</t>
        </is>
      </c>
      <c r="B7353" s="1" t="n">
        <v>46029</v>
      </c>
      <c r="C7353" s="1" t="n">
        <v>46046</v>
      </c>
      <c r="D7353" t="inlineStr">
        <is>
          <t>NORRBOTTENS LÄN</t>
        </is>
      </c>
      <c r="E7353" t="inlineStr">
        <is>
          <t>PAJALA</t>
        </is>
      </c>
      <c r="F7353" t="inlineStr">
        <is>
          <t>Allmännings- och besparingsskogar</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62993-2025</t>
        </is>
      </c>
      <c r="B7354" s="1" t="n">
        <v>46009.53162037037</v>
      </c>
      <c r="C7354" s="1" t="n">
        <v>46046</v>
      </c>
      <c r="D7354" t="inlineStr">
        <is>
          <t>NORRBOTTENS LÄN</t>
        </is>
      </c>
      <c r="E7354" t="inlineStr">
        <is>
          <t>LULEÅ</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1193-2026</t>
        </is>
      </c>
      <c r="B7355" s="1" t="n">
        <v>46031.36753472222</v>
      </c>
      <c r="C7355" s="1" t="n">
        <v>46046</v>
      </c>
      <c r="D7355" t="inlineStr">
        <is>
          <t>NORRBOTTENS LÄN</t>
        </is>
      </c>
      <c r="E7355" t="inlineStr">
        <is>
          <t>PAJALA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705-2026</t>
        </is>
      </c>
      <c r="B7356" s="1" t="n">
        <v>46029</v>
      </c>
      <c r="C7356" s="1" t="n">
        <v>46046</v>
      </c>
      <c r="D7356" t="inlineStr">
        <is>
          <t>NORRBOTTENS LÄN</t>
        </is>
      </c>
      <c r="E7356" t="inlineStr">
        <is>
          <t>GÄLLIVARE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137-2026</t>
        </is>
      </c>
      <c r="B7357" s="1" t="n">
        <v>46020</v>
      </c>
      <c r="C7357" s="1" t="n">
        <v>46046</v>
      </c>
      <c r="D7357" t="inlineStr">
        <is>
          <t>NORRBOTTENS LÄN</t>
        </is>
      </c>
      <c r="E7357" t="inlineStr">
        <is>
          <t>LULEÅ</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1661-2026</t>
        </is>
      </c>
      <c r="B7358" s="1" t="n">
        <v>46034.55488425926</v>
      </c>
      <c r="C7358" s="1" t="n">
        <v>46046</v>
      </c>
      <c r="D7358" t="inlineStr">
        <is>
          <t>NORRBOTTENS LÄN</t>
        </is>
      </c>
      <c r="E7358" t="inlineStr">
        <is>
          <t>LULEÅ</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1662-2026</t>
        </is>
      </c>
      <c r="B7359" s="1" t="n">
        <v>46034.55679398148</v>
      </c>
      <c r="C7359" s="1" t="n">
        <v>46046</v>
      </c>
      <c r="D7359" t="inlineStr">
        <is>
          <t>NORRBOTTENS LÄN</t>
        </is>
      </c>
      <c r="E7359" t="inlineStr">
        <is>
          <t>BODEN</t>
        </is>
      </c>
      <c r="G7359" t="n">
        <v>26.5</v>
      </c>
      <c r="H7359" t="n">
        <v>0</v>
      </c>
      <c r="I7359" t="n">
        <v>0</v>
      </c>
      <c r="J7359" t="n">
        <v>0</v>
      </c>
      <c r="K7359" t="n">
        <v>0</v>
      </c>
      <c r="L7359" t="n">
        <v>0</v>
      </c>
      <c r="M7359" t="n">
        <v>0</v>
      </c>
      <c r="N7359" t="n">
        <v>0</v>
      </c>
      <c r="O7359" t="n">
        <v>0</v>
      </c>
      <c r="P7359" t="n">
        <v>0</v>
      </c>
      <c r="Q7359" t="n">
        <v>0</v>
      </c>
      <c r="R7359" s="2" t="inlineStr"/>
    </row>
    <row r="7360" ht="15" customHeight="1">
      <c r="A7360" t="inlineStr">
        <is>
          <t>A 1666-2026</t>
        </is>
      </c>
      <c r="B7360" s="1" t="n">
        <v>46034.55892361111</v>
      </c>
      <c r="C7360" s="1" t="n">
        <v>46046</v>
      </c>
      <c r="D7360" t="inlineStr">
        <is>
          <t>NORRBOTTENS LÄN</t>
        </is>
      </c>
      <c r="E7360" t="inlineStr">
        <is>
          <t>LULEÅ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60218-2025</t>
        </is>
      </c>
      <c r="B7361" s="1" t="n">
        <v>45993</v>
      </c>
      <c r="C7361" s="1" t="n">
        <v>46046</v>
      </c>
      <c r="D7361" t="inlineStr">
        <is>
          <t>NORRBOTTENS LÄN</t>
        </is>
      </c>
      <c r="E7361" t="inlineStr">
        <is>
          <t>BODEN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63182-2025</t>
        </is>
      </c>
      <c r="B7362" s="1" t="n">
        <v>46010</v>
      </c>
      <c r="C7362" s="1" t="n">
        <v>46046</v>
      </c>
      <c r="D7362" t="inlineStr">
        <is>
          <t>NORRBOTTENS LÄN</t>
        </is>
      </c>
      <c r="E7362" t="inlineStr">
        <is>
          <t>JOKKMOKK</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1707-2026</t>
        </is>
      </c>
      <c r="B7363" s="1" t="n">
        <v>46034.5994212963</v>
      </c>
      <c r="C7363" s="1" t="n">
        <v>46046</v>
      </c>
      <c r="D7363" t="inlineStr">
        <is>
          <t>NORRBOTTENS LÄN</t>
        </is>
      </c>
      <c r="E7363" t="inlineStr">
        <is>
          <t>ARVIDSJAUR</t>
        </is>
      </c>
      <c r="F7363" t="inlineStr">
        <is>
          <t>Allmännings- och besparingsskogar</t>
        </is>
      </c>
      <c r="G7363" t="n">
        <v>25.5</v>
      </c>
      <c r="H7363" t="n">
        <v>0</v>
      </c>
      <c r="I7363" t="n">
        <v>0</v>
      </c>
      <c r="J7363" t="n">
        <v>0</v>
      </c>
      <c r="K7363" t="n">
        <v>0</v>
      </c>
      <c r="L7363" t="n">
        <v>0</v>
      </c>
      <c r="M7363" t="n">
        <v>0</v>
      </c>
      <c r="N7363" t="n">
        <v>0</v>
      </c>
      <c r="O7363" t="n">
        <v>0</v>
      </c>
      <c r="P7363" t="n">
        <v>0</v>
      </c>
      <c r="Q7363" t="n">
        <v>0</v>
      </c>
      <c r="R7363" s="2" t="inlineStr"/>
    </row>
    <row r="7364" ht="15" customHeight="1">
      <c r="A7364" t="inlineStr">
        <is>
          <t>A 1530-2026</t>
        </is>
      </c>
      <c r="B7364" s="1" t="n">
        <v>46034.37177083334</v>
      </c>
      <c r="C7364" s="1" t="n">
        <v>46046</v>
      </c>
      <c r="D7364" t="inlineStr">
        <is>
          <t>NORRBOTTENS LÄN</t>
        </is>
      </c>
      <c r="E7364" t="inlineStr">
        <is>
          <t>ÖVERTORNEÅ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60011-2025</t>
        </is>
      </c>
      <c r="B7365" s="1" t="n">
        <v>45993.59430555555</v>
      </c>
      <c r="C7365" s="1" t="n">
        <v>46046</v>
      </c>
      <c r="D7365" t="inlineStr">
        <is>
          <t>NORRBOTTENS LÄN</t>
        </is>
      </c>
      <c r="E7365" t="inlineStr">
        <is>
          <t>ARVIDSJAUR</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59829-2025</t>
        </is>
      </c>
      <c r="B7366" s="1" t="n">
        <v>45992</v>
      </c>
      <c r="C7366" s="1" t="n">
        <v>46046</v>
      </c>
      <c r="D7366" t="inlineStr">
        <is>
          <t>NORRBOTTENS LÄN</t>
        </is>
      </c>
      <c r="E7366" t="inlineStr">
        <is>
          <t>ÖVERKALIX</t>
        </is>
      </c>
      <c r="F7366" t="inlineStr">
        <is>
          <t>SCA</t>
        </is>
      </c>
      <c r="G7366" t="n">
        <v>13.3</v>
      </c>
      <c r="H7366" t="n">
        <v>0</v>
      </c>
      <c r="I7366" t="n">
        <v>0</v>
      </c>
      <c r="J7366" t="n">
        <v>0</v>
      </c>
      <c r="K7366" t="n">
        <v>0</v>
      </c>
      <c r="L7366" t="n">
        <v>0</v>
      </c>
      <c r="M7366" t="n">
        <v>0</v>
      </c>
      <c r="N7366" t="n">
        <v>0</v>
      </c>
      <c r="O7366" t="n">
        <v>0</v>
      </c>
      <c r="P7366" t="n">
        <v>0</v>
      </c>
      <c r="Q7366" t="n">
        <v>0</v>
      </c>
      <c r="R7366" s="2" t="inlineStr"/>
    </row>
    <row r="7367" ht="15" customHeight="1">
      <c r="A7367" t="inlineStr">
        <is>
          <t>A 59661-2025</t>
        </is>
      </c>
      <c r="B7367" s="1" t="n">
        <v>45992</v>
      </c>
      <c r="C7367" s="1" t="n">
        <v>46046</v>
      </c>
      <c r="D7367" t="inlineStr">
        <is>
          <t>NORRBOTTENS LÄN</t>
        </is>
      </c>
      <c r="E7367" t="inlineStr">
        <is>
          <t>ÄLVSBYN</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59696-2025</t>
        </is>
      </c>
      <c r="B7368" s="1" t="n">
        <v>45992.49039351852</v>
      </c>
      <c r="C7368" s="1" t="n">
        <v>46046</v>
      </c>
      <c r="D7368" t="inlineStr">
        <is>
          <t>NORRBOTTENS LÄN</t>
        </is>
      </c>
      <c r="E7368" t="inlineStr">
        <is>
          <t>ÄLVSBYN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1444-2026</t>
        </is>
      </c>
      <c r="B7369" s="1" t="n">
        <v>46032.68081018519</v>
      </c>
      <c r="C7369" s="1" t="n">
        <v>46046</v>
      </c>
      <c r="D7369" t="inlineStr">
        <is>
          <t>NORRBOTTENS LÄN</t>
        </is>
      </c>
      <c r="E7369" t="inlineStr">
        <is>
          <t>ÖVERTORNEÅ</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59983-2025</t>
        </is>
      </c>
      <c r="B7370" s="1" t="n">
        <v>45993.54071759259</v>
      </c>
      <c r="C7370" s="1" t="n">
        <v>46046</v>
      </c>
      <c r="D7370" t="inlineStr">
        <is>
          <t>NORRBOTTENS LÄN</t>
        </is>
      </c>
      <c r="E7370" t="inlineStr">
        <is>
          <t>KALIX</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59984-2025</t>
        </is>
      </c>
      <c r="B7371" s="1" t="n">
        <v>45993.54810185185</v>
      </c>
      <c r="C7371" s="1" t="n">
        <v>46046</v>
      </c>
      <c r="D7371" t="inlineStr">
        <is>
          <t>NORRBOTTENS LÄN</t>
        </is>
      </c>
      <c r="E7371" t="inlineStr">
        <is>
          <t>JOKKMOKK</t>
        </is>
      </c>
      <c r="F7371" t="inlineStr">
        <is>
          <t>Allmännings- och besparingsskogar</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60000-2025</t>
        </is>
      </c>
      <c r="B7372" s="1" t="n">
        <v>45993.57403935185</v>
      </c>
      <c r="C7372" s="1" t="n">
        <v>46046</v>
      </c>
      <c r="D7372" t="inlineStr">
        <is>
          <t>NORRBOTTENS LÄN</t>
        </is>
      </c>
      <c r="E7372" t="inlineStr">
        <is>
          <t>ARVIDSJAUR</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60001-2025</t>
        </is>
      </c>
      <c r="B7373" s="1" t="n">
        <v>45992</v>
      </c>
      <c r="C7373" s="1" t="n">
        <v>46046</v>
      </c>
      <c r="D7373" t="inlineStr">
        <is>
          <t>NORRBOTTENS LÄN</t>
        </is>
      </c>
      <c r="E7373" t="inlineStr">
        <is>
          <t>LULEÅ</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59897-2025</t>
        </is>
      </c>
      <c r="B7374" s="1" t="n">
        <v>45993</v>
      </c>
      <c r="C7374" s="1" t="n">
        <v>46046</v>
      </c>
      <c r="D7374" t="inlineStr">
        <is>
          <t>NORRBOTTENS LÄN</t>
        </is>
      </c>
      <c r="E7374" t="inlineStr">
        <is>
          <t>ÖVERKALIX</t>
        </is>
      </c>
      <c r="F7374" t="inlineStr">
        <is>
          <t>SCA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59731-2025</t>
        </is>
      </c>
      <c r="B7375" s="1" t="n">
        <v>45992.56959490741</v>
      </c>
      <c r="C7375" s="1" t="n">
        <v>46046</v>
      </c>
      <c r="D7375" t="inlineStr">
        <is>
          <t>NORRBOTTENS LÄN</t>
        </is>
      </c>
      <c r="E7375" t="inlineStr">
        <is>
          <t>LULEÅ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1859-2026</t>
        </is>
      </c>
      <c r="B7376" s="1" t="n">
        <v>46035.43523148148</v>
      </c>
      <c r="C7376" s="1" t="n">
        <v>46046</v>
      </c>
      <c r="D7376" t="inlineStr">
        <is>
          <t>NORRBOTTENS LÄN</t>
        </is>
      </c>
      <c r="E7376" t="inlineStr">
        <is>
          <t>ÖVERTORNEÅ</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62291-2025</t>
        </is>
      </c>
      <c r="B7377" s="1" t="n">
        <v>46006</v>
      </c>
      <c r="C7377" s="1" t="n">
        <v>46046</v>
      </c>
      <c r="D7377" t="inlineStr">
        <is>
          <t>NORRBOTTENS LÄN</t>
        </is>
      </c>
      <c r="E7377" t="inlineStr">
        <is>
          <t>PITEÅ</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1558-2026</t>
        </is>
      </c>
      <c r="B7378" s="1" t="n">
        <v>46034.39107638889</v>
      </c>
      <c r="C7378" s="1" t="n">
        <v>46046</v>
      </c>
      <c r="D7378" t="inlineStr">
        <is>
          <t>NORRBOTTENS LÄN</t>
        </is>
      </c>
      <c r="E7378" t="inlineStr">
        <is>
          <t>ÖVERTORNEÅ</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59599-2025</t>
        </is>
      </c>
      <c r="B7379" s="1" t="n">
        <v>45992</v>
      </c>
      <c r="C7379" s="1" t="n">
        <v>46046</v>
      </c>
      <c r="D7379" t="inlineStr">
        <is>
          <t>NORRBOTTENS LÄN</t>
        </is>
      </c>
      <c r="E7379" t="inlineStr">
        <is>
          <t>LULEÅ</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63371-2025</t>
        </is>
      </c>
      <c r="B7380" s="1" t="n">
        <v>46009</v>
      </c>
      <c r="C7380" s="1" t="n">
        <v>46046</v>
      </c>
      <c r="D7380" t="inlineStr">
        <is>
          <t>NORRBOTTENS LÄN</t>
        </is>
      </c>
      <c r="E7380" t="inlineStr">
        <is>
          <t>HAPARANDA</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1835-2026</t>
        </is>
      </c>
      <c r="B7381" s="1" t="n">
        <v>46035.38630787037</v>
      </c>
      <c r="C7381" s="1" t="n">
        <v>46046</v>
      </c>
      <c r="D7381" t="inlineStr">
        <is>
          <t>NORRBOTTENS LÄN</t>
        </is>
      </c>
      <c r="E7381" t="inlineStr">
        <is>
          <t>PAJALA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59671-2025</t>
        </is>
      </c>
      <c r="B7382" s="1" t="n">
        <v>45992.45798611111</v>
      </c>
      <c r="C7382" s="1" t="n">
        <v>46046</v>
      </c>
      <c r="D7382" t="inlineStr">
        <is>
          <t>NORRBOTTENS LÄN</t>
        </is>
      </c>
      <c r="E7382" t="inlineStr">
        <is>
          <t>LULEÅ</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59616-2025</t>
        </is>
      </c>
      <c r="B7383" s="1" t="n">
        <v>45992</v>
      </c>
      <c r="C7383" s="1" t="n">
        <v>46046</v>
      </c>
      <c r="D7383" t="inlineStr">
        <is>
          <t>NORRBOTTENS LÄN</t>
        </is>
      </c>
      <c r="E7383" t="inlineStr">
        <is>
          <t>LULEÅ</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59622-2025</t>
        </is>
      </c>
      <c r="B7384" s="1" t="n">
        <v>45992</v>
      </c>
      <c r="C7384" s="1" t="n">
        <v>46046</v>
      </c>
      <c r="D7384" t="inlineStr">
        <is>
          <t>NORRBOTTENS LÄN</t>
        </is>
      </c>
      <c r="E7384" t="inlineStr">
        <is>
          <t>BODEN</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1834-2026</t>
        </is>
      </c>
      <c r="B7385" s="1" t="n">
        <v>46035</v>
      </c>
      <c r="C7385" s="1" t="n">
        <v>46046</v>
      </c>
      <c r="D7385" t="inlineStr">
        <is>
          <t>NORRBOTTENS LÄN</t>
        </is>
      </c>
      <c r="E7385" t="inlineStr">
        <is>
          <t>GÄLLIVARE</t>
        </is>
      </c>
      <c r="G7385" t="n">
        <v>17.4</v>
      </c>
      <c r="H7385" t="n">
        <v>0</v>
      </c>
      <c r="I7385" t="n">
        <v>0</v>
      </c>
      <c r="J7385" t="n">
        <v>0</v>
      </c>
      <c r="K7385" t="n">
        <v>0</v>
      </c>
      <c r="L7385" t="n">
        <v>0</v>
      </c>
      <c r="M7385" t="n">
        <v>0</v>
      </c>
      <c r="N7385" t="n">
        <v>0</v>
      </c>
      <c r="O7385" t="n">
        <v>0</v>
      </c>
      <c r="P7385" t="n">
        <v>0</v>
      </c>
      <c r="Q7385" t="n">
        <v>0</v>
      </c>
      <c r="R7385" s="2" t="inlineStr"/>
    </row>
    <row r="7386" ht="15" customHeight="1">
      <c r="A7386" t="inlineStr">
        <is>
          <t>A 1779-2026</t>
        </is>
      </c>
      <c r="B7386" s="1" t="n">
        <v>46034</v>
      </c>
      <c r="C7386" s="1" t="n">
        <v>46046</v>
      </c>
      <c r="D7386" t="inlineStr">
        <is>
          <t>NORRBOTTENS LÄN</t>
        </is>
      </c>
      <c r="E7386" t="inlineStr">
        <is>
          <t>ÖVERTORNEÅ</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1569-2026</t>
        </is>
      </c>
      <c r="B7387" s="1" t="n">
        <v>46034</v>
      </c>
      <c r="C7387" s="1" t="n">
        <v>46046</v>
      </c>
      <c r="D7387" t="inlineStr">
        <is>
          <t>NORRBOTTENS LÄN</t>
        </is>
      </c>
      <c r="E7387" t="inlineStr">
        <is>
          <t>ÄLVSBYN</t>
        </is>
      </c>
      <c r="F7387" t="inlineStr">
        <is>
          <t>SCA</t>
        </is>
      </c>
      <c r="G7387" t="n">
        <v>6.7</v>
      </c>
      <c r="H7387" t="n">
        <v>0</v>
      </c>
      <c r="I7387" t="n">
        <v>0</v>
      </c>
      <c r="J7387" t="n">
        <v>0</v>
      </c>
      <c r="K7387" t="n">
        <v>0</v>
      </c>
      <c r="L7387" t="n">
        <v>0</v>
      </c>
      <c r="M7387" t="n">
        <v>0</v>
      </c>
      <c r="N7387" t="n">
        <v>0</v>
      </c>
      <c r="O7387" t="n">
        <v>0</v>
      </c>
      <c r="P7387" t="n">
        <v>0</v>
      </c>
      <c r="Q7387" t="n">
        <v>0</v>
      </c>
      <c r="R7387" s="2" t="inlineStr"/>
    </row>
    <row r="7388" ht="15" customHeight="1">
      <c r="A7388" t="inlineStr">
        <is>
          <t>A 1493-2026</t>
        </is>
      </c>
      <c r="B7388" s="1" t="n">
        <v>46034</v>
      </c>
      <c r="C7388" s="1" t="n">
        <v>46046</v>
      </c>
      <c r="D7388" t="inlineStr">
        <is>
          <t>NORRBOTTENS LÄN</t>
        </is>
      </c>
      <c r="E7388" t="inlineStr">
        <is>
          <t>ARVIDSJAUR</t>
        </is>
      </c>
      <c r="F7388" t="inlineStr">
        <is>
          <t>Sveaskog</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59980-2025</t>
        </is>
      </c>
      <c r="B7389" s="1" t="n">
        <v>45993.5291087963</v>
      </c>
      <c r="C7389" s="1" t="n">
        <v>46046</v>
      </c>
      <c r="D7389" t="inlineStr">
        <is>
          <t>NORRBOTTENS LÄN</t>
        </is>
      </c>
      <c r="E7389" t="inlineStr">
        <is>
          <t>KALIX</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59726-2025</t>
        </is>
      </c>
      <c r="B7390" s="1" t="n">
        <v>45992</v>
      </c>
      <c r="C7390" s="1" t="n">
        <v>46046</v>
      </c>
      <c r="D7390" t="inlineStr">
        <is>
          <t>NORRBOTTENS LÄN</t>
        </is>
      </c>
      <c r="E7390" t="inlineStr">
        <is>
          <t>ÄLVSBYN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62673-2025</t>
        </is>
      </c>
      <c r="B7391" s="1" t="n">
        <v>46008.44835648148</v>
      </c>
      <c r="C7391" s="1" t="n">
        <v>46046</v>
      </c>
      <c r="D7391" t="inlineStr">
        <is>
          <t>NORRBOTTENS LÄN</t>
        </is>
      </c>
      <c r="E7391" t="inlineStr">
        <is>
          <t>BODEN</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1572-2026</t>
        </is>
      </c>
      <c r="B7392" s="1" t="n">
        <v>46034</v>
      </c>
      <c r="C7392" s="1" t="n">
        <v>46046</v>
      </c>
      <c r="D7392" t="inlineStr">
        <is>
          <t>NORRBOTTENS LÄN</t>
        </is>
      </c>
      <c r="E7392" t="inlineStr">
        <is>
          <t>PAJALA</t>
        </is>
      </c>
      <c r="G7392" t="n">
        <v>8.699999999999999</v>
      </c>
      <c r="H7392" t="n">
        <v>0</v>
      </c>
      <c r="I7392" t="n">
        <v>0</v>
      </c>
      <c r="J7392" t="n">
        <v>0</v>
      </c>
      <c r="K7392" t="n">
        <v>0</v>
      </c>
      <c r="L7392" t="n">
        <v>0</v>
      </c>
      <c r="M7392" t="n">
        <v>0</v>
      </c>
      <c r="N7392" t="n">
        <v>0</v>
      </c>
      <c r="O7392" t="n">
        <v>0</v>
      </c>
      <c r="P7392" t="n">
        <v>0</v>
      </c>
      <c r="Q7392" t="n">
        <v>0</v>
      </c>
      <c r="R7392" s="2" t="inlineStr"/>
      <c r="U7392">
        <f>HYPERLINK("https://klasma.github.io/Logging_2521/knärot/A 1572-2026 karta knärot.png", "A 1572-2026")</f>
        <v/>
      </c>
      <c r="V7392">
        <f>HYPERLINK("https://klasma.github.io/Logging_2521/klagomål/A 1572-2026 FSC-klagomål.docx", "A 1572-2026")</f>
        <v/>
      </c>
      <c r="W7392">
        <f>HYPERLINK("https://klasma.github.io/Logging_2521/klagomålsmail/A 1572-2026 FSC-klagomål mail.docx", "A 1572-2026")</f>
        <v/>
      </c>
      <c r="X7392">
        <f>HYPERLINK("https://klasma.github.io/Logging_2521/tillsyn/A 1572-2026 tillsynsbegäran.docx", "A 1572-2026")</f>
        <v/>
      </c>
      <c r="Y7392">
        <f>HYPERLINK("https://klasma.github.io/Logging_2521/tillsynsmail/A 1572-2026 tillsynsbegäran mail.docx", "A 1572-2026")</f>
        <v/>
      </c>
    </row>
    <row r="7393" ht="15" customHeight="1">
      <c r="A7393" t="inlineStr">
        <is>
          <t>A 1620-2026</t>
        </is>
      </c>
      <c r="B7393" s="1" t="n">
        <v>46034.47487268518</v>
      </c>
      <c r="C7393" s="1" t="n">
        <v>46046</v>
      </c>
      <c r="D7393" t="inlineStr">
        <is>
          <t>NORRBOTTENS LÄN</t>
        </is>
      </c>
      <c r="E7393" t="inlineStr">
        <is>
          <t>ARVIDSJAUR</t>
        </is>
      </c>
      <c r="F7393" t="inlineStr">
        <is>
          <t>Allmännings- och besparingsskogar</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1782-2026</t>
        </is>
      </c>
      <c r="B7394" s="1" t="n">
        <v>46034</v>
      </c>
      <c r="C7394" s="1" t="n">
        <v>46046</v>
      </c>
      <c r="D7394" t="inlineStr">
        <is>
          <t>NORRBOTTENS LÄN</t>
        </is>
      </c>
      <c r="E7394" t="inlineStr">
        <is>
          <t>ÖVERTORNEÅ</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14187-2025</t>
        </is>
      </c>
      <c r="B7395" s="1" t="n">
        <v>45740</v>
      </c>
      <c r="C7395" s="1" t="n">
        <v>46046</v>
      </c>
      <c r="D7395" t="inlineStr">
        <is>
          <t>NORRBOTTENS LÄN</t>
        </is>
      </c>
      <c r="E7395" t="inlineStr">
        <is>
          <t>LULEÅ</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14193-2025</t>
        </is>
      </c>
      <c r="B7396" s="1" t="n">
        <v>45740</v>
      </c>
      <c r="C7396" s="1" t="n">
        <v>46046</v>
      </c>
      <c r="D7396" t="inlineStr">
        <is>
          <t>NORRBOTTENS LÄN</t>
        </is>
      </c>
      <c r="E7396" t="inlineStr">
        <is>
          <t>LULEÅ</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14195-2025</t>
        </is>
      </c>
      <c r="B7397" s="1" t="n">
        <v>45740</v>
      </c>
      <c r="C7397" s="1" t="n">
        <v>46046</v>
      </c>
      <c r="D7397" t="inlineStr">
        <is>
          <t>NORRBOTTENS LÄN</t>
        </is>
      </c>
      <c r="E7397" t="inlineStr">
        <is>
          <t>LULEÅ</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60076-2025</t>
        </is>
      </c>
      <c r="B7398" s="1" t="n">
        <v>45993</v>
      </c>
      <c r="C7398" s="1" t="n">
        <v>46046</v>
      </c>
      <c r="D7398" t="inlineStr">
        <is>
          <t>NORRBOTTENS LÄN</t>
        </is>
      </c>
      <c r="E7398" t="inlineStr">
        <is>
          <t>BODEN</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59828-2025</t>
        </is>
      </c>
      <c r="B7399" s="1" t="n">
        <v>45992.65481481481</v>
      </c>
      <c r="C7399" s="1" t="n">
        <v>46046</v>
      </c>
      <c r="D7399" t="inlineStr">
        <is>
          <t>NORRBOTTENS LÄN</t>
        </is>
      </c>
      <c r="E7399" t="inlineStr">
        <is>
          <t>PITEÅ</t>
        </is>
      </c>
      <c r="F7399" t="inlineStr">
        <is>
          <t>Sveaskog</t>
        </is>
      </c>
      <c r="G7399" t="n">
        <v>6.7</v>
      </c>
      <c r="H7399" t="n">
        <v>0</v>
      </c>
      <c r="I7399" t="n">
        <v>0</v>
      </c>
      <c r="J7399" t="n">
        <v>0</v>
      </c>
      <c r="K7399" t="n">
        <v>0</v>
      </c>
      <c r="L7399" t="n">
        <v>0</v>
      </c>
      <c r="M7399" t="n">
        <v>0</v>
      </c>
      <c r="N7399" t="n">
        <v>0</v>
      </c>
      <c r="O7399" t="n">
        <v>0</v>
      </c>
      <c r="P7399" t="n">
        <v>0</v>
      </c>
      <c r="Q7399" t="n">
        <v>0</v>
      </c>
      <c r="R7399" s="2" t="inlineStr"/>
    </row>
    <row r="7400" ht="15" customHeight="1">
      <c r="A7400" t="inlineStr">
        <is>
          <t>A 59656-2025</t>
        </is>
      </c>
      <c r="B7400" s="1" t="n">
        <v>45992</v>
      </c>
      <c r="C7400" s="1" t="n">
        <v>46046</v>
      </c>
      <c r="D7400" t="inlineStr">
        <is>
          <t>NORRBOTTENS LÄN</t>
        </is>
      </c>
      <c r="E7400" t="inlineStr">
        <is>
          <t>PITEÅ</t>
        </is>
      </c>
      <c r="F7400" t="inlineStr">
        <is>
          <t>Sveaskog</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1783-2026</t>
        </is>
      </c>
      <c r="B7401" s="1" t="n">
        <v>46034</v>
      </c>
      <c r="C7401" s="1" t="n">
        <v>46046</v>
      </c>
      <c r="D7401" t="inlineStr">
        <is>
          <t>NORRBOTTENS LÄN</t>
        </is>
      </c>
      <c r="E7401" t="inlineStr">
        <is>
          <t>ÖVERTORNEÅ</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59586-2025</t>
        </is>
      </c>
      <c r="B7402" s="1" t="n">
        <v>45992</v>
      </c>
      <c r="C7402" s="1" t="n">
        <v>46046</v>
      </c>
      <c r="D7402" t="inlineStr">
        <is>
          <t>NORRBOTTENS LÄN</t>
        </is>
      </c>
      <c r="E7402" t="inlineStr">
        <is>
          <t>LULEÅ</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59737-2025</t>
        </is>
      </c>
      <c r="B7403" s="1" t="n">
        <v>45992.5737962963</v>
      </c>
      <c r="C7403" s="1" t="n">
        <v>46046</v>
      </c>
      <c r="D7403" t="inlineStr">
        <is>
          <t>NORRBOTTENS LÄN</t>
        </is>
      </c>
      <c r="E7403" t="inlineStr">
        <is>
          <t>ÄLVSBYN</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59751-2025</t>
        </is>
      </c>
      <c r="B7404" s="1" t="n">
        <v>45992.58547453704</v>
      </c>
      <c r="C7404" s="1" t="n">
        <v>46046</v>
      </c>
      <c r="D7404" t="inlineStr">
        <is>
          <t>NORRBOTTENS LÄN</t>
        </is>
      </c>
      <c r="E7404" t="inlineStr">
        <is>
          <t>PITEÅ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60230-2025</t>
        </is>
      </c>
      <c r="B7405" s="1" t="n">
        <v>45993</v>
      </c>
      <c r="C7405" s="1" t="n">
        <v>46046</v>
      </c>
      <c r="D7405" t="inlineStr">
        <is>
          <t>NORRBOTTENS LÄN</t>
        </is>
      </c>
      <c r="E7405" t="inlineStr">
        <is>
          <t>BODEN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60245-2025</t>
        </is>
      </c>
      <c r="B7406" s="1" t="n">
        <v>45993</v>
      </c>
      <c r="C7406" s="1" t="n">
        <v>46046</v>
      </c>
      <c r="D7406" t="inlineStr">
        <is>
          <t>NORRBOTTENS LÄN</t>
        </is>
      </c>
      <c r="E7406" t="inlineStr">
        <is>
          <t>LULEÅ</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62290-2025</t>
        </is>
      </c>
      <c r="B7407" s="1" t="n">
        <v>46006</v>
      </c>
      <c r="C7407" s="1" t="n">
        <v>46046</v>
      </c>
      <c r="D7407" t="inlineStr">
        <is>
          <t>NORRBOTTENS LÄN</t>
        </is>
      </c>
      <c r="E7407" t="inlineStr">
        <is>
          <t>PITEÅ</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1753-2026</t>
        </is>
      </c>
      <c r="B7408" s="1" t="n">
        <v>46034.65737268519</v>
      </c>
      <c r="C7408" s="1" t="n">
        <v>46046</v>
      </c>
      <c r="D7408" t="inlineStr">
        <is>
          <t>NORRBOTTENS LÄN</t>
        </is>
      </c>
      <c r="E7408" t="inlineStr">
        <is>
          <t>PAJALA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37827-2024</t>
        </is>
      </c>
      <c r="B7409" s="1" t="n">
        <v>45544</v>
      </c>
      <c r="C7409" s="1" t="n">
        <v>46046</v>
      </c>
      <c r="D7409" t="inlineStr">
        <is>
          <t>NORRBOTTENS LÄN</t>
        </is>
      </c>
      <c r="E7409" t="inlineStr">
        <is>
          <t>JOKKMOKK</t>
        </is>
      </c>
      <c r="F7409" t="inlineStr">
        <is>
          <t>SCA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60054-2025</t>
        </is>
      </c>
      <c r="B7410" s="1" t="n">
        <v>45993.63994212963</v>
      </c>
      <c r="C7410" s="1" t="n">
        <v>46046</v>
      </c>
      <c r="D7410" t="inlineStr">
        <is>
          <t>NORRBOTTENS LÄN</t>
        </is>
      </c>
      <c r="E7410" t="inlineStr">
        <is>
          <t>KALIX</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60056-2025</t>
        </is>
      </c>
      <c r="B7411" s="1" t="n">
        <v>45993</v>
      </c>
      <c r="C7411" s="1" t="n">
        <v>46046</v>
      </c>
      <c r="D7411" t="inlineStr">
        <is>
          <t>NORRBOTTENS LÄN</t>
        </is>
      </c>
      <c r="E7411" t="inlineStr">
        <is>
          <t>LULEÅ</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62947-2025</t>
        </is>
      </c>
      <c r="B7412" s="1" t="n">
        <v>46009</v>
      </c>
      <c r="C7412" s="1" t="n">
        <v>46046</v>
      </c>
      <c r="D7412" t="inlineStr">
        <is>
          <t>NORRBOTTENS LÄN</t>
        </is>
      </c>
      <c r="E7412" t="inlineStr">
        <is>
          <t>LULEÅ</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59554-2025</t>
        </is>
      </c>
      <c r="B7413" s="1" t="n">
        <v>45990.65666666667</v>
      </c>
      <c r="C7413" s="1" t="n">
        <v>46046</v>
      </c>
      <c r="D7413" t="inlineStr">
        <is>
          <t>NORRBOTTENS LÄN</t>
        </is>
      </c>
      <c r="E7413" t="inlineStr">
        <is>
          <t>LULEÅ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1775-2026</t>
        </is>
      </c>
      <c r="B7414" s="1" t="n">
        <v>46034</v>
      </c>
      <c r="C7414" s="1" t="n">
        <v>46046</v>
      </c>
      <c r="D7414" t="inlineStr">
        <is>
          <t>NORRBOTTENS LÄN</t>
        </is>
      </c>
      <c r="E7414" t="inlineStr">
        <is>
          <t>ÖVERTORNEÅ</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1412-2026</t>
        </is>
      </c>
      <c r="B7415" s="1" t="n">
        <v>46031</v>
      </c>
      <c r="C7415" s="1" t="n">
        <v>46046</v>
      </c>
      <c r="D7415" t="inlineStr">
        <is>
          <t>NORRBOTTENS LÄN</t>
        </is>
      </c>
      <c r="E7415" t="inlineStr">
        <is>
          <t>BODEN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59694-2025</t>
        </is>
      </c>
      <c r="B7416" s="1" t="n">
        <v>45992</v>
      </c>
      <c r="C7416" s="1" t="n">
        <v>46046</v>
      </c>
      <c r="D7416" t="inlineStr">
        <is>
          <t>NORRBOTTENS LÄN</t>
        </is>
      </c>
      <c r="E7416" t="inlineStr">
        <is>
          <t>ÄLVSBYN</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59695-2025</t>
        </is>
      </c>
      <c r="B7417" s="1" t="n">
        <v>45992.49027777778</v>
      </c>
      <c r="C7417" s="1" t="n">
        <v>46046</v>
      </c>
      <c r="D7417" t="inlineStr">
        <is>
          <t>NORRBOTTENS LÄN</t>
        </is>
      </c>
      <c r="E7417" t="inlineStr">
        <is>
          <t>ÄLVSBYN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44151-2024</t>
        </is>
      </c>
      <c r="B7418" s="1" t="n">
        <v>45572.67773148148</v>
      </c>
      <c r="C7418" s="1" t="n">
        <v>46046</v>
      </c>
      <c r="D7418" t="inlineStr">
        <is>
          <t>NORRBOTTENS LÄN</t>
        </is>
      </c>
      <c r="E7418" t="inlineStr">
        <is>
          <t>JOKKMOKK</t>
        </is>
      </c>
      <c r="F7418" t="inlineStr">
        <is>
          <t>Sveaskog</t>
        </is>
      </c>
      <c r="G7418" t="n">
        <v>9.4</v>
      </c>
      <c r="H7418" t="n">
        <v>0</v>
      </c>
      <c r="I7418" t="n">
        <v>0</v>
      </c>
      <c r="J7418" t="n">
        <v>0</v>
      </c>
      <c r="K7418" t="n">
        <v>0</v>
      </c>
      <c r="L7418" t="n">
        <v>0</v>
      </c>
      <c r="M7418" t="n">
        <v>0</v>
      </c>
      <c r="N7418" t="n">
        <v>0</v>
      </c>
      <c r="O7418" t="n">
        <v>0</v>
      </c>
      <c r="P7418" t="n">
        <v>0</v>
      </c>
      <c r="Q7418" t="n">
        <v>0</v>
      </c>
      <c r="R7418" s="2" t="inlineStr"/>
    </row>
    <row r="7419" ht="15" customHeight="1">
      <c r="A7419" t="inlineStr">
        <is>
          <t>A 1845-2026</t>
        </is>
      </c>
      <c r="B7419" s="1" t="n">
        <v>46035.40673611111</v>
      </c>
      <c r="C7419" s="1" t="n">
        <v>46046</v>
      </c>
      <c r="D7419" t="inlineStr">
        <is>
          <t>NORRBOTTENS LÄN</t>
        </is>
      </c>
      <c r="E7419" t="inlineStr">
        <is>
          <t>GÄLLIVARE</t>
        </is>
      </c>
      <c r="F7419" t="inlineStr">
        <is>
          <t>SCA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1973-2026</t>
        </is>
      </c>
      <c r="B7420" s="1" t="n">
        <v>46035.64942129629</v>
      </c>
      <c r="C7420" s="1" t="n">
        <v>46046</v>
      </c>
      <c r="D7420" t="inlineStr">
        <is>
          <t>NORRBOTTENS LÄN</t>
        </is>
      </c>
      <c r="E7420" t="inlineStr">
        <is>
          <t>KALIX</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59666-2025</t>
        </is>
      </c>
      <c r="B7421" s="1" t="n">
        <v>45992.45447916666</v>
      </c>
      <c r="C7421" s="1" t="n">
        <v>46046</v>
      </c>
      <c r="D7421" t="inlineStr">
        <is>
          <t>NORRBOTTENS LÄN</t>
        </is>
      </c>
      <c r="E7421" t="inlineStr">
        <is>
          <t>JOKKMOKK</t>
        </is>
      </c>
      <c r="F7421" t="inlineStr">
        <is>
          <t>Allmännings- och besparingsskogar</t>
        </is>
      </c>
      <c r="G7421" t="n">
        <v>12.2</v>
      </c>
      <c r="H7421" t="n">
        <v>0</v>
      </c>
      <c r="I7421" t="n">
        <v>0</v>
      </c>
      <c r="J7421" t="n">
        <v>0</v>
      </c>
      <c r="K7421" t="n">
        <v>0</v>
      </c>
      <c r="L7421" t="n">
        <v>0</v>
      </c>
      <c r="M7421" t="n">
        <v>0</v>
      </c>
      <c r="N7421" t="n">
        <v>0</v>
      </c>
      <c r="O7421" t="n">
        <v>0</v>
      </c>
      <c r="P7421" t="n">
        <v>0</v>
      </c>
      <c r="Q7421" t="n">
        <v>0</v>
      </c>
      <c r="R7421" s="2" t="inlineStr"/>
    </row>
    <row r="7422" ht="15" customHeight="1">
      <c r="A7422" t="inlineStr">
        <is>
          <t>A 59676-2025</t>
        </is>
      </c>
      <c r="B7422" s="1" t="n">
        <v>45992</v>
      </c>
      <c r="C7422" s="1" t="n">
        <v>46046</v>
      </c>
      <c r="D7422" t="inlineStr">
        <is>
          <t>NORRBOTTENS LÄN</t>
        </is>
      </c>
      <c r="E7422" t="inlineStr">
        <is>
          <t>ÄLVSBYN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60252-2025</t>
        </is>
      </c>
      <c r="B7423" s="1" t="n">
        <v>45993</v>
      </c>
      <c r="C7423" s="1" t="n">
        <v>46046</v>
      </c>
      <c r="D7423" t="inlineStr">
        <is>
          <t>NORRBOTTENS LÄN</t>
        </is>
      </c>
      <c r="E7423" t="inlineStr">
        <is>
          <t>BODEN</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59953-2025</t>
        </is>
      </c>
      <c r="B7424" s="1" t="n">
        <v>45993</v>
      </c>
      <c r="C7424" s="1" t="n">
        <v>46046</v>
      </c>
      <c r="D7424" t="inlineStr">
        <is>
          <t>NORRBOTTENS LÄN</t>
        </is>
      </c>
      <c r="E7424" t="inlineStr">
        <is>
          <t>PITEÅ</t>
        </is>
      </c>
      <c r="F7424" t="inlineStr">
        <is>
          <t>Kommuner</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1671-2026</t>
        </is>
      </c>
      <c r="B7425" s="1" t="n">
        <v>46034.56065972222</v>
      </c>
      <c r="C7425" s="1" t="n">
        <v>46046</v>
      </c>
      <c r="D7425" t="inlineStr">
        <is>
          <t>NORRBOTTENS LÄN</t>
        </is>
      </c>
      <c r="E7425" t="inlineStr">
        <is>
          <t>LULEÅ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59660-2025</t>
        </is>
      </c>
      <c r="B7426" s="1" t="n">
        <v>45992.44833333333</v>
      </c>
      <c r="C7426" s="1" t="n">
        <v>46046</v>
      </c>
      <c r="D7426" t="inlineStr">
        <is>
          <t>NORRBOTTENS LÄN</t>
        </is>
      </c>
      <c r="E7426" t="inlineStr">
        <is>
          <t>LULEÅ</t>
        </is>
      </c>
      <c r="F7426" t="inlineStr">
        <is>
          <t>SCA</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1545-2026</t>
        </is>
      </c>
      <c r="B7427" s="1" t="n">
        <v>46034</v>
      </c>
      <c r="C7427" s="1" t="n">
        <v>46046</v>
      </c>
      <c r="D7427" t="inlineStr">
        <is>
          <t>NORRBOTTENS LÄN</t>
        </is>
      </c>
      <c r="E7427" t="inlineStr">
        <is>
          <t>ÄLVSBYN</t>
        </is>
      </c>
      <c r="F7427" t="inlineStr">
        <is>
          <t>SCA</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1575-2026</t>
        </is>
      </c>
      <c r="B7428" s="1" t="n">
        <v>46034.41677083333</v>
      </c>
      <c r="C7428" s="1" t="n">
        <v>46046</v>
      </c>
      <c r="D7428" t="inlineStr">
        <is>
          <t>NORRBOTTENS LÄN</t>
        </is>
      </c>
      <c r="E7428" t="inlineStr">
        <is>
          <t>ÖVERTORNEÅ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59975-2025</t>
        </is>
      </c>
      <c r="B7429" s="1" t="n">
        <v>45993.5033912037</v>
      </c>
      <c r="C7429" s="1" t="n">
        <v>46046</v>
      </c>
      <c r="D7429" t="inlineStr">
        <is>
          <t>NORRBOTTENS LÄN</t>
        </is>
      </c>
      <c r="E7429" t="inlineStr">
        <is>
          <t>KALIX</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62287-2025</t>
        </is>
      </c>
      <c r="B7430" s="1" t="n">
        <v>46006</v>
      </c>
      <c r="C7430" s="1" t="n">
        <v>46046</v>
      </c>
      <c r="D7430" t="inlineStr">
        <is>
          <t>NORRBOTTENS LÄN</t>
        </is>
      </c>
      <c r="E7430" t="inlineStr">
        <is>
          <t>PITEÅ</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62288-2025</t>
        </is>
      </c>
      <c r="B7431" s="1" t="n">
        <v>46006</v>
      </c>
      <c r="C7431" s="1" t="n">
        <v>46046</v>
      </c>
      <c r="D7431" t="inlineStr">
        <is>
          <t>NORRBOTTENS LÄN</t>
        </is>
      </c>
      <c r="E7431" t="inlineStr">
        <is>
          <t>PITEÅ</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59605-2025</t>
        </is>
      </c>
      <c r="B7432" s="1" t="n">
        <v>45992</v>
      </c>
      <c r="C7432" s="1" t="n">
        <v>46046</v>
      </c>
      <c r="D7432" t="inlineStr">
        <is>
          <t>NORRBOTTENS LÄN</t>
        </is>
      </c>
      <c r="E7432" t="inlineStr">
        <is>
          <t>LULEÅ</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59593-2025</t>
        </is>
      </c>
      <c r="B7433" s="1" t="n">
        <v>45992.34451388889</v>
      </c>
      <c r="C7433" s="1" t="n">
        <v>46046</v>
      </c>
      <c r="D7433" t="inlineStr">
        <is>
          <t>NORRBOTTENS LÄN</t>
        </is>
      </c>
      <c r="E7433" t="inlineStr">
        <is>
          <t>ARVIDSJAUR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59596-2025</t>
        </is>
      </c>
      <c r="B7434" s="1" t="n">
        <v>45992</v>
      </c>
      <c r="C7434" s="1" t="n">
        <v>46046</v>
      </c>
      <c r="D7434" t="inlineStr">
        <is>
          <t>NORRBOTTENS LÄN</t>
        </is>
      </c>
      <c r="E7434" t="inlineStr">
        <is>
          <t>LULEÅ</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1914-2026</t>
        </is>
      </c>
      <c r="B7435" s="1" t="n">
        <v>46035.5578125</v>
      </c>
      <c r="C7435" s="1" t="n">
        <v>46046</v>
      </c>
      <c r="D7435" t="inlineStr">
        <is>
          <t>NORRBOTTENS LÄN</t>
        </is>
      </c>
      <c r="E7435" t="inlineStr">
        <is>
          <t>ARVIDSJAUR</t>
        </is>
      </c>
      <c r="F7435" t="inlineStr">
        <is>
          <t>Allmännings- och besparingsskogar</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1033-2026</t>
        </is>
      </c>
      <c r="B7436" s="1" t="n">
        <v>46030.61548611111</v>
      </c>
      <c r="C7436" s="1" t="n">
        <v>46046</v>
      </c>
      <c r="D7436" t="inlineStr">
        <is>
          <t>NORRBOTTENS LÄN</t>
        </is>
      </c>
      <c r="E7436" t="inlineStr">
        <is>
          <t>KALIX</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59670-2025</t>
        </is>
      </c>
      <c r="B7437" s="1" t="n">
        <v>45992.45686342593</v>
      </c>
      <c r="C7437" s="1" t="n">
        <v>46046</v>
      </c>
      <c r="D7437" t="inlineStr">
        <is>
          <t>NORRBOTTENS LÄN</t>
        </is>
      </c>
      <c r="E7437" t="inlineStr">
        <is>
          <t>LULEÅ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1663-2026</t>
        </is>
      </c>
      <c r="B7438" s="1" t="n">
        <v>46034.55708333333</v>
      </c>
      <c r="C7438" s="1" t="n">
        <v>46046</v>
      </c>
      <c r="D7438" t="inlineStr">
        <is>
          <t>NORRBOTTENS LÄN</t>
        </is>
      </c>
      <c r="E7438" t="inlineStr">
        <is>
          <t>LULEÅ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1795-2026</t>
        </is>
      </c>
      <c r="B7439" s="1" t="n">
        <v>46035.23996527777</v>
      </c>
      <c r="C7439" s="1" t="n">
        <v>46046</v>
      </c>
      <c r="D7439" t="inlineStr">
        <is>
          <t>NORRBOTTENS LÄN</t>
        </is>
      </c>
      <c r="E7439" t="inlineStr">
        <is>
          <t>ÖVERTORNEÅ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59887-2025</t>
        </is>
      </c>
      <c r="B7440" s="1" t="n">
        <v>45993.32416666667</v>
      </c>
      <c r="C7440" s="1" t="n">
        <v>46046</v>
      </c>
      <c r="D7440" t="inlineStr">
        <is>
          <t>NORRBOTTENS LÄN</t>
        </is>
      </c>
      <c r="E7440" t="inlineStr">
        <is>
          <t>ARJEPLOG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2311-2026</t>
        </is>
      </c>
      <c r="B7441" s="1" t="n">
        <v>46036.59482638889</v>
      </c>
      <c r="C7441" s="1" t="n">
        <v>46046</v>
      </c>
      <c r="D7441" t="inlineStr">
        <is>
          <t>NORRBOTTENS LÄN</t>
        </is>
      </c>
      <c r="E7441" t="inlineStr">
        <is>
          <t>BODEN</t>
        </is>
      </c>
      <c r="F7441" t="inlineStr">
        <is>
          <t>Kyrkan</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2125-2026</t>
        </is>
      </c>
      <c r="B7442" s="1" t="n">
        <v>46036.38759259259</v>
      </c>
      <c r="C7442" s="1" t="n">
        <v>46046</v>
      </c>
      <c r="D7442" t="inlineStr">
        <is>
          <t>NORRBOTTENS LÄN</t>
        </is>
      </c>
      <c r="E7442" t="inlineStr">
        <is>
          <t>PITEÅ</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2151-2026</t>
        </is>
      </c>
      <c r="B7443" s="1" t="n">
        <v>46036.41863425926</v>
      </c>
      <c r="C7443" s="1" t="n">
        <v>46046</v>
      </c>
      <c r="D7443" t="inlineStr">
        <is>
          <t>NORRBOTTENS LÄN</t>
        </is>
      </c>
      <c r="E7443" t="inlineStr">
        <is>
          <t>PITEÅ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2139-2026</t>
        </is>
      </c>
      <c r="B7444" s="1" t="n">
        <v>46036.39594907407</v>
      </c>
      <c r="C7444" s="1" t="n">
        <v>46046</v>
      </c>
      <c r="D7444" t="inlineStr">
        <is>
          <t>NORRBOTTENS LÄN</t>
        </is>
      </c>
      <c r="E7444" t="inlineStr">
        <is>
          <t>PITEÅ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60308-2025</t>
        </is>
      </c>
      <c r="B7445" s="1" t="n">
        <v>45994.68775462963</v>
      </c>
      <c r="C7445" s="1" t="n">
        <v>46046</v>
      </c>
      <c r="D7445" t="inlineStr">
        <is>
          <t>NORRBOTTENS LÄN</t>
        </is>
      </c>
      <c r="E7445" t="inlineStr">
        <is>
          <t>JOKKMOKK</t>
        </is>
      </c>
      <c r="F7445" t="inlineStr">
        <is>
          <t>Allmännings- och besparingsskogar</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2536-2026</t>
        </is>
      </c>
      <c r="B7446" s="1" t="n">
        <v>46037.4491550926</v>
      </c>
      <c r="C7446" s="1" t="n">
        <v>46046</v>
      </c>
      <c r="D7446" t="inlineStr">
        <is>
          <t>NORRBOTTENS LÄN</t>
        </is>
      </c>
      <c r="E7446" t="inlineStr">
        <is>
          <t>BODEN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2103-2026</t>
        </is>
      </c>
      <c r="B7447" s="1" t="n">
        <v>46036.37460648148</v>
      </c>
      <c r="C7447" s="1" t="n">
        <v>46046</v>
      </c>
      <c r="D7447" t="inlineStr">
        <is>
          <t>NORRBOTTENS LÄN</t>
        </is>
      </c>
      <c r="E7447" t="inlineStr">
        <is>
          <t>PITEÅ</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2117-2026</t>
        </is>
      </c>
      <c r="B7448" s="1" t="n">
        <v>46036.38172453704</v>
      </c>
      <c r="C7448" s="1" t="n">
        <v>46046</v>
      </c>
      <c r="D7448" t="inlineStr">
        <is>
          <t>NORRBOTTENS LÄN</t>
        </is>
      </c>
      <c r="E7448" t="inlineStr">
        <is>
          <t>PITEÅ</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2133-2026</t>
        </is>
      </c>
      <c r="B7449" s="1" t="n">
        <v>46036.39217592592</v>
      </c>
      <c r="C7449" s="1" t="n">
        <v>46046</v>
      </c>
      <c r="D7449" t="inlineStr">
        <is>
          <t>NORRBOTTENS LÄN</t>
        </is>
      </c>
      <c r="E7449" t="inlineStr">
        <is>
          <t>PITEÅ</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2155-2026</t>
        </is>
      </c>
      <c r="B7450" s="1" t="n">
        <v>46036.42668981481</v>
      </c>
      <c r="C7450" s="1" t="n">
        <v>46046</v>
      </c>
      <c r="D7450" t="inlineStr">
        <is>
          <t>NORRBOTTENS LÄN</t>
        </is>
      </c>
      <c r="E7450" t="inlineStr">
        <is>
          <t>BODEN</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60100-2025</t>
        </is>
      </c>
      <c r="B7451" s="1" t="n">
        <v>45993.93607638889</v>
      </c>
      <c r="C7451" s="1" t="n">
        <v>46046</v>
      </c>
      <c r="D7451" t="inlineStr">
        <is>
          <t>NORRBOTTENS LÄN</t>
        </is>
      </c>
      <c r="E7451" t="inlineStr">
        <is>
          <t>PITEÅ</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60101-2025</t>
        </is>
      </c>
      <c r="B7452" s="1" t="n">
        <v>45993.94271990741</v>
      </c>
      <c r="C7452" s="1" t="n">
        <v>46046</v>
      </c>
      <c r="D7452" t="inlineStr">
        <is>
          <t>NORRBOTTENS LÄN</t>
        </is>
      </c>
      <c r="E7452" t="inlineStr">
        <is>
          <t>PITEÅ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60219-2025</t>
        </is>
      </c>
      <c r="B7453" s="1" t="n">
        <v>45994.54309027778</v>
      </c>
      <c r="C7453" s="1" t="n">
        <v>46046</v>
      </c>
      <c r="D7453" t="inlineStr">
        <is>
          <t>NORRBOTTENS LÄN</t>
        </is>
      </c>
      <c r="E7453" t="inlineStr">
        <is>
          <t>GÄLLIVARE</t>
        </is>
      </c>
      <c r="F7453" t="inlineStr">
        <is>
          <t>Sveaskog</t>
        </is>
      </c>
      <c r="G7453" t="n">
        <v>10</v>
      </c>
      <c r="H7453" t="n">
        <v>0</v>
      </c>
      <c r="I7453" t="n">
        <v>0</v>
      </c>
      <c r="J7453" t="n">
        <v>0</v>
      </c>
      <c r="K7453" t="n">
        <v>0</v>
      </c>
      <c r="L7453" t="n">
        <v>0</v>
      </c>
      <c r="M7453" t="n">
        <v>0</v>
      </c>
      <c r="N7453" t="n">
        <v>0</v>
      </c>
      <c r="O7453" t="n">
        <v>0</v>
      </c>
      <c r="P7453" t="n">
        <v>0</v>
      </c>
      <c r="Q7453" t="n">
        <v>0</v>
      </c>
      <c r="R7453" s="2" t="inlineStr"/>
    </row>
    <row r="7454" ht="15" customHeight="1">
      <c r="A7454" t="inlineStr">
        <is>
          <t>A 60285-2025</t>
        </is>
      </c>
      <c r="B7454" s="1" t="n">
        <v>45994.64605324074</v>
      </c>
      <c r="C7454" s="1" t="n">
        <v>46046</v>
      </c>
      <c r="D7454" t="inlineStr">
        <is>
          <t>NORRBOTTENS LÄN</t>
        </is>
      </c>
      <c r="E7454" t="inlineStr">
        <is>
          <t>KALIX</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14337-2025</t>
        </is>
      </c>
      <c r="B7455" s="1" t="n">
        <v>45740.92456018519</v>
      </c>
      <c r="C7455" s="1" t="n">
        <v>46046</v>
      </c>
      <c r="D7455" t="inlineStr">
        <is>
          <t>NORRBOTTENS LÄN</t>
        </is>
      </c>
      <c r="E7455" t="inlineStr">
        <is>
          <t>PAJALA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60262-2025</t>
        </is>
      </c>
      <c r="B7456" s="1" t="n">
        <v>45994.61371527778</v>
      </c>
      <c r="C7456" s="1" t="n">
        <v>46046</v>
      </c>
      <c r="D7456" t="inlineStr">
        <is>
          <t>NORRBOTTENS LÄN</t>
        </is>
      </c>
      <c r="E7456" t="inlineStr">
        <is>
          <t>HAPARANDA</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2495-2026</t>
        </is>
      </c>
      <c r="B7457" s="1" t="n">
        <v>46037.39973379629</v>
      </c>
      <c r="C7457" s="1" t="n">
        <v>46046</v>
      </c>
      <c r="D7457" t="inlineStr">
        <is>
          <t>NORRBOTTENS LÄN</t>
        </is>
      </c>
      <c r="E7457" t="inlineStr">
        <is>
          <t>BODEN</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60158-2025</t>
        </is>
      </c>
      <c r="B7458" s="1" t="n">
        <v>45994.42756944444</v>
      </c>
      <c r="C7458" s="1" t="n">
        <v>46046</v>
      </c>
      <c r="D7458" t="inlineStr">
        <is>
          <t>NORRBOTTENS LÄN</t>
        </is>
      </c>
      <c r="E7458" t="inlineStr">
        <is>
          <t>GÄLLIVARE</t>
        </is>
      </c>
      <c r="F7458" t="inlineStr">
        <is>
          <t>SCA</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2299-2026</t>
        </is>
      </c>
      <c r="B7459" s="1" t="n">
        <v>46034</v>
      </c>
      <c r="C7459" s="1" t="n">
        <v>46046</v>
      </c>
      <c r="D7459" t="inlineStr">
        <is>
          <t>NORRBOTTENS LÄN</t>
        </is>
      </c>
      <c r="E7459" t="inlineStr">
        <is>
          <t>ARVIDSJAUR</t>
        </is>
      </c>
      <c r="F7459" t="inlineStr">
        <is>
          <t>Allmännings- och besparingsskogar</t>
        </is>
      </c>
      <c r="G7459" t="n">
        <v>11.3</v>
      </c>
      <c r="H7459" t="n">
        <v>0</v>
      </c>
      <c r="I7459" t="n">
        <v>0</v>
      </c>
      <c r="J7459" t="n">
        <v>0</v>
      </c>
      <c r="K7459" t="n">
        <v>0</v>
      </c>
      <c r="L7459" t="n">
        <v>0</v>
      </c>
      <c r="M7459" t="n">
        <v>0</v>
      </c>
      <c r="N7459" t="n">
        <v>0</v>
      </c>
      <c r="O7459" t="n">
        <v>0</v>
      </c>
      <c r="P7459" t="n">
        <v>0</v>
      </c>
      <c r="Q7459" t="n">
        <v>0</v>
      </c>
      <c r="R7459" s="2" t="inlineStr"/>
    </row>
    <row r="7460" ht="15" customHeight="1">
      <c r="A7460" t="inlineStr">
        <is>
          <t>A 60429-2025</t>
        </is>
      </c>
      <c r="B7460" s="1" t="n">
        <v>45995.47012731482</v>
      </c>
      <c r="C7460" s="1" t="n">
        <v>46046</v>
      </c>
      <c r="D7460" t="inlineStr">
        <is>
          <t>NORRBOTTENS LÄN</t>
        </is>
      </c>
      <c r="E7460" t="inlineStr">
        <is>
          <t>BODEN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60386-2025</t>
        </is>
      </c>
      <c r="B7461" s="1" t="n">
        <v>45995.3859375</v>
      </c>
      <c r="C7461" s="1" t="n">
        <v>46046</v>
      </c>
      <c r="D7461" t="inlineStr">
        <is>
          <t>NORRBOTTENS LÄN</t>
        </is>
      </c>
      <c r="E7461" t="inlineStr">
        <is>
          <t>PAJALA</t>
        </is>
      </c>
      <c r="F7461" t="inlineStr">
        <is>
          <t>SCA</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60397-2025</t>
        </is>
      </c>
      <c r="B7462" s="1" t="n">
        <v>45995.39902777778</v>
      </c>
      <c r="C7462" s="1" t="n">
        <v>46046</v>
      </c>
      <c r="D7462" t="inlineStr">
        <is>
          <t>NORRBOTTENS LÄN</t>
        </is>
      </c>
      <c r="E7462" t="inlineStr">
        <is>
          <t>BODEN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60233-2025</t>
        </is>
      </c>
      <c r="B7463" s="1" t="n">
        <v>45994.57334490741</v>
      </c>
      <c r="C7463" s="1" t="n">
        <v>46046</v>
      </c>
      <c r="D7463" t="inlineStr">
        <is>
          <t>NORRBOTTENS LÄN</t>
        </is>
      </c>
      <c r="E7463" t="inlineStr">
        <is>
          <t>BODEN</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60235-2025</t>
        </is>
      </c>
      <c r="B7464" s="1" t="n">
        <v>45994.57351851852</v>
      </c>
      <c r="C7464" s="1" t="n">
        <v>46046</v>
      </c>
      <c r="D7464" t="inlineStr">
        <is>
          <t>NORRBOTTENS LÄN</t>
        </is>
      </c>
      <c r="E7464" t="inlineStr">
        <is>
          <t>BODEN</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2136-2026</t>
        </is>
      </c>
      <c r="B7465" s="1" t="n">
        <v>46036.39403935185</v>
      </c>
      <c r="C7465" s="1" t="n">
        <v>46046</v>
      </c>
      <c r="D7465" t="inlineStr">
        <is>
          <t>NORRBOTTENS LÄN</t>
        </is>
      </c>
      <c r="E7465" t="inlineStr">
        <is>
          <t>PITEÅ</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1957-2026</t>
        </is>
      </c>
      <c r="B7466" s="1" t="n">
        <v>46035.61501157407</v>
      </c>
      <c r="C7466" s="1" t="n">
        <v>46046</v>
      </c>
      <c r="D7466" t="inlineStr">
        <is>
          <t>NORRBOTTENS LÄN</t>
        </is>
      </c>
      <c r="E7466" t="inlineStr">
        <is>
          <t>KALIX</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60560-2025</t>
        </is>
      </c>
      <c r="B7467" s="1" t="n">
        <v>45994</v>
      </c>
      <c r="C7467" s="1" t="n">
        <v>46046</v>
      </c>
      <c r="D7467" t="inlineStr">
        <is>
          <t>NORRBOTTENS LÄN</t>
        </is>
      </c>
      <c r="E7467" t="inlineStr">
        <is>
          <t>ARVIDSJAUR</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11030-2025</t>
        </is>
      </c>
      <c r="B7468" s="1" t="n">
        <v>45723</v>
      </c>
      <c r="C7468" s="1" t="n">
        <v>46046</v>
      </c>
      <c r="D7468" t="inlineStr">
        <is>
          <t>NORRBOTTENS LÄN</t>
        </is>
      </c>
      <c r="E7468" t="inlineStr">
        <is>
          <t>ARVIDSJAUR</t>
        </is>
      </c>
      <c r="F7468" t="inlineStr">
        <is>
          <t>Sveaskog</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2421-2026</t>
        </is>
      </c>
      <c r="B7469" s="1" t="n">
        <v>46034</v>
      </c>
      <c r="C7469" s="1" t="n">
        <v>46046</v>
      </c>
      <c r="D7469" t="inlineStr">
        <is>
          <t>NORRBOTTENS LÄN</t>
        </is>
      </c>
      <c r="E7469" t="inlineStr">
        <is>
          <t>ÖVERTORNEÅ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2422-2026</t>
        </is>
      </c>
      <c r="B7470" s="1" t="n">
        <v>46034</v>
      </c>
      <c r="C7470" s="1" t="n">
        <v>46046</v>
      </c>
      <c r="D7470" t="inlineStr">
        <is>
          <t>NORRBOTTENS LÄN</t>
        </is>
      </c>
      <c r="E7470" t="inlineStr">
        <is>
          <t>ÖVERTORNEÅ</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1612-2026</t>
        </is>
      </c>
      <c r="B7471" s="1" t="n">
        <v>46034</v>
      </c>
      <c r="C7471" s="1" t="n">
        <v>46046</v>
      </c>
      <c r="D7471" t="inlineStr">
        <is>
          <t>NORRBOTTENS LÄN</t>
        </is>
      </c>
      <c r="E7471" t="inlineStr">
        <is>
          <t>GÄLLIVARE</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51353-2025</t>
        </is>
      </c>
      <c r="B7472" s="1" t="n">
        <v>45950.43695601852</v>
      </c>
      <c r="C7472" s="1" t="n">
        <v>46046</v>
      </c>
      <c r="D7472" t="inlineStr">
        <is>
          <t>NORRBOTTENS LÄN</t>
        </is>
      </c>
      <c r="E7472" t="inlineStr">
        <is>
          <t>ARVIDSJAUR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60428-2025</t>
        </is>
      </c>
      <c r="B7473" s="1" t="n">
        <v>45995.47004629629</v>
      </c>
      <c r="C7473" s="1" t="n">
        <v>46046</v>
      </c>
      <c r="D7473" t="inlineStr">
        <is>
          <t>NORRBOTTENS LÄN</t>
        </is>
      </c>
      <c r="E7473" t="inlineStr">
        <is>
          <t>BODEN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60444-2025</t>
        </is>
      </c>
      <c r="B7474" s="1" t="n">
        <v>45995.49049768518</v>
      </c>
      <c r="C7474" s="1" t="n">
        <v>46046</v>
      </c>
      <c r="D7474" t="inlineStr">
        <is>
          <t>NORRBOTTENS LÄN</t>
        </is>
      </c>
      <c r="E7474" t="inlineStr">
        <is>
          <t>PITEÅ</t>
        </is>
      </c>
      <c r="G7474" t="n">
        <v>17.3</v>
      </c>
      <c r="H7474" t="n">
        <v>0</v>
      </c>
      <c r="I7474" t="n">
        <v>0</v>
      </c>
      <c r="J7474" t="n">
        <v>0</v>
      </c>
      <c r="K7474" t="n">
        <v>0</v>
      </c>
      <c r="L7474" t="n">
        <v>0</v>
      </c>
      <c r="M7474" t="n">
        <v>0</v>
      </c>
      <c r="N7474" t="n">
        <v>0</v>
      </c>
      <c r="O7474" t="n">
        <v>0</v>
      </c>
      <c r="P7474" t="n">
        <v>0</v>
      </c>
      <c r="Q7474" t="n">
        <v>0</v>
      </c>
      <c r="R7474" s="2" t="inlineStr"/>
    </row>
    <row r="7475" ht="15" customHeight="1">
      <c r="A7475" t="inlineStr">
        <is>
          <t>A 60234-2025</t>
        </is>
      </c>
      <c r="B7475" s="1" t="n">
        <v>45994.5734375</v>
      </c>
      <c r="C7475" s="1" t="n">
        <v>46046</v>
      </c>
      <c r="D7475" t="inlineStr">
        <is>
          <t>NORRBOTTENS LÄN</t>
        </is>
      </c>
      <c r="E7475" t="inlineStr">
        <is>
          <t>KALIX</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44150-2024</t>
        </is>
      </c>
      <c r="B7476" s="1" t="n">
        <v>45572.67520833333</v>
      </c>
      <c r="C7476" s="1" t="n">
        <v>46046</v>
      </c>
      <c r="D7476" t="inlineStr">
        <is>
          <t>NORRBOTTENS LÄN</t>
        </is>
      </c>
      <c r="E7476" t="inlineStr">
        <is>
          <t>JOKKMOKK</t>
        </is>
      </c>
      <c r="F7476" t="inlineStr">
        <is>
          <t>Sveaskog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2664-2026</t>
        </is>
      </c>
      <c r="B7477" s="1" t="n">
        <v>46037.64078703704</v>
      </c>
      <c r="C7477" s="1" t="n">
        <v>46046</v>
      </c>
      <c r="D7477" t="inlineStr">
        <is>
          <t>NORRBOTTENS LÄN</t>
        </is>
      </c>
      <c r="E7477" t="inlineStr">
        <is>
          <t>KIRUNA</t>
        </is>
      </c>
      <c r="G7477" t="n">
        <v>31.3</v>
      </c>
      <c r="H7477" t="n">
        <v>0</v>
      </c>
      <c r="I7477" t="n">
        <v>0</v>
      </c>
      <c r="J7477" t="n">
        <v>0</v>
      </c>
      <c r="K7477" t="n">
        <v>0</v>
      </c>
      <c r="L7477" t="n">
        <v>0</v>
      </c>
      <c r="M7477" t="n">
        <v>0</v>
      </c>
      <c r="N7477" t="n">
        <v>0</v>
      </c>
      <c r="O7477" t="n">
        <v>0</v>
      </c>
      <c r="P7477" t="n">
        <v>0</v>
      </c>
      <c r="Q7477" t="n">
        <v>0</v>
      </c>
      <c r="R7477" s="2" t="inlineStr"/>
    </row>
    <row r="7478" ht="15" customHeight="1">
      <c r="A7478" t="inlineStr">
        <is>
          <t>A 60190-2025</t>
        </is>
      </c>
      <c r="B7478" s="1" t="n">
        <v>45994.48310185185</v>
      </c>
      <c r="C7478" s="1" t="n">
        <v>46046</v>
      </c>
      <c r="D7478" t="inlineStr">
        <is>
          <t>NORRBOTTENS LÄN</t>
        </is>
      </c>
      <c r="E7478" t="inlineStr">
        <is>
          <t>BODEN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60404-2025</t>
        </is>
      </c>
      <c r="B7479" s="1" t="n">
        <v>45995.42780092593</v>
      </c>
      <c r="C7479" s="1" t="n">
        <v>46046</v>
      </c>
      <c r="D7479" t="inlineStr">
        <is>
          <t>NORRBOTTENS LÄN</t>
        </is>
      </c>
      <c r="E7479" t="inlineStr">
        <is>
          <t>JOKKMOKK</t>
        </is>
      </c>
      <c r="F7479" t="inlineStr">
        <is>
          <t>SCA</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60408-2025</t>
        </is>
      </c>
      <c r="B7480" s="1" t="n">
        <v>45995</v>
      </c>
      <c r="C7480" s="1" t="n">
        <v>46046</v>
      </c>
      <c r="D7480" t="inlineStr">
        <is>
          <t>NORRBOTTENS LÄN</t>
        </is>
      </c>
      <c r="E7480" t="inlineStr">
        <is>
          <t>JOKKMOKK</t>
        </is>
      </c>
      <c r="F7480" t="inlineStr">
        <is>
          <t>Övriga statliga verk och myndigheter</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1928-2026</t>
        </is>
      </c>
      <c r="B7481" s="1" t="n">
        <v>46035.57373842593</v>
      </c>
      <c r="C7481" s="1" t="n">
        <v>46046</v>
      </c>
      <c r="D7481" t="inlineStr">
        <is>
          <t>NORRBOTTENS LÄN</t>
        </is>
      </c>
      <c r="E7481" t="inlineStr">
        <is>
          <t>LULEÅ</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60840-2023</t>
        </is>
      </c>
      <c r="B7482" s="1" t="n">
        <v>45260</v>
      </c>
      <c r="C7482" s="1" t="n">
        <v>46046</v>
      </c>
      <c r="D7482" t="inlineStr">
        <is>
          <t>NORRBOTTENS LÄN</t>
        </is>
      </c>
      <c r="E7482" t="inlineStr">
        <is>
          <t>PITEÅ</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60193-2023</t>
        </is>
      </c>
      <c r="B7483" s="1" t="n">
        <v>45258</v>
      </c>
      <c r="C7483" s="1" t="n">
        <v>46046</v>
      </c>
      <c r="D7483" t="inlineStr">
        <is>
          <t>NORRBOTTENS LÄN</t>
        </is>
      </c>
      <c r="E7483" t="inlineStr">
        <is>
          <t>JOKKMOKK</t>
        </is>
      </c>
      <c r="F7483" t="inlineStr">
        <is>
          <t>Allmännings- och besparingsskogar</t>
        </is>
      </c>
      <c r="G7483" t="n">
        <v>11.1</v>
      </c>
      <c r="H7483" t="n">
        <v>0</v>
      </c>
      <c r="I7483" t="n">
        <v>0</v>
      </c>
      <c r="J7483" t="n">
        <v>0</v>
      </c>
      <c r="K7483" t="n">
        <v>0</v>
      </c>
      <c r="L7483" t="n">
        <v>0</v>
      </c>
      <c r="M7483" t="n">
        <v>0</v>
      </c>
      <c r="N7483" t="n">
        <v>0</v>
      </c>
      <c r="O7483" t="n">
        <v>0</v>
      </c>
      <c r="P7483" t="n">
        <v>0</v>
      </c>
      <c r="Q7483" t="n">
        <v>0</v>
      </c>
      <c r="R7483" s="2" t="inlineStr"/>
    </row>
    <row r="7484" ht="15" customHeight="1">
      <c r="A7484" t="inlineStr">
        <is>
          <t>A 60184-2025</t>
        </is>
      </c>
      <c r="B7484" s="1" t="n">
        <v>45994.47119212963</v>
      </c>
      <c r="C7484" s="1" t="n">
        <v>46046</v>
      </c>
      <c r="D7484" t="inlineStr">
        <is>
          <t>NORRBOTTENS LÄN</t>
        </is>
      </c>
      <c r="E7484" t="inlineStr">
        <is>
          <t>BODEN</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43997-2024</t>
        </is>
      </c>
      <c r="B7485" s="1" t="n">
        <v>45572.54165509259</v>
      </c>
      <c r="C7485" s="1" t="n">
        <v>46046</v>
      </c>
      <c r="D7485" t="inlineStr">
        <is>
          <t>NORRBOTTENS LÄN</t>
        </is>
      </c>
      <c r="E7485" t="inlineStr">
        <is>
          <t>JOKKMOKK</t>
        </is>
      </c>
      <c r="F7485" t="inlineStr">
        <is>
          <t>Sveaskog</t>
        </is>
      </c>
      <c r="G7485" t="n">
        <v>17.4</v>
      </c>
      <c r="H7485" t="n">
        <v>0</v>
      </c>
      <c r="I7485" t="n">
        <v>0</v>
      </c>
      <c r="J7485" t="n">
        <v>0</v>
      </c>
      <c r="K7485" t="n">
        <v>0</v>
      </c>
      <c r="L7485" t="n">
        <v>0</v>
      </c>
      <c r="M7485" t="n">
        <v>0</v>
      </c>
      <c r="N7485" t="n">
        <v>0</v>
      </c>
      <c r="O7485" t="n">
        <v>0</v>
      </c>
      <c r="P7485" t="n">
        <v>0</v>
      </c>
      <c r="Q7485" t="n">
        <v>0</v>
      </c>
      <c r="R7485" s="2" t="inlineStr"/>
    </row>
    <row r="7486" ht="15" customHeight="1">
      <c r="A7486" t="inlineStr">
        <is>
          <t>A 60186-2025</t>
        </is>
      </c>
      <c r="B7486" s="1" t="n">
        <v>45994.47709490741</v>
      </c>
      <c r="C7486" s="1" t="n">
        <v>46046</v>
      </c>
      <c r="D7486" t="inlineStr">
        <is>
          <t>NORRBOTTENS LÄN</t>
        </is>
      </c>
      <c r="E7486" t="inlineStr">
        <is>
          <t>BODEN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60478-2025</t>
        </is>
      </c>
      <c r="B7487" s="1" t="n">
        <v>45995.59439814815</v>
      </c>
      <c r="C7487" s="1" t="n">
        <v>46046</v>
      </c>
      <c r="D7487" t="inlineStr">
        <is>
          <t>NORRBOTTENS LÄN</t>
        </is>
      </c>
      <c r="E7487" t="inlineStr">
        <is>
          <t>KALIX</t>
        </is>
      </c>
      <c r="F7487" t="inlineStr">
        <is>
          <t>SCA</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60368-2025</t>
        </is>
      </c>
      <c r="B7488" s="1" t="n">
        <v>45995.34100694444</v>
      </c>
      <c r="C7488" s="1" t="n">
        <v>46046</v>
      </c>
      <c r="D7488" t="inlineStr">
        <is>
          <t>NORRBOTTENS LÄN</t>
        </is>
      </c>
      <c r="E7488" t="inlineStr">
        <is>
          <t>HAPARANDA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60373-2025</t>
        </is>
      </c>
      <c r="B7489" s="1" t="n">
        <v>45995.34748842593</v>
      </c>
      <c r="C7489" s="1" t="n">
        <v>46046</v>
      </c>
      <c r="D7489" t="inlineStr">
        <is>
          <t>NORRBOTTENS LÄN</t>
        </is>
      </c>
      <c r="E7489" t="inlineStr">
        <is>
          <t>HAPARANDA</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60395-2025</t>
        </is>
      </c>
      <c r="B7490" s="1" t="n">
        <v>45995.39693287037</v>
      </c>
      <c r="C7490" s="1" t="n">
        <v>46046</v>
      </c>
      <c r="D7490" t="inlineStr">
        <is>
          <t>NORRBOTTENS LÄN</t>
        </is>
      </c>
      <c r="E7490" t="inlineStr">
        <is>
          <t>BODEN</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60215-2025</t>
        </is>
      </c>
      <c r="B7491" s="1" t="n">
        <v>45994.54037037037</v>
      </c>
      <c r="C7491" s="1" t="n">
        <v>46046</v>
      </c>
      <c r="D7491" t="inlineStr">
        <is>
          <t>NORRBOTTENS LÄN</t>
        </is>
      </c>
      <c r="E7491" t="inlineStr">
        <is>
          <t>ÖVERKALIX</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2336-2026</t>
        </is>
      </c>
      <c r="B7492" s="1" t="n">
        <v>46036.61466435185</v>
      </c>
      <c r="C7492" s="1" t="n">
        <v>46046</v>
      </c>
      <c r="D7492" t="inlineStr">
        <is>
          <t>NORRBOTTENS LÄN</t>
        </is>
      </c>
      <c r="E7492" t="inlineStr">
        <is>
          <t>KALIX</t>
        </is>
      </c>
      <c r="F7492" t="inlineStr">
        <is>
          <t>Sveaskog</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58792-2025</t>
        </is>
      </c>
      <c r="B7493" s="1" t="n">
        <v>45985</v>
      </c>
      <c r="C7493" s="1" t="n">
        <v>46046</v>
      </c>
      <c r="D7493" t="inlineStr">
        <is>
          <t>NORRBOTTENS LÄN</t>
        </is>
      </c>
      <c r="E7493" t="inlineStr">
        <is>
          <t>ÄLVSBYN</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60300-2025</t>
        </is>
      </c>
      <c r="B7494" s="1" t="n">
        <v>45994.66059027778</v>
      </c>
      <c r="C7494" s="1" t="n">
        <v>46046</v>
      </c>
      <c r="D7494" t="inlineStr">
        <is>
          <t>NORRBOTTENS LÄN</t>
        </is>
      </c>
      <c r="E7494" t="inlineStr">
        <is>
          <t>KALIX</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60423-2025</t>
        </is>
      </c>
      <c r="B7495" s="1" t="n">
        <v>45995</v>
      </c>
      <c r="C7495" s="1" t="n">
        <v>46046</v>
      </c>
      <c r="D7495" t="inlineStr">
        <is>
          <t>NORRBOTTENS LÄN</t>
        </is>
      </c>
      <c r="E7495" t="inlineStr">
        <is>
          <t>BODEN</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60424-2025</t>
        </is>
      </c>
      <c r="B7496" s="1" t="n">
        <v>45995.46967592592</v>
      </c>
      <c r="C7496" s="1" t="n">
        <v>46046</v>
      </c>
      <c r="D7496" t="inlineStr">
        <is>
          <t>NORRBOTTENS LÄN</t>
        </is>
      </c>
      <c r="E7496" t="inlineStr">
        <is>
          <t>BODEN</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60439-2025</t>
        </is>
      </c>
      <c r="B7497" s="1" t="n">
        <v>45995.49016203704</v>
      </c>
      <c r="C7497" s="1" t="n">
        <v>46046</v>
      </c>
      <c r="D7497" t="inlineStr">
        <is>
          <t>NORRBOTTENS LÄN</t>
        </is>
      </c>
      <c r="E7497" t="inlineStr">
        <is>
          <t>PITEÅ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60442-2025</t>
        </is>
      </c>
      <c r="B7498" s="1" t="n">
        <v>45995.4903587963</v>
      </c>
      <c r="C7498" s="1" t="n">
        <v>46046</v>
      </c>
      <c r="D7498" t="inlineStr">
        <is>
          <t>NORRBOTTENS LÄN</t>
        </is>
      </c>
      <c r="E7498" t="inlineStr">
        <is>
          <t>PITEÅ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2539-2026</t>
        </is>
      </c>
      <c r="B7499" s="1" t="n">
        <v>46037.45152777778</v>
      </c>
      <c r="C7499" s="1" t="n">
        <v>46046</v>
      </c>
      <c r="D7499" t="inlineStr">
        <is>
          <t>NORRBOTTENS LÄN</t>
        </is>
      </c>
      <c r="E7499" t="inlineStr">
        <is>
          <t>LULEÅ</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60171-2025</t>
        </is>
      </c>
      <c r="B7500" s="1" t="n">
        <v>45994.4485300926</v>
      </c>
      <c r="C7500" s="1" t="n">
        <v>46046</v>
      </c>
      <c r="D7500" t="inlineStr">
        <is>
          <t>NORRBOTTENS LÄN</t>
        </is>
      </c>
      <c r="E7500" t="inlineStr">
        <is>
          <t>ÖVERKALIX</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60172-2025</t>
        </is>
      </c>
      <c r="B7501" s="1" t="n">
        <v>45994.44859953703</v>
      </c>
      <c r="C7501" s="1" t="n">
        <v>46046</v>
      </c>
      <c r="D7501" t="inlineStr">
        <is>
          <t>NORRBOTTENS LÄN</t>
        </is>
      </c>
      <c r="E7501" t="inlineStr">
        <is>
          <t>ÖVERKALIX</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60155-2025</t>
        </is>
      </c>
      <c r="B7502" s="1" t="n">
        <v>45994.42386574074</v>
      </c>
      <c r="C7502" s="1" t="n">
        <v>46046</v>
      </c>
      <c r="D7502" t="inlineStr">
        <is>
          <t>NORRBOTTENS LÄN</t>
        </is>
      </c>
      <c r="E7502" t="inlineStr">
        <is>
          <t>JOKKMOKK</t>
        </is>
      </c>
      <c r="F7502" t="inlineStr">
        <is>
          <t>Övriga statliga verk och myndigheter</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1631-2026</t>
        </is>
      </c>
      <c r="B7503" s="1" t="n">
        <v>46034</v>
      </c>
      <c r="C7503" s="1" t="n">
        <v>46046</v>
      </c>
      <c r="D7503" t="inlineStr">
        <is>
          <t>NORRBOTTENS LÄN</t>
        </is>
      </c>
      <c r="E7503" t="inlineStr">
        <is>
          <t>GÄLLIVARE</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1927-2026</t>
        </is>
      </c>
      <c r="B7504" s="1" t="n">
        <v>46035.57366898148</v>
      </c>
      <c r="C7504" s="1" t="n">
        <v>46046</v>
      </c>
      <c r="D7504" t="inlineStr">
        <is>
          <t>NORRBOTTENS LÄN</t>
        </is>
      </c>
      <c r="E7504" t="inlineStr">
        <is>
          <t>LULEÅ</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60732-2025</t>
        </is>
      </c>
      <c r="B7505" s="1" t="n">
        <v>45995</v>
      </c>
      <c r="C7505" s="1" t="n">
        <v>46046</v>
      </c>
      <c r="D7505" t="inlineStr">
        <is>
          <t>NORRBOTTENS LÄN</t>
        </is>
      </c>
      <c r="E7505" t="inlineStr">
        <is>
          <t>LULEÅ</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60208-2025</t>
        </is>
      </c>
      <c r="B7506" s="1" t="n">
        <v>45994.52303240741</v>
      </c>
      <c r="C7506" s="1" t="n">
        <v>46046</v>
      </c>
      <c r="D7506" t="inlineStr">
        <is>
          <t>NORRBOTTENS LÄN</t>
        </is>
      </c>
      <c r="E7506" t="inlineStr">
        <is>
          <t>GÄLLIVARE</t>
        </is>
      </c>
      <c r="F7506" t="inlineStr">
        <is>
          <t>Sveaskog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60226-2025</t>
        </is>
      </c>
      <c r="B7507" s="1" t="n">
        <v>45994.55259259259</v>
      </c>
      <c r="C7507" s="1" t="n">
        <v>46046</v>
      </c>
      <c r="D7507" t="inlineStr">
        <is>
          <t>NORRBOTTENS LÄN</t>
        </is>
      </c>
      <c r="E7507" t="inlineStr">
        <is>
          <t>PITEÅ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60238-2025</t>
        </is>
      </c>
      <c r="B7508" s="1" t="n">
        <v>45994</v>
      </c>
      <c r="C7508" s="1" t="n">
        <v>46046</v>
      </c>
      <c r="D7508" t="inlineStr">
        <is>
          <t>NORRBOTTENS LÄN</t>
        </is>
      </c>
      <c r="E7508" t="inlineStr">
        <is>
          <t>BODEN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60522-2025</t>
        </is>
      </c>
      <c r="B7509" s="1" t="n">
        <v>45995.63984953704</v>
      </c>
      <c r="C7509" s="1" t="n">
        <v>46046</v>
      </c>
      <c r="D7509" t="inlineStr">
        <is>
          <t>NORRBOTTENS LÄN</t>
        </is>
      </c>
      <c r="E7509" t="inlineStr">
        <is>
          <t>ÖVERTORNEÅ</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1594-2026</t>
        </is>
      </c>
      <c r="B7510" s="1" t="n">
        <v>46034</v>
      </c>
      <c r="C7510" s="1" t="n">
        <v>46046</v>
      </c>
      <c r="D7510" t="inlineStr">
        <is>
          <t>NORRBOTTENS LÄN</t>
        </is>
      </c>
      <c r="E7510" t="inlineStr">
        <is>
          <t>GÄLLIVARE</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1979-2026</t>
        </is>
      </c>
      <c r="B7511" s="1" t="n">
        <v>46035.65393518518</v>
      </c>
      <c r="C7511" s="1" t="n">
        <v>46046</v>
      </c>
      <c r="D7511" t="inlineStr">
        <is>
          <t>NORRBOTTENS LÄN</t>
        </is>
      </c>
      <c r="E7511" t="inlineStr">
        <is>
          <t>KALIX</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2590-2026</t>
        </is>
      </c>
      <c r="B7512" s="1" t="n">
        <v>46037.54501157408</v>
      </c>
      <c r="C7512" s="1" t="n">
        <v>46046</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14778-2025</t>
        </is>
      </c>
      <c r="B7513" s="1" t="n">
        <v>45742</v>
      </c>
      <c r="C7513" s="1" t="n">
        <v>46046</v>
      </c>
      <c r="D7513" t="inlineStr">
        <is>
          <t>NORRBOTTENS LÄN</t>
        </is>
      </c>
      <c r="E7513" t="inlineStr">
        <is>
          <t>PITEÅ</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14560-2025</t>
        </is>
      </c>
      <c r="B7514" s="1" t="n">
        <v>45741</v>
      </c>
      <c r="C7514" s="1" t="n">
        <v>46046</v>
      </c>
      <c r="D7514" t="inlineStr">
        <is>
          <t>NORRBOTTENS LÄN</t>
        </is>
      </c>
      <c r="E7514" t="inlineStr">
        <is>
          <t>PITEÅ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60098-2025</t>
        </is>
      </c>
      <c r="B7515" s="1" t="n">
        <v>45993.88663194444</v>
      </c>
      <c r="C7515" s="1" t="n">
        <v>46046</v>
      </c>
      <c r="D7515" t="inlineStr">
        <is>
          <t>NORRBOTTENS LÄN</t>
        </is>
      </c>
      <c r="E7515" t="inlineStr">
        <is>
          <t>KALIX</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60099-2025</t>
        </is>
      </c>
      <c r="B7516" s="1" t="n">
        <v>45993.89900462963</v>
      </c>
      <c r="C7516" s="1" t="n">
        <v>46046</v>
      </c>
      <c r="D7516" t="inlineStr">
        <is>
          <t>NORRBOTTENS LÄN</t>
        </is>
      </c>
      <c r="E7516" t="inlineStr">
        <is>
          <t>PITEÅ</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60391-2025</t>
        </is>
      </c>
      <c r="B7517" s="1" t="n">
        <v>45995.38697916667</v>
      </c>
      <c r="C7517" s="1" t="n">
        <v>46046</v>
      </c>
      <c r="D7517" t="inlineStr">
        <is>
          <t>NORRBOTTENS LÄN</t>
        </is>
      </c>
      <c r="E7517" t="inlineStr">
        <is>
          <t>ARVIDSJAUR</t>
        </is>
      </c>
      <c r="F7517" t="inlineStr">
        <is>
          <t>Sveaskog</t>
        </is>
      </c>
      <c r="G7517" t="n">
        <v>14.1</v>
      </c>
      <c r="H7517" t="n">
        <v>0</v>
      </c>
      <c r="I7517" t="n">
        <v>0</v>
      </c>
      <c r="J7517" t="n">
        <v>0</v>
      </c>
      <c r="K7517" t="n">
        <v>0</v>
      </c>
      <c r="L7517" t="n">
        <v>0</v>
      </c>
      <c r="M7517" t="n">
        <v>0</v>
      </c>
      <c r="N7517" t="n">
        <v>0</v>
      </c>
      <c r="O7517" t="n">
        <v>0</v>
      </c>
      <c r="P7517" t="n">
        <v>0</v>
      </c>
      <c r="Q7517" t="n">
        <v>0</v>
      </c>
      <c r="R7517" s="2" t="inlineStr"/>
    </row>
    <row r="7518" ht="15" customHeight="1">
      <c r="A7518" t="inlineStr">
        <is>
          <t>A 60443-2025</t>
        </is>
      </c>
      <c r="B7518" s="1" t="n">
        <v>45995.49040509259</v>
      </c>
      <c r="C7518" s="1" t="n">
        <v>46046</v>
      </c>
      <c r="D7518" t="inlineStr">
        <is>
          <t>NORRBOTTENS LÄN</t>
        </is>
      </c>
      <c r="E7518" t="inlineStr">
        <is>
          <t>PITEÅ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60369-2025</t>
        </is>
      </c>
      <c r="B7519" s="1" t="n">
        <v>45995.34258101852</v>
      </c>
      <c r="C7519" s="1" t="n">
        <v>46046</v>
      </c>
      <c r="D7519" t="inlineStr">
        <is>
          <t>NORRBOTTENS LÄN</t>
        </is>
      </c>
      <c r="E7519" t="inlineStr">
        <is>
          <t>LULEÅ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60096-2025</t>
        </is>
      </c>
      <c r="B7520" s="1" t="n">
        <v>45993.87747685185</v>
      </c>
      <c r="C7520" s="1" t="n">
        <v>46046</v>
      </c>
      <c r="D7520" t="inlineStr">
        <is>
          <t>NORRBOTTENS LÄN</t>
        </is>
      </c>
      <c r="E7520" t="inlineStr">
        <is>
          <t>KALIX</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60097-2025</t>
        </is>
      </c>
      <c r="B7521" s="1" t="n">
        <v>45993.88168981481</v>
      </c>
      <c r="C7521" s="1" t="n">
        <v>46046</v>
      </c>
      <c r="D7521" t="inlineStr">
        <is>
          <t>NORRBOTTENS LÄN</t>
        </is>
      </c>
      <c r="E7521" t="inlineStr">
        <is>
          <t>KALIX</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60225-2025</t>
        </is>
      </c>
      <c r="B7522" s="1" t="n">
        <v>45994.55253472222</v>
      </c>
      <c r="C7522" s="1" t="n">
        <v>46046</v>
      </c>
      <c r="D7522" t="inlineStr">
        <is>
          <t>NORRBOTTENS LÄN</t>
        </is>
      </c>
      <c r="E7522" t="inlineStr">
        <is>
          <t>BODEN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60236-2025</t>
        </is>
      </c>
      <c r="B7523" s="1" t="n">
        <v>45994.5735300926</v>
      </c>
      <c r="C7523" s="1" t="n">
        <v>46046</v>
      </c>
      <c r="D7523" t="inlineStr">
        <is>
          <t>NORRBOTTENS LÄN</t>
        </is>
      </c>
      <c r="E7523" t="inlineStr">
        <is>
          <t>BODEN</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664-2026</t>
        </is>
      </c>
      <c r="B7524" s="1" t="n">
        <v>46029</v>
      </c>
      <c r="C7524" s="1" t="n">
        <v>46046</v>
      </c>
      <c r="D7524" t="inlineStr">
        <is>
          <t>NORRBOTTENS LÄN</t>
        </is>
      </c>
      <c r="E7524" t="inlineStr">
        <is>
          <t>BODEN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60613-2025</t>
        </is>
      </c>
      <c r="B7525" s="1" t="n">
        <v>45996</v>
      </c>
      <c r="C7525" s="1" t="n">
        <v>46046</v>
      </c>
      <c r="D7525" t="inlineStr">
        <is>
          <t>NORRBOTTENS LÄN</t>
        </is>
      </c>
      <c r="E7525" t="inlineStr">
        <is>
          <t>BODEN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60621-2025</t>
        </is>
      </c>
      <c r="B7526" s="1" t="n">
        <v>45996</v>
      </c>
      <c r="C7526" s="1" t="n">
        <v>46046</v>
      </c>
      <c r="D7526" t="inlineStr">
        <is>
          <t>NORRBOTTENS LÄN</t>
        </is>
      </c>
      <c r="E7526" t="inlineStr">
        <is>
          <t>ÖVERKALIX</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60622-2025</t>
        </is>
      </c>
      <c r="B7527" s="1" t="n">
        <v>45996.39519675926</v>
      </c>
      <c r="C7527" s="1" t="n">
        <v>46046</v>
      </c>
      <c r="D7527" t="inlineStr">
        <is>
          <t>NORRBOTTENS LÄN</t>
        </is>
      </c>
      <c r="E7527" t="inlineStr">
        <is>
          <t>PITEÅ</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60753-2025</t>
        </is>
      </c>
      <c r="B7528" s="1" t="n">
        <v>45999.38200231481</v>
      </c>
      <c r="C7528" s="1" t="n">
        <v>46046</v>
      </c>
      <c r="D7528" t="inlineStr">
        <is>
          <t>NORRBOTTENS LÄN</t>
        </is>
      </c>
      <c r="E7528" t="inlineStr">
        <is>
          <t>BODEN</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60767-2025</t>
        </is>
      </c>
      <c r="B7529" s="1" t="n">
        <v>45999.3869212963</v>
      </c>
      <c r="C7529" s="1" t="n">
        <v>46046</v>
      </c>
      <c r="D7529" t="inlineStr">
        <is>
          <t>NORRBOTTENS LÄN</t>
        </is>
      </c>
      <c r="E7529" t="inlineStr">
        <is>
          <t>ARJEPLOG</t>
        </is>
      </c>
      <c r="G7529" t="n">
        <v>11.3</v>
      </c>
      <c r="H7529" t="n">
        <v>0</v>
      </c>
      <c r="I7529" t="n">
        <v>0</v>
      </c>
      <c r="J7529" t="n">
        <v>0</v>
      </c>
      <c r="K7529" t="n">
        <v>0</v>
      </c>
      <c r="L7529" t="n">
        <v>0</v>
      </c>
      <c r="M7529" t="n">
        <v>0</v>
      </c>
      <c r="N7529" t="n">
        <v>0</v>
      </c>
      <c r="O7529" t="n">
        <v>0</v>
      </c>
      <c r="P7529" t="n">
        <v>0</v>
      </c>
      <c r="Q7529" t="n">
        <v>0</v>
      </c>
      <c r="R7529" s="2" t="inlineStr"/>
    </row>
    <row r="7530" ht="15" customHeight="1">
      <c r="A7530" t="inlineStr">
        <is>
          <t>A 60834-2025</t>
        </is>
      </c>
      <c r="B7530" s="1" t="n">
        <v>45999.47011574074</v>
      </c>
      <c r="C7530" s="1" t="n">
        <v>46046</v>
      </c>
      <c r="D7530" t="inlineStr">
        <is>
          <t>NORRBOTTENS LÄN</t>
        </is>
      </c>
      <c r="E7530" t="inlineStr">
        <is>
          <t>ÖVERKALIX</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60625-2025</t>
        </is>
      </c>
      <c r="B7531" s="1" t="n">
        <v>45996.40296296297</v>
      </c>
      <c r="C7531" s="1" t="n">
        <v>46046</v>
      </c>
      <c r="D7531" t="inlineStr">
        <is>
          <t>NORRBOTTENS LÄN</t>
        </is>
      </c>
      <c r="E7531" t="inlineStr">
        <is>
          <t>PITEÅ</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27182-2025</t>
        </is>
      </c>
      <c r="B7532" s="1" t="n">
        <v>45812</v>
      </c>
      <c r="C7532" s="1" t="n">
        <v>46046</v>
      </c>
      <c r="D7532" t="inlineStr">
        <is>
          <t>NORRBOTTENS LÄN</t>
        </is>
      </c>
      <c r="E7532" t="inlineStr">
        <is>
          <t>GÄLLIVARE</t>
        </is>
      </c>
      <c r="F7532" t="inlineStr">
        <is>
          <t>Sveaskog</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60890-2025</t>
        </is>
      </c>
      <c r="B7533" s="1" t="n">
        <v>45999.57001157408</v>
      </c>
      <c r="C7533" s="1" t="n">
        <v>46046</v>
      </c>
      <c r="D7533" t="inlineStr">
        <is>
          <t>NORRBOTTENS LÄN</t>
        </is>
      </c>
      <c r="E7533" t="inlineStr">
        <is>
          <t>ÖVERKALIX</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60986-2025</t>
        </is>
      </c>
      <c r="B7534" s="1" t="n">
        <v>45999</v>
      </c>
      <c r="C7534" s="1" t="n">
        <v>46046</v>
      </c>
      <c r="D7534" t="inlineStr">
        <is>
          <t>NORRBOTTENS LÄN</t>
        </is>
      </c>
      <c r="E7534" t="inlineStr">
        <is>
          <t>PITEÅ</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2918-2026</t>
        </is>
      </c>
      <c r="B7535" s="1" t="n">
        <v>46038</v>
      </c>
      <c r="C7535" s="1" t="n">
        <v>46046</v>
      </c>
      <c r="D7535" t="inlineStr">
        <is>
          <t>NORRBOTTENS LÄN</t>
        </is>
      </c>
      <c r="E7535" t="inlineStr">
        <is>
          <t>ÖVERTORNEÅ</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2887-2026</t>
        </is>
      </c>
      <c r="B7536" s="1" t="n">
        <v>46038</v>
      </c>
      <c r="C7536" s="1" t="n">
        <v>46046</v>
      </c>
      <c r="D7536" t="inlineStr">
        <is>
          <t>NORRBOTTENS LÄN</t>
        </is>
      </c>
      <c r="E7536" t="inlineStr">
        <is>
          <t>ÖVERTORNEÅ</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1003-2026</t>
        </is>
      </c>
      <c r="B7537" s="1" t="n">
        <v>46030</v>
      </c>
      <c r="C7537" s="1" t="n">
        <v>46046</v>
      </c>
      <c r="D7537" t="inlineStr">
        <is>
          <t>NORRBOTTENS LÄN</t>
        </is>
      </c>
      <c r="E7537" t="inlineStr">
        <is>
          <t>KALIX</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60690-2025</t>
        </is>
      </c>
      <c r="B7538" s="1" t="n">
        <v>45996</v>
      </c>
      <c r="C7538" s="1" t="n">
        <v>46046</v>
      </c>
      <c r="D7538" t="inlineStr">
        <is>
          <t>NORRBOTTENS LÄN</t>
        </is>
      </c>
      <c r="E7538" t="inlineStr">
        <is>
          <t>LULEÅ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60766-2025</t>
        </is>
      </c>
      <c r="B7539" s="1" t="n">
        <v>45999.38688657407</v>
      </c>
      <c r="C7539" s="1" t="n">
        <v>46046</v>
      </c>
      <c r="D7539" t="inlineStr">
        <is>
          <t>NORRBOTTENS LÄN</t>
        </is>
      </c>
      <c r="E7539" t="inlineStr">
        <is>
          <t>ARJEPLOG</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60776-2025</t>
        </is>
      </c>
      <c r="B7540" s="1" t="n">
        <v>45999</v>
      </c>
      <c r="C7540" s="1" t="n">
        <v>46046</v>
      </c>
      <c r="D7540" t="inlineStr">
        <is>
          <t>NORRBOTTENS LÄN</t>
        </is>
      </c>
      <c r="E7540" t="inlineStr">
        <is>
          <t>BODEN</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60809-2025</t>
        </is>
      </c>
      <c r="B7541" s="1" t="n">
        <v>45999.44186342593</v>
      </c>
      <c r="C7541" s="1" t="n">
        <v>46046</v>
      </c>
      <c r="D7541" t="inlineStr">
        <is>
          <t>NORRBOTTENS LÄN</t>
        </is>
      </c>
      <c r="E7541" t="inlineStr">
        <is>
          <t>ÖVERKALIX</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2782-2026</t>
        </is>
      </c>
      <c r="B7542" s="1" t="n">
        <v>46038</v>
      </c>
      <c r="C7542" s="1" t="n">
        <v>46046</v>
      </c>
      <c r="D7542" t="inlineStr">
        <is>
          <t>NORRBOTTENS LÄN</t>
        </is>
      </c>
      <c r="E7542" t="inlineStr">
        <is>
          <t>PITEÅ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2565-2026</t>
        </is>
      </c>
      <c r="B7543" s="1" t="n">
        <v>46037</v>
      </c>
      <c r="C7543" s="1" t="n">
        <v>46046</v>
      </c>
      <c r="D7543" t="inlineStr">
        <is>
          <t>NORRBOTTENS LÄN</t>
        </is>
      </c>
      <c r="E7543" t="inlineStr">
        <is>
          <t>BODEN</t>
        </is>
      </c>
      <c r="F7543" t="inlineStr">
        <is>
          <t>Naturvårdsverket</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2883-2026</t>
        </is>
      </c>
      <c r="B7544" s="1" t="n">
        <v>46038</v>
      </c>
      <c r="C7544" s="1" t="n">
        <v>46046</v>
      </c>
      <c r="D7544" t="inlineStr">
        <is>
          <t>NORRBOTTENS LÄN</t>
        </is>
      </c>
      <c r="E7544" t="inlineStr">
        <is>
          <t>ÖVERTORNEÅ</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60807-2025</t>
        </is>
      </c>
      <c r="B7545" s="1" t="n">
        <v>45999.43782407408</v>
      </c>
      <c r="C7545" s="1" t="n">
        <v>46046</v>
      </c>
      <c r="D7545" t="inlineStr">
        <is>
          <t>NORRBOTTENS LÄN</t>
        </is>
      </c>
      <c r="E7545" t="inlineStr">
        <is>
          <t>PITEÅ</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61146-2025</t>
        </is>
      </c>
      <c r="B7546" s="1" t="n">
        <v>45999</v>
      </c>
      <c r="C7546" s="1" t="n">
        <v>46046</v>
      </c>
      <c r="D7546" t="inlineStr">
        <is>
          <t>NORRBOTTENS LÄN</t>
        </is>
      </c>
      <c r="E7546" t="inlineStr">
        <is>
          <t>LULEÅ</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1657-2026</t>
        </is>
      </c>
      <c r="B7547" s="1" t="n">
        <v>46034</v>
      </c>
      <c r="C7547" s="1" t="n">
        <v>46046</v>
      </c>
      <c r="D7547" t="inlineStr">
        <is>
          <t>NORRBOTTENS LÄN</t>
        </is>
      </c>
      <c r="E7547" t="inlineStr">
        <is>
          <t>GÄLLIVARE</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60706-2025</t>
        </is>
      </c>
      <c r="B7548" s="1" t="n">
        <v>45996.60962962963</v>
      </c>
      <c r="C7548" s="1" t="n">
        <v>46046</v>
      </c>
      <c r="D7548" t="inlineStr">
        <is>
          <t>NORRBOTTENS LÄN</t>
        </is>
      </c>
      <c r="E7548" t="inlineStr">
        <is>
          <t>LULEÅ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60695-2025</t>
        </is>
      </c>
      <c r="B7549" s="1" t="n">
        <v>45996.59778935185</v>
      </c>
      <c r="C7549" s="1" t="n">
        <v>46046</v>
      </c>
      <c r="D7549" t="inlineStr">
        <is>
          <t>NORRBOTTENS LÄN</t>
        </is>
      </c>
      <c r="E7549" t="inlineStr">
        <is>
          <t>LULEÅ</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60702-2025</t>
        </is>
      </c>
      <c r="B7550" s="1" t="n">
        <v>45996.60475694444</v>
      </c>
      <c r="C7550" s="1" t="n">
        <v>46046</v>
      </c>
      <c r="D7550" t="inlineStr">
        <is>
          <t>NORRBOTTENS LÄN</t>
        </is>
      </c>
      <c r="E7550" t="inlineStr">
        <is>
          <t>LULEÅ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60759-2025</t>
        </is>
      </c>
      <c r="B7551" s="1" t="n">
        <v>45999.38487268519</v>
      </c>
      <c r="C7551" s="1" t="n">
        <v>46046</v>
      </c>
      <c r="D7551" t="inlineStr">
        <is>
          <t>NORRBOTTENS LÄN</t>
        </is>
      </c>
      <c r="E7551" t="inlineStr">
        <is>
          <t>BODEN</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2894-2026</t>
        </is>
      </c>
      <c r="B7552" s="1" t="n">
        <v>46038</v>
      </c>
      <c r="C7552" s="1" t="n">
        <v>46046</v>
      </c>
      <c r="D7552" t="inlineStr">
        <is>
          <t>NORRBOTTENS LÄN</t>
        </is>
      </c>
      <c r="E7552" t="inlineStr">
        <is>
          <t>ÖVERTORNEÅ</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2909-2026</t>
        </is>
      </c>
      <c r="B7553" s="1" t="n">
        <v>46038.56496527778</v>
      </c>
      <c r="C7553" s="1" t="n">
        <v>46046</v>
      </c>
      <c r="D7553" t="inlineStr">
        <is>
          <t>NORRBOTTENS LÄN</t>
        </is>
      </c>
      <c r="E7553" t="inlineStr">
        <is>
          <t>PAJALA</t>
        </is>
      </c>
      <c r="F7553" t="inlineStr">
        <is>
          <t>Kyrkan</t>
        </is>
      </c>
      <c r="G7553" t="n">
        <v>12.9</v>
      </c>
      <c r="H7553" t="n">
        <v>0</v>
      </c>
      <c r="I7553" t="n">
        <v>0</v>
      </c>
      <c r="J7553" t="n">
        <v>0</v>
      </c>
      <c r="K7553" t="n">
        <v>0</v>
      </c>
      <c r="L7553" t="n">
        <v>0</v>
      </c>
      <c r="M7553" t="n">
        <v>0</v>
      </c>
      <c r="N7553" t="n">
        <v>0</v>
      </c>
      <c r="O7553" t="n">
        <v>0</v>
      </c>
      <c r="P7553" t="n">
        <v>0</v>
      </c>
      <c r="Q7553" t="n">
        <v>0</v>
      </c>
      <c r="R7553" s="2" t="inlineStr"/>
    </row>
    <row r="7554" ht="15" customHeight="1">
      <c r="A7554" t="inlineStr">
        <is>
          <t>A 3306-2026</t>
        </is>
      </c>
      <c r="B7554" s="1" t="n">
        <v>46041.66591435186</v>
      </c>
      <c r="C7554" s="1" t="n">
        <v>46046</v>
      </c>
      <c r="D7554" t="inlineStr">
        <is>
          <t>NORRBOTTENS LÄN</t>
        </is>
      </c>
      <c r="E7554" t="inlineStr">
        <is>
          <t>LULEÅ</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60857-2025</t>
        </is>
      </c>
      <c r="B7555" s="1" t="n">
        <v>45999.52039351852</v>
      </c>
      <c r="C7555" s="1" t="n">
        <v>46046</v>
      </c>
      <c r="D7555" t="inlineStr">
        <is>
          <t>NORRBOTTENS LÄN</t>
        </is>
      </c>
      <c r="E7555" t="inlineStr">
        <is>
          <t>GÄLLIVARE</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61108-2025</t>
        </is>
      </c>
      <c r="B7556" s="1" t="n">
        <v>45999</v>
      </c>
      <c r="C7556" s="1" t="n">
        <v>46046</v>
      </c>
      <c r="D7556" t="inlineStr">
        <is>
          <t>NORRBOTTENS LÄN</t>
        </is>
      </c>
      <c r="E7556" t="inlineStr">
        <is>
          <t>HAPARANDA</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60237-2025</t>
        </is>
      </c>
      <c r="B7557" s="1" t="n">
        <v>45994</v>
      </c>
      <c r="C7557" s="1" t="n">
        <v>46046</v>
      </c>
      <c r="D7557" t="inlineStr">
        <is>
          <t>NORRBOTTENS LÄN</t>
        </is>
      </c>
      <c r="E7557" t="inlineStr">
        <is>
          <t>BODEN</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61145-2025</t>
        </is>
      </c>
      <c r="B7558" s="1" t="n">
        <v>45999</v>
      </c>
      <c r="C7558" s="1" t="n">
        <v>46046</v>
      </c>
      <c r="D7558" t="inlineStr">
        <is>
          <t>NORRBOTTENS LÄN</t>
        </is>
      </c>
      <c r="E7558" t="inlineStr">
        <is>
          <t>BODEN</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60930-2025</t>
        </is>
      </c>
      <c r="B7559" s="1" t="n">
        <v>45996</v>
      </c>
      <c r="C7559" s="1" t="n">
        <v>46046</v>
      </c>
      <c r="D7559" t="inlineStr">
        <is>
          <t>NORRBOTTENS LÄN</t>
        </is>
      </c>
      <c r="E7559" t="inlineStr">
        <is>
          <t>ÖVERKALIX</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1568-2026</t>
        </is>
      </c>
      <c r="B7560" s="1" t="n">
        <v>46034.40601851852</v>
      </c>
      <c r="C7560" s="1" t="n">
        <v>46046</v>
      </c>
      <c r="D7560" t="inlineStr">
        <is>
          <t>NORRBOTTENS LÄN</t>
        </is>
      </c>
      <c r="E7560" t="inlineStr">
        <is>
          <t>PITEÅ</t>
        </is>
      </c>
      <c r="G7560" t="n">
        <v>26.4</v>
      </c>
      <c r="H7560" t="n">
        <v>0</v>
      </c>
      <c r="I7560" t="n">
        <v>0</v>
      </c>
      <c r="J7560" t="n">
        <v>0</v>
      </c>
      <c r="K7560" t="n">
        <v>0</v>
      </c>
      <c r="L7560" t="n">
        <v>0</v>
      </c>
      <c r="M7560" t="n">
        <v>0</v>
      </c>
      <c r="N7560" t="n">
        <v>0</v>
      </c>
      <c r="O7560" t="n">
        <v>0</v>
      </c>
      <c r="P7560" t="n">
        <v>0</v>
      </c>
      <c r="Q7560" t="n">
        <v>0</v>
      </c>
      <c r="R7560" s="2" t="inlineStr"/>
    </row>
    <row r="7561" ht="15" customHeight="1">
      <c r="A7561" t="inlineStr">
        <is>
          <t>A 2798-2026</t>
        </is>
      </c>
      <c r="B7561" s="1" t="n">
        <v>46038.40663194445</v>
      </c>
      <c r="C7561" s="1" t="n">
        <v>46046</v>
      </c>
      <c r="D7561" t="inlineStr">
        <is>
          <t>NORRBOTTENS LÄN</t>
        </is>
      </c>
      <c r="E7561" t="inlineStr">
        <is>
          <t>GÄLLIVARE</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62992-2025</t>
        </is>
      </c>
      <c r="B7562" s="1" t="n">
        <v>46009</v>
      </c>
      <c r="C7562" s="1" t="n">
        <v>46046</v>
      </c>
      <c r="D7562" t="inlineStr">
        <is>
          <t>NORRBOTTENS LÄN</t>
        </is>
      </c>
      <c r="E7562" t="inlineStr">
        <is>
          <t>BODEN</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60799-2025</t>
        </is>
      </c>
      <c r="B7563" s="1" t="n">
        <v>45999.43054398148</v>
      </c>
      <c r="C7563" s="1" t="n">
        <v>46046</v>
      </c>
      <c r="D7563" t="inlineStr">
        <is>
          <t>NORRBOTTENS LÄN</t>
        </is>
      </c>
      <c r="E7563" t="inlineStr">
        <is>
          <t>ÖVERKALIX</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60814-2025</t>
        </is>
      </c>
      <c r="B7564" s="1" t="n">
        <v>45999.4484375</v>
      </c>
      <c r="C7564" s="1" t="n">
        <v>46046</v>
      </c>
      <c r="D7564" t="inlineStr">
        <is>
          <t>NORRBOTTENS LÄN</t>
        </is>
      </c>
      <c r="E7564" t="inlineStr">
        <is>
          <t>KALIX</t>
        </is>
      </c>
      <c r="G7564" t="n">
        <v>13.5</v>
      </c>
      <c r="H7564" t="n">
        <v>0</v>
      </c>
      <c r="I7564" t="n">
        <v>0</v>
      </c>
      <c r="J7564" t="n">
        <v>0</v>
      </c>
      <c r="K7564" t="n">
        <v>0</v>
      </c>
      <c r="L7564" t="n">
        <v>0</v>
      </c>
      <c r="M7564" t="n">
        <v>0</v>
      </c>
      <c r="N7564" t="n">
        <v>0</v>
      </c>
      <c r="O7564" t="n">
        <v>0</v>
      </c>
      <c r="P7564" t="n">
        <v>0</v>
      </c>
      <c r="Q7564" t="n">
        <v>0</v>
      </c>
      <c r="R7564" s="2" t="inlineStr"/>
    </row>
    <row r="7565" ht="15" customHeight="1">
      <c r="A7565" t="inlineStr">
        <is>
          <t>A 60845-2025</t>
        </is>
      </c>
      <c r="B7565" s="1" t="n">
        <v>45999.48986111111</v>
      </c>
      <c r="C7565" s="1" t="n">
        <v>46046</v>
      </c>
      <c r="D7565" t="inlineStr">
        <is>
          <t>NORRBOTTENS LÄN</t>
        </is>
      </c>
      <c r="E7565" t="inlineStr">
        <is>
          <t>GÄLLIVARE</t>
        </is>
      </c>
      <c r="G7565" t="n">
        <v>41.3</v>
      </c>
      <c r="H7565" t="n">
        <v>0</v>
      </c>
      <c r="I7565" t="n">
        <v>0</v>
      </c>
      <c r="J7565" t="n">
        <v>0</v>
      </c>
      <c r="K7565" t="n">
        <v>0</v>
      </c>
      <c r="L7565" t="n">
        <v>0</v>
      </c>
      <c r="M7565" t="n">
        <v>0</v>
      </c>
      <c r="N7565" t="n">
        <v>0</v>
      </c>
      <c r="O7565" t="n">
        <v>0</v>
      </c>
      <c r="P7565" t="n">
        <v>0</v>
      </c>
      <c r="Q7565" t="n">
        <v>0</v>
      </c>
      <c r="R7565" s="2" t="inlineStr"/>
    </row>
    <row r="7566" ht="15" customHeight="1">
      <c r="A7566" t="inlineStr">
        <is>
          <t>A 60982-2025</t>
        </is>
      </c>
      <c r="B7566" s="1" t="n">
        <v>45999.70535879629</v>
      </c>
      <c r="C7566" s="1" t="n">
        <v>46046</v>
      </c>
      <c r="D7566" t="inlineStr">
        <is>
          <t>NORRBOTTENS LÄN</t>
        </is>
      </c>
      <c r="E7566" t="inlineStr">
        <is>
          <t>GÄLLIVARE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2658-2026</t>
        </is>
      </c>
      <c r="B7567" s="1" t="n">
        <v>46037.63512731482</v>
      </c>
      <c r="C7567" s="1" t="n">
        <v>46046</v>
      </c>
      <c r="D7567" t="inlineStr">
        <is>
          <t>NORRBOTTENS LÄN</t>
        </is>
      </c>
      <c r="E7567" t="inlineStr">
        <is>
          <t>KIRUNA</t>
        </is>
      </c>
      <c r="G7567" t="n">
        <v>22.5</v>
      </c>
      <c r="H7567" t="n">
        <v>0</v>
      </c>
      <c r="I7567" t="n">
        <v>0</v>
      </c>
      <c r="J7567" t="n">
        <v>0</v>
      </c>
      <c r="K7567" t="n">
        <v>0</v>
      </c>
      <c r="L7567" t="n">
        <v>0</v>
      </c>
      <c r="M7567" t="n">
        <v>0</v>
      </c>
      <c r="N7567" t="n">
        <v>0</v>
      </c>
      <c r="O7567" t="n">
        <v>0</v>
      </c>
      <c r="P7567" t="n">
        <v>0</v>
      </c>
      <c r="Q7567" t="n">
        <v>0</v>
      </c>
      <c r="R7567" s="2" t="inlineStr"/>
    </row>
    <row r="7568" ht="15" customHeight="1">
      <c r="A7568" t="inlineStr">
        <is>
          <t>A 60675-2025</t>
        </is>
      </c>
      <c r="B7568" s="1" t="n">
        <v>45996.55915509259</v>
      </c>
      <c r="C7568" s="1" t="n">
        <v>46046</v>
      </c>
      <c r="D7568" t="inlineStr">
        <is>
          <t>NORRBOTTENS LÄN</t>
        </is>
      </c>
      <c r="E7568" t="inlineStr">
        <is>
          <t>ÖVERTORNEÅ</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3051-2026</t>
        </is>
      </c>
      <c r="B7569" s="1" t="n">
        <v>46039.21565972222</v>
      </c>
      <c r="C7569" s="1" t="n">
        <v>46046</v>
      </c>
      <c r="D7569" t="inlineStr">
        <is>
          <t>NORRBOTTENS LÄN</t>
        </is>
      </c>
      <c r="E7569" t="inlineStr">
        <is>
          <t>ARVIDSJAUR</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3161-2026</t>
        </is>
      </c>
      <c r="B7570" s="1" t="n">
        <v>46041</v>
      </c>
      <c r="C7570" s="1" t="n">
        <v>46046</v>
      </c>
      <c r="D7570" t="inlineStr">
        <is>
          <t>NORRBOTTENS LÄN</t>
        </is>
      </c>
      <c r="E7570" t="inlineStr">
        <is>
          <t>GÄLLIVARE</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2547-2026</t>
        </is>
      </c>
      <c r="B7571" s="1" t="n">
        <v>46037.46954861111</v>
      </c>
      <c r="C7571" s="1" t="n">
        <v>46046</v>
      </c>
      <c r="D7571" t="inlineStr">
        <is>
          <t>NORRBOTTENS LÄN</t>
        </is>
      </c>
      <c r="E7571" t="inlineStr">
        <is>
          <t>LULEÅ</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2567-2026</t>
        </is>
      </c>
      <c r="B7572" s="1" t="n">
        <v>46037.49084490741</v>
      </c>
      <c r="C7572" s="1" t="n">
        <v>46046</v>
      </c>
      <c r="D7572" t="inlineStr">
        <is>
          <t>NORRBOTTENS LÄN</t>
        </is>
      </c>
      <c r="E7572" t="inlineStr">
        <is>
          <t>LULEÅ</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3295-2026</t>
        </is>
      </c>
      <c r="B7573" s="1" t="n">
        <v>46041.6484375</v>
      </c>
      <c r="C7573" s="1" t="n">
        <v>46046</v>
      </c>
      <c r="D7573" t="inlineStr">
        <is>
          <t>NORRBOTTENS LÄN</t>
        </is>
      </c>
      <c r="E7573" t="inlineStr">
        <is>
          <t>KALIX</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3304-2026</t>
        </is>
      </c>
      <c r="B7574" s="1" t="n">
        <v>46041.66304398148</v>
      </c>
      <c r="C7574" s="1" t="n">
        <v>46046</v>
      </c>
      <c r="D7574" t="inlineStr">
        <is>
          <t>NORRBOTTENS LÄN</t>
        </is>
      </c>
      <c r="E7574" t="inlineStr">
        <is>
          <t>LULEÅ</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60727-2025</t>
        </is>
      </c>
      <c r="B7575" s="1" t="n">
        <v>45996.6802662037</v>
      </c>
      <c r="C7575" s="1" t="n">
        <v>46046</v>
      </c>
      <c r="D7575" t="inlineStr">
        <is>
          <t>NORRBOTTENS LÄN</t>
        </is>
      </c>
      <c r="E7575" t="inlineStr">
        <is>
          <t>KALIX</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3299-2026</t>
        </is>
      </c>
      <c r="B7576" s="1" t="n">
        <v>46041.65288194444</v>
      </c>
      <c r="C7576" s="1" t="n">
        <v>46046</v>
      </c>
      <c r="D7576" t="inlineStr">
        <is>
          <t>NORRBOTTENS LÄN</t>
        </is>
      </c>
      <c r="E7576" t="inlineStr">
        <is>
          <t>KALIX</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2771-2026</t>
        </is>
      </c>
      <c r="B7577" s="1" t="n">
        <v>46036</v>
      </c>
      <c r="C7577" s="1" t="n">
        <v>46046</v>
      </c>
      <c r="D7577" t="inlineStr">
        <is>
          <t>NORRBOTTENS LÄN</t>
        </is>
      </c>
      <c r="E7577" t="inlineStr">
        <is>
          <t>BODEN</t>
        </is>
      </c>
      <c r="F7577" t="inlineStr">
        <is>
          <t>Kommuner</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60923-2025</t>
        </is>
      </c>
      <c r="B7578" s="1" t="n">
        <v>45999</v>
      </c>
      <c r="C7578" s="1" t="n">
        <v>46046</v>
      </c>
      <c r="D7578" t="inlineStr">
        <is>
          <t>NORRBOTTENS LÄN</t>
        </is>
      </c>
      <c r="E7578" t="inlineStr">
        <is>
          <t>GÄLLIVARE</t>
        </is>
      </c>
      <c r="G7578" t="n">
        <v>25.5</v>
      </c>
      <c r="H7578" t="n">
        <v>0</v>
      </c>
      <c r="I7578" t="n">
        <v>0</v>
      </c>
      <c r="J7578" t="n">
        <v>0</v>
      </c>
      <c r="K7578" t="n">
        <v>0</v>
      </c>
      <c r="L7578" t="n">
        <v>0</v>
      </c>
      <c r="M7578" t="n">
        <v>0</v>
      </c>
      <c r="N7578" t="n">
        <v>0</v>
      </c>
      <c r="O7578" t="n">
        <v>0</v>
      </c>
      <c r="P7578" t="n">
        <v>0</v>
      </c>
      <c r="Q7578" t="n">
        <v>0</v>
      </c>
      <c r="R7578" s="2" t="inlineStr"/>
    </row>
    <row r="7579" ht="15" customHeight="1">
      <c r="A7579" t="inlineStr">
        <is>
          <t>A 2904-2026</t>
        </is>
      </c>
      <c r="B7579" s="1" t="n">
        <v>46038</v>
      </c>
      <c r="C7579" s="1" t="n">
        <v>46046</v>
      </c>
      <c r="D7579" t="inlineStr">
        <is>
          <t>NORRBOTTENS LÄN</t>
        </is>
      </c>
      <c r="E7579" t="inlineStr">
        <is>
          <t>ÖVERTORNEÅ</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60584-2025</t>
        </is>
      </c>
      <c r="B7580" s="1" t="n">
        <v>45996.33219907407</v>
      </c>
      <c r="C7580" s="1" t="n">
        <v>46046</v>
      </c>
      <c r="D7580" t="inlineStr">
        <is>
          <t>NORRBOTTENS LÄN</t>
        </is>
      </c>
      <c r="E7580" t="inlineStr">
        <is>
          <t>ARVIDSJAUR</t>
        </is>
      </c>
      <c r="F7580" t="inlineStr">
        <is>
          <t>Sveaskog</t>
        </is>
      </c>
      <c r="G7580" t="n">
        <v>11.2</v>
      </c>
      <c r="H7580" t="n">
        <v>0</v>
      </c>
      <c r="I7580" t="n">
        <v>0</v>
      </c>
      <c r="J7580" t="n">
        <v>0</v>
      </c>
      <c r="K7580" t="n">
        <v>0</v>
      </c>
      <c r="L7580" t="n">
        <v>0</v>
      </c>
      <c r="M7580" t="n">
        <v>0</v>
      </c>
      <c r="N7580" t="n">
        <v>0</v>
      </c>
      <c r="O7580" t="n">
        <v>0</v>
      </c>
      <c r="P7580" t="n">
        <v>0</v>
      </c>
      <c r="Q7580" t="n">
        <v>0</v>
      </c>
      <c r="R7580" s="2" t="inlineStr"/>
    </row>
    <row r="7581" ht="15" customHeight="1">
      <c r="A7581" t="inlineStr">
        <is>
          <t>A 3254-2026</t>
        </is>
      </c>
      <c r="B7581" s="1" t="n">
        <v>46041.58980324074</v>
      </c>
      <c r="C7581" s="1" t="n">
        <v>46046</v>
      </c>
      <c r="D7581" t="inlineStr">
        <is>
          <t>NORRBOTTENS LÄN</t>
        </is>
      </c>
      <c r="E7581" t="inlineStr">
        <is>
          <t>KALIX</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60909-2025</t>
        </is>
      </c>
      <c r="B7582" s="1" t="n">
        <v>45999.59505787037</v>
      </c>
      <c r="C7582" s="1" t="n">
        <v>46046</v>
      </c>
      <c r="D7582" t="inlineStr">
        <is>
          <t>NORRBOTTENS LÄN</t>
        </is>
      </c>
      <c r="E7582" t="inlineStr">
        <is>
          <t>ÖVERKALIX</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60863-2025</t>
        </is>
      </c>
      <c r="B7583" s="1" t="n">
        <v>45999.53010416667</v>
      </c>
      <c r="C7583" s="1" t="n">
        <v>46046</v>
      </c>
      <c r="D7583" t="inlineStr">
        <is>
          <t>NORRBOTTENS LÄN</t>
        </is>
      </c>
      <c r="E7583" t="inlineStr">
        <is>
          <t>GÄLLIVARE</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60781-2025</t>
        </is>
      </c>
      <c r="B7584" s="1" t="n">
        <v>45999.39361111111</v>
      </c>
      <c r="C7584" s="1" t="n">
        <v>46046</v>
      </c>
      <c r="D7584" t="inlineStr">
        <is>
          <t>NORRBOTTENS LÄN</t>
        </is>
      </c>
      <c r="E7584" t="inlineStr">
        <is>
          <t>BODEN</t>
        </is>
      </c>
      <c r="G7584" t="n">
        <v>12.3</v>
      </c>
      <c r="H7584" t="n">
        <v>0</v>
      </c>
      <c r="I7584" t="n">
        <v>0</v>
      </c>
      <c r="J7584" t="n">
        <v>0</v>
      </c>
      <c r="K7584" t="n">
        <v>0</v>
      </c>
      <c r="L7584" t="n">
        <v>0</v>
      </c>
      <c r="M7584" t="n">
        <v>0</v>
      </c>
      <c r="N7584" t="n">
        <v>0</v>
      </c>
      <c r="O7584" t="n">
        <v>0</v>
      </c>
      <c r="P7584" t="n">
        <v>0</v>
      </c>
      <c r="Q7584" t="n">
        <v>0</v>
      </c>
      <c r="R7584" s="2" t="inlineStr"/>
    </row>
    <row r="7585" ht="15" customHeight="1">
      <c r="A7585" t="inlineStr">
        <is>
          <t>A 60815-2025</t>
        </is>
      </c>
      <c r="B7585" s="1" t="n">
        <v>45999.44849537037</v>
      </c>
      <c r="C7585" s="1" t="n">
        <v>46046</v>
      </c>
      <c r="D7585" t="inlineStr">
        <is>
          <t>NORRBOTTENS LÄN</t>
        </is>
      </c>
      <c r="E7585" t="inlineStr">
        <is>
          <t>ÖVERKALIX</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60607-2025</t>
        </is>
      </c>
      <c r="B7586" s="1" t="n">
        <v>45996.36384259259</v>
      </c>
      <c r="C7586" s="1" t="n">
        <v>46046</v>
      </c>
      <c r="D7586" t="inlineStr">
        <is>
          <t>NORRBOTTENS LÄN</t>
        </is>
      </c>
      <c r="E7586" t="inlineStr">
        <is>
          <t>BODEN</t>
        </is>
      </c>
      <c r="F7586" t="inlineStr">
        <is>
          <t>Sveaskog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61054-2025</t>
        </is>
      </c>
      <c r="B7587" s="1" t="n">
        <v>46000</v>
      </c>
      <c r="C7587" s="1" t="n">
        <v>46046</v>
      </c>
      <c r="D7587" t="inlineStr">
        <is>
          <t>NORRBOTTENS LÄN</t>
        </is>
      </c>
      <c r="E7587" t="inlineStr">
        <is>
          <t>ARVIDSJAUR</t>
        </is>
      </c>
      <c r="F7587" t="inlineStr">
        <is>
          <t>Sveaskog</t>
        </is>
      </c>
      <c r="G7587" t="n">
        <v>18.4</v>
      </c>
      <c r="H7587" t="n">
        <v>0</v>
      </c>
      <c r="I7587" t="n">
        <v>0</v>
      </c>
      <c r="J7587" t="n">
        <v>0</v>
      </c>
      <c r="K7587" t="n">
        <v>0</v>
      </c>
      <c r="L7587" t="n">
        <v>0</v>
      </c>
      <c r="M7587" t="n">
        <v>0</v>
      </c>
      <c r="N7587" t="n">
        <v>0</v>
      </c>
      <c r="O7587" t="n">
        <v>0</v>
      </c>
      <c r="P7587" t="n">
        <v>0</v>
      </c>
      <c r="Q7587" t="n">
        <v>0</v>
      </c>
      <c r="R7587" s="2" t="inlineStr"/>
    </row>
    <row r="7588" ht="15" customHeight="1">
      <c r="A7588" t="inlineStr">
        <is>
          <t>A 2488-2026</t>
        </is>
      </c>
      <c r="B7588" s="1" t="n">
        <v>46037.39181712963</v>
      </c>
      <c r="C7588" s="1" t="n">
        <v>46046</v>
      </c>
      <c r="D7588" t="inlineStr">
        <is>
          <t>NORRBOTTENS LÄN</t>
        </is>
      </c>
      <c r="E7588" t="inlineStr">
        <is>
          <t>BODEN</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2783-2026</t>
        </is>
      </c>
      <c r="B7589" s="1" t="n">
        <v>46038</v>
      </c>
      <c r="C7589" s="1" t="n">
        <v>46046</v>
      </c>
      <c r="D7589" t="inlineStr">
        <is>
          <t>NORRBOTTENS LÄN</t>
        </is>
      </c>
      <c r="E7589" t="inlineStr">
        <is>
          <t>PITEÅ</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3399-2026</t>
        </is>
      </c>
      <c r="B7590" s="1" t="n">
        <v>46042.38613425926</v>
      </c>
      <c r="C7590" s="1" t="n">
        <v>46046</v>
      </c>
      <c r="D7590" t="inlineStr">
        <is>
          <t>NORRBOTTENS LÄN</t>
        </is>
      </c>
      <c r="E7590" t="inlineStr">
        <is>
          <t>ÖVERKALIX</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61461-2025</t>
        </is>
      </c>
      <c r="B7591" s="1" t="n">
        <v>46001.5986574074</v>
      </c>
      <c r="C7591" s="1" t="n">
        <v>46046</v>
      </c>
      <c r="D7591" t="inlineStr">
        <is>
          <t>NORRBOTTENS LÄN</t>
        </is>
      </c>
      <c r="E7591" t="inlineStr">
        <is>
          <t>PAJALA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57575-2025</t>
        </is>
      </c>
      <c r="B7592" s="1" t="n">
        <v>45980</v>
      </c>
      <c r="C7592" s="1" t="n">
        <v>46046</v>
      </c>
      <c r="D7592" t="inlineStr">
        <is>
          <t>NORRBOTTENS LÄN</t>
        </is>
      </c>
      <c r="E7592" t="inlineStr">
        <is>
          <t>BODEN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3491-2026</t>
        </is>
      </c>
      <c r="B7593" s="1" t="n">
        <v>46042.57099537037</v>
      </c>
      <c r="C7593" s="1" t="n">
        <v>46046</v>
      </c>
      <c r="D7593" t="inlineStr">
        <is>
          <t>NORRBOTTENS LÄN</t>
        </is>
      </c>
      <c r="E7593" t="inlineStr">
        <is>
          <t>PITEÅ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3524-2026</t>
        </is>
      </c>
      <c r="B7594" s="1" t="n">
        <v>46042.60581018519</v>
      </c>
      <c r="C7594" s="1" t="n">
        <v>46046</v>
      </c>
      <c r="D7594" t="inlineStr">
        <is>
          <t>NORRBOTTENS LÄN</t>
        </is>
      </c>
      <c r="E7594" t="inlineStr">
        <is>
          <t>ÖVERKALIX</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53626-2025</t>
        </is>
      </c>
      <c r="B7595" s="1" t="n">
        <v>45960</v>
      </c>
      <c r="C7595" s="1" t="n">
        <v>46046</v>
      </c>
      <c r="D7595" t="inlineStr">
        <is>
          <t>NORRBOTTENS LÄN</t>
        </is>
      </c>
      <c r="E7595" t="inlineStr">
        <is>
          <t>GÄLLIVARE</t>
        </is>
      </c>
      <c r="F7595" t="inlineStr">
        <is>
          <t>Sveaskog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61394-2025</t>
        </is>
      </c>
      <c r="B7596" s="1" t="n">
        <v>46001.47069444445</v>
      </c>
      <c r="C7596" s="1" t="n">
        <v>46046</v>
      </c>
      <c r="D7596" t="inlineStr">
        <is>
          <t>NORRBOTTENS LÄN</t>
        </is>
      </c>
      <c r="E7596" t="inlineStr">
        <is>
          <t>KALIX</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3498-2026</t>
        </is>
      </c>
      <c r="B7597" s="1" t="n">
        <v>46042.57371527778</v>
      </c>
      <c r="C7597" s="1" t="n">
        <v>46046</v>
      </c>
      <c r="D7597" t="inlineStr">
        <is>
          <t>NORRBOTTENS LÄN</t>
        </is>
      </c>
      <c r="E7597" t="inlineStr">
        <is>
          <t>PITEÅ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53621-2025</t>
        </is>
      </c>
      <c r="B7598" s="1" t="n">
        <v>45960</v>
      </c>
      <c r="C7598" s="1" t="n">
        <v>46046</v>
      </c>
      <c r="D7598" t="inlineStr">
        <is>
          <t>NORRBOTTENS LÄN</t>
        </is>
      </c>
      <c r="E7598" t="inlineStr">
        <is>
          <t>GÄLLIVARE</t>
        </is>
      </c>
      <c r="F7598" t="inlineStr">
        <is>
          <t>Sveaskog</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53634-2025</t>
        </is>
      </c>
      <c r="B7599" s="1" t="n">
        <v>45960</v>
      </c>
      <c r="C7599" s="1" t="n">
        <v>46046</v>
      </c>
      <c r="D7599" t="inlineStr">
        <is>
          <t>NORRBOTTENS LÄN</t>
        </is>
      </c>
      <c r="E7599" t="inlineStr">
        <is>
          <t>GÄLLIVARE</t>
        </is>
      </c>
      <c r="F7599" t="inlineStr">
        <is>
          <t>Sveaskog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61034-2025</t>
        </is>
      </c>
      <c r="B7600" s="1" t="n">
        <v>45999</v>
      </c>
      <c r="C7600" s="1" t="n">
        <v>46046</v>
      </c>
      <c r="D7600" t="inlineStr">
        <is>
          <t>NORRBOTTENS LÄN</t>
        </is>
      </c>
      <c r="E7600" t="inlineStr">
        <is>
          <t>BODEN</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628-2026</t>
        </is>
      </c>
      <c r="B7601" s="1" t="n">
        <v>46029</v>
      </c>
      <c r="C7601" s="1" t="n">
        <v>46046</v>
      </c>
      <c r="D7601" t="inlineStr">
        <is>
          <t>NORRBOTTENS LÄN</t>
        </is>
      </c>
      <c r="E7601" t="inlineStr">
        <is>
          <t>BODEN</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52240-2025</t>
        </is>
      </c>
      <c r="B7602" s="1" t="n">
        <v>45953</v>
      </c>
      <c r="C7602" s="1" t="n">
        <v>46046</v>
      </c>
      <c r="D7602" t="inlineStr">
        <is>
          <t>NORRBOTTENS LÄN</t>
        </is>
      </c>
      <c r="E7602" t="inlineStr">
        <is>
          <t>JOKKMOKK</t>
        </is>
      </c>
      <c r="F7602" t="inlineStr">
        <is>
          <t>Övriga statliga verk och myndigheter</t>
        </is>
      </c>
      <c r="G7602" t="n">
        <v>17.6</v>
      </c>
      <c r="H7602" t="n">
        <v>0</v>
      </c>
      <c r="I7602" t="n">
        <v>0</v>
      </c>
      <c r="J7602" t="n">
        <v>0</v>
      </c>
      <c r="K7602" t="n">
        <v>0</v>
      </c>
      <c r="L7602" t="n">
        <v>0</v>
      </c>
      <c r="M7602" t="n">
        <v>0</v>
      </c>
      <c r="N7602" t="n">
        <v>0</v>
      </c>
      <c r="O7602" t="n">
        <v>0</v>
      </c>
      <c r="P7602" t="n">
        <v>0</v>
      </c>
      <c r="Q7602" t="n">
        <v>0</v>
      </c>
      <c r="R7602" s="2" t="inlineStr"/>
    </row>
    <row r="7603" ht="15" customHeight="1">
      <c r="A7603" t="inlineStr">
        <is>
          <t>A 1301-2026</t>
        </is>
      </c>
      <c r="B7603" s="1" t="n">
        <v>46031.5231712963</v>
      </c>
      <c r="C7603" s="1" t="n">
        <v>46046</v>
      </c>
      <c r="D7603" t="inlineStr">
        <is>
          <t>NORRBOTTENS LÄN</t>
        </is>
      </c>
      <c r="E7603" t="inlineStr">
        <is>
          <t>PITEÅ</t>
        </is>
      </c>
      <c r="G7603" t="n">
        <v>17.1</v>
      </c>
      <c r="H7603" t="n">
        <v>0</v>
      </c>
      <c r="I7603" t="n">
        <v>0</v>
      </c>
      <c r="J7603" t="n">
        <v>0</v>
      </c>
      <c r="K7603" t="n">
        <v>0</v>
      </c>
      <c r="L7603" t="n">
        <v>0</v>
      </c>
      <c r="M7603" t="n">
        <v>0</v>
      </c>
      <c r="N7603" t="n">
        <v>0</v>
      </c>
      <c r="O7603" t="n">
        <v>0</v>
      </c>
      <c r="P7603" t="n">
        <v>0</v>
      </c>
      <c r="Q7603" t="n">
        <v>0</v>
      </c>
      <c r="R7603" s="2" t="inlineStr"/>
    </row>
    <row r="7604" ht="15" customHeight="1">
      <c r="A7604" t="inlineStr">
        <is>
          <t>A 3539-2026</t>
        </is>
      </c>
      <c r="B7604" s="1" t="n">
        <v>46042.63012731481</v>
      </c>
      <c r="C7604" s="1" t="n">
        <v>46046</v>
      </c>
      <c r="D7604" t="inlineStr">
        <is>
          <t>NORRBOTTENS LÄN</t>
        </is>
      </c>
      <c r="E7604" t="inlineStr">
        <is>
          <t>BODEN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3479-2026</t>
        </is>
      </c>
      <c r="B7605" s="1" t="n">
        <v>46042</v>
      </c>
      <c r="C7605" s="1" t="n">
        <v>46046</v>
      </c>
      <c r="D7605" t="inlineStr">
        <is>
          <t>NORRBOTTENS LÄN</t>
        </is>
      </c>
      <c r="E7605" t="inlineStr">
        <is>
          <t>PITEÅ</t>
        </is>
      </c>
      <c r="G7605" t="n">
        <v>16.2</v>
      </c>
      <c r="H7605" t="n">
        <v>0</v>
      </c>
      <c r="I7605" t="n">
        <v>0</v>
      </c>
      <c r="J7605" t="n">
        <v>0</v>
      </c>
      <c r="K7605" t="n">
        <v>0</v>
      </c>
      <c r="L7605" t="n">
        <v>0</v>
      </c>
      <c r="M7605" t="n">
        <v>0</v>
      </c>
      <c r="N7605" t="n">
        <v>0</v>
      </c>
      <c r="O7605" t="n">
        <v>0</v>
      </c>
      <c r="P7605" t="n">
        <v>0</v>
      </c>
      <c r="Q7605" t="n">
        <v>0</v>
      </c>
      <c r="R7605" s="2" t="inlineStr"/>
    </row>
    <row r="7606" ht="15" customHeight="1">
      <c r="A7606" t="inlineStr">
        <is>
          <t>A 61290-2025</t>
        </is>
      </c>
      <c r="B7606" s="1" t="n">
        <v>46000.7378587963</v>
      </c>
      <c r="C7606" s="1" t="n">
        <v>46046</v>
      </c>
      <c r="D7606" t="inlineStr">
        <is>
          <t>NORRBOTTENS LÄN</t>
        </is>
      </c>
      <c r="E7606" t="inlineStr">
        <is>
          <t>PAJALA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3497-2026</t>
        </is>
      </c>
      <c r="B7607" s="1" t="n">
        <v>46042.57369212963</v>
      </c>
      <c r="C7607" s="1" t="n">
        <v>46046</v>
      </c>
      <c r="D7607" t="inlineStr">
        <is>
          <t>NORRBOTTENS LÄN</t>
        </is>
      </c>
      <c r="E7607" t="inlineStr">
        <is>
          <t>PITEÅ</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14196-2025</t>
        </is>
      </c>
      <c r="B7608" s="1" t="n">
        <v>45740</v>
      </c>
      <c r="C7608" s="1" t="n">
        <v>46046</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61407-2025</t>
        </is>
      </c>
      <c r="B7609" s="1" t="n">
        <v>46001.51188657407</v>
      </c>
      <c r="C7609" s="1" t="n">
        <v>46046</v>
      </c>
      <c r="D7609" t="inlineStr">
        <is>
          <t>NORRBOTTENS LÄN</t>
        </is>
      </c>
      <c r="E7609" t="inlineStr">
        <is>
          <t>BODEN</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2147-2026</t>
        </is>
      </c>
      <c r="B7610" s="1" t="n">
        <v>46036</v>
      </c>
      <c r="C7610" s="1" t="n">
        <v>46046</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61406-2025</t>
        </is>
      </c>
      <c r="B7611" s="1" t="n">
        <v>46001.51085648148</v>
      </c>
      <c r="C7611" s="1" t="n">
        <v>46046</v>
      </c>
      <c r="D7611" t="inlineStr">
        <is>
          <t>NORRBOTTENS LÄN</t>
        </is>
      </c>
      <c r="E7611" t="inlineStr">
        <is>
          <t>ÖVERKALIX</t>
        </is>
      </c>
      <c r="F7611" t="inlineStr">
        <is>
          <t>SCA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61444-2025</t>
        </is>
      </c>
      <c r="B7612" s="1" t="n">
        <v>46001.57497685185</v>
      </c>
      <c r="C7612" s="1" t="n">
        <v>46046</v>
      </c>
      <c r="D7612" t="inlineStr">
        <is>
          <t>NORRBOTTENS LÄN</t>
        </is>
      </c>
      <c r="E7612" t="inlineStr">
        <is>
          <t>GÄLLIVARE</t>
        </is>
      </c>
      <c r="F7612" t="inlineStr">
        <is>
          <t>SCA</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53635-2025</t>
        </is>
      </c>
      <c r="B7613" s="1" t="n">
        <v>45960</v>
      </c>
      <c r="C7613" s="1" t="n">
        <v>46046</v>
      </c>
      <c r="D7613" t="inlineStr">
        <is>
          <t>NORRBOTTENS LÄN</t>
        </is>
      </c>
      <c r="E7613" t="inlineStr">
        <is>
          <t>GÄLLIVARE</t>
        </is>
      </c>
      <c r="F7613" t="inlineStr">
        <is>
          <t>Sveaskog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53622-2025</t>
        </is>
      </c>
      <c r="B7614" s="1" t="n">
        <v>45960</v>
      </c>
      <c r="C7614" s="1" t="n">
        <v>46046</v>
      </c>
      <c r="D7614" t="inlineStr">
        <is>
          <t>NORRBOTTENS LÄN</t>
        </is>
      </c>
      <c r="E7614" t="inlineStr">
        <is>
          <t>GÄLLIVARE</t>
        </is>
      </c>
      <c r="F7614" t="inlineStr">
        <is>
          <t>Sveaskog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53636-2025</t>
        </is>
      </c>
      <c r="B7615" s="1" t="n">
        <v>45960</v>
      </c>
      <c r="C7615" s="1" t="n">
        <v>46046</v>
      </c>
      <c r="D7615" t="inlineStr">
        <is>
          <t>NORRBOTTENS LÄN</t>
        </is>
      </c>
      <c r="E7615" t="inlineStr">
        <is>
          <t>GÄLLIVARE</t>
        </is>
      </c>
      <c r="F7615" t="inlineStr">
        <is>
          <t>Sveaskog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61104-2025</t>
        </is>
      </c>
      <c r="B7616" s="1" t="n">
        <v>46000.44612268519</v>
      </c>
      <c r="C7616" s="1" t="n">
        <v>46046</v>
      </c>
      <c r="D7616" t="inlineStr">
        <is>
          <t>NORRBOTTENS LÄN</t>
        </is>
      </c>
      <c r="E7616" t="inlineStr">
        <is>
          <t>LULEÅ</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61272-2025</t>
        </is>
      </c>
      <c r="B7617" s="1" t="n">
        <v>46000.6856712963</v>
      </c>
      <c r="C7617" s="1" t="n">
        <v>46046</v>
      </c>
      <c r="D7617" t="inlineStr">
        <is>
          <t>NORRBOTTENS LÄN</t>
        </is>
      </c>
      <c r="E7617" t="inlineStr">
        <is>
          <t>LULEÅ</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61287-2025</t>
        </is>
      </c>
      <c r="B7618" s="1" t="n">
        <v>46000.73221064815</v>
      </c>
      <c r="C7618" s="1" t="n">
        <v>46046</v>
      </c>
      <c r="D7618" t="inlineStr">
        <is>
          <t>NORRBOTTENS LÄN</t>
        </is>
      </c>
      <c r="E7618" t="inlineStr">
        <is>
          <t>PAJALA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3817-2026</t>
        </is>
      </c>
      <c r="B7619" s="1" t="n">
        <v>46043.58481481481</v>
      </c>
      <c r="C7619" s="1" t="n">
        <v>46046</v>
      </c>
      <c r="D7619" t="inlineStr">
        <is>
          <t>NORRBOTTENS LÄN</t>
        </is>
      </c>
      <c r="E7619" t="inlineStr">
        <is>
          <t>PITEÅ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3821-2026</t>
        </is>
      </c>
      <c r="B7620" s="1" t="n">
        <v>46043.58532407408</v>
      </c>
      <c r="C7620" s="1" t="n">
        <v>46046</v>
      </c>
      <c r="D7620" t="inlineStr">
        <is>
          <t>NORRBOTTENS LÄN</t>
        </is>
      </c>
      <c r="E7620" t="inlineStr">
        <is>
          <t>JOKKMOKK</t>
        </is>
      </c>
      <c r="G7620" t="n">
        <v>15.7</v>
      </c>
      <c r="H7620" t="n">
        <v>0</v>
      </c>
      <c r="I7620" t="n">
        <v>0</v>
      </c>
      <c r="J7620" t="n">
        <v>0</v>
      </c>
      <c r="K7620" t="n">
        <v>0</v>
      </c>
      <c r="L7620" t="n">
        <v>0</v>
      </c>
      <c r="M7620" t="n">
        <v>0</v>
      </c>
      <c r="N7620" t="n">
        <v>0</v>
      </c>
      <c r="O7620" t="n">
        <v>0</v>
      </c>
      <c r="P7620" t="n">
        <v>0</v>
      </c>
      <c r="Q7620" t="n">
        <v>0</v>
      </c>
      <c r="R7620" s="2" t="inlineStr"/>
    </row>
    <row r="7621" ht="15" customHeight="1">
      <c r="A7621" t="inlineStr">
        <is>
          <t>A 15906-2025</t>
        </is>
      </c>
      <c r="B7621" s="1" t="n">
        <v>45749</v>
      </c>
      <c r="C7621" s="1" t="n">
        <v>46046</v>
      </c>
      <c r="D7621" t="inlineStr">
        <is>
          <t>NORRBOTTENS LÄN</t>
        </is>
      </c>
      <c r="E7621" t="inlineStr">
        <is>
          <t>PITEÅ</t>
        </is>
      </c>
      <c r="G7621" t="n">
        <v>11.1</v>
      </c>
      <c r="H7621" t="n">
        <v>0</v>
      </c>
      <c r="I7621" t="n">
        <v>0</v>
      </c>
      <c r="J7621" t="n">
        <v>0</v>
      </c>
      <c r="K7621" t="n">
        <v>0</v>
      </c>
      <c r="L7621" t="n">
        <v>0</v>
      </c>
      <c r="M7621" t="n">
        <v>0</v>
      </c>
      <c r="N7621" t="n">
        <v>0</v>
      </c>
      <c r="O7621" t="n">
        <v>0</v>
      </c>
      <c r="P7621" t="n">
        <v>0</v>
      </c>
      <c r="Q7621" t="n">
        <v>0</v>
      </c>
      <c r="R7621" s="2" t="inlineStr"/>
    </row>
    <row r="7622" ht="15" customHeight="1">
      <c r="A7622" t="inlineStr">
        <is>
          <t>A 625-2026</t>
        </is>
      </c>
      <c r="B7622" s="1" t="n">
        <v>46029</v>
      </c>
      <c r="C7622" s="1" t="n">
        <v>46046</v>
      </c>
      <c r="D7622" t="inlineStr">
        <is>
          <t>NORRBOTTENS LÄN</t>
        </is>
      </c>
      <c r="E7622" t="inlineStr">
        <is>
          <t>BODEN</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42652-2025</t>
        </is>
      </c>
      <c r="B7623" s="1" t="n">
        <v>45906</v>
      </c>
      <c r="C7623" s="1" t="n">
        <v>46046</v>
      </c>
      <c r="D7623" t="inlineStr">
        <is>
          <t>NORRBOTTENS LÄN</t>
        </is>
      </c>
      <c r="E7623" t="inlineStr">
        <is>
          <t>BODEN</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53637-2025</t>
        </is>
      </c>
      <c r="B7624" s="1" t="n">
        <v>45960</v>
      </c>
      <c r="C7624" s="1" t="n">
        <v>46046</v>
      </c>
      <c r="D7624" t="inlineStr">
        <is>
          <t>NORRBOTTENS LÄN</t>
        </is>
      </c>
      <c r="E7624" t="inlineStr">
        <is>
          <t>GÄLLIVARE</t>
        </is>
      </c>
      <c r="F7624" t="inlineStr">
        <is>
          <t>Sveaskog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61065-2025</t>
        </is>
      </c>
      <c r="B7625" s="1" t="n">
        <v>46000.37386574074</v>
      </c>
      <c r="C7625" s="1" t="n">
        <v>46046</v>
      </c>
      <c r="D7625" t="inlineStr">
        <is>
          <t>NORRBOTTENS LÄN</t>
        </is>
      </c>
      <c r="E7625" t="inlineStr">
        <is>
          <t>BODEN</t>
        </is>
      </c>
      <c r="F7625" t="inlineStr">
        <is>
          <t>Sveaskog</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57140-2025</t>
        </is>
      </c>
      <c r="B7626" s="1" t="n">
        <v>45978</v>
      </c>
      <c r="C7626" s="1" t="n">
        <v>46046</v>
      </c>
      <c r="D7626" t="inlineStr">
        <is>
          <t>NORRBOTTENS LÄN</t>
        </is>
      </c>
      <c r="E7626" t="inlineStr">
        <is>
          <t>LULEÅ</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52403-2025</t>
        </is>
      </c>
      <c r="B7627" s="1" t="n">
        <v>45952</v>
      </c>
      <c r="C7627" s="1" t="n">
        <v>46046</v>
      </c>
      <c r="D7627" t="inlineStr">
        <is>
          <t>NORRBOTTENS LÄN</t>
        </is>
      </c>
      <c r="E7627" t="inlineStr">
        <is>
          <t>PITEÅ</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61071-2025</t>
        </is>
      </c>
      <c r="B7628" s="1" t="n">
        <v>46000.3825</v>
      </c>
      <c r="C7628" s="1" t="n">
        <v>46046</v>
      </c>
      <c r="D7628" t="inlineStr">
        <is>
          <t>NORRBOTTENS LÄN</t>
        </is>
      </c>
      <c r="E7628" t="inlineStr">
        <is>
          <t>BODEN</t>
        </is>
      </c>
      <c r="F7628" t="inlineStr">
        <is>
          <t>Sveaskog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3486-2026</t>
        </is>
      </c>
      <c r="B7629" s="1" t="n">
        <v>46042.56331018519</v>
      </c>
      <c r="C7629" s="1" t="n">
        <v>46046</v>
      </c>
      <c r="D7629" t="inlineStr">
        <is>
          <t>NORRBOTTENS LÄN</t>
        </is>
      </c>
      <c r="E7629" t="inlineStr">
        <is>
          <t>PITEÅ</t>
        </is>
      </c>
      <c r="G7629" t="n">
        <v>10</v>
      </c>
      <c r="H7629" t="n">
        <v>0</v>
      </c>
      <c r="I7629" t="n">
        <v>0</v>
      </c>
      <c r="J7629" t="n">
        <v>0</v>
      </c>
      <c r="K7629" t="n">
        <v>0</v>
      </c>
      <c r="L7629" t="n">
        <v>0</v>
      </c>
      <c r="M7629" t="n">
        <v>0</v>
      </c>
      <c r="N7629" t="n">
        <v>0</v>
      </c>
      <c r="O7629" t="n">
        <v>0</v>
      </c>
      <c r="P7629" t="n">
        <v>0</v>
      </c>
      <c r="Q7629" t="n">
        <v>0</v>
      </c>
      <c r="R7629" s="2" t="inlineStr"/>
    </row>
    <row r="7630" ht="15" customHeight="1">
      <c r="A7630" t="inlineStr">
        <is>
          <t>A 3488-2026</t>
        </is>
      </c>
      <c r="B7630" s="1" t="n">
        <v>46042.56798611111</v>
      </c>
      <c r="C7630" s="1" t="n">
        <v>46046</v>
      </c>
      <c r="D7630" t="inlineStr">
        <is>
          <t>NORRBOTTENS LÄN</t>
        </is>
      </c>
      <c r="E7630" t="inlineStr">
        <is>
          <t>PITEÅ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3457-2026</t>
        </is>
      </c>
      <c r="B7631" s="1" t="n">
        <v>46042.50797453704</v>
      </c>
      <c r="C7631" s="1" t="n">
        <v>46046</v>
      </c>
      <c r="D7631" t="inlineStr">
        <is>
          <t>NORRBOTTENS LÄN</t>
        </is>
      </c>
      <c r="E7631" t="inlineStr">
        <is>
          <t>BODEN</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3537-2026</t>
        </is>
      </c>
      <c r="B7632" s="1" t="n">
        <v>46042.62847222222</v>
      </c>
      <c r="C7632" s="1" t="n">
        <v>46046</v>
      </c>
      <c r="D7632" t="inlineStr">
        <is>
          <t>NORRBOTTENS LÄN</t>
        </is>
      </c>
      <c r="E7632" t="inlineStr">
        <is>
          <t>PITEÅ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61227-2025</t>
        </is>
      </c>
      <c r="B7633" s="1" t="n">
        <v>46000.63060185185</v>
      </c>
      <c r="C7633" s="1" t="n">
        <v>46046</v>
      </c>
      <c r="D7633" t="inlineStr">
        <is>
          <t>NORRBOTTENS LÄN</t>
        </is>
      </c>
      <c r="E7633" t="inlineStr">
        <is>
          <t>BODEN</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61384-2025</t>
        </is>
      </c>
      <c r="B7634" s="1" t="n">
        <v>46001</v>
      </c>
      <c r="C7634" s="1" t="n">
        <v>46046</v>
      </c>
      <c r="D7634" t="inlineStr">
        <is>
          <t>NORRBOTTENS LÄN</t>
        </is>
      </c>
      <c r="E7634" t="inlineStr">
        <is>
          <t>BODEN</t>
        </is>
      </c>
      <c r="G7634" t="n">
        <v>17.1</v>
      </c>
      <c r="H7634" t="n">
        <v>0</v>
      </c>
      <c r="I7634" t="n">
        <v>0</v>
      </c>
      <c r="J7634" t="n">
        <v>0</v>
      </c>
      <c r="K7634" t="n">
        <v>0</v>
      </c>
      <c r="L7634" t="n">
        <v>0</v>
      </c>
      <c r="M7634" t="n">
        <v>0</v>
      </c>
      <c r="N7634" t="n">
        <v>0</v>
      </c>
      <c r="O7634" t="n">
        <v>0</v>
      </c>
      <c r="P7634" t="n">
        <v>0</v>
      </c>
      <c r="Q7634" t="n">
        <v>0</v>
      </c>
      <c r="R7634" s="2" t="inlineStr"/>
    </row>
    <row r="7635" ht="15" customHeight="1">
      <c r="A7635" t="inlineStr">
        <is>
          <t>A 61404-2025</t>
        </is>
      </c>
      <c r="B7635" s="1" t="n">
        <v>46000</v>
      </c>
      <c r="C7635" s="1" t="n">
        <v>46046</v>
      </c>
      <c r="D7635" t="inlineStr">
        <is>
          <t>NORRBOTTENS LÄN</t>
        </is>
      </c>
      <c r="E7635" t="inlineStr">
        <is>
          <t>PAJALA</t>
        </is>
      </c>
      <c r="F7635" t="inlineStr">
        <is>
          <t>Kyrkan</t>
        </is>
      </c>
      <c r="G7635" t="n">
        <v>8.699999999999999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61141-2025</t>
        </is>
      </c>
      <c r="B7636" s="1" t="n">
        <v>46000</v>
      </c>
      <c r="C7636" s="1" t="n">
        <v>46046</v>
      </c>
      <c r="D7636" t="inlineStr">
        <is>
          <t>NORRBOTTENS LÄN</t>
        </is>
      </c>
      <c r="E7636" t="inlineStr">
        <is>
          <t>PITEÅ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3847-2026</t>
        </is>
      </c>
      <c r="B7637" s="1" t="n">
        <v>46043.60310185186</v>
      </c>
      <c r="C7637" s="1" t="n">
        <v>46046</v>
      </c>
      <c r="D7637" t="inlineStr">
        <is>
          <t>NORRBOTTENS LÄN</t>
        </is>
      </c>
      <c r="E7637" t="inlineStr">
        <is>
          <t>PITEÅ</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61467-2025</t>
        </is>
      </c>
      <c r="B7638" s="1" t="n">
        <v>46001.60440972223</v>
      </c>
      <c r="C7638" s="1" t="n">
        <v>46046</v>
      </c>
      <c r="D7638" t="inlineStr">
        <is>
          <t>NORRBOTTENS LÄN</t>
        </is>
      </c>
      <c r="E7638" t="inlineStr">
        <is>
          <t>PAJALA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61352-2025</t>
        </is>
      </c>
      <c r="B7639" s="1" t="n">
        <v>46001</v>
      </c>
      <c r="C7639" s="1" t="n">
        <v>46046</v>
      </c>
      <c r="D7639" t="inlineStr">
        <is>
          <t>NORRBOTTENS LÄN</t>
        </is>
      </c>
      <c r="E7639" t="inlineStr">
        <is>
          <t>GÄLLIVARE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61445-2025</t>
        </is>
      </c>
      <c r="B7640" s="1" t="n">
        <v>46001.57512731481</v>
      </c>
      <c r="C7640" s="1" t="n">
        <v>46046</v>
      </c>
      <c r="D7640" t="inlineStr">
        <is>
          <t>NORRBOTTENS LÄN</t>
        </is>
      </c>
      <c r="E7640" t="inlineStr">
        <is>
          <t>GÄLLIVARE</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3560-2026</t>
        </is>
      </c>
      <c r="B7641" s="1" t="n">
        <v>46042.67135416667</v>
      </c>
      <c r="C7641" s="1" t="n">
        <v>46046</v>
      </c>
      <c r="D7641" t="inlineStr">
        <is>
          <t>NORRBOTTENS LÄN</t>
        </is>
      </c>
      <c r="E7641" t="inlineStr">
        <is>
          <t>PITEÅ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53955-2025</t>
        </is>
      </c>
      <c r="B7642" s="1" t="n">
        <v>45961</v>
      </c>
      <c r="C7642" s="1" t="n">
        <v>46046</v>
      </c>
      <c r="D7642" t="inlineStr">
        <is>
          <t>NORRBOTTENS LÄN</t>
        </is>
      </c>
      <c r="E7642" t="inlineStr">
        <is>
          <t>ÄLVSBYN</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61446-2025</t>
        </is>
      </c>
      <c r="B7643" s="1" t="n">
        <v>46001.57520833334</v>
      </c>
      <c r="C7643" s="1" t="n">
        <v>46046</v>
      </c>
      <c r="D7643" t="inlineStr">
        <is>
          <t>NORRBOTTENS LÄN</t>
        </is>
      </c>
      <c r="E7643" t="inlineStr">
        <is>
          <t>GÄLLIVARE</t>
        </is>
      </c>
      <c r="F7643" t="inlineStr">
        <is>
          <t>SCA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61520-2025</t>
        </is>
      </c>
      <c r="B7644" s="1" t="n">
        <v>46001.68658564815</v>
      </c>
      <c r="C7644" s="1" t="n">
        <v>46046</v>
      </c>
      <c r="D7644" t="inlineStr">
        <is>
          <t>NORRBOTTENS LÄN</t>
        </is>
      </c>
      <c r="E7644" t="inlineStr">
        <is>
          <t>LULEÅ</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61597-2025</t>
        </is>
      </c>
      <c r="B7645" s="1" t="n">
        <v>46002</v>
      </c>
      <c r="C7645" s="1" t="n">
        <v>46046</v>
      </c>
      <c r="D7645" t="inlineStr">
        <is>
          <t>NORRBOTTENS LÄN</t>
        </is>
      </c>
      <c r="E7645" t="inlineStr">
        <is>
          <t>PITEÅ</t>
        </is>
      </c>
      <c r="F7645" t="inlineStr">
        <is>
          <t>Sveaskog</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61607-2025</t>
        </is>
      </c>
      <c r="B7646" s="1" t="n">
        <v>46002.37674768519</v>
      </c>
      <c r="C7646" s="1" t="n">
        <v>46046</v>
      </c>
      <c r="D7646" t="inlineStr">
        <is>
          <t>NORRBOTTENS LÄN</t>
        </is>
      </c>
      <c r="E7646" t="inlineStr">
        <is>
          <t>HAPARANDA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3493-2026</t>
        </is>
      </c>
      <c r="B7647" s="1" t="n">
        <v>46042</v>
      </c>
      <c r="C7647" s="1" t="n">
        <v>46046</v>
      </c>
      <c r="D7647" t="inlineStr">
        <is>
          <t>NORRBOTTENS LÄN</t>
        </is>
      </c>
      <c r="E7647" t="inlineStr">
        <is>
          <t>BODEN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61560-2025</t>
        </is>
      </c>
      <c r="B7648" s="1" t="n">
        <v>46001.88341435185</v>
      </c>
      <c r="C7648" s="1" t="n">
        <v>46046</v>
      </c>
      <c r="D7648" t="inlineStr">
        <is>
          <t>NORRBOTTENS LÄN</t>
        </is>
      </c>
      <c r="E7648" t="inlineStr">
        <is>
          <t>BODEN</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48688-2023</t>
        </is>
      </c>
      <c r="B7649" s="1" t="n">
        <v>45202</v>
      </c>
      <c r="C7649" s="1" t="n">
        <v>46046</v>
      </c>
      <c r="D7649" t="inlineStr">
        <is>
          <t>NORRBOTTENS LÄN</t>
        </is>
      </c>
      <c r="E7649" t="inlineStr">
        <is>
          <t>PITEÅ</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61868-2025</t>
        </is>
      </c>
      <c r="B7650" s="1" t="n">
        <v>46003.39039351852</v>
      </c>
      <c r="C7650" s="1" t="n">
        <v>46046</v>
      </c>
      <c r="D7650" t="inlineStr">
        <is>
          <t>NORRBOTTENS LÄN</t>
        </is>
      </c>
      <c r="E7650" t="inlineStr">
        <is>
          <t>KALIX</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61874-2025</t>
        </is>
      </c>
      <c r="B7651" s="1" t="n">
        <v>46003</v>
      </c>
      <c r="C7651" s="1" t="n">
        <v>46046</v>
      </c>
      <c r="D7651" t="inlineStr">
        <is>
          <t>NORRBOTTENS LÄN</t>
        </is>
      </c>
      <c r="E7651" t="inlineStr">
        <is>
          <t>ARVIDSJAUR</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61782-2025</t>
        </is>
      </c>
      <c r="B7652" s="1" t="n">
        <v>46002</v>
      </c>
      <c r="C7652" s="1" t="n">
        <v>46046</v>
      </c>
      <c r="D7652" t="inlineStr">
        <is>
          <t>NORRBOTTENS LÄN</t>
        </is>
      </c>
      <c r="E7652" t="inlineStr">
        <is>
          <t>BODEN</t>
        </is>
      </c>
      <c r="G7652" t="n">
        <v>13.9</v>
      </c>
      <c r="H7652" t="n">
        <v>0</v>
      </c>
      <c r="I7652" t="n">
        <v>0</v>
      </c>
      <c r="J7652" t="n">
        <v>0</v>
      </c>
      <c r="K7652" t="n">
        <v>0</v>
      </c>
      <c r="L7652" t="n">
        <v>0</v>
      </c>
      <c r="M7652" t="n">
        <v>0</v>
      </c>
      <c r="N7652" t="n">
        <v>0</v>
      </c>
      <c r="O7652" t="n">
        <v>0</v>
      </c>
      <c r="P7652" t="n">
        <v>0</v>
      </c>
      <c r="Q7652" t="n">
        <v>0</v>
      </c>
      <c r="R7652" s="2" t="inlineStr"/>
    </row>
    <row r="7653" ht="15" customHeight="1">
      <c r="A7653" t="inlineStr">
        <is>
          <t>A 61923-2025</t>
        </is>
      </c>
      <c r="B7653" s="1" t="n">
        <v>46003.51133101852</v>
      </c>
      <c r="C7653" s="1" t="n">
        <v>46046</v>
      </c>
      <c r="D7653" t="inlineStr">
        <is>
          <t>NORRBOTTENS LÄN</t>
        </is>
      </c>
      <c r="E7653" t="inlineStr">
        <is>
          <t>ÖVERTORNEÅ</t>
        </is>
      </c>
      <c r="G7653" t="n">
        <v>13.5</v>
      </c>
      <c r="H7653" t="n">
        <v>0</v>
      </c>
      <c r="I7653" t="n">
        <v>0</v>
      </c>
      <c r="J7653" t="n">
        <v>0</v>
      </c>
      <c r="K7653" t="n">
        <v>0</v>
      </c>
      <c r="L7653" t="n">
        <v>0</v>
      </c>
      <c r="M7653" t="n">
        <v>0</v>
      </c>
      <c r="N7653" t="n">
        <v>0</v>
      </c>
      <c r="O7653" t="n">
        <v>0</v>
      </c>
      <c r="P7653" t="n">
        <v>0</v>
      </c>
      <c r="Q7653" t="n">
        <v>0</v>
      </c>
      <c r="R7653" s="2" t="inlineStr"/>
    </row>
    <row r="7654" ht="15" customHeight="1">
      <c r="A7654" t="inlineStr">
        <is>
          <t>A 669-2026</t>
        </is>
      </c>
      <c r="B7654" s="1" t="n">
        <v>46029</v>
      </c>
      <c r="C7654" s="1" t="n">
        <v>46046</v>
      </c>
      <c r="D7654" t="inlineStr">
        <is>
          <t>NORRBOTTENS LÄN</t>
        </is>
      </c>
      <c r="E7654" t="inlineStr">
        <is>
          <t>BODEN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61942-2025</t>
        </is>
      </c>
      <c r="B7655" s="1" t="n">
        <v>46003</v>
      </c>
      <c r="C7655" s="1" t="n">
        <v>46046</v>
      </c>
      <c r="D7655" t="inlineStr">
        <is>
          <t>NORRBOTTENS LÄN</t>
        </is>
      </c>
      <c r="E7655" t="inlineStr">
        <is>
          <t>KALIX</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61950-2025</t>
        </is>
      </c>
      <c r="B7656" s="1" t="n">
        <v>46003</v>
      </c>
      <c r="C7656" s="1" t="n">
        <v>46046</v>
      </c>
      <c r="D7656" t="inlineStr">
        <is>
          <t>NORRBOTTENS LÄN</t>
        </is>
      </c>
      <c r="E7656" t="inlineStr">
        <is>
          <t>KALIX</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61851-2025</t>
        </is>
      </c>
      <c r="B7657" s="1" t="n">
        <v>46003</v>
      </c>
      <c r="C7657" s="1" t="n">
        <v>46046</v>
      </c>
      <c r="D7657" t="inlineStr">
        <is>
          <t>NORRBOTTENS LÄN</t>
        </is>
      </c>
      <c r="E7657" t="inlineStr">
        <is>
          <t>ARVIDSJAUR</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61860-2025</t>
        </is>
      </c>
      <c r="B7658" s="1" t="n">
        <v>46003.38666666667</v>
      </c>
      <c r="C7658" s="1" t="n">
        <v>46046</v>
      </c>
      <c r="D7658" t="inlineStr">
        <is>
          <t>NORRBOTTENS LÄN</t>
        </is>
      </c>
      <c r="E7658" t="inlineStr">
        <is>
          <t>KALIX</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61867-2025</t>
        </is>
      </c>
      <c r="B7659" s="1" t="n">
        <v>46003.38894675926</v>
      </c>
      <c r="C7659" s="1" t="n">
        <v>46046</v>
      </c>
      <c r="D7659" t="inlineStr">
        <is>
          <t>NORRBOTTENS LÄN</t>
        </is>
      </c>
      <c r="E7659" t="inlineStr">
        <is>
          <t>KALIX</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61729-2025</t>
        </is>
      </c>
      <c r="B7660" s="1" t="n">
        <v>46002.58997685185</v>
      </c>
      <c r="C7660" s="1" t="n">
        <v>46046</v>
      </c>
      <c r="D7660" t="inlineStr">
        <is>
          <t>NORRBOTTENS LÄN</t>
        </is>
      </c>
      <c r="E7660" t="inlineStr">
        <is>
          <t>PAJALA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61609-2025</t>
        </is>
      </c>
      <c r="B7661" s="1" t="n">
        <v>46002.37826388889</v>
      </c>
      <c r="C7661" s="1" t="n">
        <v>46046</v>
      </c>
      <c r="D7661" t="inlineStr">
        <is>
          <t>NORRBOTTENS LÄN</t>
        </is>
      </c>
      <c r="E7661" t="inlineStr">
        <is>
          <t>HAPARANDA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61623-2025</t>
        </is>
      </c>
      <c r="B7662" s="1" t="n">
        <v>46002.39738425926</v>
      </c>
      <c r="C7662" s="1" t="n">
        <v>46046</v>
      </c>
      <c r="D7662" t="inlineStr">
        <is>
          <t>NORRBOTTENS LÄN</t>
        </is>
      </c>
      <c r="E7662" t="inlineStr">
        <is>
          <t>HAPARANDA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4316-2026</t>
        </is>
      </c>
      <c r="B7663" s="1" t="n">
        <v>46045.44876157407</v>
      </c>
      <c r="C7663" s="1" t="n">
        <v>46046</v>
      </c>
      <c r="D7663" t="inlineStr">
        <is>
          <t>NORRBOTTENS LÄN</t>
        </is>
      </c>
      <c r="E7663" t="inlineStr">
        <is>
          <t>LULEÅ</t>
        </is>
      </c>
      <c r="G7663" t="n">
        <v>9.6</v>
      </c>
      <c r="H7663" t="n">
        <v>0</v>
      </c>
      <c r="I7663" t="n">
        <v>0</v>
      </c>
      <c r="J7663" t="n">
        <v>0</v>
      </c>
      <c r="K7663" t="n">
        <v>0</v>
      </c>
      <c r="L7663" t="n">
        <v>0</v>
      </c>
      <c r="M7663" t="n">
        <v>0</v>
      </c>
      <c r="N7663" t="n">
        <v>0</v>
      </c>
      <c r="O7663" t="n">
        <v>0</v>
      </c>
      <c r="P7663" t="n">
        <v>0</v>
      </c>
      <c r="Q7663" t="n">
        <v>0</v>
      </c>
      <c r="R7663" s="2" t="inlineStr"/>
    </row>
    <row r="7664" ht="15" customHeight="1">
      <c r="A7664" t="inlineStr">
        <is>
          <t>A 12447-2025</t>
        </is>
      </c>
      <c r="B7664" s="1" t="n">
        <v>45730</v>
      </c>
      <c r="C7664" s="1" t="n">
        <v>46046</v>
      </c>
      <c r="D7664" t="inlineStr">
        <is>
          <t>NORRBOTTENS LÄN</t>
        </is>
      </c>
      <c r="E7664" t="inlineStr">
        <is>
          <t>ARJEPLOG</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61902-2025</t>
        </is>
      </c>
      <c r="B7665" s="1" t="n">
        <v>46003.46940972222</v>
      </c>
      <c r="C7665" s="1" t="n">
        <v>46046</v>
      </c>
      <c r="D7665" t="inlineStr">
        <is>
          <t>NORRBOTTENS LÄN</t>
        </is>
      </c>
      <c r="E7665" t="inlineStr">
        <is>
          <t>GÄLLIVARE</t>
        </is>
      </c>
      <c r="F7665" t="inlineStr">
        <is>
          <t>SCA</t>
        </is>
      </c>
      <c r="G7665" t="n">
        <v>8.699999999999999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61904-2025</t>
        </is>
      </c>
      <c r="B7666" s="1" t="n">
        <v>46003</v>
      </c>
      <c r="C7666" s="1" t="n">
        <v>46046</v>
      </c>
      <c r="D7666" t="inlineStr">
        <is>
          <t>NORRBOTTENS LÄN</t>
        </is>
      </c>
      <c r="E7666" t="inlineStr">
        <is>
          <t>KALIX</t>
        </is>
      </c>
      <c r="G7666" t="n">
        <v>13.8</v>
      </c>
      <c r="H7666" t="n">
        <v>0</v>
      </c>
      <c r="I7666" t="n">
        <v>0</v>
      </c>
      <c r="J7666" t="n">
        <v>0</v>
      </c>
      <c r="K7666" t="n">
        <v>0</v>
      </c>
      <c r="L7666" t="n">
        <v>0</v>
      </c>
      <c r="M7666" t="n">
        <v>0</v>
      </c>
      <c r="N7666" t="n">
        <v>0</v>
      </c>
      <c r="O7666" t="n">
        <v>0</v>
      </c>
      <c r="P7666" t="n">
        <v>0</v>
      </c>
      <c r="Q7666" t="n">
        <v>0</v>
      </c>
      <c r="R7666" s="2" t="inlineStr"/>
    </row>
    <row r="7667" ht="15" customHeight="1">
      <c r="A7667" t="inlineStr">
        <is>
          <t>A 62017-2025</t>
        </is>
      </c>
      <c r="B7667" s="1" t="n">
        <v>46003.68957175926</v>
      </c>
      <c r="C7667" s="1" t="n">
        <v>46046</v>
      </c>
      <c r="D7667" t="inlineStr">
        <is>
          <t>NORRBOTTENS LÄN</t>
        </is>
      </c>
      <c r="E7667" t="inlineStr">
        <is>
          <t>BODEN</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61907-2025</t>
        </is>
      </c>
      <c r="B7668" s="1" t="n">
        <v>46003.47017361111</v>
      </c>
      <c r="C7668" s="1" t="n">
        <v>46046</v>
      </c>
      <c r="D7668" t="inlineStr">
        <is>
          <t>NORRBOTTENS LÄN</t>
        </is>
      </c>
      <c r="E7668" t="inlineStr">
        <is>
          <t>KALIX</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61912-2025</t>
        </is>
      </c>
      <c r="B7669" s="1" t="n">
        <v>46003</v>
      </c>
      <c r="C7669" s="1" t="n">
        <v>46046</v>
      </c>
      <c r="D7669" t="inlineStr">
        <is>
          <t>NORRBOTTENS LÄN</t>
        </is>
      </c>
      <c r="E7669" t="inlineStr">
        <is>
          <t>KALIX</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63190-2025</t>
        </is>
      </c>
      <c r="B7670" s="1" t="n">
        <v>46010</v>
      </c>
      <c r="C7670" s="1" t="n">
        <v>46046</v>
      </c>
      <c r="D7670" t="inlineStr">
        <is>
          <t>NORRBOTTENS LÄN</t>
        </is>
      </c>
      <c r="E7670" t="inlineStr">
        <is>
          <t>JOKKMOKK</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61939-2025</t>
        </is>
      </c>
      <c r="B7671" s="1" t="n">
        <v>46003</v>
      </c>
      <c r="C7671" s="1" t="n">
        <v>46046</v>
      </c>
      <c r="D7671" t="inlineStr">
        <is>
          <t>NORRBOTTENS LÄN</t>
        </is>
      </c>
      <c r="E7671" t="inlineStr">
        <is>
          <t>KALIX</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61941-2025</t>
        </is>
      </c>
      <c r="B7672" s="1" t="n">
        <v>46003</v>
      </c>
      <c r="C7672" s="1" t="n">
        <v>46046</v>
      </c>
      <c r="D7672" t="inlineStr">
        <is>
          <t>NORRBOTTENS LÄN</t>
        </is>
      </c>
      <c r="E7672" t="inlineStr">
        <is>
          <t>PITEÅ</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4079-2026</t>
        </is>
      </c>
      <c r="B7673" s="1" t="n">
        <v>46044.53945601852</v>
      </c>
      <c r="C7673" s="1" t="n">
        <v>46046</v>
      </c>
      <c r="D7673" t="inlineStr">
        <is>
          <t>NORRBOTTENS LÄN</t>
        </is>
      </c>
      <c r="E7673" t="inlineStr">
        <is>
          <t>PITEÅ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61989-2025</t>
        </is>
      </c>
      <c r="B7674" s="1" t="n">
        <v>46003.62949074074</v>
      </c>
      <c r="C7674" s="1" t="n">
        <v>46046</v>
      </c>
      <c r="D7674" t="inlineStr">
        <is>
          <t>NORRBOTTENS LÄN</t>
        </is>
      </c>
      <c r="E7674" t="inlineStr">
        <is>
          <t>BODEN</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61632-2025</t>
        </is>
      </c>
      <c r="B7675" s="1" t="n">
        <v>46002.41486111111</v>
      </c>
      <c r="C7675" s="1" t="n">
        <v>46046</v>
      </c>
      <c r="D7675" t="inlineStr">
        <is>
          <t>NORRBOTTENS LÄN</t>
        </is>
      </c>
      <c r="E7675" t="inlineStr">
        <is>
          <t>KALIX</t>
        </is>
      </c>
      <c r="G7675" t="n">
        <v>23.9</v>
      </c>
      <c r="H7675" t="n">
        <v>0</v>
      </c>
      <c r="I7675" t="n">
        <v>0</v>
      </c>
      <c r="J7675" t="n">
        <v>0</v>
      </c>
      <c r="K7675" t="n">
        <v>0</v>
      </c>
      <c r="L7675" t="n">
        <v>0</v>
      </c>
      <c r="M7675" t="n">
        <v>0</v>
      </c>
      <c r="N7675" t="n">
        <v>0</v>
      </c>
      <c r="O7675" t="n">
        <v>0</v>
      </c>
      <c r="P7675" t="n">
        <v>0</v>
      </c>
      <c r="Q7675" t="n">
        <v>0</v>
      </c>
      <c r="R7675" s="2" t="inlineStr"/>
    </row>
    <row r="7676" ht="15" customHeight="1">
      <c r="A7676" t="inlineStr">
        <is>
          <t>A 61666-2025</t>
        </is>
      </c>
      <c r="B7676" s="1" t="n">
        <v>46002.46980324074</v>
      </c>
      <c r="C7676" s="1" t="n">
        <v>46046</v>
      </c>
      <c r="D7676" t="inlineStr">
        <is>
          <t>NORRBOTTENS LÄN</t>
        </is>
      </c>
      <c r="E7676" t="inlineStr">
        <is>
          <t>PAJALA</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61667-2025</t>
        </is>
      </c>
      <c r="B7677" s="1" t="n">
        <v>46002.46984953704</v>
      </c>
      <c r="C7677" s="1" t="n">
        <v>46046</v>
      </c>
      <c r="D7677" t="inlineStr">
        <is>
          <t>NORRBOTTENS LÄN</t>
        </is>
      </c>
      <c r="E7677" t="inlineStr">
        <is>
          <t>PAJALA</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61680-2025</t>
        </is>
      </c>
      <c r="B7678" s="1" t="n">
        <v>46002.49015046296</v>
      </c>
      <c r="C7678" s="1" t="n">
        <v>46046</v>
      </c>
      <c r="D7678" t="inlineStr">
        <is>
          <t>NORRBOTTENS LÄN</t>
        </is>
      </c>
      <c r="E7678" t="inlineStr">
        <is>
          <t>GÄLLIVARE</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3522-2026</t>
        </is>
      </c>
      <c r="B7679" s="1" t="n">
        <v>46042</v>
      </c>
      <c r="C7679" s="1" t="n">
        <v>46046</v>
      </c>
      <c r="D7679" t="inlineStr">
        <is>
          <t>NORRBOTTENS LÄN</t>
        </is>
      </c>
      <c r="E7679" t="inlineStr">
        <is>
          <t>ÖVERKALIX</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4303-2026</t>
        </is>
      </c>
      <c r="B7680" s="1" t="n">
        <v>46045.4275</v>
      </c>
      <c r="C7680" s="1" t="n">
        <v>46046</v>
      </c>
      <c r="D7680" t="inlineStr">
        <is>
          <t>NORRBOTTENS LÄN</t>
        </is>
      </c>
      <c r="E7680" t="inlineStr">
        <is>
          <t>ARVIDSJAUR</t>
        </is>
      </c>
      <c r="G7680" t="n">
        <v>15.5</v>
      </c>
      <c r="H7680" t="n">
        <v>0</v>
      </c>
      <c r="I7680" t="n">
        <v>0</v>
      </c>
      <c r="J7680" t="n">
        <v>0</v>
      </c>
      <c r="K7680" t="n">
        <v>0</v>
      </c>
      <c r="L7680" t="n">
        <v>0</v>
      </c>
      <c r="M7680" t="n">
        <v>0</v>
      </c>
      <c r="N7680" t="n">
        <v>0</v>
      </c>
      <c r="O7680" t="n">
        <v>0</v>
      </c>
      <c r="P7680" t="n">
        <v>0</v>
      </c>
      <c r="Q7680" t="n">
        <v>0</v>
      </c>
      <c r="R7680" s="2" t="inlineStr"/>
    </row>
    <row r="7681" ht="15" customHeight="1">
      <c r="A7681" t="inlineStr">
        <is>
          <t>A 61906-2025</t>
        </is>
      </c>
      <c r="B7681" s="1" t="n">
        <v>46003.47009259259</v>
      </c>
      <c r="C7681" s="1" t="n">
        <v>46046</v>
      </c>
      <c r="D7681" t="inlineStr">
        <is>
          <t>NORRBOTTENS LÄN</t>
        </is>
      </c>
      <c r="E7681" t="inlineStr">
        <is>
          <t>KALIX</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61909-2025</t>
        </is>
      </c>
      <c r="B7682" s="1" t="n">
        <v>46003</v>
      </c>
      <c r="C7682" s="1" t="n">
        <v>46046</v>
      </c>
      <c r="D7682" t="inlineStr">
        <is>
          <t>NORRBOTTENS LÄN</t>
        </is>
      </c>
      <c r="E7682" t="inlineStr">
        <is>
          <t>KALIX</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61917-2025</t>
        </is>
      </c>
      <c r="B7683" s="1" t="n">
        <v>46003</v>
      </c>
      <c r="C7683" s="1" t="n">
        <v>46046</v>
      </c>
      <c r="D7683" t="inlineStr">
        <is>
          <t>NORRBOTTENS LÄN</t>
        </is>
      </c>
      <c r="E7683" t="inlineStr">
        <is>
          <t>KALIX</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61932-2025</t>
        </is>
      </c>
      <c r="B7684" s="1" t="n">
        <v>46003</v>
      </c>
      <c r="C7684" s="1" t="n">
        <v>46046</v>
      </c>
      <c r="D7684" t="inlineStr">
        <is>
          <t>NORRBOTTENS LÄN</t>
        </is>
      </c>
      <c r="E7684" t="inlineStr">
        <is>
          <t>BODEN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61959-2025</t>
        </is>
      </c>
      <c r="B7685" s="1" t="n">
        <v>46003.58865740741</v>
      </c>
      <c r="C7685" s="1" t="n">
        <v>46046</v>
      </c>
      <c r="D7685" t="inlineStr">
        <is>
          <t>NORRBOTTENS LÄN</t>
        </is>
      </c>
      <c r="E7685" t="inlineStr">
        <is>
          <t>BODEN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35749-2025</t>
        </is>
      </c>
      <c r="B7686" s="1" t="n">
        <v>45860</v>
      </c>
      <c r="C7686" s="1" t="n">
        <v>46046</v>
      </c>
      <c r="D7686" t="inlineStr">
        <is>
          <t>NORRBOTTENS LÄN</t>
        </is>
      </c>
      <c r="E7686" t="inlineStr">
        <is>
          <t>JOKKMOKK</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4314-2026</t>
        </is>
      </c>
      <c r="B7687" s="1" t="n">
        <v>46045.44854166666</v>
      </c>
      <c r="C7687" s="1" t="n">
        <v>46046</v>
      </c>
      <c r="D7687" t="inlineStr">
        <is>
          <t>NORRBOTTENS LÄN</t>
        </is>
      </c>
      <c r="E7687" t="inlineStr">
        <is>
          <t>PITEÅ</t>
        </is>
      </c>
      <c r="F7687" t="inlineStr">
        <is>
          <t>SCA</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60167-2025</t>
        </is>
      </c>
      <c r="B7688" s="1" t="n">
        <v>45994</v>
      </c>
      <c r="C7688" s="1" t="n">
        <v>46046</v>
      </c>
      <c r="D7688" t="inlineStr">
        <is>
          <t>NORRBOTTENS LÄN</t>
        </is>
      </c>
      <c r="E7688" t="inlineStr">
        <is>
          <t>BODEN</t>
        </is>
      </c>
      <c r="G7688" t="n">
        <v>12.1</v>
      </c>
      <c r="H7688" t="n">
        <v>0</v>
      </c>
      <c r="I7688" t="n">
        <v>0</v>
      </c>
      <c r="J7688" t="n">
        <v>0</v>
      </c>
      <c r="K7688" t="n">
        <v>0</v>
      </c>
      <c r="L7688" t="n">
        <v>0</v>
      </c>
      <c r="M7688" t="n">
        <v>0</v>
      </c>
      <c r="N7688" t="n">
        <v>0</v>
      </c>
      <c r="O7688" t="n">
        <v>0</v>
      </c>
      <c r="P7688" t="n">
        <v>0</v>
      </c>
      <c r="Q7688" t="n">
        <v>0</v>
      </c>
      <c r="R7688" s="2" t="inlineStr"/>
    </row>
    <row r="7689" ht="15" customHeight="1">
      <c r="A7689" t="inlineStr">
        <is>
          <t>A 4315-2026</t>
        </is>
      </c>
      <c r="B7689" s="1" t="n">
        <v>46045.44871527778</v>
      </c>
      <c r="C7689" s="1" t="n">
        <v>46046</v>
      </c>
      <c r="D7689" t="inlineStr">
        <is>
          <t>NORRBOTTENS LÄN</t>
        </is>
      </c>
      <c r="E7689" t="inlineStr">
        <is>
          <t>ARVIDSJAUR</t>
        </is>
      </c>
      <c r="G7689" t="n">
        <v>14.7</v>
      </c>
      <c r="H7689" t="n">
        <v>0</v>
      </c>
      <c r="I7689" t="n">
        <v>0</v>
      </c>
      <c r="J7689" t="n">
        <v>0</v>
      </c>
      <c r="K7689" t="n">
        <v>0</v>
      </c>
      <c r="L7689" t="n">
        <v>0</v>
      </c>
      <c r="M7689" t="n">
        <v>0</v>
      </c>
      <c r="N7689" t="n">
        <v>0</v>
      </c>
      <c r="O7689" t="n">
        <v>0</v>
      </c>
      <c r="P7689" t="n">
        <v>0</v>
      </c>
      <c r="Q7689" t="n">
        <v>0</v>
      </c>
      <c r="R7689" s="2" t="inlineStr"/>
    </row>
    <row r="7690" ht="15" customHeight="1">
      <c r="A7690" t="inlineStr">
        <is>
          <t>A 4352-2026</t>
        </is>
      </c>
      <c r="B7690" s="1" t="n">
        <v>46045.53174768519</v>
      </c>
      <c r="C7690" s="1" t="n">
        <v>46046</v>
      </c>
      <c r="D7690" t="inlineStr">
        <is>
          <t>NORRBOTTENS LÄN</t>
        </is>
      </c>
      <c r="E7690" t="inlineStr">
        <is>
          <t>PITEÅ</t>
        </is>
      </c>
      <c r="F7690" t="inlineStr">
        <is>
          <t>SCA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61706-2025</t>
        </is>
      </c>
      <c r="B7691" s="1" t="n">
        <v>46002.55268518518</v>
      </c>
      <c r="C7691" s="1" t="n">
        <v>46046</v>
      </c>
      <c r="D7691" t="inlineStr">
        <is>
          <t>NORRBOTTENS LÄN</t>
        </is>
      </c>
      <c r="E7691" t="inlineStr">
        <is>
          <t>ÖVERKALIX</t>
        </is>
      </c>
      <c r="F7691" t="inlineStr">
        <is>
          <t>SCA</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62025-2025</t>
        </is>
      </c>
      <c r="B7692" s="1" t="n">
        <v>46003</v>
      </c>
      <c r="C7692" s="1" t="n">
        <v>46046</v>
      </c>
      <c r="D7692" t="inlineStr">
        <is>
          <t>NORRBOTTENS LÄN</t>
        </is>
      </c>
      <c r="E7692" t="inlineStr">
        <is>
          <t>BODEN</t>
        </is>
      </c>
      <c r="G7692" t="n">
        <v>9.300000000000001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61897-2025</t>
        </is>
      </c>
      <c r="B7693" s="1" t="n">
        <v>46003.46508101852</v>
      </c>
      <c r="C7693" s="1" t="n">
        <v>46046</v>
      </c>
      <c r="D7693" t="inlineStr">
        <is>
          <t>NORRBOTTENS LÄN</t>
        </is>
      </c>
      <c r="E7693" t="inlineStr">
        <is>
          <t>KALIX</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61664-2025</t>
        </is>
      </c>
      <c r="B7694" s="1" t="n">
        <v>46002.46958333333</v>
      </c>
      <c r="C7694" s="1" t="n">
        <v>46046</v>
      </c>
      <c r="D7694" t="inlineStr">
        <is>
          <t>NORRBOTTENS LÄN</t>
        </is>
      </c>
      <c r="E7694" t="inlineStr">
        <is>
          <t>PAJALA</t>
        </is>
      </c>
      <c r="F7694" t="inlineStr">
        <is>
          <t>SCA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61687-2025</t>
        </is>
      </c>
      <c r="B7695" s="1" t="n">
        <v>46002.50983796296</v>
      </c>
      <c r="C7695" s="1" t="n">
        <v>46046</v>
      </c>
      <c r="D7695" t="inlineStr">
        <is>
          <t>NORRBOTTENS LÄN</t>
        </is>
      </c>
      <c r="E7695" t="inlineStr">
        <is>
          <t>GÄLLIVARE</t>
        </is>
      </c>
      <c r="G7695" t="n">
        <v>12.7</v>
      </c>
      <c r="H7695" t="n">
        <v>0</v>
      </c>
      <c r="I7695" t="n">
        <v>0</v>
      </c>
      <c r="J7695" t="n">
        <v>0</v>
      </c>
      <c r="K7695" t="n">
        <v>0</v>
      </c>
      <c r="L7695" t="n">
        <v>0</v>
      </c>
      <c r="M7695" t="n">
        <v>0</v>
      </c>
      <c r="N7695" t="n">
        <v>0</v>
      </c>
      <c r="O7695" t="n">
        <v>0</v>
      </c>
      <c r="P7695" t="n">
        <v>0</v>
      </c>
      <c r="Q7695" t="n">
        <v>0</v>
      </c>
      <c r="R7695" s="2" t="inlineStr"/>
    </row>
    <row r="7696" ht="15" customHeight="1">
      <c r="A7696" t="inlineStr">
        <is>
          <t>A 61715-2025</t>
        </is>
      </c>
      <c r="B7696" s="1" t="n">
        <v>46002.56920138889</v>
      </c>
      <c r="C7696" s="1" t="n">
        <v>46046</v>
      </c>
      <c r="D7696" t="inlineStr">
        <is>
          <t>NORRBOTTENS LÄN</t>
        </is>
      </c>
      <c r="E7696" t="inlineStr">
        <is>
          <t>GÄLLIVARE</t>
        </is>
      </c>
      <c r="F7696" t="inlineStr">
        <is>
          <t>Sveaskog</t>
        </is>
      </c>
      <c r="G7696" t="n">
        <v>15.8</v>
      </c>
      <c r="H7696" t="n">
        <v>0</v>
      </c>
      <c r="I7696" t="n">
        <v>0</v>
      </c>
      <c r="J7696" t="n">
        <v>0</v>
      </c>
      <c r="K7696" t="n">
        <v>0</v>
      </c>
      <c r="L7696" t="n">
        <v>0</v>
      </c>
      <c r="M7696" t="n">
        <v>0</v>
      </c>
      <c r="N7696" t="n">
        <v>0</v>
      </c>
      <c r="O7696" t="n">
        <v>0</v>
      </c>
      <c r="P7696" t="n">
        <v>0</v>
      </c>
      <c r="Q7696" t="n">
        <v>0</v>
      </c>
      <c r="R7696" s="2" t="inlineStr"/>
    </row>
    <row r="7697" ht="15" customHeight="1">
      <c r="A7697" t="inlineStr">
        <is>
          <t>A 61949-2025</t>
        </is>
      </c>
      <c r="B7697" s="1" t="n">
        <v>46003.57069444445</v>
      </c>
      <c r="C7697" s="1" t="n">
        <v>46046</v>
      </c>
      <c r="D7697" t="inlineStr">
        <is>
          <t>NORRBOTTENS LÄN</t>
        </is>
      </c>
      <c r="E7697" t="inlineStr">
        <is>
          <t>BODEN</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61885-2025</t>
        </is>
      </c>
      <c r="B7698" s="1" t="n">
        <v>46003</v>
      </c>
      <c r="C7698" s="1" t="n">
        <v>46046</v>
      </c>
      <c r="D7698" t="inlineStr">
        <is>
          <t>NORRBOTTENS LÄN</t>
        </is>
      </c>
      <c r="E7698" t="inlineStr">
        <is>
          <t>KALIX</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61893-2025</t>
        </is>
      </c>
      <c r="B7699" s="1" t="n">
        <v>46003</v>
      </c>
      <c r="C7699" s="1" t="n">
        <v>46046</v>
      </c>
      <c r="D7699" t="inlineStr">
        <is>
          <t>NORRBOTTENS LÄN</t>
        </is>
      </c>
      <c r="E7699" t="inlineStr">
        <is>
          <t>KALIX</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61905-2025</t>
        </is>
      </c>
      <c r="B7700" s="1" t="n">
        <v>46003.47005787037</v>
      </c>
      <c r="C7700" s="1" t="n">
        <v>46046</v>
      </c>
      <c r="D7700" t="inlineStr">
        <is>
          <t>NORRBOTTENS LÄN</t>
        </is>
      </c>
      <c r="E7700" t="inlineStr">
        <is>
          <t>KALIX</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61870-2025</t>
        </is>
      </c>
      <c r="B7701" s="1" t="n">
        <v>46003.39394675926</v>
      </c>
      <c r="C7701" s="1" t="n">
        <v>46046</v>
      </c>
      <c r="D7701" t="inlineStr">
        <is>
          <t>NORRBOTTENS LÄN</t>
        </is>
      </c>
      <c r="E7701" t="inlineStr">
        <is>
          <t>KALIX</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63181-2025</t>
        </is>
      </c>
      <c r="B7702" s="1" t="n">
        <v>46010</v>
      </c>
      <c r="C7702" s="1" t="n">
        <v>46046</v>
      </c>
      <c r="D7702" t="inlineStr">
        <is>
          <t>NORRBOTTENS LÄN</t>
        </is>
      </c>
      <c r="E7702" t="inlineStr">
        <is>
          <t>JOKKMOKK</t>
        </is>
      </c>
      <c r="G7702" t="n">
        <v>42.7</v>
      </c>
      <c r="H7702" t="n">
        <v>0</v>
      </c>
      <c r="I7702" t="n">
        <v>0</v>
      </c>
      <c r="J7702" t="n">
        <v>0</v>
      </c>
      <c r="K7702" t="n">
        <v>0</v>
      </c>
      <c r="L7702" t="n">
        <v>0</v>
      </c>
      <c r="M7702" t="n">
        <v>0</v>
      </c>
      <c r="N7702" t="n">
        <v>0</v>
      </c>
      <c r="O7702" t="n">
        <v>0</v>
      </c>
      <c r="P7702" t="n">
        <v>0</v>
      </c>
      <c r="Q7702" t="n">
        <v>0</v>
      </c>
      <c r="R7702" s="2" t="inlineStr"/>
    </row>
    <row r="7703" ht="15" customHeight="1">
      <c r="A7703" t="inlineStr">
        <is>
          <t>A 62019-2025</t>
        </is>
      </c>
      <c r="B7703" s="1" t="n">
        <v>46003.69137731481</v>
      </c>
      <c r="C7703" s="1" t="n">
        <v>46046</v>
      </c>
      <c r="D7703" t="inlineStr">
        <is>
          <t>NORRBOTTENS LÄN</t>
        </is>
      </c>
      <c r="E7703" t="inlineStr">
        <is>
          <t>BODEN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62024-2025</t>
        </is>
      </c>
      <c r="B7704" s="1" t="n">
        <v>46003.70054398148</v>
      </c>
      <c r="C7704" s="1" t="n">
        <v>46046</v>
      </c>
      <c r="D7704" t="inlineStr">
        <is>
          <t>NORRBOTTENS LÄN</t>
        </is>
      </c>
      <c r="E7704" t="inlineStr">
        <is>
          <t>BODEN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61559-2025</t>
        </is>
      </c>
      <c r="B7705" s="1" t="n">
        <v>46001.849375</v>
      </c>
      <c r="C7705" s="1" t="n">
        <v>46046</v>
      </c>
      <c r="D7705" t="inlineStr">
        <is>
          <t>NORRBOTTENS LÄN</t>
        </is>
      </c>
      <c r="E7705" t="inlineStr">
        <is>
          <t>BODEN</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61626-2025</t>
        </is>
      </c>
      <c r="B7706" s="1" t="n">
        <v>46002.40135416666</v>
      </c>
      <c r="C7706" s="1" t="n">
        <v>46046</v>
      </c>
      <c r="D7706" t="inlineStr">
        <is>
          <t>NORRBOTTENS LÄN</t>
        </is>
      </c>
      <c r="E7706" t="inlineStr">
        <is>
          <t>HAPARANDA</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61634-2025</t>
        </is>
      </c>
      <c r="B7707" s="1" t="n">
        <v>46002.41836805556</v>
      </c>
      <c r="C7707" s="1" t="n">
        <v>46046</v>
      </c>
      <c r="D7707" t="inlineStr">
        <is>
          <t>NORRBOTTENS LÄN</t>
        </is>
      </c>
      <c r="E7707" t="inlineStr">
        <is>
          <t>LULEÅ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61681-2025</t>
        </is>
      </c>
      <c r="B7708" s="1" t="n">
        <v>46002.49121527778</v>
      </c>
      <c r="C7708" s="1" t="n">
        <v>46046</v>
      </c>
      <c r="D7708" t="inlineStr">
        <is>
          <t>NORRBOTTENS LÄN</t>
        </is>
      </c>
      <c r="E7708" t="inlineStr">
        <is>
          <t>GÄLLIVARE</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61988-2025</t>
        </is>
      </c>
      <c r="B7709" s="1" t="n">
        <v>46003.62936342593</v>
      </c>
      <c r="C7709" s="1" t="n">
        <v>46046</v>
      </c>
      <c r="D7709" t="inlineStr">
        <is>
          <t>NORRBOTTENS LÄN</t>
        </is>
      </c>
      <c r="E7709" t="inlineStr">
        <is>
          <t>BODEN</t>
        </is>
      </c>
      <c r="F7709" t="inlineStr">
        <is>
          <t>SCA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4082-2026</t>
        </is>
      </c>
      <c r="B7710" s="1" t="n">
        <v>46044.54421296297</v>
      </c>
      <c r="C7710" s="1" t="n">
        <v>46046</v>
      </c>
      <c r="D7710" t="inlineStr">
        <is>
          <t>NORRBOTTENS LÄN</t>
        </is>
      </c>
      <c r="E7710" t="inlineStr">
        <is>
          <t>PITEÅ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4021-2026</t>
        </is>
      </c>
      <c r="B7711" s="1" t="n">
        <v>46044</v>
      </c>
      <c r="C7711" s="1" t="n">
        <v>46046</v>
      </c>
      <c r="D7711" t="inlineStr">
        <is>
          <t>NORRBOTTENS LÄN</t>
        </is>
      </c>
      <c r="E7711" t="inlineStr">
        <is>
          <t>BODEN</t>
        </is>
      </c>
      <c r="F7711" t="inlineStr">
        <is>
          <t>SCA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61955-2025</t>
        </is>
      </c>
      <c r="B7712" s="1" t="n">
        <v>46003.5743287037</v>
      </c>
      <c r="C7712" s="1" t="n">
        <v>46046</v>
      </c>
      <c r="D7712" t="inlineStr">
        <is>
          <t>NORRBOTTENS LÄN</t>
        </is>
      </c>
      <c r="E7712" t="inlineStr">
        <is>
          <t>KALIX</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2660-2026</t>
        </is>
      </c>
      <c r="B7713" s="1" t="n">
        <v>46037</v>
      </c>
      <c r="C7713" s="1" t="n">
        <v>46046</v>
      </c>
      <c r="D7713" t="inlineStr">
        <is>
          <t>NORRBOTTENS LÄN</t>
        </is>
      </c>
      <c r="E7713" t="inlineStr">
        <is>
          <t>KIRUNA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61916-2025</t>
        </is>
      </c>
      <c r="B7714" s="1" t="n">
        <v>46003</v>
      </c>
      <c r="C7714" s="1" t="n">
        <v>46046</v>
      </c>
      <c r="D7714" t="inlineStr">
        <is>
          <t>NORRBOTTENS LÄN</t>
        </is>
      </c>
      <c r="E7714" t="inlineStr">
        <is>
          <t>GÄLLIVARE</t>
        </is>
      </c>
      <c r="G7714" t="n">
        <v>91.90000000000001</v>
      </c>
      <c r="H7714" t="n">
        <v>0</v>
      </c>
      <c r="I7714" t="n">
        <v>0</v>
      </c>
      <c r="J7714" t="n">
        <v>0</v>
      </c>
      <c r="K7714" t="n">
        <v>0</v>
      </c>
      <c r="L7714" t="n">
        <v>0</v>
      </c>
      <c r="M7714" t="n">
        <v>0</v>
      </c>
      <c r="N7714" t="n">
        <v>0</v>
      </c>
      <c r="O7714" t="n">
        <v>0</v>
      </c>
      <c r="P7714" t="n">
        <v>0</v>
      </c>
      <c r="Q7714" t="n">
        <v>0</v>
      </c>
      <c r="R7714" s="2" t="inlineStr"/>
    </row>
    <row r="7715" ht="15" customHeight="1">
      <c r="A7715" t="inlineStr">
        <is>
          <t>A 61921-2025</t>
        </is>
      </c>
      <c r="B7715" s="1" t="n">
        <v>46003.51122685185</v>
      </c>
      <c r="C7715" s="1" t="n">
        <v>46046</v>
      </c>
      <c r="D7715" t="inlineStr">
        <is>
          <t>NORRBOTTENS LÄN</t>
        </is>
      </c>
      <c r="E7715" t="inlineStr">
        <is>
          <t>ÖVERTORNEÅ</t>
        </is>
      </c>
      <c r="G7715" t="n">
        <v>18.4</v>
      </c>
      <c r="H7715" t="n">
        <v>0</v>
      </c>
      <c r="I7715" t="n">
        <v>0</v>
      </c>
      <c r="J7715" t="n">
        <v>0</v>
      </c>
      <c r="K7715" t="n">
        <v>0</v>
      </c>
      <c r="L7715" t="n">
        <v>0</v>
      </c>
      <c r="M7715" t="n">
        <v>0</v>
      </c>
      <c r="N7715" t="n">
        <v>0</v>
      </c>
      <c r="O7715" t="n">
        <v>0</v>
      </c>
      <c r="P7715" t="n">
        <v>0</v>
      </c>
      <c r="Q7715" t="n">
        <v>0</v>
      </c>
      <c r="R7715" s="2" t="inlineStr"/>
    </row>
    <row r="7716" ht="15" customHeight="1">
      <c r="A7716" t="inlineStr">
        <is>
          <t>A 3181-2026</t>
        </is>
      </c>
      <c r="B7716" s="1" t="n">
        <v>46041</v>
      </c>
      <c r="C7716" s="1" t="n">
        <v>46046</v>
      </c>
      <c r="D7716" t="inlineStr">
        <is>
          <t>NORRBOTTENS LÄN</t>
        </is>
      </c>
      <c r="E7716" t="inlineStr">
        <is>
          <t>PITEÅ</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61668-2025</t>
        </is>
      </c>
      <c r="B7717" s="1" t="n">
        <v>46002.46994212963</v>
      </c>
      <c r="C7717" s="1" t="n">
        <v>46046</v>
      </c>
      <c r="D7717" t="inlineStr">
        <is>
          <t>NORRBOTTENS LÄN</t>
        </is>
      </c>
      <c r="E7717" t="inlineStr">
        <is>
          <t>GÄLLIVARE</t>
        </is>
      </c>
      <c r="G7717" t="n">
        <v>13.6</v>
      </c>
      <c r="H7717" t="n">
        <v>0</v>
      </c>
      <c r="I7717" t="n">
        <v>0</v>
      </c>
      <c r="J7717" t="n">
        <v>0</v>
      </c>
      <c r="K7717" t="n">
        <v>0</v>
      </c>
      <c r="L7717" t="n">
        <v>0</v>
      </c>
      <c r="M7717" t="n">
        <v>0</v>
      </c>
      <c r="N7717" t="n">
        <v>0</v>
      </c>
      <c r="O7717" t="n">
        <v>0</v>
      </c>
      <c r="P7717" t="n">
        <v>0</v>
      </c>
      <c r="Q7717" t="n">
        <v>0</v>
      </c>
      <c r="R7717" s="2" t="inlineStr"/>
    </row>
    <row r="7718" ht="15" customHeight="1">
      <c r="A7718" t="inlineStr">
        <is>
          <t>A 61708-2025</t>
        </is>
      </c>
      <c r="B7718" s="1" t="n">
        <v>46002.55417824074</v>
      </c>
      <c r="C7718" s="1" t="n">
        <v>46046</v>
      </c>
      <c r="D7718" t="inlineStr">
        <is>
          <t>NORRBOTTENS LÄN</t>
        </is>
      </c>
      <c r="E7718" t="inlineStr">
        <is>
          <t>PITEÅ</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61720-2025</t>
        </is>
      </c>
      <c r="B7719" s="1" t="n">
        <v>46002.57755787037</v>
      </c>
      <c r="C7719" s="1" t="n">
        <v>46046</v>
      </c>
      <c r="D7719" t="inlineStr">
        <is>
          <t>NORRBOTTENS LÄN</t>
        </is>
      </c>
      <c r="E7719" t="inlineStr">
        <is>
          <t>PAJALA</t>
        </is>
      </c>
      <c r="G7719" t="n">
        <v>4.5</v>
      </c>
      <c r="H7719" t="n">
        <v>0</v>
      </c>
      <c r="I7719" t="n">
        <v>0</v>
      </c>
      <c r="J7719" t="n">
        <v>0</v>
      </c>
      <c r="K7719" t="n">
        <v>0</v>
      </c>
      <c r="L7719" t="n">
        <v>0</v>
      </c>
      <c r="M7719" t="n">
        <v>0</v>
      </c>
      <c r="N7719" t="n">
        <v>0</v>
      </c>
      <c r="O7719" t="n">
        <v>0</v>
      </c>
      <c r="P7719" t="n">
        <v>0</v>
      </c>
      <c r="Q7719" t="n">
        <v>0</v>
      </c>
      <c r="R7719" s="2" t="inlineStr"/>
    </row>
    <row r="7720">
      <c r="A7720" t="inlineStr">
        <is>
          <t>A 61665-2025</t>
        </is>
      </c>
      <c r="B7720" s="1" t="n">
        <v>46002.46962962963</v>
      </c>
      <c r="C7720" s="1" t="n">
        <v>46046</v>
      </c>
      <c r="D7720" t="inlineStr">
        <is>
          <t>NORRBOTTENS LÄN</t>
        </is>
      </c>
      <c r="E7720" t="inlineStr">
        <is>
          <t>PAJALA</t>
        </is>
      </c>
      <c r="F7720" t="inlineStr">
        <is>
          <t>SCA</t>
        </is>
      </c>
      <c r="G7720" t="n">
        <v>2.6</v>
      </c>
      <c r="H7720" t="n">
        <v>0</v>
      </c>
      <c r="I7720" t="n">
        <v>0</v>
      </c>
      <c r="J7720" t="n">
        <v>0</v>
      </c>
      <c r="K7720" t="n">
        <v>0</v>
      </c>
      <c r="L7720" t="n">
        <v>0</v>
      </c>
      <c r="M7720" t="n">
        <v>0</v>
      </c>
      <c r="N7720" t="n">
        <v>0</v>
      </c>
      <c r="O7720" t="n">
        <v>0</v>
      </c>
      <c r="P7720" t="n">
        <v>0</v>
      </c>
      <c r="Q7720" t="n">
        <v>0</v>
      </c>
      <c r="R7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2026-01-24T11:04:32Z</dcterms:created>
  <dcterms:modified xmlns:dcterms="http://purl.org/dc/terms/" xmlns:xsi="http://www.w3.org/2001/XMLSchema-instance" xsi:type="dcterms:W3CDTF">2026-01-24T11:04:39Z</dcterms:modified>
</cp:coreProperties>
</file>