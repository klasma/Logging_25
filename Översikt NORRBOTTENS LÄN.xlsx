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45662</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45662</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45662</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45662</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45662</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45662</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45662</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45662</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45662</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45662</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45662</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45662</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45662</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45662</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45662</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45662</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45662</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45662</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45662</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45662</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45662</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45662</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45662</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45662</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45662</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45662</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45662</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45662</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45662</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45662</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45662</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45662</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45662</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45662</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45662</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45662</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45662</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45662</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45662</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45662</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45662</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45662</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45662</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45662</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45662</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45662</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45662</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45662</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45662</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45662</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45662</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45662</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45662</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45662</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45662</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45662</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45662</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45662</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45662</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45662</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45662</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45662</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45662</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45662</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45662</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45662</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45662</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45662</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45662</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45662</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45662</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45662</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45662</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45662</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45662</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45662</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45662</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45662</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45662</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45662</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45662</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45662</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45662</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45662</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45662</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45662</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45662</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45662</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45662</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45662</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45662</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45662</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45662</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45662</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45662</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45662</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45662</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45662</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45662</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45662</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45662</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45662</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45662</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45662</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45662</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45662</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45662</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45662</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45662</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45662</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45662</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45662</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45662</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45662</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45662</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45662</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45662</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45662</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45662</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45662</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45662</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45662</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45662</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45662</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45662</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45662</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45662</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45662</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45662</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45662</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45662</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45662</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45662</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45662</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45662</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45662</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45662</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45662</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45662</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45662</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45662</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45662</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45662</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45662</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45662</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45662</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45662</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45662</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45662</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45662</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45662</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45662</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45662</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45662</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45662</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45662</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45662</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45662</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45662</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45662</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45662</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45662</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45662</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45662</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45662</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45662</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45662</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45662</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45662</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45662</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45662</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45662</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45662</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45662</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45662</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45662</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45662</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45662</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45662</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45662</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45662</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45662</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45662</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45662</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45662</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45662</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45662</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45662</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45662</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45662</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45662</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45662</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45662</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45662</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45662</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45662</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45662</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45662</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45662</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45662</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45662</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45662</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45662</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45662</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45662</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45662</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45662</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45662</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45662</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45662</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45662</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45662</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45662</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45662</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45662</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45662</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45662</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45662</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45662</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45662</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45662</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45662</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45662</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45662</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45662</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45662</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45662</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45662</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45662</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45662</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45662</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45662</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45662</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45662</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45662</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45662</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45662</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45662</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45662</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45662</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45662</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45662</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45662</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45662</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45662</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45662</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45662</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45662</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45662</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45662</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45662</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45662</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45662</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45662</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45662</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45662</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45662</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45662</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45662</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45662</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45662</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45662</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45662</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45662</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45662</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45662</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45662</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45662</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45662</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45662</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45662</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45662</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45662</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45662</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45662</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45662</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45662</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45662</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45662</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45662</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45662</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45662</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45662</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45662</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45662</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45662</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45662</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45662</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45662</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45662</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45662</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45662</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45662</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45662</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45662</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45662</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45662</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45662</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45662</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45662</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45662</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45662</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45662</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45662</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45662</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45662</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45662</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45662</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45662</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45662</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45662</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45662</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45662</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45662</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45662</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45662</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45662</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45662</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45662</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45662</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45662</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45662</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45662</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45662</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45662</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45662</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45662</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45662</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45662</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45662</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45662</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45662</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45662</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45662</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45662</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45662</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45662</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45662</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45662</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45662</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45662</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45662</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45662</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45662</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45662</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45662</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45662</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45662</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45662</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45662</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45662</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45662</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45662</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45662</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45662</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45662</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45662</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45662</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45662</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45662</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45662</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45662</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45662</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45662</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45662</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45662</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45662</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45662</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45662</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45662</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45662</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45662</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45662</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45662</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45662</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45662</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45662</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45662</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45662</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45662</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45662</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45662</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45662</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45662</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45662</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45662</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45662</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45662</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45662</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45662</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45662</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45662</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45662</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45662</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45662</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45662</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45662</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45662</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45662</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45662</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45662</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45662</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45662</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45662</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45662</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45662</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45662</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45662</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45662</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45662</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45662</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45662</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45662</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21123-2019</t>
        </is>
      </c>
      <c r="B453" s="1" t="n">
        <v>43579</v>
      </c>
      <c r="C453" s="1" t="n">
        <v>45662</v>
      </c>
      <c r="D453" t="inlineStr">
        <is>
          <t>NORRBOTTENS LÄN</t>
        </is>
      </c>
      <c r="E453" t="inlineStr">
        <is>
          <t>BODEN</t>
        </is>
      </c>
      <c r="F453" t="inlineStr">
        <is>
          <t>Sveaskog</t>
        </is>
      </c>
      <c r="G453" t="n">
        <v>11.3</v>
      </c>
      <c r="H453" t="n">
        <v>0</v>
      </c>
      <c r="I453" t="n">
        <v>1</v>
      </c>
      <c r="J453" t="n">
        <v>1</v>
      </c>
      <c r="K453" t="n">
        <v>0</v>
      </c>
      <c r="L453" t="n">
        <v>0</v>
      </c>
      <c r="M453" t="n">
        <v>0</v>
      </c>
      <c r="N453" t="n">
        <v>0</v>
      </c>
      <c r="O453" t="n">
        <v>1</v>
      </c>
      <c r="P453" t="n">
        <v>0</v>
      </c>
      <c r="Q453" t="n">
        <v>2</v>
      </c>
      <c r="R453" s="2" t="inlineStr">
        <is>
          <t>Lunglav
Stor aspticka</t>
        </is>
      </c>
      <c r="S453">
        <f>HYPERLINK("https://klasma.github.io/Logging_2582/artfynd/A 21123-2019 artfynd.xlsx", "A 21123-2019")</f>
        <v/>
      </c>
      <c r="T453">
        <f>HYPERLINK("https://klasma.github.io/Logging_2582/kartor/A 21123-2019 karta.png", "A 21123-2019")</f>
        <v/>
      </c>
      <c r="V453">
        <f>HYPERLINK("https://klasma.github.io/Logging_2582/klagomål/A 21123-2019 FSC-klagomål.docx", "A 21123-2019")</f>
        <v/>
      </c>
      <c r="W453">
        <f>HYPERLINK("https://klasma.github.io/Logging_2582/klagomålsmail/A 21123-2019 FSC-klagomål mail.docx", "A 21123-2019")</f>
        <v/>
      </c>
      <c r="X453">
        <f>HYPERLINK("https://klasma.github.io/Logging_2582/tillsyn/A 21123-2019 tillsynsbegäran.docx", "A 21123-2019")</f>
        <v/>
      </c>
      <c r="Y453">
        <f>HYPERLINK("https://klasma.github.io/Logging_2582/tillsynsmail/A 21123-2019 tillsynsbegäran mail.docx", "A 21123-2019")</f>
        <v/>
      </c>
    </row>
    <row r="454" ht="15" customHeight="1">
      <c r="A454" t="inlineStr">
        <is>
          <t>A 21127-2019</t>
        </is>
      </c>
      <c r="B454" s="1" t="n">
        <v>43579</v>
      </c>
      <c r="C454" s="1" t="n">
        <v>45662</v>
      </c>
      <c r="D454" t="inlineStr">
        <is>
          <t>NORRBOTTENS LÄN</t>
        </is>
      </c>
      <c r="E454" t="inlineStr">
        <is>
          <t>BODEN</t>
        </is>
      </c>
      <c r="F454" t="inlineStr">
        <is>
          <t>Sveaskog</t>
        </is>
      </c>
      <c r="G454" t="n">
        <v>32</v>
      </c>
      <c r="H454" t="n">
        <v>0</v>
      </c>
      <c r="I454" t="n">
        <v>0</v>
      </c>
      <c r="J454" t="n">
        <v>2</v>
      </c>
      <c r="K454" t="n">
        <v>0</v>
      </c>
      <c r="L454" t="n">
        <v>0</v>
      </c>
      <c r="M454" t="n">
        <v>0</v>
      </c>
      <c r="N454" t="n">
        <v>0</v>
      </c>
      <c r="O454" t="n">
        <v>2</v>
      </c>
      <c r="P454" t="n">
        <v>0</v>
      </c>
      <c r="Q454" t="n">
        <v>2</v>
      </c>
      <c r="R454" s="2" t="inlineStr">
        <is>
          <t>Lunglav
Nordtagging</t>
        </is>
      </c>
      <c r="S454">
        <f>HYPERLINK("https://klasma.github.io/Logging_2582/artfynd/A 21127-2019 artfynd.xlsx", "A 21127-2019")</f>
        <v/>
      </c>
      <c r="T454">
        <f>HYPERLINK("https://klasma.github.io/Logging_2582/kartor/A 21127-2019 karta.png", "A 21127-2019")</f>
        <v/>
      </c>
      <c r="V454">
        <f>HYPERLINK("https://klasma.github.io/Logging_2582/klagomål/A 21127-2019 FSC-klagomål.docx", "A 21127-2019")</f>
        <v/>
      </c>
      <c r="W454">
        <f>HYPERLINK("https://klasma.github.io/Logging_2582/klagomålsmail/A 21127-2019 FSC-klagomål mail.docx", "A 21127-2019")</f>
        <v/>
      </c>
      <c r="X454">
        <f>HYPERLINK("https://klasma.github.io/Logging_2582/tillsyn/A 21127-2019 tillsynsbegäran.docx", "A 21127-2019")</f>
        <v/>
      </c>
      <c r="Y454">
        <f>HYPERLINK("https://klasma.github.io/Logging_2582/tillsynsmail/A 21127-2019 tillsynsbegäran mail.docx", "A 21127-2019")</f>
        <v/>
      </c>
    </row>
    <row r="455" ht="15" customHeight="1">
      <c r="A455" t="inlineStr">
        <is>
          <t>A 23307-2019</t>
        </is>
      </c>
      <c r="B455" s="1" t="n">
        <v>43593</v>
      </c>
      <c r="C455" s="1" t="n">
        <v>45662</v>
      </c>
      <c r="D455" t="inlineStr">
        <is>
          <t>NORRBOTTENS LÄN</t>
        </is>
      </c>
      <c r="E455" t="inlineStr">
        <is>
          <t>ÖVERTORNEÅ</t>
        </is>
      </c>
      <c r="F455" t="inlineStr">
        <is>
          <t>Sveaskog</t>
        </is>
      </c>
      <c r="G455" t="n">
        <v>34.4</v>
      </c>
      <c r="H455" t="n">
        <v>0</v>
      </c>
      <c r="I455" t="n">
        <v>0</v>
      </c>
      <c r="J455" t="n">
        <v>2</v>
      </c>
      <c r="K455" t="n">
        <v>0</v>
      </c>
      <c r="L455" t="n">
        <v>0</v>
      </c>
      <c r="M455" t="n">
        <v>0</v>
      </c>
      <c r="N455" t="n">
        <v>0</v>
      </c>
      <c r="O455" t="n">
        <v>2</v>
      </c>
      <c r="P455" t="n">
        <v>0</v>
      </c>
      <c r="Q455" t="n">
        <v>2</v>
      </c>
      <c r="R455" s="2" t="inlineStr">
        <is>
          <t>Garnlav
Stjärntagging</t>
        </is>
      </c>
      <c r="S455">
        <f>HYPERLINK("https://klasma.github.io/Logging_2518/artfynd/A 23307-2019 artfynd.xlsx", "A 23307-2019")</f>
        <v/>
      </c>
      <c r="T455">
        <f>HYPERLINK("https://klasma.github.io/Logging_2518/kartor/A 23307-2019 karta.png", "A 23307-2019")</f>
        <v/>
      </c>
      <c r="V455">
        <f>HYPERLINK("https://klasma.github.io/Logging_2518/klagomål/A 23307-2019 FSC-klagomål.docx", "A 23307-2019")</f>
        <v/>
      </c>
      <c r="W455">
        <f>HYPERLINK("https://klasma.github.io/Logging_2518/klagomålsmail/A 23307-2019 FSC-klagomål mail.docx", "A 23307-2019")</f>
        <v/>
      </c>
      <c r="X455">
        <f>HYPERLINK("https://klasma.github.io/Logging_2518/tillsyn/A 23307-2019 tillsynsbegäran.docx", "A 23307-2019")</f>
        <v/>
      </c>
      <c r="Y455">
        <f>HYPERLINK("https://klasma.github.io/Logging_2518/tillsynsmail/A 23307-2019 tillsynsbegäran mail.docx", "A 23307-2019")</f>
        <v/>
      </c>
    </row>
    <row r="456" ht="15" customHeight="1">
      <c r="A456" t="inlineStr">
        <is>
          <t>A 24672-2019</t>
        </is>
      </c>
      <c r="B456" s="1" t="n">
        <v>43601</v>
      </c>
      <c r="C456" s="1" t="n">
        <v>45662</v>
      </c>
      <c r="D456" t="inlineStr">
        <is>
          <t>NORRBOTTENS LÄN</t>
        </is>
      </c>
      <c r="E456" t="inlineStr">
        <is>
          <t>BODEN</t>
        </is>
      </c>
      <c r="F456" t="inlineStr">
        <is>
          <t>Sveaskog</t>
        </is>
      </c>
      <c r="G456" t="n">
        <v>12.8</v>
      </c>
      <c r="H456" t="n">
        <v>0</v>
      </c>
      <c r="I456" t="n">
        <v>0</v>
      </c>
      <c r="J456" t="n">
        <v>1</v>
      </c>
      <c r="K456" t="n">
        <v>1</v>
      </c>
      <c r="L456" t="n">
        <v>0</v>
      </c>
      <c r="M456" t="n">
        <v>0</v>
      </c>
      <c r="N456" t="n">
        <v>0</v>
      </c>
      <c r="O456" t="n">
        <v>2</v>
      </c>
      <c r="P456" t="n">
        <v>1</v>
      </c>
      <c r="Q456" t="n">
        <v>2</v>
      </c>
      <c r="R456" s="2" t="inlineStr">
        <is>
          <t>Gräddporing
Vaddporing</t>
        </is>
      </c>
      <c r="S456">
        <f>HYPERLINK("https://klasma.github.io/Logging_2582/artfynd/A 24672-2019 artfynd.xlsx", "A 24672-2019")</f>
        <v/>
      </c>
      <c r="T456">
        <f>HYPERLINK("https://klasma.github.io/Logging_2582/kartor/A 24672-2019 karta.png", "A 24672-2019")</f>
        <v/>
      </c>
      <c r="V456">
        <f>HYPERLINK("https://klasma.github.io/Logging_2582/klagomål/A 24672-2019 FSC-klagomål.docx", "A 24672-2019")</f>
        <v/>
      </c>
      <c r="W456">
        <f>HYPERLINK("https://klasma.github.io/Logging_2582/klagomålsmail/A 24672-2019 FSC-klagomål mail.docx", "A 24672-2019")</f>
        <v/>
      </c>
      <c r="X456">
        <f>HYPERLINK("https://klasma.github.io/Logging_2582/tillsyn/A 24672-2019 tillsynsbegäran.docx", "A 24672-2019")</f>
        <v/>
      </c>
      <c r="Y456">
        <f>HYPERLINK("https://klasma.github.io/Logging_2582/tillsynsmail/A 24672-2019 tillsynsbegäran mail.docx", "A 24672-2019")</f>
        <v/>
      </c>
    </row>
    <row r="457" ht="15" customHeight="1">
      <c r="A457" t="inlineStr">
        <is>
          <t>A 24913-2019</t>
        </is>
      </c>
      <c r="B457" s="1" t="n">
        <v>43602</v>
      </c>
      <c r="C457" s="1" t="n">
        <v>45662</v>
      </c>
      <c r="D457" t="inlineStr">
        <is>
          <t>NORRBOTTENS LÄN</t>
        </is>
      </c>
      <c r="E457" t="inlineStr">
        <is>
          <t>PAJALA</t>
        </is>
      </c>
      <c r="F457" t="inlineStr">
        <is>
          <t>Sveaskog</t>
        </is>
      </c>
      <c r="G457" t="n">
        <v>1.1</v>
      </c>
      <c r="H457" t="n">
        <v>0</v>
      </c>
      <c r="I457" t="n">
        <v>1</v>
      </c>
      <c r="J457" t="n">
        <v>1</v>
      </c>
      <c r="K457" t="n">
        <v>0</v>
      </c>
      <c r="L457" t="n">
        <v>0</v>
      </c>
      <c r="M457" t="n">
        <v>0</v>
      </c>
      <c r="N457" t="n">
        <v>0</v>
      </c>
      <c r="O457" t="n">
        <v>1</v>
      </c>
      <c r="P457" t="n">
        <v>0</v>
      </c>
      <c r="Q457" t="n">
        <v>2</v>
      </c>
      <c r="R457" s="2" t="inlineStr">
        <is>
          <t>Garnlav
Stuplav</t>
        </is>
      </c>
      <c r="S457">
        <f>HYPERLINK("https://klasma.github.io/Logging_2521/artfynd/A 24913-2019 artfynd.xlsx", "A 24913-2019")</f>
        <v/>
      </c>
      <c r="T457">
        <f>HYPERLINK("https://klasma.github.io/Logging_2521/kartor/A 24913-2019 karta.png", "A 24913-2019")</f>
        <v/>
      </c>
      <c r="V457">
        <f>HYPERLINK("https://klasma.github.io/Logging_2521/klagomål/A 24913-2019 FSC-klagomål.docx", "A 24913-2019")</f>
        <v/>
      </c>
      <c r="W457">
        <f>HYPERLINK("https://klasma.github.io/Logging_2521/klagomålsmail/A 24913-2019 FSC-klagomål mail.docx", "A 24913-2019")</f>
        <v/>
      </c>
      <c r="X457">
        <f>HYPERLINK("https://klasma.github.io/Logging_2521/tillsyn/A 24913-2019 tillsynsbegäran.docx", "A 24913-2019")</f>
        <v/>
      </c>
      <c r="Y457">
        <f>HYPERLINK("https://klasma.github.io/Logging_2521/tillsynsmail/A 24913-2019 tillsynsbegäran mail.docx", "A 24913-2019")</f>
        <v/>
      </c>
    </row>
    <row r="458" ht="15" customHeight="1">
      <c r="A458" t="inlineStr">
        <is>
          <t>A 32337-2019</t>
        </is>
      </c>
      <c r="B458" s="1" t="n">
        <v>43644</v>
      </c>
      <c r="C458" s="1" t="n">
        <v>45662</v>
      </c>
      <c r="D458" t="inlineStr">
        <is>
          <t>NORRBOTTENS LÄN</t>
        </is>
      </c>
      <c r="E458" t="inlineStr">
        <is>
          <t>PAJALA</t>
        </is>
      </c>
      <c r="F458" t="inlineStr">
        <is>
          <t>Sveaskog</t>
        </is>
      </c>
      <c r="G458" t="n">
        <v>5.1</v>
      </c>
      <c r="H458" t="n">
        <v>0</v>
      </c>
      <c r="I458" t="n">
        <v>1</v>
      </c>
      <c r="J458" t="n">
        <v>1</v>
      </c>
      <c r="K458" t="n">
        <v>0</v>
      </c>
      <c r="L458" t="n">
        <v>0</v>
      </c>
      <c r="M458" t="n">
        <v>0</v>
      </c>
      <c r="N458" t="n">
        <v>0</v>
      </c>
      <c r="O458" t="n">
        <v>1</v>
      </c>
      <c r="P458" t="n">
        <v>0</v>
      </c>
      <c r="Q458" t="n">
        <v>2</v>
      </c>
      <c r="R458" s="2" t="inlineStr">
        <is>
          <t>Garnlav
Trådticka</t>
        </is>
      </c>
      <c r="S458">
        <f>HYPERLINK("https://klasma.github.io/Logging_2521/artfynd/A 32337-2019 artfynd.xlsx", "A 32337-2019")</f>
        <v/>
      </c>
      <c r="T458">
        <f>HYPERLINK("https://klasma.github.io/Logging_2521/kartor/A 32337-2019 karta.png", "A 32337-2019")</f>
        <v/>
      </c>
      <c r="V458">
        <f>HYPERLINK("https://klasma.github.io/Logging_2521/klagomål/A 32337-2019 FSC-klagomål.docx", "A 32337-2019")</f>
        <v/>
      </c>
      <c r="W458">
        <f>HYPERLINK("https://klasma.github.io/Logging_2521/klagomålsmail/A 32337-2019 FSC-klagomål mail.docx", "A 32337-2019")</f>
        <v/>
      </c>
      <c r="X458">
        <f>HYPERLINK("https://klasma.github.io/Logging_2521/tillsyn/A 32337-2019 tillsynsbegäran.docx", "A 32337-2019")</f>
        <v/>
      </c>
      <c r="Y458">
        <f>HYPERLINK("https://klasma.github.io/Logging_2521/tillsynsmail/A 32337-2019 tillsynsbegäran mail.docx", "A 32337-2019")</f>
        <v/>
      </c>
    </row>
    <row r="459" ht="15" customHeight="1">
      <c r="A459" t="inlineStr">
        <is>
          <t>A 36554-2019</t>
        </is>
      </c>
      <c r="B459" s="1" t="n">
        <v>43671</v>
      </c>
      <c r="C459" s="1" t="n">
        <v>45662</v>
      </c>
      <c r="D459" t="inlineStr">
        <is>
          <t>NORRBOTTENS LÄN</t>
        </is>
      </c>
      <c r="E459" t="inlineStr">
        <is>
          <t>GÄLLIVARE</t>
        </is>
      </c>
      <c r="F459" t="inlineStr">
        <is>
          <t>Sveaskog</t>
        </is>
      </c>
      <c r="G459" t="n">
        <v>28.2</v>
      </c>
      <c r="H459" t="n">
        <v>0</v>
      </c>
      <c r="I459" t="n">
        <v>0</v>
      </c>
      <c r="J459" t="n">
        <v>1</v>
      </c>
      <c r="K459" t="n">
        <v>1</v>
      </c>
      <c r="L459" t="n">
        <v>0</v>
      </c>
      <c r="M459" t="n">
        <v>0</v>
      </c>
      <c r="N459" t="n">
        <v>0</v>
      </c>
      <c r="O459" t="n">
        <v>2</v>
      </c>
      <c r="P459" t="n">
        <v>1</v>
      </c>
      <c r="Q459" t="n">
        <v>2</v>
      </c>
      <c r="R459" s="2" t="inlineStr">
        <is>
          <t>Spadskinn
Tallticka</t>
        </is>
      </c>
      <c r="S459">
        <f>HYPERLINK("https://klasma.github.io/Logging_2523/artfynd/A 36554-2019 artfynd.xlsx", "A 36554-2019")</f>
        <v/>
      </c>
      <c r="T459">
        <f>HYPERLINK("https://klasma.github.io/Logging_2523/kartor/A 36554-2019 karta.png", "A 36554-2019")</f>
        <v/>
      </c>
      <c r="V459">
        <f>HYPERLINK("https://klasma.github.io/Logging_2523/klagomål/A 36554-2019 FSC-klagomål.docx", "A 36554-2019")</f>
        <v/>
      </c>
      <c r="W459">
        <f>HYPERLINK("https://klasma.github.io/Logging_2523/klagomålsmail/A 36554-2019 FSC-klagomål mail.docx", "A 36554-2019")</f>
        <v/>
      </c>
      <c r="X459">
        <f>HYPERLINK("https://klasma.github.io/Logging_2523/tillsyn/A 36554-2019 tillsynsbegäran.docx", "A 36554-2019")</f>
        <v/>
      </c>
      <c r="Y459">
        <f>HYPERLINK("https://klasma.github.io/Logging_2523/tillsynsmail/A 36554-2019 tillsynsbegäran mail.docx", "A 36554-2019")</f>
        <v/>
      </c>
    </row>
    <row r="460" ht="15" customHeight="1">
      <c r="A460" t="inlineStr">
        <is>
          <t>A 38649-2019</t>
        </is>
      </c>
      <c r="B460" s="1" t="n">
        <v>43686</v>
      </c>
      <c r="C460" s="1" t="n">
        <v>45662</v>
      </c>
      <c r="D460" t="inlineStr">
        <is>
          <t>NORRBOTTENS LÄN</t>
        </is>
      </c>
      <c r="E460" t="inlineStr">
        <is>
          <t>GÄLLIVARE</t>
        </is>
      </c>
      <c r="F460" t="inlineStr">
        <is>
          <t>Sveaskog</t>
        </is>
      </c>
      <c r="G460" t="n">
        <v>4.3</v>
      </c>
      <c r="H460" t="n">
        <v>1</v>
      </c>
      <c r="I460" t="n">
        <v>0</v>
      </c>
      <c r="J460" t="n">
        <v>1</v>
      </c>
      <c r="K460" t="n">
        <v>1</v>
      </c>
      <c r="L460" t="n">
        <v>0</v>
      </c>
      <c r="M460" t="n">
        <v>0</v>
      </c>
      <c r="N460" t="n">
        <v>0</v>
      </c>
      <c r="O460" t="n">
        <v>2</v>
      </c>
      <c r="P460" t="n">
        <v>1</v>
      </c>
      <c r="Q460" t="n">
        <v>2</v>
      </c>
      <c r="R460" s="2" t="inlineStr">
        <is>
          <t>Norna
Äggvaxskivling</t>
        </is>
      </c>
      <c r="S460">
        <f>HYPERLINK("https://klasma.github.io/Logging_2523/artfynd/A 38649-2019 artfynd.xlsx", "A 38649-2019")</f>
        <v/>
      </c>
      <c r="T460">
        <f>HYPERLINK("https://klasma.github.io/Logging_2523/kartor/A 38649-2019 karta.png", "A 38649-2019")</f>
        <v/>
      </c>
      <c r="V460">
        <f>HYPERLINK("https://klasma.github.io/Logging_2523/klagomål/A 38649-2019 FSC-klagomål.docx", "A 38649-2019")</f>
        <v/>
      </c>
      <c r="W460">
        <f>HYPERLINK("https://klasma.github.io/Logging_2523/klagomålsmail/A 38649-2019 FSC-klagomål mail.docx", "A 38649-2019")</f>
        <v/>
      </c>
      <c r="X460">
        <f>HYPERLINK("https://klasma.github.io/Logging_2523/tillsyn/A 38649-2019 tillsynsbegäran.docx", "A 38649-2019")</f>
        <v/>
      </c>
      <c r="Y460">
        <f>HYPERLINK("https://klasma.github.io/Logging_2523/tillsynsmail/A 38649-2019 tillsynsbegäran mail.docx", "A 38649-2019")</f>
        <v/>
      </c>
    </row>
    <row r="461" ht="15" customHeight="1">
      <c r="A461" t="inlineStr">
        <is>
          <t>A 43753-2019</t>
        </is>
      </c>
      <c r="B461" s="1" t="n">
        <v>43707</v>
      </c>
      <c r="C461" s="1" t="n">
        <v>45662</v>
      </c>
      <c r="D461" t="inlineStr">
        <is>
          <t>NORRBOTTENS LÄN</t>
        </is>
      </c>
      <c r="E461" t="inlineStr">
        <is>
          <t>ARVIDSJAUR</t>
        </is>
      </c>
      <c r="F461" t="inlineStr">
        <is>
          <t>Sveaskog</t>
        </is>
      </c>
      <c r="G461" t="n">
        <v>4.8</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HYPERLINK("https://klasma.github.io/Logging_2505/artfynd/A 43753-2019 artfynd.xlsx", "A 43753-2019")</f>
        <v/>
      </c>
      <c r="T461">
        <f>HYPERLINK("https://klasma.github.io/Logging_2505/kartor/A 43753-2019 karta.png", "A 43753-2019")</f>
        <v/>
      </c>
      <c r="V461">
        <f>HYPERLINK("https://klasma.github.io/Logging_2505/klagomål/A 43753-2019 FSC-klagomål.docx", "A 43753-2019")</f>
        <v/>
      </c>
      <c r="W461">
        <f>HYPERLINK("https://klasma.github.io/Logging_2505/klagomålsmail/A 43753-2019 FSC-klagomål mail.docx", "A 43753-2019")</f>
        <v/>
      </c>
      <c r="X461">
        <f>HYPERLINK("https://klasma.github.io/Logging_2505/tillsyn/A 43753-2019 tillsynsbegäran.docx", "A 43753-2019")</f>
        <v/>
      </c>
      <c r="Y461">
        <f>HYPERLINK("https://klasma.github.io/Logging_2505/tillsynsmail/A 43753-2019 tillsynsbegäran mail.docx", "A 43753-2019")</f>
        <v/>
      </c>
    </row>
    <row r="462" ht="15" customHeight="1">
      <c r="A462" t="inlineStr">
        <is>
          <t>A 45095-2019</t>
        </is>
      </c>
      <c r="B462" s="1" t="n">
        <v>43707</v>
      </c>
      <c r="C462" s="1" t="n">
        <v>45662</v>
      </c>
      <c r="D462" t="inlineStr">
        <is>
          <t>NORRBOTTENS LÄN</t>
        </is>
      </c>
      <c r="E462" t="inlineStr">
        <is>
          <t>ARJEPLOG</t>
        </is>
      </c>
      <c r="G462" t="n">
        <v>9.9</v>
      </c>
      <c r="H462" t="n">
        <v>2</v>
      </c>
      <c r="I462" t="n">
        <v>1</v>
      </c>
      <c r="J462" t="n">
        <v>0</v>
      </c>
      <c r="K462" t="n">
        <v>0</v>
      </c>
      <c r="L462" t="n">
        <v>0</v>
      </c>
      <c r="M462" t="n">
        <v>0</v>
      </c>
      <c r="N462" t="n">
        <v>0</v>
      </c>
      <c r="O462" t="n">
        <v>0</v>
      </c>
      <c r="P462" t="n">
        <v>0</v>
      </c>
      <c r="Q462" t="n">
        <v>2</v>
      </c>
      <c r="R462" s="2" t="inlineStr">
        <is>
          <t>Plattlummer
Revlummer</t>
        </is>
      </c>
      <c r="S462">
        <f>HYPERLINK("https://klasma.github.io/Logging_2506/artfynd/A 45095-2019 artfynd.xlsx", "A 45095-2019")</f>
        <v/>
      </c>
      <c r="T462">
        <f>HYPERLINK("https://klasma.github.io/Logging_2506/kartor/A 45095-2019 karta.png", "A 45095-2019")</f>
        <v/>
      </c>
      <c r="V462">
        <f>HYPERLINK("https://klasma.github.io/Logging_2506/klagomål/A 45095-2019 FSC-klagomål.docx", "A 45095-2019")</f>
        <v/>
      </c>
      <c r="W462">
        <f>HYPERLINK("https://klasma.github.io/Logging_2506/klagomålsmail/A 45095-2019 FSC-klagomål mail.docx", "A 45095-2019")</f>
        <v/>
      </c>
      <c r="X462">
        <f>HYPERLINK("https://klasma.github.io/Logging_2506/tillsyn/A 45095-2019 tillsynsbegäran.docx", "A 45095-2019")</f>
        <v/>
      </c>
      <c r="Y462">
        <f>HYPERLINK("https://klasma.github.io/Logging_2506/tillsynsmail/A 45095-2019 tillsynsbegäran mail.docx", "A 45095-2019")</f>
        <v/>
      </c>
    </row>
    <row r="463" ht="15" customHeight="1">
      <c r="A463" t="inlineStr">
        <is>
          <t>A 47756-2019</t>
        </is>
      </c>
      <c r="B463" s="1" t="n">
        <v>43724</v>
      </c>
      <c r="C463" s="1" t="n">
        <v>45662</v>
      </c>
      <c r="D463" t="inlineStr">
        <is>
          <t>NORRBOTTENS LÄN</t>
        </is>
      </c>
      <c r="E463" t="inlineStr">
        <is>
          <t>LULEÅ</t>
        </is>
      </c>
      <c r="G463" t="n">
        <v>4.8</v>
      </c>
      <c r="H463" t="n">
        <v>2</v>
      </c>
      <c r="I463" t="n">
        <v>0</v>
      </c>
      <c r="J463" t="n">
        <v>2</v>
      </c>
      <c r="K463" t="n">
        <v>0</v>
      </c>
      <c r="L463" t="n">
        <v>0</v>
      </c>
      <c r="M463" t="n">
        <v>0</v>
      </c>
      <c r="N463" t="n">
        <v>0</v>
      </c>
      <c r="O463" t="n">
        <v>2</v>
      </c>
      <c r="P463" t="n">
        <v>0</v>
      </c>
      <c r="Q463" t="n">
        <v>2</v>
      </c>
      <c r="R463" s="2" t="inlineStr">
        <is>
          <t>Rödvingetrast
Svartvit flugsnappare</t>
        </is>
      </c>
      <c r="S463">
        <f>HYPERLINK("https://klasma.github.io/Logging_2580/artfynd/A 47756-2019 artfynd.xlsx", "A 47756-2019")</f>
        <v/>
      </c>
      <c r="T463">
        <f>HYPERLINK("https://klasma.github.io/Logging_2580/kartor/A 47756-2019 karta.png", "A 47756-2019")</f>
        <v/>
      </c>
      <c r="V463">
        <f>HYPERLINK("https://klasma.github.io/Logging_2580/klagomål/A 47756-2019 FSC-klagomål.docx", "A 47756-2019")</f>
        <v/>
      </c>
      <c r="W463">
        <f>HYPERLINK("https://klasma.github.io/Logging_2580/klagomålsmail/A 47756-2019 FSC-klagomål mail.docx", "A 47756-2019")</f>
        <v/>
      </c>
      <c r="X463">
        <f>HYPERLINK("https://klasma.github.io/Logging_2580/tillsyn/A 47756-2019 tillsynsbegäran.docx", "A 47756-2019")</f>
        <v/>
      </c>
      <c r="Y463">
        <f>HYPERLINK("https://klasma.github.io/Logging_2580/tillsynsmail/A 47756-2019 tillsynsbegäran mail.docx", "A 47756-2019")</f>
        <v/>
      </c>
      <c r="Z463">
        <f>HYPERLINK("https://klasma.github.io/Logging_2580/fåglar/A 47756-2019 prioriterade fågelarter.docx", "A 47756-2019")</f>
        <v/>
      </c>
    </row>
    <row r="464" ht="15" customHeight="1">
      <c r="A464" t="inlineStr">
        <is>
          <t>A 50195-2019</t>
        </is>
      </c>
      <c r="B464" s="1" t="n">
        <v>43734</v>
      </c>
      <c r="C464" s="1" t="n">
        <v>45662</v>
      </c>
      <c r="D464" t="inlineStr">
        <is>
          <t>NORRBOTTENS LÄN</t>
        </is>
      </c>
      <c r="E464" t="inlineStr">
        <is>
          <t>PAJALA</t>
        </is>
      </c>
      <c r="F464" t="inlineStr">
        <is>
          <t>Sveaskog</t>
        </is>
      </c>
      <c r="G464" t="n">
        <v>12</v>
      </c>
      <c r="H464" t="n">
        <v>0</v>
      </c>
      <c r="I464" t="n">
        <v>0</v>
      </c>
      <c r="J464" t="n">
        <v>1</v>
      </c>
      <c r="K464" t="n">
        <v>1</v>
      </c>
      <c r="L464" t="n">
        <v>0</v>
      </c>
      <c r="M464" t="n">
        <v>0</v>
      </c>
      <c r="N464" t="n">
        <v>0</v>
      </c>
      <c r="O464" t="n">
        <v>2</v>
      </c>
      <c r="P464" t="n">
        <v>1</v>
      </c>
      <c r="Q464" t="n">
        <v>2</v>
      </c>
      <c r="R464" s="2" t="inlineStr">
        <is>
          <t>Gräddporing
Garnlav</t>
        </is>
      </c>
      <c r="S464">
        <f>HYPERLINK("https://klasma.github.io/Logging_2521/artfynd/A 50195-2019 artfynd.xlsx", "A 50195-2019")</f>
        <v/>
      </c>
      <c r="T464">
        <f>HYPERLINK("https://klasma.github.io/Logging_2521/kartor/A 50195-2019 karta.png", "A 50195-2019")</f>
        <v/>
      </c>
      <c r="V464">
        <f>HYPERLINK("https://klasma.github.io/Logging_2521/klagomål/A 50195-2019 FSC-klagomål.docx", "A 50195-2019")</f>
        <v/>
      </c>
      <c r="W464">
        <f>HYPERLINK("https://klasma.github.io/Logging_2521/klagomålsmail/A 50195-2019 FSC-klagomål mail.docx", "A 50195-2019")</f>
        <v/>
      </c>
      <c r="X464">
        <f>HYPERLINK("https://klasma.github.io/Logging_2521/tillsyn/A 50195-2019 tillsynsbegäran.docx", "A 50195-2019")</f>
        <v/>
      </c>
      <c r="Y464">
        <f>HYPERLINK("https://klasma.github.io/Logging_2521/tillsynsmail/A 50195-2019 tillsynsbegäran mail.docx", "A 50195-2019")</f>
        <v/>
      </c>
    </row>
    <row r="465" ht="15" customHeight="1">
      <c r="A465" t="inlineStr">
        <is>
          <t>A 52586-2019</t>
        </is>
      </c>
      <c r="B465" s="1" t="n">
        <v>43745</v>
      </c>
      <c r="C465" s="1" t="n">
        <v>45662</v>
      </c>
      <c r="D465" t="inlineStr">
        <is>
          <t>NORRBOTTENS LÄN</t>
        </is>
      </c>
      <c r="E465" t="inlineStr">
        <is>
          <t>BODEN</t>
        </is>
      </c>
      <c r="F465" t="inlineStr">
        <is>
          <t>SCA</t>
        </is>
      </c>
      <c r="G465" t="n">
        <v>3.5</v>
      </c>
      <c r="H465" t="n">
        <v>0</v>
      </c>
      <c r="I465" t="n">
        <v>1</v>
      </c>
      <c r="J465" t="n">
        <v>1</v>
      </c>
      <c r="K465" t="n">
        <v>0</v>
      </c>
      <c r="L465" t="n">
        <v>0</v>
      </c>
      <c r="M465" t="n">
        <v>0</v>
      </c>
      <c r="N465" t="n">
        <v>0</v>
      </c>
      <c r="O465" t="n">
        <v>1</v>
      </c>
      <c r="P465" t="n">
        <v>0</v>
      </c>
      <c r="Q465" t="n">
        <v>2</v>
      </c>
      <c r="R465" s="2" t="inlineStr">
        <is>
          <t>Äggvaxskivling
Grönpyrola</t>
        </is>
      </c>
      <c r="S465">
        <f>HYPERLINK("https://klasma.github.io/Logging_2582/artfynd/A 52586-2019 artfynd.xlsx", "A 52586-2019")</f>
        <v/>
      </c>
      <c r="T465">
        <f>HYPERLINK("https://klasma.github.io/Logging_2582/kartor/A 52586-2019 karta.png", "A 52586-2019")</f>
        <v/>
      </c>
      <c r="V465">
        <f>HYPERLINK("https://klasma.github.io/Logging_2582/klagomål/A 52586-2019 FSC-klagomål.docx", "A 52586-2019")</f>
        <v/>
      </c>
      <c r="W465">
        <f>HYPERLINK("https://klasma.github.io/Logging_2582/klagomålsmail/A 52586-2019 FSC-klagomål mail.docx", "A 52586-2019")</f>
        <v/>
      </c>
      <c r="X465">
        <f>HYPERLINK("https://klasma.github.io/Logging_2582/tillsyn/A 52586-2019 tillsynsbegäran.docx", "A 52586-2019")</f>
        <v/>
      </c>
      <c r="Y465">
        <f>HYPERLINK("https://klasma.github.io/Logging_2582/tillsynsmail/A 52586-2019 tillsynsbegäran mail.docx", "A 52586-2019")</f>
        <v/>
      </c>
    </row>
    <row r="466" ht="15" customHeight="1">
      <c r="A466" t="inlineStr">
        <is>
          <t>A 57990-2019</t>
        </is>
      </c>
      <c r="B466" s="1" t="n">
        <v>43769</v>
      </c>
      <c r="C466" s="1" t="n">
        <v>45662</v>
      </c>
      <c r="D466" t="inlineStr">
        <is>
          <t>NORRBOTTENS LÄN</t>
        </is>
      </c>
      <c r="E466" t="inlineStr">
        <is>
          <t>PAJALA</t>
        </is>
      </c>
      <c r="F466" t="inlineStr">
        <is>
          <t>Sveaskog</t>
        </is>
      </c>
      <c r="G466" t="n">
        <v>30.9</v>
      </c>
      <c r="H466" t="n">
        <v>1</v>
      </c>
      <c r="I466" t="n">
        <v>0</v>
      </c>
      <c r="J466" t="n">
        <v>1</v>
      </c>
      <c r="K466" t="n">
        <v>0</v>
      </c>
      <c r="L466" t="n">
        <v>0</v>
      </c>
      <c r="M466" t="n">
        <v>0</v>
      </c>
      <c r="N466" t="n">
        <v>0</v>
      </c>
      <c r="O466" t="n">
        <v>1</v>
      </c>
      <c r="P466" t="n">
        <v>0</v>
      </c>
      <c r="Q466" t="n">
        <v>2</v>
      </c>
      <c r="R466" s="2" t="inlineStr">
        <is>
          <t>Gammelgransskål
Fläcknycklar</t>
        </is>
      </c>
      <c r="S466">
        <f>HYPERLINK("https://klasma.github.io/Logging_2521/artfynd/A 57990-2019 artfynd.xlsx", "A 57990-2019")</f>
        <v/>
      </c>
      <c r="T466">
        <f>HYPERLINK("https://klasma.github.io/Logging_2521/kartor/A 57990-2019 karta.png", "A 57990-2019")</f>
        <v/>
      </c>
      <c r="V466">
        <f>HYPERLINK("https://klasma.github.io/Logging_2521/klagomål/A 57990-2019 FSC-klagomål.docx", "A 57990-2019")</f>
        <v/>
      </c>
      <c r="W466">
        <f>HYPERLINK("https://klasma.github.io/Logging_2521/klagomålsmail/A 57990-2019 FSC-klagomål mail.docx", "A 57990-2019")</f>
        <v/>
      </c>
      <c r="X466">
        <f>HYPERLINK("https://klasma.github.io/Logging_2521/tillsyn/A 57990-2019 tillsynsbegäran.docx", "A 57990-2019")</f>
        <v/>
      </c>
      <c r="Y466">
        <f>HYPERLINK("https://klasma.github.io/Logging_2521/tillsynsmail/A 57990-2019 tillsynsbegäran mail.docx", "A 57990-2019")</f>
        <v/>
      </c>
    </row>
    <row r="467" ht="15" customHeight="1">
      <c r="A467" t="inlineStr">
        <is>
          <t>A 59350-2019</t>
        </is>
      </c>
      <c r="B467" s="1" t="n">
        <v>43773</v>
      </c>
      <c r="C467" s="1" t="n">
        <v>45662</v>
      </c>
      <c r="D467" t="inlineStr">
        <is>
          <t>NORRBOTTENS LÄN</t>
        </is>
      </c>
      <c r="E467" t="inlineStr">
        <is>
          <t>GÄLLIVARE</t>
        </is>
      </c>
      <c r="G467" t="n">
        <v>7.7</v>
      </c>
      <c r="H467" t="n">
        <v>0</v>
      </c>
      <c r="I467" t="n">
        <v>1</v>
      </c>
      <c r="J467" t="n">
        <v>1</v>
      </c>
      <c r="K467" t="n">
        <v>0</v>
      </c>
      <c r="L467" t="n">
        <v>0</v>
      </c>
      <c r="M467" t="n">
        <v>0</v>
      </c>
      <c r="N467" t="n">
        <v>0</v>
      </c>
      <c r="O467" t="n">
        <v>1</v>
      </c>
      <c r="P467" t="n">
        <v>0</v>
      </c>
      <c r="Q467" t="n">
        <v>2</v>
      </c>
      <c r="R467" s="2" t="inlineStr">
        <is>
          <t>Garnlav
Bårdlav</t>
        </is>
      </c>
      <c r="S467">
        <f>HYPERLINK("https://klasma.github.io/Logging_2523/artfynd/A 59350-2019 artfynd.xlsx", "A 59350-2019")</f>
        <v/>
      </c>
      <c r="T467">
        <f>HYPERLINK("https://klasma.github.io/Logging_2523/kartor/A 59350-2019 karta.png", "A 59350-2019")</f>
        <v/>
      </c>
      <c r="V467">
        <f>HYPERLINK("https://klasma.github.io/Logging_2523/klagomål/A 59350-2019 FSC-klagomål.docx", "A 59350-2019")</f>
        <v/>
      </c>
      <c r="W467">
        <f>HYPERLINK("https://klasma.github.io/Logging_2523/klagomålsmail/A 59350-2019 FSC-klagomål mail.docx", "A 59350-2019")</f>
        <v/>
      </c>
      <c r="X467">
        <f>HYPERLINK("https://klasma.github.io/Logging_2523/tillsyn/A 59350-2019 tillsynsbegäran.docx", "A 59350-2019")</f>
        <v/>
      </c>
      <c r="Y467">
        <f>HYPERLINK("https://klasma.github.io/Logging_2523/tillsynsmail/A 59350-2019 tillsynsbegäran mail.docx", "A 59350-2019")</f>
        <v/>
      </c>
    </row>
    <row r="468" ht="15" customHeight="1">
      <c r="A468" t="inlineStr">
        <is>
          <t>A 61313-2019</t>
        </is>
      </c>
      <c r="B468" s="1" t="n">
        <v>43775</v>
      </c>
      <c r="C468" s="1" t="n">
        <v>45662</v>
      </c>
      <c r="D468" t="inlineStr">
        <is>
          <t>NORRBOTTENS LÄN</t>
        </is>
      </c>
      <c r="E468" t="inlineStr">
        <is>
          <t>KIRUNA</t>
        </is>
      </c>
      <c r="F468" t="inlineStr">
        <is>
          <t>Övriga statliga verk och myndigheter</t>
        </is>
      </c>
      <c r="G468" t="n">
        <v>28.7</v>
      </c>
      <c r="H468" t="n">
        <v>2</v>
      </c>
      <c r="I468" t="n">
        <v>0</v>
      </c>
      <c r="J468" t="n">
        <v>0</v>
      </c>
      <c r="K468" t="n">
        <v>1</v>
      </c>
      <c r="L468" t="n">
        <v>0</v>
      </c>
      <c r="M468" t="n">
        <v>0</v>
      </c>
      <c r="N468" t="n">
        <v>0</v>
      </c>
      <c r="O468" t="n">
        <v>1</v>
      </c>
      <c r="P468" t="n">
        <v>1</v>
      </c>
      <c r="Q468" t="n">
        <v>2</v>
      </c>
      <c r="R468" s="2" t="inlineStr">
        <is>
          <t>Norna
Lavskrika</t>
        </is>
      </c>
      <c r="S468">
        <f>HYPERLINK("https://klasma.github.io/Logging_2584/artfynd/A 61313-2019 artfynd.xlsx", "A 61313-2019")</f>
        <v/>
      </c>
      <c r="T468">
        <f>HYPERLINK("https://klasma.github.io/Logging_2584/kartor/A 61313-2019 karta.png", "A 61313-2019")</f>
        <v/>
      </c>
      <c r="V468">
        <f>HYPERLINK("https://klasma.github.io/Logging_2584/klagomål/A 61313-2019 FSC-klagomål.docx", "A 61313-2019")</f>
        <v/>
      </c>
      <c r="W468">
        <f>HYPERLINK("https://klasma.github.io/Logging_2584/klagomålsmail/A 61313-2019 FSC-klagomål mail.docx", "A 61313-2019")</f>
        <v/>
      </c>
      <c r="X468">
        <f>HYPERLINK("https://klasma.github.io/Logging_2584/tillsyn/A 61313-2019 tillsynsbegäran.docx", "A 61313-2019")</f>
        <v/>
      </c>
      <c r="Y468">
        <f>HYPERLINK("https://klasma.github.io/Logging_2584/tillsynsmail/A 61313-2019 tillsynsbegäran mail.docx", "A 61313-2019")</f>
        <v/>
      </c>
      <c r="Z468">
        <f>HYPERLINK("https://klasma.github.io/Logging_2584/fåglar/A 61313-2019 prioriterade fågelarter.docx", "A 61313-2019")</f>
        <v/>
      </c>
    </row>
    <row r="469" ht="15" customHeight="1">
      <c r="A469" t="inlineStr">
        <is>
          <t>A 60777-2019</t>
        </is>
      </c>
      <c r="B469" s="1" t="n">
        <v>43777</v>
      </c>
      <c r="C469" s="1" t="n">
        <v>45662</v>
      </c>
      <c r="D469" t="inlineStr">
        <is>
          <t>NORRBOTTENS LÄN</t>
        </is>
      </c>
      <c r="E469" t="inlineStr">
        <is>
          <t>KIRUNA</t>
        </is>
      </c>
      <c r="G469" t="n">
        <v>4.9</v>
      </c>
      <c r="H469" t="n">
        <v>0</v>
      </c>
      <c r="I469" t="n">
        <v>0</v>
      </c>
      <c r="J469" t="n">
        <v>2</v>
      </c>
      <c r="K469" t="n">
        <v>0</v>
      </c>
      <c r="L469" t="n">
        <v>0</v>
      </c>
      <c r="M469" t="n">
        <v>0</v>
      </c>
      <c r="N469" t="n">
        <v>0</v>
      </c>
      <c r="O469" t="n">
        <v>2</v>
      </c>
      <c r="P469" t="n">
        <v>0</v>
      </c>
      <c r="Q469" t="n">
        <v>2</v>
      </c>
      <c r="R469" s="2" t="inlineStr">
        <is>
          <t>Granticka
Ullticka</t>
        </is>
      </c>
      <c r="S469">
        <f>HYPERLINK("https://klasma.github.io/Logging_2584/artfynd/A 60777-2019 artfynd.xlsx", "A 60777-2019")</f>
        <v/>
      </c>
      <c r="T469">
        <f>HYPERLINK("https://klasma.github.io/Logging_2584/kartor/A 60777-2019 karta.png", "A 60777-2019")</f>
        <v/>
      </c>
      <c r="V469">
        <f>HYPERLINK("https://klasma.github.io/Logging_2584/klagomål/A 60777-2019 FSC-klagomål.docx", "A 60777-2019")</f>
        <v/>
      </c>
      <c r="W469">
        <f>HYPERLINK("https://klasma.github.io/Logging_2584/klagomålsmail/A 60777-2019 FSC-klagomål mail.docx", "A 60777-2019")</f>
        <v/>
      </c>
      <c r="X469">
        <f>HYPERLINK("https://klasma.github.io/Logging_2584/tillsyn/A 60777-2019 tillsynsbegäran.docx", "A 60777-2019")</f>
        <v/>
      </c>
      <c r="Y469">
        <f>HYPERLINK("https://klasma.github.io/Logging_2584/tillsynsmail/A 60777-2019 tillsynsbegäran mail.docx", "A 60777-2019")</f>
        <v/>
      </c>
    </row>
    <row r="470" ht="15" customHeight="1">
      <c r="A470" t="inlineStr">
        <is>
          <t>A 63693-2019</t>
        </is>
      </c>
      <c r="B470" s="1" t="n">
        <v>43789</v>
      </c>
      <c r="C470" s="1" t="n">
        <v>45662</v>
      </c>
      <c r="D470" t="inlineStr">
        <is>
          <t>NORRBOTTENS LÄN</t>
        </is>
      </c>
      <c r="E470" t="inlineStr">
        <is>
          <t>ÖVERKALIX</t>
        </is>
      </c>
      <c r="F470" t="inlineStr">
        <is>
          <t>SCA</t>
        </is>
      </c>
      <c r="G470" t="n">
        <v>10</v>
      </c>
      <c r="H470" t="n">
        <v>2</v>
      </c>
      <c r="I470" t="n">
        <v>0</v>
      </c>
      <c r="J470" t="n">
        <v>0</v>
      </c>
      <c r="K470" t="n">
        <v>2</v>
      </c>
      <c r="L470" t="n">
        <v>0</v>
      </c>
      <c r="M470" t="n">
        <v>0</v>
      </c>
      <c r="N470" t="n">
        <v>0</v>
      </c>
      <c r="O470" t="n">
        <v>2</v>
      </c>
      <c r="P470" t="n">
        <v>2</v>
      </c>
      <c r="Q470" t="n">
        <v>2</v>
      </c>
      <c r="R470" s="2" t="inlineStr">
        <is>
          <t>Doftticka
Knärot</t>
        </is>
      </c>
      <c r="S470">
        <f>HYPERLINK("https://klasma.github.io/Logging_2513/artfynd/A 63693-2019 artfynd.xlsx", "A 63693-2019")</f>
        <v/>
      </c>
      <c r="T470">
        <f>HYPERLINK("https://klasma.github.io/Logging_2513/kartor/A 63693-2019 karta.png", "A 63693-2019")</f>
        <v/>
      </c>
      <c r="U470">
        <f>HYPERLINK("https://klasma.github.io/Logging_2513/knärot/A 63693-2019 karta knärot.png", "A 63693-2019")</f>
        <v/>
      </c>
      <c r="V470">
        <f>HYPERLINK("https://klasma.github.io/Logging_2513/klagomål/A 63693-2019 FSC-klagomål.docx", "A 63693-2019")</f>
        <v/>
      </c>
      <c r="W470">
        <f>HYPERLINK("https://klasma.github.io/Logging_2513/klagomålsmail/A 63693-2019 FSC-klagomål mail.docx", "A 63693-2019")</f>
        <v/>
      </c>
      <c r="X470">
        <f>HYPERLINK("https://klasma.github.io/Logging_2513/tillsyn/A 63693-2019 tillsynsbegäran.docx", "A 63693-2019")</f>
        <v/>
      </c>
      <c r="Y470">
        <f>HYPERLINK("https://klasma.github.io/Logging_2513/tillsynsmail/A 63693-2019 tillsynsbegäran mail.docx", "A 63693-2019")</f>
        <v/>
      </c>
    </row>
    <row r="471" ht="15" customHeight="1">
      <c r="A471" t="inlineStr">
        <is>
          <t>A 66423-2019</t>
        </is>
      </c>
      <c r="B471" s="1" t="n">
        <v>43802</v>
      </c>
      <c r="C471" s="1" t="n">
        <v>45662</v>
      </c>
      <c r="D471" t="inlineStr">
        <is>
          <t>NORRBOTTENS LÄN</t>
        </is>
      </c>
      <c r="E471" t="inlineStr">
        <is>
          <t>PITEÅ</t>
        </is>
      </c>
      <c r="G471" t="n">
        <v>4.8</v>
      </c>
      <c r="H471" t="n">
        <v>1</v>
      </c>
      <c r="I471" t="n">
        <v>0</v>
      </c>
      <c r="J471" t="n">
        <v>2</v>
      </c>
      <c r="K471" t="n">
        <v>0</v>
      </c>
      <c r="L471" t="n">
        <v>0</v>
      </c>
      <c r="M471" t="n">
        <v>0</v>
      </c>
      <c r="N471" t="n">
        <v>0</v>
      </c>
      <c r="O471" t="n">
        <v>2</v>
      </c>
      <c r="P471" t="n">
        <v>0</v>
      </c>
      <c r="Q471" t="n">
        <v>2</v>
      </c>
      <c r="R471" s="2" t="inlineStr">
        <is>
          <t>Spillkråka
Tallticka</t>
        </is>
      </c>
      <c r="S471">
        <f>HYPERLINK("https://klasma.github.io/Logging_2581/artfynd/A 66423-2019 artfynd.xlsx", "A 66423-2019")</f>
        <v/>
      </c>
      <c r="T471">
        <f>HYPERLINK("https://klasma.github.io/Logging_2581/kartor/A 66423-2019 karta.png", "A 66423-2019")</f>
        <v/>
      </c>
      <c r="V471">
        <f>HYPERLINK("https://klasma.github.io/Logging_2581/klagomål/A 66423-2019 FSC-klagomål.docx", "A 66423-2019")</f>
        <v/>
      </c>
      <c r="W471">
        <f>HYPERLINK("https://klasma.github.io/Logging_2581/klagomålsmail/A 66423-2019 FSC-klagomål mail.docx", "A 66423-2019")</f>
        <v/>
      </c>
      <c r="X471">
        <f>HYPERLINK("https://klasma.github.io/Logging_2581/tillsyn/A 66423-2019 tillsynsbegäran.docx", "A 66423-2019")</f>
        <v/>
      </c>
      <c r="Y471">
        <f>HYPERLINK("https://klasma.github.io/Logging_2581/tillsynsmail/A 66423-2019 tillsynsbegäran mail.docx", "A 66423-2019")</f>
        <v/>
      </c>
      <c r="Z471">
        <f>HYPERLINK("https://klasma.github.io/Logging_2581/fåglar/A 66423-2019 prioriterade fågelarter.docx", "A 66423-2019")</f>
        <v/>
      </c>
    </row>
    <row r="472" ht="15" customHeight="1">
      <c r="A472" t="inlineStr">
        <is>
          <t>A 8612-2020</t>
        </is>
      </c>
      <c r="B472" s="1" t="n">
        <v>43875</v>
      </c>
      <c r="C472" s="1" t="n">
        <v>45662</v>
      </c>
      <c r="D472" t="inlineStr">
        <is>
          <t>NORRBOTTENS LÄN</t>
        </is>
      </c>
      <c r="E472" t="inlineStr">
        <is>
          <t>ÄLVSBYN</t>
        </is>
      </c>
      <c r="G472" t="n">
        <v>1</v>
      </c>
      <c r="H472" t="n">
        <v>0</v>
      </c>
      <c r="I472" t="n">
        <v>0</v>
      </c>
      <c r="J472" t="n">
        <v>0</v>
      </c>
      <c r="K472" t="n">
        <v>2</v>
      </c>
      <c r="L472" t="n">
        <v>0</v>
      </c>
      <c r="M472" t="n">
        <v>0</v>
      </c>
      <c r="N472" t="n">
        <v>0</v>
      </c>
      <c r="O472" t="n">
        <v>2</v>
      </c>
      <c r="P472" t="n">
        <v>2</v>
      </c>
      <c r="Q472" t="n">
        <v>2</v>
      </c>
      <c r="R472" s="2" t="inlineStr">
        <is>
          <t>Rotfingersvamp
Smalfotad taggsvamp</t>
        </is>
      </c>
      <c r="S472">
        <f>HYPERLINK("https://klasma.github.io/Logging_2560/artfynd/A 8612-2020 artfynd.xlsx", "A 8612-2020")</f>
        <v/>
      </c>
      <c r="T472">
        <f>HYPERLINK("https://klasma.github.io/Logging_2560/kartor/A 8612-2020 karta.png", "A 8612-2020")</f>
        <v/>
      </c>
      <c r="V472">
        <f>HYPERLINK("https://klasma.github.io/Logging_2560/klagomål/A 8612-2020 FSC-klagomål.docx", "A 8612-2020")</f>
        <v/>
      </c>
      <c r="W472">
        <f>HYPERLINK("https://klasma.github.io/Logging_2560/klagomålsmail/A 8612-2020 FSC-klagomål mail.docx", "A 8612-2020")</f>
        <v/>
      </c>
      <c r="X472">
        <f>HYPERLINK("https://klasma.github.io/Logging_2560/tillsyn/A 8612-2020 tillsynsbegäran.docx", "A 8612-2020")</f>
        <v/>
      </c>
      <c r="Y472">
        <f>HYPERLINK("https://klasma.github.io/Logging_2560/tillsynsmail/A 8612-2020 tillsynsbegäran mail.docx", "A 8612-2020")</f>
        <v/>
      </c>
    </row>
    <row r="473" ht="15" customHeight="1">
      <c r="A473" t="inlineStr">
        <is>
          <t>A 13143-2020</t>
        </is>
      </c>
      <c r="B473" s="1" t="n">
        <v>43901</v>
      </c>
      <c r="C473" s="1" t="n">
        <v>45662</v>
      </c>
      <c r="D473" t="inlineStr">
        <is>
          <t>NORRBOTTENS LÄN</t>
        </is>
      </c>
      <c r="E473" t="inlineStr">
        <is>
          <t>ÖVERKALIX</t>
        </is>
      </c>
      <c r="F473" t="inlineStr">
        <is>
          <t>Sveaskog</t>
        </is>
      </c>
      <c r="G473" t="n">
        <v>40.5</v>
      </c>
      <c r="H473" t="n">
        <v>0</v>
      </c>
      <c r="I473" t="n">
        <v>0</v>
      </c>
      <c r="J473" t="n">
        <v>2</v>
      </c>
      <c r="K473" t="n">
        <v>0</v>
      </c>
      <c r="L473" t="n">
        <v>0</v>
      </c>
      <c r="M473" t="n">
        <v>0</v>
      </c>
      <c r="N473" t="n">
        <v>0</v>
      </c>
      <c r="O473" t="n">
        <v>2</v>
      </c>
      <c r="P473" t="n">
        <v>0</v>
      </c>
      <c r="Q473" t="n">
        <v>2</v>
      </c>
      <c r="R473" s="2" t="inlineStr">
        <is>
          <t>Gammelgransskål
Tallticka</t>
        </is>
      </c>
      <c r="S473">
        <f>HYPERLINK("https://klasma.github.io/Logging_2513/artfynd/A 13143-2020 artfynd.xlsx", "A 13143-2020")</f>
        <v/>
      </c>
      <c r="T473">
        <f>HYPERLINK("https://klasma.github.io/Logging_2513/kartor/A 13143-2020 karta.png", "A 13143-2020")</f>
        <v/>
      </c>
      <c r="V473">
        <f>HYPERLINK("https://klasma.github.io/Logging_2513/klagomål/A 13143-2020 FSC-klagomål.docx", "A 13143-2020")</f>
        <v/>
      </c>
      <c r="W473">
        <f>HYPERLINK("https://klasma.github.io/Logging_2513/klagomålsmail/A 13143-2020 FSC-klagomål mail.docx", "A 13143-2020")</f>
        <v/>
      </c>
      <c r="X473">
        <f>HYPERLINK("https://klasma.github.io/Logging_2513/tillsyn/A 13143-2020 tillsynsbegäran.docx", "A 13143-2020")</f>
        <v/>
      </c>
      <c r="Y473">
        <f>HYPERLINK("https://klasma.github.io/Logging_2513/tillsynsmail/A 13143-2020 tillsynsbegäran mail.docx", "A 13143-2020")</f>
        <v/>
      </c>
    </row>
    <row r="474" ht="15" customHeight="1">
      <c r="A474" t="inlineStr">
        <is>
          <t>A 13142-2020</t>
        </is>
      </c>
      <c r="B474" s="1" t="n">
        <v>43901</v>
      </c>
      <c r="C474" s="1" t="n">
        <v>45662</v>
      </c>
      <c r="D474" t="inlineStr">
        <is>
          <t>NORRBOTTENS LÄN</t>
        </is>
      </c>
      <c r="E474" t="inlineStr">
        <is>
          <t>ÖVERKALIX</t>
        </is>
      </c>
      <c r="F474" t="inlineStr">
        <is>
          <t>Sveaskog</t>
        </is>
      </c>
      <c r="G474" t="n">
        <v>73.7</v>
      </c>
      <c r="H474" t="n">
        <v>0</v>
      </c>
      <c r="I474" t="n">
        <v>1</v>
      </c>
      <c r="J474" t="n">
        <v>1</v>
      </c>
      <c r="K474" t="n">
        <v>0</v>
      </c>
      <c r="L474" t="n">
        <v>0</v>
      </c>
      <c r="M474" t="n">
        <v>0</v>
      </c>
      <c r="N474" t="n">
        <v>0</v>
      </c>
      <c r="O474" t="n">
        <v>1</v>
      </c>
      <c r="P474" t="n">
        <v>0</v>
      </c>
      <c r="Q474" t="n">
        <v>2</v>
      </c>
      <c r="R474" s="2" t="inlineStr">
        <is>
          <t>Violmussling
Ögonpyrola</t>
        </is>
      </c>
      <c r="S474">
        <f>HYPERLINK("https://klasma.github.io/Logging_2513/artfynd/A 13142-2020 artfynd.xlsx", "A 13142-2020")</f>
        <v/>
      </c>
      <c r="T474">
        <f>HYPERLINK("https://klasma.github.io/Logging_2513/kartor/A 13142-2020 karta.png", "A 13142-2020")</f>
        <v/>
      </c>
      <c r="V474">
        <f>HYPERLINK("https://klasma.github.io/Logging_2513/klagomål/A 13142-2020 FSC-klagomål.docx", "A 13142-2020")</f>
        <v/>
      </c>
      <c r="W474">
        <f>HYPERLINK("https://klasma.github.io/Logging_2513/klagomålsmail/A 13142-2020 FSC-klagomål mail.docx", "A 13142-2020")</f>
        <v/>
      </c>
      <c r="X474">
        <f>HYPERLINK("https://klasma.github.io/Logging_2513/tillsyn/A 13142-2020 tillsynsbegäran.docx", "A 13142-2020")</f>
        <v/>
      </c>
      <c r="Y474">
        <f>HYPERLINK("https://klasma.github.io/Logging_2513/tillsynsmail/A 13142-2020 tillsynsbegäran mail.docx", "A 13142-2020")</f>
        <v/>
      </c>
    </row>
    <row r="475" ht="15" customHeight="1">
      <c r="A475" t="inlineStr">
        <is>
          <t>A 21544-2020</t>
        </is>
      </c>
      <c r="B475" s="1" t="n">
        <v>43945</v>
      </c>
      <c r="C475" s="1" t="n">
        <v>45662</v>
      </c>
      <c r="D475" t="inlineStr">
        <is>
          <t>NORRBOTTENS LÄN</t>
        </is>
      </c>
      <c r="E475" t="inlineStr">
        <is>
          <t>ÖVERKALIX</t>
        </is>
      </c>
      <c r="G475" t="n">
        <v>23.7</v>
      </c>
      <c r="H475" t="n">
        <v>0</v>
      </c>
      <c r="I475" t="n">
        <v>1</v>
      </c>
      <c r="J475" t="n">
        <v>1</v>
      </c>
      <c r="K475" t="n">
        <v>0</v>
      </c>
      <c r="L475" t="n">
        <v>0</v>
      </c>
      <c r="M475" t="n">
        <v>0</v>
      </c>
      <c r="N475" t="n">
        <v>0</v>
      </c>
      <c r="O475" t="n">
        <v>1</v>
      </c>
      <c r="P475" t="n">
        <v>0</v>
      </c>
      <c r="Q475" t="n">
        <v>2</v>
      </c>
      <c r="R475" s="2" t="inlineStr">
        <is>
          <t>Granticka
Stuplav</t>
        </is>
      </c>
      <c r="S475">
        <f>HYPERLINK("https://klasma.github.io/Logging_2513/artfynd/A 21544-2020 artfynd.xlsx", "A 21544-2020")</f>
        <v/>
      </c>
      <c r="T475">
        <f>HYPERLINK("https://klasma.github.io/Logging_2513/kartor/A 21544-2020 karta.png", "A 21544-2020")</f>
        <v/>
      </c>
      <c r="V475">
        <f>HYPERLINK("https://klasma.github.io/Logging_2513/klagomål/A 21544-2020 FSC-klagomål.docx", "A 21544-2020")</f>
        <v/>
      </c>
      <c r="W475">
        <f>HYPERLINK("https://klasma.github.io/Logging_2513/klagomålsmail/A 21544-2020 FSC-klagomål mail.docx", "A 21544-2020")</f>
        <v/>
      </c>
      <c r="X475">
        <f>HYPERLINK("https://klasma.github.io/Logging_2513/tillsyn/A 21544-2020 tillsynsbegäran.docx", "A 21544-2020")</f>
        <v/>
      </c>
      <c r="Y475">
        <f>HYPERLINK("https://klasma.github.io/Logging_2513/tillsynsmail/A 21544-2020 tillsynsbegäran mail.docx", "A 21544-2020")</f>
        <v/>
      </c>
    </row>
    <row r="476" ht="15" customHeight="1">
      <c r="A476" t="inlineStr">
        <is>
          <t>A 23103-2020</t>
        </is>
      </c>
      <c r="B476" s="1" t="n">
        <v>43965</v>
      </c>
      <c r="C476" s="1" t="n">
        <v>45662</v>
      </c>
      <c r="D476" t="inlineStr">
        <is>
          <t>NORRBOTTENS LÄN</t>
        </is>
      </c>
      <c r="E476" t="inlineStr">
        <is>
          <t>BODEN</t>
        </is>
      </c>
      <c r="F476" t="inlineStr">
        <is>
          <t>Sveaskog</t>
        </is>
      </c>
      <c r="G476" t="n">
        <v>4.2</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23103-2020 artfynd.xlsx", "A 23103-2020")</f>
        <v/>
      </c>
      <c r="T476">
        <f>HYPERLINK("https://klasma.github.io/Logging_2582/kartor/A 23103-2020 karta.png", "A 23103-2020")</f>
        <v/>
      </c>
      <c r="V476">
        <f>HYPERLINK("https://klasma.github.io/Logging_2582/klagomål/A 23103-2020 FSC-klagomål.docx", "A 23103-2020")</f>
        <v/>
      </c>
      <c r="W476">
        <f>HYPERLINK("https://klasma.github.io/Logging_2582/klagomålsmail/A 23103-2020 FSC-klagomål mail.docx", "A 23103-2020")</f>
        <v/>
      </c>
      <c r="X476">
        <f>HYPERLINK("https://klasma.github.io/Logging_2582/tillsyn/A 23103-2020 tillsynsbegäran.docx", "A 23103-2020")</f>
        <v/>
      </c>
      <c r="Y476">
        <f>HYPERLINK("https://klasma.github.io/Logging_2582/tillsynsmail/A 23103-2020 tillsynsbegäran mail.docx", "A 23103-2020")</f>
        <v/>
      </c>
    </row>
    <row r="477" ht="15" customHeight="1">
      <c r="A477" t="inlineStr">
        <is>
          <t>A 33033-2020</t>
        </is>
      </c>
      <c r="B477" s="1" t="n">
        <v>44021</v>
      </c>
      <c r="C477" s="1" t="n">
        <v>45662</v>
      </c>
      <c r="D477" t="inlineStr">
        <is>
          <t>NORRBOTTENS LÄN</t>
        </is>
      </c>
      <c r="E477" t="inlineStr">
        <is>
          <t>PAJALA</t>
        </is>
      </c>
      <c r="F477" t="inlineStr">
        <is>
          <t>Sveaskog</t>
        </is>
      </c>
      <c r="G477" t="n">
        <v>18</v>
      </c>
      <c r="H477" t="n">
        <v>0</v>
      </c>
      <c r="I477" t="n">
        <v>1</v>
      </c>
      <c r="J477" t="n">
        <v>1</v>
      </c>
      <c r="K477" t="n">
        <v>0</v>
      </c>
      <c r="L477" t="n">
        <v>0</v>
      </c>
      <c r="M477" t="n">
        <v>0</v>
      </c>
      <c r="N477" t="n">
        <v>0</v>
      </c>
      <c r="O477" t="n">
        <v>1</v>
      </c>
      <c r="P477" t="n">
        <v>0</v>
      </c>
      <c r="Q477" t="n">
        <v>2</v>
      </c>
      <c r="R477" s="2" t="inlineStr">
        <is>
          <t>Vitplätt
Vedticka</t>
        </is>
      </c>
      <c r="S477">
        <f>HYPERLINK("https://klasma.github.io/Logging_2521/artfynd/A 33033-2020 artfynd.xlsx", "A 33033-2020")</f>
        <v/>
      </c>
      <c r="T477">
        <f>HYPERLINK("https://klasma.github.io/Logging_2521/kartor/A 33033-2020 karta.png", "A 33033-2020")</f>
        <v/>
      </c>
      <c r="V477">
        <f>HYPERLINK("https://klasma.github.io/Logging_2521/klagomål/A 33033-2020 FSC-klagomål.docx", "A 33033-2020")</f>
        <v/>
      </c>
      <c r="W477">
        <f>HYPERLINK("https://klasma.github.io/Logging_2521/klagomålsmail/A 33033-2020 FSC-klagomål mail.docx", "A 33033-2020")</f>
        <v/>
      </c>
      <c r="X477">
        <f>HYPERLINK("https://klasma.github.io/Logging_2521/tillsyn/A 33033-2020 tillsynsbegäran.docx", "A 33033-2020")</f>
        <v/>
      </c>
      <c r="Y477">
        <f>HYPERLINK("https://klasma.github.io/Logging_2521/tillsynsmail/A 33033-2020 tillsynsbegäran mail.docx", "A 33033-2020")</f>
        <v/>
      </c>
    </row>
    <row r="478" ht="15" customHeight="1">
      <c r="A478" t="inlineStr">
        <is>
          <t>A 36956-2020</t>
        </is>
      </c>
      <c r="B478" s="1" t="n">
        <v>44053</v>
      </c>
      <c r="C478" s="1" t="n">
        <v>45662</v>
      </c>
      <c r="D478" t="inlineStr">
        <is>
          <t>NORRBOTTENS LÄN</t>
        </is>
      </c>
      <c r="E478" t="inlineStr">
        <is>
          <t>PITEÅ</t>
        </is>
      </c>
      <c r="F478" t="inlineStr">
        <is>
          <t>SCA</t>
        </is>
      </c>
      <c r="G478" t="n">
        <v>3.1</v>
      </c>
      <c r="H478" t="n">
        <v>2</v>
      </c>
      <c r="I478" t="n">
        <v>0</v>
      </c>
      <c r="J478" t="n">
        <v>1</v>
      </c>
      <c r="K478" t="n">
        <v>0</v>
      </c>
      <c r="L478" t="n">
        <v>0</v>
      </c>
      <c r="M478" t="n">
        <v>0</v>
      </c>
      <c r="N478" t="n">
        <v>0</v>
      </c>
      <c r="O478" t="n">
        <v>1</v>
      </c>
      <c r="P478" t="n">
        <v>0</v>
      </c>
      <c r="Q478" t="n">
        <v>2</v>
      </c>
      <c r="R478" s="2" t="inlineStr">
        <is>
          <t>Spillkråka
Revlummer</t>
        </is>
      </c>
      <c r="S478">
        <f>HYPERLINK("https://klasma.github.io/Logging_2581/artfynd/A 36956-2020 artfynd.xlsx", "A 36956-2020")</f>
        <v/>
      </c>
      <c r="T478">
        <f>HYPERLINK("https://klasma.github.io/Logging_2581/kartor/A 36956-2020 karta.png", "A 36956-2020")</f>
        <v/>
      </c>
      <c r="V478">
        <f>HYPERLINK("https://klasma.github.io/Logging_2581/klagomål/A 36956-2020 FSC-klagomål.docx", "A 36956-2020")</f>
        <v/>
      </c>
      <c r="W478">
        <f>HYPERLINK("https://klasma.github.io/Logging_2581/klagomålsmail/A 36956-2020 FSC-klagomål mail.docx", "A 36956-2020")</f>
        <v/>
      </c>
      <c r="X478">
        <f>HYPERLINK("https://klasma.github.io/Logging_2581/tillsyn/A 36956-2020 tillsynsbegäran.docx", "A 36956-2020")</f>
        <v/>
      </c>
      <c r="Y478">
        <f>HYPERLINK("https://klasma.github.io/Logging_2581/tillsynsmail/A 36956-2020 tillsynsbegäran mail.docx", "A 36956-2020")</f>
        <v/>
      </c>
      <c r="Z478">
        <f>HYPERLINK("https://klasma.github.io/Logging_2581/fåglar/A 36956-2020 prioriterade fågelarter.docx", "A 36956-2020")</f>
        <v/>
      </c>
    </row>
    <row r="479" ht="15" customHeight="1">
      <c r="A479" t="inlineStr">
        <is>
          <t>A 39595-2020</t>
        </is>
      </c>
      <c r="B479" s="1" t="n">
        <v>44064</v>
      </c>
      <c r="C479" s="1" t="n">
        <v>45662</v>
      </c>
      <c r="D479" t="inlineStr">
        <is>
          <t>NORRBOTTENS LÄN</t>
        </is>
      </c>
      <c r="E479" t="inlineStr">
        <is>
          <t>BODEN</t>
        </is>
      </c>
      <c r="F479" t="inlineStr">
        <is>
          <t>Sveaskog</t>
        </is>
      </c>
      <c r="G479" t="n">
        <v>7</v>
      </c>
      <c r="H479" t="n">
        <v>1</v>
      </c>
      <c r="I479" t="n">
        <v>0</v>
      </c>
      <c r="J479" t="n">
        <v>1</v>
      </c>
      <c r="K479" t="n">
        <v>1</v>
      </c>
      <c r="L479" t="n">
        <v>0</v>
      </c>
      <c r="M479" t="n">
        <v>0</v>
      </c>
      <c r="N479" t="n">
        <v>0</v>
      </c>
      <c r="O479" t="n">
        <v>2</v>
      </c>
      <c r="P479" t="n">
        <v>1</v>
      </c>
      <c r="Q479" t="n">
        <v>2</v>
      </c>
      <c r="R479" s="2" t="inlineStr">
        <is>
          <t>Knärot
Vedskivlav</t>
        </is>
      </c>
      <c r="S479">
        <f>HYPERLINK("https://klasma.github.io/Logging_2582/artfynd/A 39595-2020 artfynd.xlsx", "A 39595-2020")</f>
        <v/>
      </c>
      <c r="T479">
        <f>HYPERLINK("https://klasma.github.io/Logging_2582/kartor/A 39595-2020 karta.png", "A 39595-2020")</f>
        <v/>
      </c>
      <c r="U479">
        <f>HYPERLINK("https://klasma.github.io/Logging_2582/knärot/A 39595-2020 karta knärot.png", "A 39595-2020")</f>
        <v/>
      </c>
      <c r="V479">
        <f>HYPERLINK("https://klasma.github.io/Logging_2582/klagomål/A 39595-2020 FSC-klagomål.docx", "A 39595-2020")</f>
        <v/>
      </c>
      <c r="W479">
        <f>HYPERLINK("https://klasma.github.io/Logging_2582/klagomålsmail/A 39595-2020 FSC-klagomål mail.docx", "A 39595-2020")</f>
        <v/>
      </c>
      <c r="X479">
        <f>HYPERLINK("https://klasma.github.io/Logging_2582/tillsyn/A 39595-2020 tillsynsbegäran.docx", "A 39595-2020")</f>
        <v/>
      </c>
      <c r="Y479">
        <f>HYPERLINK("https://klasma.github.io/Logging_2582/tillsynsmail/A 39595-2020 tillsynsbegäran mail.docx", "A 39595-2020")</f>
        <v/>
      </c>
    </row>
    <row r="480" ht="15" customHeight="1">
      <c r="A480" t="inlineStr">
        <is>
          <t>A 42855-2020</t>
        </is>
      </c>
      <c r="B480" s="1" t="n">
        <v>44078</v>
      </c>
      <c r="C480" s="1" t="n">
        <v>45662</v>
      </c>
      <c r="D480" t="inlineStr">
        <is>
          <t>NORRBOTTENS LÄN</t>
        </is>
      </c>
      <c r="E480" t="inlineStr">
        <is>
          <t>PAJALA</t>
        </is>
      </c>
      <c r="F480" t="inlineStr">
        <is>
          <t>Sveaskog</t>
        </is>
      </c>
      <c r="G480" t="n">
        <v>2.9</v>
      </c>
      <c r="H480" t="n">
        <v>0</v>
      </c>
      <c r="I480" t="n">
        <v>2</v>
      </c>
      <c r="J480" t="n">
        <v>0</v>
      </c>
      <c r="K480" t="n">
        <v>0</v>
      </c>
      <c r="L480" t="n">
        <v>0</v>
      </c>
      <c r="M480" t="n">
        <v>0</v>
      </c>
      <c r="N480" t="n">
        <v>0</v>
      </c>
      <c r="O480" t="n">
        <v>0</v>
      </c>
      <c r="P480" t="n">
        <v>0</v>
      </c>
      <c r="Q480" t="n">
        <v>2</v>
      </c>
      <c r="R480" s="2" t="inlineStr">
        <is>
          <t>Bårdlav
Stuplav</t>
        </is>
      </c>
      <c r="S480">
        <f>HYPERLINK("https://klasma.github.io/Logging_2521/artfynd/A 42855-2020 artfynd.xlsx", "A 42855-2020")</f>
        <v/>
      </c>
      <c r="T480">
        <f>HYPERLINK("https://klasma.github.io/Logging_2521/kartor/A 42855-2020 karta.png", "A 42855-2020")</f>
        <v/>
      </c>
      <c r="V480">
        <f>HYPERLINK("https://klasma.github.io/Logging_2521/klagomål/A 42855-2020 FSC-klagomål.docx", "A 42855-2020")</f>
        <v/>
      </c>
      <c r="W480">
        <f>HYPERLINK("https://klasma.github.io/Logging_2521/klagomålsmail/A 42855-2020 FSC-klagomål mail.docx", "A 42855-2020")</f>
        <v/>
      </c>
      <c r="X480">
        <f>HYPERLINK("https://klasma.github.io/Logging_2521/tillsyn/A 42855-2020 tillsynsbegäran.docx", "A 42855-2020")</f>
        <v/>
      </c>
      <c r="Y480">
        <f>HYPERLINK("https://klasma.github.io/Logging_2521/tillsynsmail/A 42855-2020 tillsynsbegäran mail.docx", "A 42855-2020")</f>
        <v/>
      </c>
    </row>
    <row r="481" ht="15" customHeight="1">
      <c r="A481" t="inlineStr">
        <is>
          <t>A 43635-2020</t>
        </is>
      </c>
      <c r="B481" s="1" t="n">
        <v>44082</v>
      </c>
      <c r="C481" s="1" t="n">
        <v>45662</v>
      </c>
      <c r="D481" t="inlineStr">
        <is>
          <t>NORRBOTTENS LÄN</t>
        </is>
      </c>
      <c r="E481" t="inlineStr">
        <is>
          <t>BODEN</t>
        </is>
      </c>
      <c r="F481" t="inlineStr">
        <is>
          <t>Sveaskog</t>
        </is>
      </c>
      <c r="G481" t="n">
        <v>1.7</v>
      </c>
      <c r="H481" t="n">
        <v>0</v>
      </c>
      <c r="I481" t="n">
        <v>0</v>
      </c>
      <c r="J481" t="n">
        <v>2</v>
      </c>
      <c r="K481" t="n">
        <v>0</v>
      </c>
      <c r="L481" t="n">
        <v>0</v>
      </c>
      <c r="M481" t="n">
        <v>0</v>
      </c>
      <c r="N481" t="n">
        <v>0</v>
      </c>
      <c r="O481" t="n">
        <v>2</v>
      </c>
      <c r="P481" t="n">
        <v>0</v>
      </c>
      <c r="Q481" t="n">
        <v>2</v>
      </c>
      <c r="R481" s="2" t="inlineStr">
        <is>
          <t>Mörk kolflarnlav
Vedskivlav</t>
        </is>
      </c>
      <c r="S481">
        <f>HYPERLINK("https://klasma.github.io/Logging_2582/artfynd/A 43635-2020 artfynd.xlsx", "A 43635-2020")</f>
        <v/>
      </c>
      <c r="T481">
        <f>HYPERLINK("https://klasma.github.io/Logging_2582/kartor/A 43635-2020 karta.png", "A 43635-2020")</f>
        <v/>
      </c>
      <c r="V481">
        <f>HYPERLINK("https://klasma.github.io/Logging_2582/klagomål/A 43635-2020 FSC-klagomål.docx", "A 43635-2020")</f>
        <v/>
      </c>
      <c r="W481">
        <f>HYPERLINK("https://klasma.github.io/Logging_2582/klagomålsmail/A 43635-2020 FSC-klagomål mail.docx", "A 43635-2020")</f>
        <v/>
      </c>
      <c r="X481">
        <f>HYPERLINK("https://klasma.github.io/Logging_2582/tillsyn/A 43635-2020 tillsynsbegäran.docx", "A 43635-2020")</f>
        <v/>
      </c>
      <c r="Y481">
        <f>HYPERLINK("https://klasma.github.io/Logging_2582/tillsynsmail/A 43635-2020 tillsynsbegäran mail.docx", "A 43635-2020")</f>
        <v/>
      </c>
    </row>
    <row r="482" ht="15" customHeight="1">
      <c r="A482" t="inlineStr">
        <is>
          <t>A 48274-2020</t>
        </is>
      </c>
      <c r="B482" s="1" t="n">
        <v>44102</v>
      </c>
      <c r="C482" s="1" t="n">
        <v>45662</v>
      </c>
      <c r="D482" t="inlineStr">
        <is>
          <t>NORRBOTTENS LÄN</t>
        </is>
      </c>
      <c r="E482" t="inlineStr">
        <is>
          <t>GÄLLIVARE</t>
        </is>
      </c>
      <c r="F482" t="inlineStr">
        <is>
          <t>Sveaskog</t>
        </is>
      </c>
      <c r="G482" t="n">
        <v>14.2</v>
      </c>
      <c r="H482" t="n">
        <v>2</v>
      </c>
      <c r="I482" t="n">
        <v>0</v>
      </c>
      <c r="J482" t="n">
        <v>1</v>
      </c>
      <c r="K482" t="n">
        <v>1</v>
      </c>
      <c r="L482" t="n">
        <v>0</v>
      </c>
      <c r="M482" t="n">
        <v>0</v>
      </c>
      <c r="N482" t="n">
        <v>0</v>
      </c>
      <c r="O482" t="n">
        <v>2</v>
      </c>
      <c r="P482" t="n">
        <v>1</v>
      </c>
      <c r="Q482" t="n">
        <v>2</v>
      </c>
      <c r="R482" s="2" t="inlineStr">
        <is>
          <t>Kricka
Svartvit flugsnappare</t>
        </is>
      </c>
      <c r="S482">
        <f>HYPERLINK("https://klasma.github.io/Logging_2523/artfynd/A 48274-2020 artfynd.xlsx", "A 48274-2020")</f>
        <v/>
      </c>
      <c r="T482">
        <f>HYPERLINK("https://klasma.github.io/Logging_2523/kartor/A 48274-2020 karta.png", "A 48274-2020")</f>
        <v/>
      </c>
      <c r="V482">
        <f>HYPERLINK("https://klasma.github.io/Logging_2523/klagomål/A 48274-2020 FSC-klagomål.docx", "A 48274-2020")</f>
        <v/>
      </c>
      <c r="W482">
        <f>HYPERLINK("https://klasma.github.io/Logging_2523/klagomålsmail/A 48274-2020 FSC-klagomål mail.docx", "A 48274-2020")</f>
        <v/>
      </c>
      <c r="X482">
        <f>HYPERLINK("https://klasma.github.io/Logging_2523/tillsyn/A 48274-2020 tillsynsbegäran.docx", "A 48274-2020")</f>
        <v/>
      </c>
      <c r="Y482">
        <f>HYPERLINK("https://klasma.github.io/Logging_2523/tillsynsmail/A 48274-2020 tillsynsbegäran mail.docx", "A 48274-2020")</f>
        <v/>
      </c>
      <c r="Z482">
        <f>HYPERLINK("https://klasma.github.io/Logging_2523/fåglar/A 48274-2020 prioriterade fågelarter.docx", "A 48274-2020")</f>
        <v/>
      </c>
    </row>
    <row r="483" ht="15" customHeight="1">
      <c r="A483" t="inlineStr">
        <is>
          <t>A 51552-2020</t>
        </is>
      </c>
      <c r="B483" s="1" t="n">
        <v>44113</v>
      </c>
      <c r="C483" s="1" t="n">
        <v>45662</v>
      </c>
      <c r="D483" t="inlineStr">
        <is>
          <t>NORRBOTTENS LÄN</t>
        </is>
      </c>
      <c r="E483" t="inlineStr">
        <is>
          <t>ÖVERKALIX</t>
        </is>
      </c>
      <c r="F483" t="inlineStr">
        <is>
          <t>Sveaskog</t>
        </is>
      </c>
      <c r="G483" t="n">
        <v>11.3</v>
      </c>
      <c r="H483" t="n">
        <v>0</v>
      </c>
      <c r="I483" t="n">
        <v>0</v>
      </c>
      <c r="J483" t="n">
        <v>2</v>
      </c>
      <c r="K483" t="n">
        <v>0</v>
      </c>
      <c r="L483" t="n">
        <v>0</v>
      </c>
      <c r="M483" t="n">
        <v>0</v>
      </c>
      <c r="N483" t="n">
        <v>0</v>
      </c>
      <c r="O483" t="n">
        <v>2</v>
      </c>
      <c r="P483" t="n">
        <v>0</v>
      </c>
      <c r="Q483" t="n">
        <v>2</v>
      </c>
      <c r="R483" s="2" t="inlineStr">
        <is>
          <t>Dvärgbägarlav
Tallticka</t>
        </is>
      </c>
      <c r="S483">
        <f>HYPERLINK("https://klasma.github.io/Logging_2513/artfynd/A 51552-2020 artfynd.xlsx", "A 51552-2020")</f>
        <v/>
      </c>
      <c r="T483">
        <f>HYPERLINK("https://klasma.github.io/Logging_2513/kartor/A 51552-2020 karta.png", "A 51552-2020")</f>
        <v/>
      </c>
      <c r="V483">
        <f>HYPERLINK("https://klasma.github.io/Logging_2513/klagomål/A 51552-2020 FSC-klagomål.docx", "A 51552-2020")</f>
        <v/>
      </c>
      <c r="W483">
        <f>HYPERLINK("https://klasma.github.io/Logging_2513/klagomålsmail/A 51552-2020 FSC-klagomål mail.docx", "A 51552-2020")</f>
        <v/>
      </c>
      <c r="X483">
        <f>HYPERLINK("https://klasma.github.io/Logging_2513/tillsyn/A 51552-2020 tillsynsbegäran.docx", "A 51552-2020")</f>
        <v/>
      </c>
      <c r="Y483">
        <f>HYPERLINK("https://klasma.github.io/Logging_2513/tillsynsmail/A 51552-2020 tillsynsbegäran mail.docx", "A 51552-2020")</f>
        <v/>
      </c>
    </row>
    <row r="484" ht="15" customHeight="1">
      <c r="A484" t="inlineStr">
        <is>
          <t>A 53419-2020</t>
        </is>
      </c>
      <c r="B484" s="1" t="n">
        <v>44123</v>
      </c>
      <c r="C484" s="1" t="n">
        <v>45662</v>
      </c>
      <c r="D484" t="inlineStr">
        <is>
          <t>NORRBOTTENS LÄN</t>
        </is>
      </c>
      <c r="E484" t="inlineStr">
        <is>
          <t>KALIX</t>
        </is>
      </c>
      <c r="G484" t="n">
        <v>28.4</v>
      </c>
      <c r="H484" t="n">
        <v>1</v>
      </c>
      <c r="I484" t="n">
        <v>0</v>
      </c>
      <c r="J484" t="n">
        <v>0</v>
      </c>
      <c r="K484" t="n">
        <v>1</v>
      </c>
      <c r="L484" t="n">
        <v>0</v>
      </c>
      <c r="M484" t="n">
        <v>0</v>
      </c>
      <c r="N484" t="n">
        <v>0</v>
      </c>
      <c r="O484" t="n">
        <v>1</v>
      </c>
      <c r="P484" t="n">
        <v>1</v>
      </c>
      <c r="Q484" t="n">
        <v>2</v>
      </c>
      <c r="R484" s="2" t="inlineStr">
        <is>
          <t>Flotagräs
Revlummer</t>
        </is>
      </c>
      <c r="S484">
        <f>HYPERLINK("https://klasma.github.io/Logging_2514/artfynd/A 53419-2020 artfynd.xlsx", "A 53419-2020")</f>
        <v/>
      </c>
      <c r="T484">
        <f>HYPERLINK("https://klasma.github.io/Logging_2514/kartor/A 53419-2020 karta.png", "A 53419-2020")</f>
        <v/>
      </c>
      <c r="V484">
        <f>HYPERLINK("https://klasma.github.io/Logging_2514/klagomål/A 53419-2020 FSC-klagomål.docx", "A 53419-2020")</f>
        <v/>
      </c>
      <c r="W484">
        <f>HYPERLINK("https://klasma.github.io/Logging_2514/klagomålsmail/A 53419-2020 FSC-klagomål mail.docx", "A 53419-2020")</f>
        <v/>
      </c>
      <c r="X484">
        <f>HYPERLINK("https://klasma.github.io/Logging_2514/tillsyn/A 53419-2020 tillsynsbegäran.docx", "A 53419-2020")</f>
        <v/>
      </c>
      <c r="Y484">
        <f>HYPERLINK("https://klasma.github.io/Logging_2514/tillsynsmail/A 53419-2020 tillsynsbegäran mail.docx", "A 53419-2020")</f>
        <v/>
      </c>
    </row>
    <row r="485" ht="15" customHeight="1">
      <c r="A485" t="inlineStr">
        <is>
          <t>A 63621-2020</t>
        </is>
      </c>
      <c r="B485" s="1" t="n">
        <v>44165</v>
      </c>
      <c r="C485" s="1" t="n">
        <v>45662</v>
      </c>
      <c r="D485" t="inlineStr">
        <is>
          <t>NORRBOTTENS LÄN</t>
        </is>
      </c>
      <c r="E485" t="inlineStr">
        <is>
          <t>BODEN</t>
        </is>
      </c>
      <c r="F485" t="inlineStr">
        <is>
          <t>SCA</t>
        </is>
      </c>
      <c r="G485" t="n">
        <v>6.3</v>
      </c>
      <c r="H485" t="n">
        <v>0</v>
      </c>
      <c r="I485" t="n">
        <v>0</v>
      </c>
      <c r="J485" t="n">
        <v>2</v>
      </c>
      <c r="K485" t="n">
        <v>0</v>
      </c>
      <c r="L485" t="n">
        <v>0</v>
      </c>
      <c r="M485" t="n">
        <v>0</v>
      </c>
      <c r="N485" t="n">
        <v>0</v>
      </c>
      <c r="O485" t="n">
        <v>2</v>
      </c>
      <c r="P485" t="n">
        <v>0</v>
      </c>
      <c r="Q485" t="n">
        <v>2</v>
      </c>
      <c r="R485" s="2" t="inlineStr">
        <is>
          <t>Gammelgransskål
Ullticka</t>
        </is>
      </c>
      <c r="S485">
        <f>HYPERLINK("https://klasma.github.io/Logging_2582/artfynd/A 63621-2020 artfynd.xlsx", "A 63621-2020")</f>
        <v/>
      </c>
      <c r="T485">
        <f>HYPERLINK("https://klasma.github.io/Logging_2582/kartor/A 63621-2020 karta.png", "A 63621-2020")</f>
        <v/>
      </c>
      <c r="V485">
        <f>HYPERLINK("https://klasma.github.io/Logging_2582/klagomål/A 63621-2020 FSC-klagomål.docx", "A 63621-2020")</f>
        <v/>
      </c>
      <c r="W485">
        <f>HYPERLINK("https://klasma.github.io/Logging_2582/klagomålsmail/A 63621-2020 FSC-klagomål mail.docx", "A 63621-2020")</f>
        <v/>
      </c>
      <c r="X485">
        <f>HYPERLINK("https://klasma.github.io/Logging_2582/tillsyn/A 63621-2020 tillsynsbegäran.docx", "A 63621-2020")</f>
        <v/>
      </c>
      <c r="Y485">
        <f>HYPERLINK("https://klasma.github.io/Logging_2582/tillsynsmail/A 63621-2020 tillsynsbegäran mail.docx", "A 63621-2020")</f>
        <v/>
      </c>
    </row>
    <row r="486" ht="15" customHeight="1">
      <c r="A486" t="inlineStr">
        <is>
          <t>A 64565-2020</t>
        </is>
      </c>
      <c r="B486" s="1" t="n">
        <v>44166</v>
      </c>
      <c r="C486" s="1" t="n">
        <v>45662</v>
      </c>
      <c r="D486" t="inlineStr">
        <is>
          <t>NORRBOTTENS LÄN</t>
        </is>
      </c>
      <c r="E486" t="inlineStr">
        <is>
          <t>BODEN</t>
        </is>
      </c>
      <c r="G486" t="n">
        <v>1.3</v>
      </c>
      <c r="H486" t="n">
        <v>1</v>
      </c>
      <c r="I486" t="n">
        <v>1</v>
      </c>
      <c r="J486" t="n">
        <v>0</v>
      </c>
      <c r="K486" t="n">
        <v>0</v>
      </c>
      <c r="L486" t="n">
        <v>0</v>
      </c>
      <c r="M486" t="n">
        <v>0</v>
      </c>
      <c r="N486" t="n">
        <v>0</v>
      </c>
      <c r="O486" t="n">
        <v>0</v>
      </c>
      <c r="P486" t="n">
        <v>0</v>
      </c>
      <c r="Q486" t="n">
        <v>2</v>
      </c>
      <c r="R486" s="2" t="inlineStr">
        <is>
          <t>Bårdlav
Revlummer</t>
        </is>
      </c>
      <c r="S486">
        <f>HYPERLINK("https://klasma.github.io/Logging_2582/artfynd/A 64565-2020 artfynd.xlsx", "A 64565-2020")</f>
        <v/>
      </c>
      <c r="T486">
        <f>HYPERLINK("https://klasma.github.io/Logging_2582/kartor/A 64565-2020 karta.png", "A 64565-2020")</f>
        <v/>
      </c>
      <c r="V486">
        <f>HYPERLINK("https://klasma.github.io/Logging_2582/klagomål/A 64565-2020 FSC-klagomål.docx", "A 64565-2020")</f>
        <v/>
      </c>
      <c r="W486">
        <f>HYPERLINK("https://klasma.github.io/Logging_2582/klagomålsmail/A 64565-2020 FSC-klagomål mail.docx", "A 64565-2020")</f>
        <v/>
      </c>
      <c r="X486">
        <f>HYPERLINK("https://klasma.github.io/Logging_2582/tillsyn/A 64565-2020 tillsynsbegäran.docx", "A 64565-2020")</f>
        <v/>
      </c>
      <c r="Y486">
        <f>HYPERLINK("https://klasma.github.io/Logging_2582/tillsynsmail/A 64565-2020 tillsynsbegäran mail.docx", "A 64565-2020")</f>
        <v/>
      </c>
    </row>
    <row r="487" ht="15" customHeight="1">
      <c r="A487" t="inlineStr">
        <is>
          <t>A 69475-2020</t>
        </is>
      </c>
      <c r="B487" s="1" t="n">
        <v>44193</v>
      </c>
      <c r="C487" s="1" t="n">
        <v>45662</v>
      </c>
      <c r="D487" t="inlineStr">
        <is>
          <t>NORRBOTTENS LÄN</t>
        </is>
      </c>
      <c r="E487" t="inlineStr">
        <is>
          <t>PITEÅ</t>
        </is>
      </c>
      <c r="G487" t="n">
        <v>17.7</v>
      </c>
      <c r="H487" t="n">
        <v>1</v>
      </c>
      <c r="I487" t="n">
        <v>0</v>
      </c>
      <c r="J487" t="n">
        <v>1</v>
      </c>
      <c r="K487" t="n">
        <v>0</v>
      </c>
      <c r="L487" t="n">
        <v>0</v>
      </c>
      <c r="M487" t="n">
        <v>0</v>
      </c>
      <c r="N487" t="n">
        <v>0</v>
      </c>
      <c r="O487" t="n">
        <v>1</v>
      </c>
      <c r="P487" t="n">
        <v>0</v>
      </c>
      <c r="Q487" t="n">
        <v>2</v>
      </c>
      <c r="R487" s="2" t="inlineStr">
        <is>
          <t>Granticka
Revlummer</t>
        </is>
      </c>
      <c r="S487">
        <f>HYPERLINK("https://klasma.github.io/Logging_2581/artfynd/A 69475-2020 artfynd.xlsx", "A 69475-2020")</f>
        <v/>
      </c>
      <c r="T487">
        <f>HYPERLINK("https://klasma.github.io/Logging_2581/kartor/A 69475-2020 karta.png", "A 69475-2020")</f>
        <v/>
      </c>
      <c r="V487">
        <f>HYPERLINK("https://klasma.github.io/Logging_2581/klagomål/A 69475-2020 FSC-klagomål.docx", "A 69475-2020")</f>
        <v/>
      </c>
      <c r="W487">
        <f>HYPERLINK("https://klasma.github.io/Logging_2581/klagomålsmail/A 69475-2020 FSC-klagomål mail.docx", "A 69475-2020")</f>
        <v/>
      </c>
      <c r="X487">
        <f>HYPERLINK("https://klasma.github.io/Logging_2581/tillsyn/A 69475-2020 tillsynsbegäran.docx", "A 69475-2020")</f>
        <v/>
      </c>
      <c r="Y487">
        <f>HYPERLINK("https://klasma.github.io/Logging_2581/tillsynsmail/A 69475-2020 tillsynsbegäran mail.docx", "A 69475-2020")</f>
        <v/>
      </c>
    </row>
    <row r="488" ht="15" customHeight="1">
      <c r="A488" t="inlineStr">
        <is>
          <t>A 6890-2021</t>
        </is>
      </c>
      <c r="B488" s="1" t="n">
        <v>44237</v>
      </c>
      <c r="C488" s="1" t="n">
        <v>45662</v>
      </c>
      <c r="D488" t="inlineStr">
        <is>
          <t>NORRBOTTENS LÄN</t>
        </is>
      </c>
      <c r="E488" t="inlineStr">
        <is>
          <t>KIRUNA</t>
        </is>
      </c>
      <c r="G488" t="n">
        <v>3.9</v>
      </c>
      <c r="H488" t="n">
        <v>0</v>
      </c>
      <c r="I488" t="n">
        <v>1</v>
      </c>
      <c r="J488" t="n">
        <v>1</v>
      </c>
      <c r="K488" t="n">
        <v>0</v>
      </c>
      <c r="L488" t="n">
        <v>0</v>
      </c>
      <c r="M488" t="n">
        <v>0</v>
      </c>
      <c r="N488" t="n">
        <v>0</v>
      </c>
      <c r="O488" t="n">
        <v>1</v>
      </c>
      <c r="P488" t="n">
        <v>0</v>
      </c>
      <c r="Q488" t="n">
        <v>2</v>
      </c>
      <c r="R488" s="2" t="inlineStr">
        <is>
          <t>Vitplätt
Blodticka</t>
        </is>
      </c>
      <c r="S488">
        <f>HYPERLINK("https://klasma.github.io/Logging_2584/artfynd/A 6890-2021 artfynd.xlsx", "A 6890-2021")</f>
        <v/>
      </c>
      <c r="T488">
        <f>HYPERLINK("https://klasma.github.io/Logging_2584/kartor/A 6890-2021 karta.png", "A 6890-2021")</f>
        <v/>
      </c>
      <c r="V488">
        <f>HYPERLINK("https://klasma.github.io/Logging_2584/klagomål/A 6890-2021 FSC-klagomål.docx", "A 6890-2021")</f>
        <v/>
      </c>
      <c r="W488">
        <f>HYPERLINK("https://klasma.github.io/Logging_2584/klagomålsmail/A 6890-2021 FSC-klagomål mail.docx", "A 6890-2021")</f>
        <v/>
      </c>
      <c r="X488">
        <f>HYPERLINK("https://klasma.github.io/Logging_2584/tillsyn/A 6890-2021 tillsynsbegäran.docx", "A 6890-2021")</f>
        <v/>
      </c>
      <c r="Y488">
        <f>HYPERLINK("https://klasma.github.io/Logging_2584/tillsynsmail/A 6890-2021 tillsynsbegäran mail.docx", "A 6890-2021")</f>
        <v/>
      </c>
    </row>
    <row r="489" ht="15" customHeight="1">
      <c r="A489" t="inlineStr">
        <is>
          <t>A 8351-2021</t>
        </is>
      </c>
      <c r="B489" s="1" t="n">
        <v>44244</v>
      </c>
      <c r="C489" s="1" t="n">
        <v>45662</v>
      </c>
      <c r="D489" t="inlineStr">
        <is>
          <t>NORRBOTTENS LÄN</t>
        </is>
      </c>
      <c r="E489" t="inlineStr">
        <is>
          <t>GÄLLIVARE</t>
        </is>
      </c>
      <c r="F489" t="inlineStr">
        <is>
          <t>SCA</t>
        </is>
      </c>
      <c r="G489" t="n">
        <v>57.3</v>
      </c>
      <c r="H489" t="n">
        <v>0</v>
      </c>
      <c r="I489" t="n">
        <v>0</v>
      </c>
      <c r="J489" t="n">
        <v>0</v>
      </c>
      <c r="K489" t="n">
        <v>2</v>
      </c>
      <c r="L489" t="n">
        <v>0</v>
      </c>
      <c r="M489" t="n">
        <v>0</v>
      </c>
      <c r="N489" t="n">
        <v>0</v>
      </c>
      <c r="O489" t="n">
        <v>2</v>
      </c>
      <c r="P489" t="n">
        <v>2</v>
      </c>
      <c r="Q489" t="n">
        <v>2</v>
      </c>
      <c r="R489" s="2" t="inlineStr">
        <is>
          <t>Fläckporing
Tallstocksticka</t>
        </is>
      </c>
      <c r="S489">
        <f>HYPERLINK("https://klasma.github.io/Logging_2523/artfynd/A 8351-2021 artfynd.xlsx", "A 8351-2021")</f>
        <v/>
      </c>
      <c r="T489">
        <f>HYPERLINK("https://klasma.github.io/Logging_2523/kartor/A 8351-2021 karta.png", "A 8351-2021")</f>
        <v/>
      </c>
      <c r="V489">
        <f>HYPERLINK("https://klasma.github.io/Logging_2523/klagomål/A 8351-2021 FSC-klagomål.docx", "A 8351-2021")</f>
        <v/>
      </c>
      <c r="W489">
        <f>HYPERLINK("https://klasma.github.io/Logging_2523/klagomålsmail/A 8351-2021 FSC-klagomål mail.docx", "A 8351-2021")</f>
        <v/>
      </c>
      <c r="X489">
        <f>HYPERLINK("https://klasma.github.io/Logging_2523/tillsyn/A 8351-2021 tillsynsbegäran.docx", "A 8351-2021")</f>
        <v/>
      </c>
      <c r="Y489">
        <f>HYPERLINK("https://klasma.github.io/Logging_2523/tillsynsmail/A 8351-2021 tillsynsbegäran mail.docx", "A 8351-2021")</f>
        <v/>
      </c>
    </row>
    <row r="490" ht="15" customHeight="1">
      <c r="A490" t="inlineStr">
        <is>
          <t>A 14684-2021</t>
        </is>
      </c>
      <c r="B490" s="1" t="n">
        <v>44280</v>
      </c>
      <c r="C490" s="1" t="n">
        <v>45662</v>
      </c>
      <c r="D490" t="inlineStr">
        <is>
          <t>NORRBOTTENS LÄN</t>
        </is>
      </c>
      <c r="E490" t="inlineStr">
        <is>
          <t>ARJEPLOG</t>
        </is>
      </c>
      <c r="G490" t="n">
        <v>26.6</v>
      </c>
      <c r="H490" t="n">
        <v>1</v>
      </c>
      <c r="I490" t="n">
        <v>0</v>
      </c>
      <c r="J490" t="n">
        <v>2</v>
      </c>
      <c r="K490" t="n">
        <v>0</v>
      </c>
      <c r="L490" t="n">
        <v>0</v>
      </c>
      <c r="M490" t="n">
        <v>0</v>
      </c>
      <c r="N490" t="n">
        <v>0</v>
      </c>
      <c r="O490" t="n">
        <v>2</v>
      </c>
      <c r="P490" t="n">
        <v>0</v>
      </c>
      <c r="Q490" t="n">
        <v>2</v>
      </c>
      <c r="R490" s="2" t="inlineStr">
        <is>
          <t>Tretåig hackspett
Ullticka</t>
        </is>
      </c>
      <c r="S490">
        <f>HYPERLINK("https://klasma.github.io/Logging_2506/artfynd/A 14684-2021 artfynd.xlsx", "A 14684-2021")</f>
        <v/>
      </c>
      <c r="T490">
        <f>HYPERLINK("https://klasma.github.io/Logging_2506/kartor/A 14684-2021 karta.png", "A 14684-2021")</f>
        <v/>
      </c>
      <c r="V490">
        <f>HYPERLINK("https://klasma.github.io/Logging_2506/klagomål/A 14684-2021 FSC-klagomål.docx", "A 14684-2021")</f>
        <v/>
      </c>
      <c r="W490">
        <f>HYPERLINK("https://klasma.github.io/Logging_2506/klagomålsmail/A 14684-2021 FSC-klagomål mail.docx", "A 14684-2021")</f>
        <v/>
      </c>
      <c r="X490">
        <f>HYPERLINK("https://klasma.github.io/Logging_2506/tillsyn/A 14684-2021 tillsynsbegäran.docx", "A 14684-2021")</f>
        <v/>
      </c>
      <c r="Y490">
        <f>HYPERLINK("https://klasma.github.io/Logging_2506/tillsynsmail/A 14684-2021 tillsynsbegäran mail.docx", "A 14684-2021")</f>
        <v/>
      </c>
      <c r="Z490">
        <f>HYPERLINK("https://klasma.github.io/Logging_2506/fåglar/A 14684-2021 prioriterade fågelarter.docx", "A 14684-2021")</f>
        <v/>
      </c>
    </row>
    <row r="491" ht="15" customHeight="1">
      <c r="A491" t="inlineStr">
        <is>
          <t>A 17190-2021</t>
        </is>
      </c>
      <c r="B491" s="1" t="n">
        <v>44298</v>
      </c>
      <c r="C491" s="1" t="n">
        <v>45662</v>
      </c>
      <c r="D491" t="inlineStr">
        <is>
          <t>NORRBOTTENS LÄN</t>
        </is>
      </c>
      <c r="E491" t="inlineStr">
        <is>
          <t>PITEÅ</t>
        </is>
      </c>
      <c r="G491" t="n">
        <v>18.4</v>
      </c>
      <c r="H491" t="n">
        <v>0</v>
      </c>
      <c r="I491" t="n">
        <v>0</v>
      </c>
      <c r="J491" t="n">
        <v>1</v>
      </c>
      <c r="K491" t="n">
        <v>1</v>
      </c>
      <c r="L491" t="n">
        <v>0</v>
      </c>
      <c r="M491" t="n">
        <v>0</v>
      </c>
      <c r="N491" t="n">
        <v>0</v>
      </c>
      <c r="O491" t="n">
        <v>2</v>
      </c>
      <c r="P491" t="n">
        <v>1</v>
      </c>
      <c r="Q491" t="n">
        <v>2</v>
      </c>
      <c r="R491" s="2" t="inlineStr">
        <is>
          <t>Goliatmusseron
Skrovlig taggsvamp</t>
        </is>
      </c>
      <c r="S491">
        <f>HYPERLINK("https://klasma.github.io/Logging_2581/artfynd/A 17190-2021 artfynd.xlsx", "A 17190-2021")</f>
        <v/>
      </c>
      <c r="T491">
        <f>HYPERLINK("https://klasma.github.io/Logging_2581/kartor/A 17190-2021 karta.png", "A 17190-2021")</f>
        <v/>
      </c>
      <c r="V491">
        <f>HYPERLINK("https://klasma.github.io/Logging_2581/klagomål/A 17190-2021 FSC-klagomål.docx", "A 17190-2021")</f>
        <v/>
      </c>
      <c r="W491">
        <f>HYPERLINK("https://klasma.github.io/Logging_2581/klagomålsmail/A 17190-2021 FSC-klagomål mail.docx", "A 17190-2021")</f>
        <v/>
      </c>
      <c r="X491">
        <f>HYPERLINK("https://klasma.github.io/Logging_2581/tillsyn/A 17190-2021 tillsynsbegäran.docx", "A 17190-2021")</f>
        <v/>
      </c>
      <c r="Y491">
        <f>HYPERLINK("https://klasma.github.io/Logging_2581/tillsynsmail/A 17190-2021 tillsynsbegäran mail.docx", "A 17190-2021")</f>
        <v/>
      </c>
    </row>
    <row r="492" ht="15" customHeight="1">
      <c r="A492" t="inlineStr">
        <is>
          <t>A 29494-2021</t>
        </is>
      </c>
      <c r="B492" s="1" t="n">
        <v>44361</v>
      </c>
      <c r="C492" s="1" t="n">
        <v>45662</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45662</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45662</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45662</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45662</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45662</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45662</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45662</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45662</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45662</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45662</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45662</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45662</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45662</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45662</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45662</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45662</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45662</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45662</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45662</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45662</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45662</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45662</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45662</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45662</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45662</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45662</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45662</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45662</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45662</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45662</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45662</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45662</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45662</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45662</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45662</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45662</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45662</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45662</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45662</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45662</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45662</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45662</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45662</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45662</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45662</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45662</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45662</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45662</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45662</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45662</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45662</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45662</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45662</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45662</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45662</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45662</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45662</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45662</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45662</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45662</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45662</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45662</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45662</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45662</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45662</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45662</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45662</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45662</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45662</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45662</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45662</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45662</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45662</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45662</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45662</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45662</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45662</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45662</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45662</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45662</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45662</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45662</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45662</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45662</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45662</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45662</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45662</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45662</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45662</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45662</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45662</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45662</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45662</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45662</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45662</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45662</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45662</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45662</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45662</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45662</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45662</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45662</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45662</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45662</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45662</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45662</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45662</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45662</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45662</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45662</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45662</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45662</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45662</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45662</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45662</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45662</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45662</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45662</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45662</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45662</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45662</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45662</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45662</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45662</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45662</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45662</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45662</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45662</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45662</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45662</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45662</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45662</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45662</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45662</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45662</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45662</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45662</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45662</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45662</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45662</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45662</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45662</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45662</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45662</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45662</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45662</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45662</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45662</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45662</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45662</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45662</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45662</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45662</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45662</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45662</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45662</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45662</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45662</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45662</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45662</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45662</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15648-2020</t>
        </is>
      </c>
      <c r="B654" s="1" t="n">
        <v>43914</v>
      </c>
      <c r="C654" s="1" t="n">
        <v>45662</v>
      </c>
      <c r="D654" t="inlineStr">
        <is>
          <t>NORRBOTTENS LÄN</t>
        </is>
      </c>
      <c r="E654" t="inlineStr">
        <is>
          <t>GÄLLIVARE</t>
        </is>
      </c>
      <c r="F654" t="inlineStr">
        <is>
          <t>SCA</t>
        </is>
      </c>
      <c r="G654" t="n">
        <v>7</v>
      </c>
      <c r="H654" t="n">
        <v>1</v>
      </c>
      <c r="I654" t="n">
        <v>0</v>
      </c>
      <c r="J654" t="n">
        <v>1</v>
      </c>
      <c r="K654" t="n">
        <v>0</v>
      </c>
      <c r="L654" t="n">
        <v>0</v>
      </c>
      <c r="M654" t="n">
        <v>0</v>
      </c>
      <c r="N654" t="n">
        <v>0</v>
      </c>
      <c r="O654" t="n">
        <v>1</v>
      </c>
      <c r="P654" t="n">
        <v>0</v>
      </c>
      <c r="Q654" t="n">
        <v>1</v>
      </c>
      <c r="R654" s="2" t="inlineStr">
        <is>
          <t>Utter</t>
        </is>
      </c>
      <c r="S654">
        <f>HYPERLINK("https://klasma.github.io/Logging_2523/artfynd/A 15648-2020 artfynd.xlsx", "A 15648-2020")</f>
        <v/>
      </c>
      <c r="T654">
        <f>HYPERLINK("https://klasma.github.io/Logging_2523/kartor/A 15648-2020 karta.png", "A 15648-2020")</f>
        <v/>
      </c>
      <c r="V654">
        <f>HYPERLINK("https://klasma.github.io/Logging_2523/klagomål/A 15648-2020 FSC-klagomål.docx", "A 15648-2020")</f>
        <v/>
      </c>
      <c r="W654">
        <f>HYPERLINK("https://klasma.github.io/Logging_2523/klagomålsmail/A 15648-2020 FSC-klagomål mail.docx", "A 15648-2020")</f>
        <v/>
      </c>
      <c r="X654">
        <f>HYPERLINK("https://klasma.github.io/Logging_2523/tillsyn/A 15648-2020 tillsynsbegäran.docx", "A 15648-2020")</f>
        <v/>
      </c>
      <c r="Y654">
        <f>HYPERLINK("https://klasma.github.io/Logging_2523/tillsynsmail/A 15648-2020 tillsynsbegäran mail.docx", "A 15648-2020")</f>
        <v/>
      </c>
    </row>
    <row r="655" ht="15" customHeight="1">
      <c r="A655" t="inlineStr">
        <is>
          <t>A 23473-2020</t>
        </is>
      </c>
      <c r="B655" s="1" t="n">
        <v>43966</v>
      </c>
      <c r="C655" s="1" t="n">
        <v>45662</v>
      </c>
      <c r="D655" t="inlineStr">
        <is>
          <t>NORRBOTTENS LÄN</t>
        </is>
      </c>
      <c r="E655" t="inlineStr">
        <is>
          <t>BODEN</t>
        </is>
      </c>
      <c r="G655" t="n">
        <v>24.7</v>
      </c>
      <c r="H655" t="n">
        <v>0</v>
      </c>
      <c r="I655" t="n">
        <v>0</v>
      </c>
      <c r="J655" t="n">
        <v>1</v>
      </c>
      <c r="K655" t="n">
        <v>0</v>
      </c>
      <c r="L655" t="n">
        <v>0</v>
      </c>
      <c r="M655" t="n">
        <v>0</v>
      </c>
      <c r="N655" t="n">
        <v>0</v>
      </c>
      <c r="O655" t="n">
        <v>1</v>
      </c>
      <c r="P655" t="n">
        <v>0</v>
      </c>
      <c r="Q655" t="n">
        <v>1</v>
      </c>
      <c r="R655" s="2" t="inlineStr">
        <is>
          <t>Lunglav</t>
        </is>
      </c>
      <c r="S655">
        <f>HYPERLINK("https://klasma.github.io/Logging_2582/artfynd/A 23473-2020 artfynd.xlsx", "A 23473-2020")</f>
        <v/>
      </c>
      <c r="T655">
        <f>HYPERLINK("https://klasma.github.io/Logging_2582/kartor/A 23473-2020 karta.png", "A 23473-2020")</f>
        <v/>
      </c>
      <c r="V655">
        <f>HYPERLINK("https://klasma.github.io/Logging_2582/klagomål/A 23473-2020 FSC-klagomål.docx", "A 23473-2020")</f>
        <v/>
      </c>
      <c r="W655">
        <f>HYPERLINK("https://klasma.github.io/Logging_2582/klagomålsmail/A 23473-2020 FSC-klagomål mail.docx", "A 23473-2020")</f>
        <v/>
      </c>
      <c r="X655">
        <f>HYPERLINK("https://klasma.github.io/Logging_2582/tillsyn/A 23473-2020 tillsynsbegäran.docx", "A 23473-2020")</f>
        <v/>
      </c>
      <c r="Y655">
        <f>HYPERLINK("https://klasma.github.io/Logging_2582/tillsynsmail/A 23473-2020 tillsynsbegäran mail.docx", "A 23473-2020")</f>
        <v/>
      </c>
    </row>
    <row r="656" ht="15" customHeight="1">
      <c r="A656" t="inlineStr">
        <is>
          <t>A 31905-2020</t>
        </is>
      </c>
      <c r="B656" s="1" t="n">
        <v>44014</v>
      </c>
      <c r="C656" s="1" t="n">
        <v>45662</v>
      </c>
      <c r="D656" t="inlineStr">
        <is>
          <t>NORRBOTTENS LÄN</t>
        </is>
      </c>
      <c r="E656" t="inlineStr">
        <is>
          <t>PITEÅ</t>
        </is>
      </c>
      <c r="G656" t="n">
        <v>6.6</v>
      </c>
      <c r="H656" t="n">
        <v>1</v>
      </c>
      <c r="I656" t="n">
        <v>1</v>
      </c>
      <c r="J656" t="n">
        <v>0</v>
      </c>
      <c r="K656" t="n">
        <v>0</v>
      </c>
      <c r="L656" t="n">
        <v>0</v>
      </c>
      <c r="M656" t="n">
        <v>0</v>
      </c>
      <c r="N656" t="n">
        <v>0</v>
      </c>
      <c r="O656" t="n">
        <v>0</v>
      </c>
      <c r="P656" t="n">
        <v>0</v>
      </c>
      <c r="Q656" t="n">
        <v>1</v>
      </c>
      <c r="R656" s="2" t="inlineStr">
        <is>
          <t>Plattlummer</t>
        </is>
      </c>
      <c r="S656">
        <f>HYPERLINK("https://klasma.github.io/Logging_2581/artfynd/A 31905-2020 artfynd.xlsx", "A 31905-2020")</f>
        <v/>
      </c>
      <c r="T656">
        <f>HYPERLINK("https://klasma.github.io/Logging_2581/kartor/A 31905-2020 karta.png", "A 31905-2020")</f>
        <v/>
      </c>
      <c r="V656">
        <f>HYPERLINK("https://klasma.github.io/Logging_2581/klagomål/A 31905-2020 FSC-klagomål.docx", "A 31905-2020")</f>
        <v/>
      </c>
      <c r="W656">
        <f>HYPERLINK("https://klasma.github.io/Logging_2581/klagomålsmail/A 31905-2020 FSC-klagomål mail.docx", "A 31905-2020")</f>
        <v/>
      </c>
      <c r="X656">
        <f>HYPERLINK("https://klasma.github.io/Logging_2581/tillsyn/A 31905-2020 tillsynsbegäran.docx", "A 31905-2020")</f>
        <v/>
      </c>
      <c r="Y656">
        <f>HYPERLINK("https://klasma.github.io/Logging_2581/tillsynsmail/A 31905-2020 tillsynsbegäran mail.docx", "A 31905-2020")</f>
        <v/>
      </c>
    </row>
    <row r="657" ht="15" customHeight="1">
      <c r="A657" t="inlineStr">
        <is>
          <t>A 34646-2020</t>
        </is>
      </c>
      <c r="B657" s="1" t="n">
        <v>44034</v>
      </c>
      <c r="C657" s="1" t="n">
        <v>45662</v>
      </c>
      <c r="D657" t="inlineStr">
        <is>
          <t>NORRBOTTENS LÄN</t>
        </is>
      </c>
      <c r="E657" t="inlineStr">
        <is>
          <t>PAJALA</t>
        </is>
      </c>
      <c r="F657" t="inlineStr">
        <is>
          <t>Allmännings- och besparingsskogar</t>
        </is>
      </c>
      <c r="G657" t="n">
        <v>7.3</v>
      </c>
      <c r="H657" t="n">
        <v>1</v>
      </c>
      <c r="I657" t="n">
        <v>0</v>
      </c>
      <c r="J657" t="n">
        <v>0</v>
      </c>
      <c r="K657" t="n">
        <v>0</v>
      </c>
      <c r="L657" t="n">
        <v>0</v>
      </c>
      <c r="M657" t="n">
        <v>0</v>
      </c>
      <c r="N657" t="n">
        <v>0</v>
      </c>
      <c r="O657" t="n">
        <v>0</v>
      </c>
      <c r="P657" t="n">
        <v>0</v>
      </c>
      <c r="Q657" t="n">
        <v>1</v>
      </c>
      <c r="R657" s="2" t="inlineStr">
        <is>
          <t>Sångsvan</t>
        </is>
      </c>
      <c r="S657">
        <f>HYPERLINK("https://klasma.github.io/Logging_2521/artfynd/A 34646-2020 artfynd.xlsx", "A 34646-2020")</f>
        <v/>
      </c>
      <c r="T657">
        <f>HYPERLINK("https://klasma.github.io/Logging_2521/kartor/A 34646-2020 karta.png", "A 34646-2020")</f>
        <v/>
      </c>
      <c r="V657">
        <f>HYPERLINK("https://klasma.github.io/Logging_2521/klagomål/A 34646-2020 FSC-klagomål.docx", "A 34646-2020")</f>
        <v/>
      </c>
      <c r="W657">
        <f>HYPERLINK("https://klasma.github.io/Logging_2521/klagomålsmail/A 34646-2020 FSC-klagomål mail.docx", "A 34646-2020")</f>
        <v/>
      </c>
      <c r="X657">
        <f>HYPERLINK("https://klasma.github.io/Logging_2521/tillsyn/A 34646-2020 tillsynsbegäran.docx", "A 34646-2020")</f>
        <v/>
      </c>
      <c r="Y657">
        <f>HYPERLINK("https://klasma.github.io/Logging_2521/tillsynsmail/A 34646-2020 tillsynsbegäran mail.docx", "A 34646-2020")</f>
        <v/>
      </c>
      <c r="Z657">
        <f>HYPERLINK("https://klasma.github.io/Logging_2521/fåglar/A 34646-2020 prioriterade fågelarter.docx", "A 34646-2020")</f>
        <v/>
      </c>
    </row>
    <row r="658" ht="15" customHeight="1">
      <c r="A658" t="inlineStr">
        <is>
          <t>A 39034-2020</t>
        </is>
      </c>
      <c r="B658" s="1" t="n">
        <v>44062</v>
      </c>
      <c r="C658" s="1" t="n">
        <v>45662</v>
      </c>
      <c r="D658" t="inlineStr">
        <is>
          <t>NORRBOTTENS LÄN</t>
        </is>
      </c>
      <c r="E658" t="inlineStr">
        <is>
          <t>BODEN</t>
        </is>
      </c>
      <c r="F658" t="inlineStr">
        <is>
          <t>Sveaskog</t>
        </is>
      </c>
      <c r="G658" t="n">
        <v>17.7</v>
      </c>
      <c r="H658" t="n">
        <v>0</v>
      </c>
      <c r="I658" t="n">
        <v>0</v>
      </c>
      <c r="J658" t="n">
        <v>1</v>
      </c>
      <c r="K658" t="n">
        <v>0</v>
      </c>
      <c r="L658" t="n">
        <v>0</v>
      </c>
      <c r="M658" t="n">
        <v>0</v>
      </c>
      <c r="N658" t="n">
        <v>0</v>
      </c>
      <c r="O658" t="n">
        <v>1</v>
      </c>
      <c r="P658" t="n">
        <v>0</v>
      </c>
      <c r="Q658" t="n">
        <v>1</v>
      </c>
      <c r="R658" s="2" t="inlineStr">
        <is>
          <t>Kolflarnlav</t>
        </is>
      </c>
      <c r="S658">
        <f>HYPERLINK("https://klasma.github.io/Logging_2582/artfynd/A 39034-2020 artfynd.xlsx", "A 39034-2020")</f>
        <v/>
      </c>
      <c r="T658">
        <f>HYPERLINK("https://klasma.github.io/Logging_2582/kartor/A 39034-2020 karta.png", "A 39034-2020")</f>
        <v/>
      </c>
      <c r="V658">
        <f>HYPERLINK("https://klasma.github.io/Logging_2582/klagomål/A 39034-2020 FSC-klagomål.docx", "A 39034-2020")</f>
        <v/>
      </c>
      <c r="W658">
        <f>HYPERLINK("https://klasma.github.io/Logging_2582/klagomålsmail/A 39034-2020 FSC-klagomål mail.docx", "A 39034-2020")</f>
        <v/>
      </c>
      <c r="X658">
        <f>HYPERLINK("https://klasma.github.io/Logging_2582/tillsyn/A 39034-2020 tillsynsbegäran.docx", "A 39034-2020")</f>
        <v/>
      </c>
      <c r="Y658">
        <f>HYPERLINK("https://klasma.github.io/Logging_2582/tillsynsmail/A 39034-2020 tillsynsbegäran mail.docx", "A 39034-2020")</f>
        <v/>
      </c>
    </row>
    <row r="659" ht="15" customHeight="1">
      <c r="A659" t="inlineStr">
        <is>
          <t>A 39599-2020</t>
        </is>
      </c>
      <c r="B659" s="1" t="n">
        <v>44064</v>
      </c>
      <c r="C659" s="1" t="n">
        <v>45662</v>
      </c>
      <c r="D659" t="inlineStr">
        <is>
          <t>NORRBOTTENS LÄN</t>
        </is>
      </c>
      <c r="E659" t="inlineStr">
        <is>
          <t>BODEN</t>
        </is>
      </c>
      <c r="F659" t="inlineStr">
        <is>
          <t>Sveaskog</t>
        </is>
      </c>
      <c r="G659" t="n">
        <v>12.6</v>
      </c>
      <c r="H659" t="n">
        <v>1</v>
      </c>
      <c r="I659" t="n">
        <v>0</v>
      </c>
      <c r="J659" t="n">
        <v>0</v>
      </c>
      <c r="K659" t="n">
        <v>1</v>
      </c>
      <c r="L659" t="n">
        <v>0</v>
      </c>
      <c r="M659" t="n">
        <v>0</v>
      </c>
      <c r="N659" t="n">
        <v>0</v>
      </c>
      <c r="O659" t="n">
        <v>1</v>
      </c>
      <c r="P659" t="n">
        <v>1</v>
      </c>
      <c r="Q659" t="n">
        <v>1</v>
      </c>
      <c r="R659" s="2" t="inlineStr">
        <is>
          <t>Knärot</t>
        </is>
      </c>
      <c r="S659">
        <f>HYPERLINK("https://klasma.github.io/Logging_2582/artfynd/A 39599-2020 artfynd.xlsx", "A 39599-2020")</f>
        <v/>
      </c>
      <c r="T659">
        <f>HYPERLINK("https://klasma.github.io/Logging_2582/kartor/A 39599-2020 karta.png", "A 39599-2020")</f>
        <v/>
      </c>
      <c r="U659">
        <f>HYPERLINK("https://klasma.github.io/Logging_2582/knärot/A 39599-2020 karta knärot.png", "A 39599-2020")</f>
        <v/>
      </c>
      <c r="V659">
        <f>HYPERLINK("https://klasma.github.io/Logging_2582/klagomål/A 39599-2020 FSC-klagomål.docx", "A 39599-2020")</f>
        <v/>
      </c>
      <c r="W659">
        <f>HYPERLINK("https://klasma.github.io/Logging_2582/klagomålsmail/A 39599-2020 FSC-klagomål mail.docx", "A 39599-2020")</f>
        <v/>
      </c>
      <c r="X659">
        <f>HYPERLINK("https://klasma.github.io/Logging_2582/tillsyn/A 39599-2020 tillsynsbegäran.docx", "A 39599-2020")</f>
        <v/>
      </c>
      <c r="Y659">
        <f>HYPERLINK("https://klasma.github.io/Logging_2582/tillsynsmail/A 39599-2020 tillsynsbegäran mail.docx", "A 39599-2020")</f>
        <v/>
      </c>
    </row>
    <row r="660" ht="15" customHeight="1">
      <c r="A660" t="inlineStr">
        <is>
          <t>A 42854-2020</t>
        </is>
      </c>
      <c r="B660" s="1" t="n">
        <v>44078</v>
      </c>
      <c r="C660" s="1" t="n">
        <v>45662</v>
      </c>
      <c r="D660" t="inlineStr">
        <is>
          <t>NORRBOTTENS LÄN</t>
        </is>
      </c>
      <c r="E660" t="inlineStr">
        <is>
          <t>PAJALA</t>
        </is>
      </c>
      <c r="F660" t="inlineStr">
        <is>
          <t>Sveaskog</t>
        </is>
      </c>
      <c r="G660" t="n">
        <v>5.4</v>
      </c>
      <c r="H660" t="n">
        <v>1</v>
      </c>
      <c r="I660" t="n">
        <v>0</v>
      </c>
      <c r="J660" t="n">
        <v>1</v>
      </c>
      <c r="K660" t="n">
        <v>0</v>
      </c>
      <c r="L660" t="n">
        <v>0</v>
      </c>
      <c r="M660" t="n">
        <v>0</v>
      </c>
      <c r="N660" t="n">
        <v>0</v>
      </c>
      <c r="O660" t="n">
        <v>1</v>
      </c>
      <c r="P660" t="n">
        <v>0</v>
      </c>
      <c r="Q660" t="n">
        <v>1</v>
      </c>
      <c r="R660" s="2" t="inlineStr">
        <is>
          <t>Duvhök</t>
        </is>
      </c>
      <c r="S660">
        <f>HYPERLINK("https://klasma.github.io/Logging_2521/artfynd/A 42854-2020 artfynd.xlsx", "A 42854-2020")</f>
        <v/>
      </c>
      <c r="T660">
        <f>HYPERLINK("https://klasma.github.io/Logging_2521/kartor/A 42854-2020 karta.png", "A 42854-2020")</f>
        <v/>
      </c>
      <c r="V660">
        <f>HYPERLINK("https://klasma.github.io/Logging_2521/klagomål/A 42854-2020 FSC-klagomål.docx", "A 42854-2020")</f>
        <v/>
      </c>
      <c r="W660">
        <f>HYPERLINK("https://klasma.github.io/Logging_2521/klagomålsmail/A 42854-2020 FSC-klagomål mail.docx", "A 42854-2020")</f>
        <v/>
      </c>
      <c r="X660">
        <f>HYPERLINK("https://klasma.github.io/Logging_2521/tillsyn/A 42854-2020 tillsynsbegäran.docx", "A 42854-2020")</f>
        <v/>
      </c>
      <c r="Y660">
        <f>HYPERLINK("https://klasma.github.io/Logging_2521/tillsynsmail/A 42854-2020 tillsynsbegäran mail.docx", "A 42854-2020")</f>
        <v/>
      </c>
      <c r="Z660">
        <f>HYPERLINK("https://klasma.github.io/Logging_2521/fåglar/A 42854-2020 prioriterade fågelarter.docx", "A 42854-2020")</f>
        <v/>
      </c>
    </row>
    <row r="661" ht="15" customHeight="1">
      <c r="A661" t="inlineStr">
        <is>
          <t>A 43663-2020</t>
        </is>
      </c>
      <c r="B661" s="1" t="n">
        <v>44082</v>
      </c>
      <c r="C661" s="1" t="n">
        <v>45662</v>
      </c>
      <c r="D661" t="inlineStr">
        <is>
          <t>NORRBOTTENS LÄN</t>
        </is>
      </c>
      <c r="E661" t="inlineStr">
        <is>
          <t>LULEÅ</t>
        </is>
      </c>
      <c r="F661" t="inlineStr">
        <is>
          <t>Sveaskog</t>
        </is>
      </c>
      <c r="G661" t="n">
        <v>2.3</v>
      </c>
      <c r="H661" t="n">
        <v>0</v>
      </c>
      <c r="I661" t="n">
        <v>0</v>
      </c>
      <c r="J661" t="n">
        <v>1</v>
      </c>
      <c r="K661" t="n">
        <v>0</v>
      </c>
      <c r="L661" t="n">
        <v>0</v>
      </c>
      <c r="M661" t="n">
        <v>0</v>
      </c>
      <c r="N661" t="n">
        <v>0</v>
      </c>
      <c r="O661" t="n">
        <v>1</v>
      </c>
      <c r="P661" t="n">
        <v>0</v>
      </c>
      <c r="Q661" t="n">
        <v>1</v>
      </c>
      <c r="R661" s="2" t="inlineStr">
        <is>
          <t>Garnlav</t>
        </is>
      </c>
      <c r="S661">
        <f>HYPERLINK("https://klasma.github.io/Logging_2580/artfynd/A 43663-2020 artfynd.xlsx", "A 43663-2020")</f>
        <v/>
      </c>
      <c r="T661">
        <f>HYPERLINK("https://klasma.github.io/Logging_2580/kartor/A 43663-2020 karta.png", "A 43663-2020")</f>
        <v/>
      </c>
      <c r="V661">
        <f>HYPERLINK("https://klasma.github.io/Logging_2580/klagomål/A 43663-2020 FSC-klagomål.docx", "A 43663-2020")</f>
        <v/>
      </c>
      <c r="W661">
        <f>HYPERLINK("https://klasma.github.io/Logging_2580/klagomålsmail/A 43663-2020 FSC-klagomål mail.docx", "A 43663-2020")</f>
        <v/>
      </c>
      <c r="X661">
        <f>HYPERLINK("https://klasma.github.io/Logging_2580/tillsyn/A 43663-2020 tillsynsbegäran.docx", "A 43663-2020")</f>
        <v/>
      </c>
      <c r="Y661">
        <f>HYPERLINK("https://klasma.github.io/Logging_2580/tillsynsmail/A 43663-2020 tillsynsbegäran mail.docx", "A 43663-2020")</f>
        <v/>
      </c>
    </row>
    <row r="662" ht="15" customHeight="1">
      <c r="A662" t="inlineStr">
        <is>
          <t>A 43643-2020</t>
        </is>
      </c>
      <c r="B662" s="1" t="n">
        <v>44082</v>
      </c>
      <c r="C662" s="1" t="n">
        <v>45662</v>
      </c>
      <c r="D662" t="inlineStr">
        <is>
          <t>NORRBOTTENS LÄN</t>
        </is>
      </c>
      <c r="E662" t="inlineStr">
        <is>
          <t>BODEN</t>
        </is>
      </c>
      <c r="F662" t="inlineStr">
        <is>
          <t>Sveaskog</t>
        </is>
      </c>
      <c r="G662" t="n">
        <v>3.2</v>
      </c>
      <c r="H662" t="n">
        <v>0</v>
      </c>
      <c r="I662" t="n">
        <v>0</v>
      </c>
      <c r="J662" t="n">
        <v>1</v>
      </c>
      <c r="K662" t="n">
        <v>0</v>
      </c>
      <c r="L662" t="n">
        <v>0</v>
      </c>
      <c r="M662" t="n">
        <v>0</v>
      </c>
      <c r="N662" t="n">
        <v>0</v>
      </c>
      <c r="O662" t="n">
        <v>1</v>
      </c>
      <c r="P662" t="n">
        <v>0</v>
      </c>
      <c r="Q662" t="n">
        <v>1</v>
      </c>
      <c r="R662" s="2" t="inlineStr">
        <is>
          <t>Blå taggsvamp</t>
        </is>
      </c>
      <c r="S662">
        <f>HYPERLINK("https://klasma.github.io/Logging_2582/artfynd/A 43643-2020 artfynd.xlsx", "A 43643-2020")</f>
        <v/>
      </c>
      <c r="T662">
        <f>HYPERLINK("https://klasma.github.io/Logging_2582/kartor/A 43643-2020 karta.png", "A 43643-2020")</f>
        <v/>
      </c>
      <c r="V662">
        <f>HYPERLINK("https://klasma.github.io/Logging_2582/klagomål/A 43643-2020 FSC-klagomål.docx", "A 43643-2020")</f>
        <v/>
      </c>
      <c r="W662">
        <f>HYPERLINK("https://klasma.github.io/Logging_2582/klagomålsmail/A 43643-2020 FSC-klagomål mail.docx", "A 43643-2020")</f>
        <v/>
      </c>
      <c r="X662">
        <f>HYPERLINK("https://klasma.github.io/Logging_2582/tillsyn/A 43643-2020 tillsynsbegäran.docx", "A 43643-2020")</f>
        <v/>
      </c>
      <c r="Y662">
        <f>HYPERLINK("https://klasma.github.io/Logging_2582/tillsynsmail/A 43643-2020 tillsynsbegäran mail.docx", "A 43643-2020")</f>
        <v/>
      </c>
    </row>
    <row r="663" ht="15" customHeight="1">
      <c r="A663" t="inlineStr">
        <is>
          <t>A 45184-2020</t>
        </is>
      </c>
      <c r="B663" s="1" t="n">
        <v>44088</v>
      </c>
      <c r="C663" s="1" t="n">
        <v>45662</v>
      </c>
      <c r="D663" t="inlineStr">
        <is>
          <t>NORRBOTTENS LÄN</t>
        </is>
      </c>
      <c r="E663" t="inlineStr">
        <is>
          <t>BODEN</t>
        </is>
      </c>
      <c r="F663" t="inlineStr">
        <is>
          <t>Sveaskog</t>
        </is>
      </c>
      <c r="G663" t="n">
        <v>4.6</v>
      </c>
      <c r="H663" t="n">
        <v>0</v>
      </c>
      <c r="I663" t="n">
        <v>0</v>
      </c>
      <c r="J663" t="n">
        <v>1</v>
      </c>
      <c r="K663" t="n">
        <v>0</v>
      </c>
      <c r="L663" t="n">
        <v>0</v>
      </c>
      <c r="M663" t="n">
        <v>0</v>
      </c>
      <c r="N663" t="n">
        <v>0</v>
      </c>
      <c r="O663" t="n">
        <v>1</v>
      </c>
      <c r="P663" t="n">
        <v>0</v>
      </c>
      <c r="Q663" t="n">
        <v>1</v>
      </c>
      <c r="R663" s="2" t="inlineStr">
        <is>
          <t>Gammelgransskål</t>
        </is>
      </c>
      <c r="S663">
        <f>HYPERLINK("https://klasma.github.io/Logging_2582/artfynd/A 45184-2020 artfynd.xlsx", "A 45184-2020")</f>
        <v/>
      </c>
      <c r="T663">
        <f>HYPERLINK("https://klasma.github.io/Logging_2582/kartor/A 45184-2020 karta.png", "A 45184-2020")</f>
        <v/>
      </c>
      <c r="V663">
        <f>HYPERLINK("https://klasma.github.io/Logging_2582/klagomål/A 45184-2020 FSC-klagomål.docx", "A 45184-2020")</f>
        <v/>
      </c>
      <c r="W663">
        <f>HYPERLINK("https://klasma.github.io/Logging_2582/klagomålsmail/A 45184-2020 FSC-klagomål mail.docx", "A 45184-2020")</f>
        <v/>
      </c>
      <c r="X663">
        <f>HYPERLINK("https://klasma.github.io/Logging_2582/tillsyn/A 45184-2020 tillsynsbegäran.docx", "A 45184-2020")</f>
        <v/>
      </c>
      <c r="Y663">
        <f>HYPERLINK("https://klasma.github.io/Logging_2582/tillsynsmail/A 45184-2020 tillsynsbegäran mail.docx", "A 45184-2020")</f>
        <v/>
      </c>
    </row>
    <row r="664" ht="15" customHeight="1">
      <c r="A664" t="inlineStr">
        <is>
          <t>A 51168-2020</t>
        </is>
      </c>
      <c r="B664" s="1" t="n">
        <v>44106</v>
      </c>
      <c r="C664" s="1" t="n">
        <v>45662</v>
      </c>
      <c r="D664" t="inlineStr">
        <is>
          <t>NORRBOTTENS LÄN</t>
        </is>
      </c>
      <c r="E664" t="inlineStr">
        <is>
          <t>PITEÅ</t>
        </is>
      </c>
      <c r="G664" t="n">
        <v>1.1</v>
      </c>
      <c r="H664" t="n">
        <v>0</v>
      </c>
      <c r="I664" t="n">
        <v>0</v>
      </c>
      <c r="J664" t="n">
        <v>1</v>
      </c>
      <c r="K664" t="n">
        <v>0</v>
      </c>
      <c r="L664" t="n">
        <v>0</v>
      </c>
      <c r="M664" t="n">
        <v>0</v>
      </c>
      <c r="N664" t="n">
        <v>0</v>
      </c>
      <c r="O664" t="n">
        <v>1</v>
      </c>
      <c r="P664" t="n">
        <v>0</v>
      </c>
      <c r="Q664" t="n">
        <v>1</v>
      </c>
      <c r="R664" s="2" t="inlineStr">
        <is>
          <t>Tallticka</t>
        </is>
      </c>
      <c r="S664">
        <f>HYPERLINK("https://klasma.github.io/Logging_2581/artfynd/A 51168-2020 artfynd.xlsx", "A 51168-2020")</f>
        <v/>
      </c>
      <c r="T664">
        <f>HYPERLINK("https://klasma.github.io/Logging_2581/kartor/A 51168-2020 karta.png", "A 51168-2020")</f>
        <v/>
      </c>
      <c r="V664">
        <f>HYPERLINK("https://klasma.github.io/Logging_2581/klagomål/A 51168-2020 FSC-klagomål.docx", "A 51168-2020")</f>
        <v/>
      </c>
      <c r="W664">
        <f>HYPERLINK("https://klasma.github.io/Logging_2581/klagomålsmail/A 51168-2020 FSC-klagomål mail.docx", "A 51168-2020")</f>
        <v/>
      </c>
      <c r="X664">
        <f>HYPERLINK("https://klasma.github.io/Logging_2581/tillsyn/A 51168-2020 tillsynsbegäran.docx", "A 51168-2020")</f>
        <v/>
      </c>
      <c r="Y664">
        <f>HYPERLINK("https://klasma.github.io/Logging_2581/tillsynsmail/A 51168-2020 tillsynsbegäran mail.docx", "A 51168-2020")</f>
        <v/>
      </c>
    </row>
    <row r="665" ht="15" customHeight="1">
      <c r="A665" t="inlineStr">
        <is>
          <t>A 51875-2020</t>
        </is>
      </c>
      <c r="B665" s="1" t="n">
        <v>44109</v>
      </c>
      <c r="C665" s="1" t="n">
        <v>45662</v>
      </c>
      <c r="D665" t="inlineStr">
        <is>
          <t>NORRBOTTENS LÄN</t>
        </is>
      </c>
      <c r="E665" t="inlineStr">
        <is>
          <t>JOKKMOKK</t>
        </is>
      </c>
      <c r="F665" t="inlineStr">
        <is>
          <t>Allmännings- och besparingsskogar</t>
        </is>
      </c>
      <c r="G665" t="n">
        <v>28</v>
      </c>
      <c r="H665" t="n">
        <v>0</v>
      </c>
      <c r="I665" t="n">
        <v>0</v>
      </c>
      <c r="J665" t="n">
        <v>1</v>
      </c>
      <c r="K665" t="n">
        <v>0</v>
      </c>
      <c r="L665" t="n">
        <v>0</v>
      </c>
      <c r="M665" t="n">
        <v>0</v>
      </c>
      <c r="N665" t="n">
        <v>0</v>
      </c>
      <c r="O665" t="n">
        <v>1</v>
      </c>
      <c r="P665" t="n">
        <v>0</v>
      </c>
      <c r="Q665" t="n">
        <v>1</v>
      </c>
      <c r="R665" s="2" t="inlineStr">
        <is>
          <t>Vitplätt</t>
        </is>
      </c>
      <c r="S665">
        <f>HYPERLINK("https://klasma.github.io/Logging_2510/artfynd/A 51875-2020 artfynd.xlsx", "A 51875-2020")</f>
        <v/>
      </c>
      <c r="T665">
        <f>HYPERLINK("https://klasma.github.io/Logging_2510/kartor/A 51875-2020 karta.png", "A 51875-2020")</f>
        <v/>
      </c>
      <c r="V665">
        <f>HYPERLINK("https://klasma.github.io/Logging_2510/klagomål/A 51875-2020 FSC-klagomål.docx", "A 51875-2020")</f>
        <v/>
      </c>
      <c r="W665">
        <f>HYPERLINK("https://klasma.github.io/Logging_2510/klagomålsmail/A 51875-2020 FSC-klagomål mail.docx", "A 51875-2020")</f>
        <v/>
      </c>
      <c r="X665">
        <f>HYPERLINK("https://klasma.github.io/Logging_2510/tillsyn/A 51875-2020 tillsynsbegäran.docx", "A 51875-2020")</f>
        <v/>
      </c>
      <c r="Y665">
        <f>HYPERLINK("https://klasma.github.io/Logging_2510/tillsynsmail/A 51875-2020 tillsynsbegäran mail.docx", "A 51875-2020")</f>
        <v/>
      </c>
    </row>
    <row r="666" ht="15" customHeight="1">
      <c r="A666" t="inlineStr">
        <is>
          <t>A 52060-2020</t>
        </is>
      </c>
      <c r="B666" s="1" t="n">
        <v>44116</v>
      </c>
      <c r="C666" s="1" t="n">
        <v>45662</v>
      </c>
      <c r="D666" t="inlineStr">
        <is>
          <t>NORRBOTTENS LÄN</t>
        </is>
      </c>
      <c r="E666" t="inlineStr">
        <is>
          <t>GÄLLIVARE</t>
        </is>
      </c>
      <c r="F666" t="inlineStr">
        <is>
          <t>SCA</t>
        </is>
      </c>
      <c r="G666" t="n">
        <v>8.5</v>
      </c>
      <c r="H666" t="n">
        <v>0</v>
      </c>
      <c r="I666" t="n">
        <v>0</v>
      </c>
      <c r="J666" t="n">
        <v>0</v>
      </c>
      <c r="K666" t="n">
        <v>1</v>
      </c>
      <c r="L666" t="n">
        <v>0</v>
      </c>
      <c r="M666" t="n">
        <v>0</v>
      </c>
      <c r="N666" t="n">
        <v>0</v>
      </c>
      <c r="O666" t="n">
        <v>1</v>
      </c>
      <c r="P666" t="n">
        <v>1</v>
      </c>
      <c r="Q666" t="n">
        <v>1</v>
      </c>
      <c r="R666" s="2" t="inlineStr">
        <is>
          <t>Gräddporing</t>
        </is>
      </c>
      <c r="S666">
        <f>HYPERLINK("https://klasma.github.io/Logging_2523/artfynd/A 52060-2020 artfynd.xlsx", "A 52060-2020")</f>
        <v/>
      </c>
      <c r="T666">
        <f>HYPERLINK("https://klasma.github.io/Logging_2523/kartor/A 52060-2020 karta.png", "A 52060-2020")</f>
        <v/>
      </c>
      <c r="V666">
        <f>HYPERLINK("https://klasma.github.io/Logging_2523/klagomål/A 52060-2020 FSC-klagomål.docx", "A 52060-2020")</f>
        <v/>
      </c>
      <c r="W666">
        <f>HYPERLINK("https://klasma.github.io/Logging_2523/klagomålsmail/A 52060-2020 FSC-klagomål mail.docx", "A 52060-2020")</f>
        <v/>
      </c>
      <c r="X666">
        <f>HYPERLINK("https://klasma.github.io/Logging_2523/tillsyn/A 52060-2020 tillsynsbegäran.docx", "A 52060-2020")</f>
        <v/>
      </c>
      <c r="Y666">
        <f>HYPERLINK("https://klasma.github.io/Logging_2523/tillsynsmail/A 52060-2020 tillsynsbegäran mail.docx", "A 52060-2020")</f>
        <v/>
      </c>
    </row>
    <row r="667" ht="15" customHeight="1">
      <c r="A667" t="inlineStr">
        <is>
          <t>A 67324-2020</t>
        </is>
      </c>
      <c r="B667" s="1" t="n">
        <v>44181</v>
      </c>
      <c r="C667" s="1" t="n">
        <v>45662</v>
      </c>
      <c r="D667" t="inlineStr">
        <is>
          <t>NORRBOTTENS LÄN</t>
        </is>
      </c>
      <c r="E667" t="inlineStr">
        <is>
          <t>KALIX</t>
        </is>
      </c>
      <c r="F667" t="inlineStr">
        <is>
          <t>Sveaskog</t>
        </is>
      </c>
      <c r="G667" t="n">
        <v>3.4</v>
      </c>
      <c r="H667" t="n">
        <v>0</v>
      </c>
      <c r="I667" t="n">
        <v>0</v>
      </c>
      <c r="J667" t="n">
        <v>1</v>
      </c>
      <c r="K667" t="n">
        <v>0</v>
      </c>
      <c r="L667" t="n">
        <v>0</v>
      </c>
      <c r="M667" t="n">
        <v>0</v>
      </c>
      <c r="N667" t="n">
        <v>0</v>
      </c>
      <c r="O667" t="n">
        <v>1</v>
      </c>
      <c r="P667" t="n">
        <v>0</v>
      </c>
      <c r="Q667" t="n">
        <v>1</v>
      </c>
      <c r="R667" s="2" t="inlineStr">
        <is>
          <t>Gammelgransskål</t>
        </is>
      </c>
      <c r="S667">
        <f>HYPERLINK("https://klasma.github.io/Logging_2514/artfynd/A 67324-2020 artfynd.xlsx", "A 67324-2020")</f>
        <v/>
      </c>
      <c r="T667">
        <f>HYPERLINK("https://klasma.github.io/Logging_2514/kartor/A 67324-2020 karta.png", "A 67324-2020")</f>
        <v/>
      </c>
      <c r="V667">
        <f>HYPERLINK("https://klasma.github.io/Logging_2514/klagomål/A 67324-2020 FSC-klagomål.docx", "A 67324-2020")</f>
        <v/>
      </c>
      <c r="W667">
        <f>HYPERLINK("https://klasma.github.io/Logging_2514/klagomålsmail/A 67324-2020 FSC-klagomål mail.docx", "A 67324-2020")</f>
        <v/>
      </c>
      <c r="X667">
        <f>HYPERLINK("https://klasma.github.io/Logging_2514/tillsyn/A 67324-2020 tillsynsbegäran.docx", "A 67324-2020")</f>
        <v/>
      </c>
      <c r="Y667">
        <f>HYPERLINK("https://klasma.github.io/Logging_2514/tillsynsmail/A 67324-2020 tillsynsbegäran mail.docx", "A 67324-2020")</f>
        <v/>
      </c>
    </row>
    <row r="668" ht="15" customHeight="1">
      <c r="A668" t="inlineStr">
        <is>
          <t>A 69535-2020</t>
        </is>
      </c>
      <c r="B668" s="1" t="n">
        <v>44194</v>
      </c>
      <c r="C668" s="1" t="n">
        <v>45662</v>
      </c>
      <c r="D668" t="inlineStr">
        <is>
          <t>NORRBOTTENS LÄN</t>
        </is>
      </c>
      <c r="E668" t="inlineStr">
        <is>
          <t>ÖVERTORNEÅ</t>
        </is>
      </c>
      <c r="F668" t="inlineStr">
        <is>
          <t>Sveaskog</t>
        </is>
      </c>
      <c r="G668" t="n">
        <v>1.2</v>
      </c>
      <c r="H668" t="n">
        <v>0</v>
      </c>
      <c r="I668" t="n">
        <v>1</v>
      </c>
      <c r="J668" t="n">
        <v>0</v>
      </c>
      <c r="K668" t="n">
        <v>0</v>
      </c>
      <c r="L668" t="n">
        <v>0</v>
      </c>
      <c r="M668" t="n">
        <v>0</v>
      </c>
      <c r="N668" t="n">
        <v>0</v>
      </c>
      <c r="O668" t="n">
        <v>0</v>
      </c>
      <c r="P668" t="n">
        <v>0</v>
      </c>
      <c r="Q668" t="n">
        <v>1</v>
      </c>
      <c r="R668" s="2" t="inlineStr">
        <is>
          <t>Stuplav</t>
        </is>
      </c>
      <c r="S668">
        <f>HYPERLINK("https://klasma.github.io/Logging_2518/artfynd/A 69535-2020 artfynd.xlsx", "A 69535-2020")</f>
        <v/>
      </c>
      <c r="T668">
        <f>HYPERLINK("https://klasma.github.io/Logging_2518/kartor/A 69535-2020 karta.png", "A 69535-2020")</f>
        <v/>
      </c>
      <c r="V668">
        <f>HYPERLINK("https://klasma.github.io/Logging_2518/klagomål/A 69535-2020 FSC-klagomål.docx", "A 69535-2020")</f>
        <v/>
      </c>
      <c r="W668">
        <f>HYPERLINK("https://klasma.github.io/Logging_2518/klagomålsmail/A 69535-2020 FSC-klagomål mail.docx", "A 69535-2020")</f>
        <v/>
      </c>
      <c r="X668">
        <f>HYPERLINK("https://klasma.github.io/Logging_2518/tillsyn/A 69535-2020 tillsynsbegäran.docx", "A 69535-2020")</f>
        <v/>
      </c>
      <c r="Y668">
        <f>HYPERLINK("https://klasma.github.io/Logging_2518/tillsynsmail/A 69535-2020 tillsynsbegäran mail.docx", "A 69535-2020")</f>
        <v/>
      </c>
    </row>
    <row r="669" ht="15" customHeight="1">
      <c r="A669" t="inlineStr">
        <is>
          <t>A 6878-2021</t>
        </is>
      </c>
      <c r="B669" s="1" t="n">
        <v>44237</v>
      </c>
      <c r="C669" s="1" t="n">
        <v>45662</v>
      </c>
      <c r="D669" t="inlineStr">
        <is>
          <t>NORRBOTTENS LÄN</t>
        </is>
      </c>
      <c r="E669" t="inlineStr">
        <is>
          <t>KIRUNA</t>
        </is>
      </c>
      <c r="G669" t="n">
        <v>8.199999999999999</v>
      </c>
      <c r="H669" t="n">
        <v>0</v>
      </c>
      <c r="I669" t="n">
        <v>0</v>
      </c>
      <c r="J669" t="n">
        <v>0</v>
      </c>
      <c r="K669" t="n">
        <v>1</v>
      </c>
      <c r="L669" t="n">
        <v>0</v>
      </c>
      <c r="M669" t="n">
        <v>0</v>
      </c>
      <c r="N669" t="n">
        <v>0</v>
      </c>
      <c r="O669" t="n">
        <v>1</v>
      </c>
      <c r="P669" t="n">
        <v>1</v>
      </c>
      <c r="Q669" t="n">
        <v>1</v>
      </c>
      <c r="R669" s="2" t="inlineStr">
        <is>
          <t>Gräddporing</t>
        </is>
      </c>
      <c r="S669">
        <f>HYPERLINK("https://klasma.github.io/Logging_2584/artfynd/A 6878-2021 artfynd.xlsx", "A 6878-2021")</f>
        <v/>
      </c>
      <c r="T669">
        <f>HYPERLINK("https://klasma.github.io/Logging_2584/kartor/A 6878-2021 karta.png", "A 6878-2021")</f>
        <v/>
      </c>
      <c r="V669">
        <f>HYPERLINK("https://klasma.github.io/Logging_2584/klagomål/A 6878-2021 FSC-klagomål.docx", "A 6878-2021")</f>
        <v/>
      </c>
      <c r="W669">
        <f>HYPERLINK("https://klasma.github.io/Logging_2584/klagomålsmail/A 6878-2021 FSC-klagomål mail.docx", "A 6878-2021")</f>
        <v/>
      </c>
      <c r="X669">
        <f>HYPERLINK("https://klasma.github.io/Logging_2584/tillsyn/A 6878-2021 tillsynsbegäran.docx", "A 6878-2021")</f>
        <v/>
      </c>
      <c r="Y669">
        <f>HYPERLINK("https://klasma.github.io/Logging_2584/tillsynsmail/A 6878-2021 tillsynsbegäran mail.docx", "A 6878-2021")</f>
        <v/>
      </c>
    </row>
    <row r="670" ht="15" customHeight="1">
      <c r="A670" t="inlineStr">
        <is>
          <t>A 13716-2021</t>
        </is>
      </c>
      <c r="B670" s="1" t="n">
        <v>44274</v>
      </c>
      <c r="C670" s="1" t="n">
        <v>45662</v>
      </c>
      <c r="D670" t="inlineStr">
        <is>
          <t>NORRBOTTENS LÄN</t>
        </is>
      </c>
      <c r="E670" t="inlineStr">
        <is>
          <t>KALIX</t>
        </is>
      </c>
      <c r="G670" t="n">
        <v>5</v>
      </c>
      <c r="H670" t="n">
        <v>0</v>
      </c>
      <c r="I670" t="n">
        <v>0</v>
      </c>
      <c r="J670" t="n">
        <v>1</v>
      </c>
      <c r="K670" t="n">
        <v>0</v>
      </c>
      <c r="L670" t="n">
        <v>0</v>
      </c>
      <c r="M670" t="n">
        <v>0</v>
      </c>
      <c r="N670" t="n">
        <v>0</v>
      </c>
      <c r="O670" t="n">
        <v>1</v>
      </c>
      <c r="P670" t="n">
        <v>0</v>
      </c>
      <c r="Q670" t="n">
        <v>1</v>
      </c>
      <c r="R670" s="2" t="inlineStr">
        <is>
          <t>Lunglav</t>
        </is>
      </c>
      <c r="S670">
        <f>HYPERLINK("https://klasma.github.io/Logging_2514/artfynd/A 13716-2021 artfynd.xlsx", "A 13716-2021")</f>
        <v/>
      </c>
      <c r="T670">
        <f>HYPERLINK("https://klasma.github.io/Logging_2514/kartor/A 13716-2021 karta.png", "A 13716-2021")</f>
        <v/>
      </c>
      <c r="V670">
        <f>HYPERLINK("https://klasma.github.io/Logging_2514/klagomål/A 13716-2021 FSC-klagomål.docx", "A 13716-2021")</f>
        <v/>
      </c>
      <c r="W670">
        <f>HYPERLINK("https://klasma.github.io/Logging_2514/klagomålsmail/A 13716-2021 FSC-klagomål mail.docx", "A 13716-2021")</f>
        <v/>
      </c>
      <c r="X670">
        <f>HYPERLINK("https://klasma.github.io/Logging_2514/tillsyn/A 13716-2021 tillsynsbegäran.docx", "A 13716-2021")</f>
        <v/>
      </c>
      <c r="Y670">
        <f>HYPERLINK("https://klasma.github.io/Logging_2514/tillsynsmail/A 13716-2021 tillsynsbegäran mail.docx", "A 13716-2021")</f>
        <v/>
      </c>
    </row>
    <row r="671" ht="15" customHeight="1">
      <c r="A671" t="inlineStr">
        <is>
          <t>A 15687-2021</t>
        </is>
      </c>
      <c r="B671" s="1" t="n">
        <v>44286</v>
      </c>
      <c r="C671" s="1" t="n">
        <v>45662</v>
      </c>
      <c r="D671" t="inlineStr">
        <is>
          <t>NORRBOTTENS LÄN</t>
        </is>
      </c>
      <c r="E671" t="inlineStr">
        <is>
          <t>KALIX</t>
        </is>
      </c>
      <c r="G671" t="n">
        <v>3.1</v>
      </c>
      <c r="H671" t="n">
        <v>1</v>
      </c>
      <c r="I671" t="n">
        <v>0</v>
      </c>
      <c r="J671" t="n">
        <v>1</v>
      </c>
      <c r="K671" t="n">
        <v>0</v>
      </c>
      <c r="L671" t="n">
        <v>0</v>
      </c>
      <c r="M671" t="n">
        <v>0</v>
      </c>
      <c r="N671" t="n">
        <v>0</v>
      </c>
      <c r="O671" t="n">
        <v>1</v>
      </c>
      <c r="P671" t="n">
        <v>0</v>
      </c>
      <c r="Q671" t="n">
        <v>1</v>
      </c>
      <c r="R671" s="2" t="inlineStr">
        <is>
          <t>Utter</t>
        </is>
      </c>
      <c r="S671">
        <f>HYPERLINK("https://klasma.github.io/Logging_2514/artfynd/A 15687-2021 artfynd.xlsx", "A 15687-2021")</f>
        <v/>
      </c>
      <c r="T671">
        <f>HYPERLINK("https://klasma.github.io/Logging_2514/kartor/A 15687-2021 karta.png", "A 15687-2021")</f>
        <v/>
      </c>
      <c r="V671">
        <f>HYPERLINK("https://klasma.github.io/Logging_2514/klagomål/A 15687-2021 FSC-klagomål.docx", "A 15687-2021")</f>
        <v/>
      </c>
      <c r="W671">
        <f>HYPERLINK("https://klasma.github.io/Logging_2514/klagomålsmail/A 15687-2021 FSC-klagomål mail.docx", "A 15687-2021")</f>
        <v/>
      </c>
      <c r="X671">
        <f>HYPERLINK("https://klasma.github.io/Logging_2514/tillsyn/A 15687-2021 tillsynsbegäran.docx", "A 15687-2021")</f>
        <v/>
      </c>
      <c r="Y671">
        <f>HYPERLINK("https://klasma.github.io/Logging_2514/tillsynsmail/A 15687-2021 tillsynsbegäran mail.docx", "A 15687-2021")</f>
        <v/>
      </c>
    </row>
    <row r="672" ht="15" customHeight="1">
      <c r="A672" t="inlineStr">
        <is>
          <t>A 19368-2021</t>
        </is>
      </c>
      <c r="B672" s="1" t="n">
        <v>44309</v>
      </c>
      <c r="C672" s="1" t="n">
        <v>45662</v>
      </c>
      <c r="D672" t="inlineStr">
        <is>
          <t>NORRBOTTENS LÄN</t>
        </is>
      </c>
      <c r="E672" t="inlineStr">
        <is>
          <t>PITEÅ</t>
        </is>
      </c>
      <c r="G672" t="n">
        <v>5.8</v>
      </c>
      <c r="H672" t="n">
        <v>1</v>
      </c>
      <c r="I672" t="n">
        <v>0</v>
      </c>
      <c r="J672" t="n">
        <v>0</v>
      </c>
      <c r="K672" t="n">
        <v>0</v>
      </c>
      <c r="L672" t="n">
        <v>0</v>
      </c>
      <c r="M672" t="n">
        <v>0</v>
      </c>
      <c r="N672" t="n">
        <v>0</v>
      </c>
      <c r="O672" t="n">
        <v>0</v>
      </c>
      <c r="P672" t="n">
        <v>0</v>
      </c>
      <c r="Q672" t="n">
        <v>1</v>
      </c>
      <c r="R672" s="2" t="inlineStr">
        <is>
          <t>Citronfläckad kärrtrollslända</t>
        </is>
      </c>
      <c r="S672">
        <f>HYPERLINK("https://klasma.github.io/Logging_2581/artfynd/A 19368-2021 artfynd.xlsx", "A 19368-2021")</f>
        <v/>
      </c>
      <c r="T672">
        <f>HYPERLINK("https://klasma.github.io/Logging_2581/kartor/A 19368-2021 karta.png", "A 19368-2021")</f>
        <v/>
      </c>
      <c r="V672">
        <f>HYPERLINK("https://klasma.github.io/Logging_2581/klagomål/A 19368-2021 FSC-klagomål.docx", "A 19368-2021")</f>
        <v/>
      </c>
      <c r="W672">
        <f>HYPERLINK("https://klasma.github.io/Logging_2581/klagomålsmail/A 19368-2021 FSC-klagomål mail.docx", "A 19368-2021")</f>
        <v/>
      </c>
      <c r="X672">
        <f>HYPERLINK("https://klasma.github.io/Logging_2581/tillsyn/A 19368-2021 tillsynsbegäran.docx", "A 19368-2021")</f>
        <v/>
      </c>
      <c r="Y672">
        <f>HYPERLINK("https://klasma.github.io/Logging_2581/tillsynsmail/A 19368-2021 tillsynsbegäran mail.docx", "A 19368-2021")</f>
        <v/>
      </c>
    </row>
    <row r="673" ht="15" customHeight="1">
      <c r="A673" t="inlineStr">
        <is>
          <t>A 25517-2021</t>
        </is>
      </c>
      <c r="B673" s="1" t="n">
        <v>44342</v>
      </c>
      <c r="C673" s="1" t="n">
        <v>45662</v>
      </c>
      <c r="D673" t="inlineStr">
        <is>
          <t>NORRBOTTENS LÄN</t>
        </is>
      </c>
      <c r="E673" t="inlineStr">
        <is>
          <t>PITEÅ</t>
        </is>
      </c>
      <c r="F673" t="inlineStr">
        <is>
          <t>SCA</t>
        </is>
      </c>
      <c r="G673" t="n">
        <v>2.3</v>
      </c>
      <c r="H673" t="n">
        <v>0</v>
      </c>
      <c r="I673" t="n">
        <v>1</v>
      </c>
      <c r="J673" t="n">
        <v>0</v>
      </c>
      <c r="K673" t="n">
        <v>0</v>
      </c>
      <c r="L673" t="n">
        <v>0</v>
      </c>
      <c r="M673" t="n">
        <v>0</v>
      </c>
      <c r="N673" t="n">
        <v>0</v>
      </c>
      <c r="O673" t="n">
        <v>0</v>
      </c>
      <c r="P673" t="n">
        <v>0</v>
      </c>
      <c r="Q673" t="n">
        <v>1</v>
      </c>
      <c r="R673" s="2" t="inlineStr">
        <is>
          <t>Skinnlav</t>
        </is>
      </c>
      <c r="S673">
        <f>HYPERLINK("https://klasma.github.io/Logging_2581/artfynd/A 25517-2021 artfynd.xlsx", "A 25517-2021")</f>
        <v/>
      </c>
      <c r="T673">
        <f>HYPERLINK("https://klasma.github.io/Logging_2581/kartor/A 25517-2021 karta.png", "A 25517-2021")</f>
        <v/>
      </c>
      <c r="V673">
        <f>HYPERLINK("https://klasma.github.io/Logging_2581/klagomål/A 25517-2021 FSC-klagomål.docx", "A 25517-2021")</f>
        <v/>
      </c>
      <c r="W673">
        <f>HYPERLINK("https://klasma.github.io/Logging_2581/klagomålsmail/A 25517-2021 FSC-klagomål mail.docx", "A 25517-2021")</f>
        <v/>
      </c>
      <c r="X673">
        <f>HYPERLINK("https://klasma.github.io/Logging_2581/tillsyn/A 25517-2021 tillsynsbegäran.docx", "A 25517-2021")</f>
        <v/>
      </c>
      <c r="Y673">
        <f>HYPERLINK("https://klasma.github.io/Logging_2581/tillsynsmail/A 25517-2021 tillsynsbegäran mail.docx", "A 25517-2021")</f>
        <v/>
      </c>
    </row>
    <row r="674" ht="15" customHeight="1">
      <c r="A674" t="inlineStr">
        <is>
          <t>A 30239-2021</t>
        </is>
      </c>
      <c r="B674" s="1" t="n">
        <v>44363</v>
      </c>
      <c r="C674" s="1" t="n">
        <v>45662</v>
      </c>
      <c r="D674" t="inlineStr">
        <is>
          <t>NORRBOTTENS LÄN</t>
        </is>
      </c>
      <c r="E674" t="inlineStr">
        <is>
          <t>PAJALA</t>
        </is>
      </c>
      <c r="F674" t="inlineStr">
        <is>
          <t>Sveaskog</t>
        </is>
      </c>
      <c r="G674" t="n">
        <v>22.8</v>
      </c>
      <c r="H674" t="n">
        <v>0</v>
      </c>
      <c r="I674" t="n">
        <v>0</v>
      </c>
      <c r="J674" t="n">
        <v>0</v>
      </c>
      <c r="K674" t="n">
        <v>1</v>
      </c>
      <c r="L674" t="n">
        <v>0</v>
      </c>
      <c r="M674" t="n">
        <v>0</v>
      </c>
      <c r="N674" t="n">
        <v>0</v>
      </c>
      <c r="O674" t="n">
        <v>1</v>
      </c>
      <c r="P674" t="n">
        <v>1</v>
      </c>
      <c r="Q674" t="n">
        <v>1</v>
      </c>
      <c r="R674" s="2" t="inlineStr">
        <is>
          <t>Gräddporing</t>
        </is>
      </c>
      <c r="S674">
        <f>HYPERLINK("https://klasma.github.io/Logging_2521/artfynd/A 30239-2021 artfynd.xlsx", "A 30239-2021")</f>
        <v/>
      </c>
      <c r="T674">
        <f>HYPERLINK("https://klasma.github.io/Logging_2521/kartor/A 30239-2021 karta.png", "A 30239-2021")</f>
        <v/>
      </c>
      <c r="V674">
        <f>HYPERLINK("https://klasma.github.io/Logging_2521/klagomål/A 30239-2021 FSC-klagomål.docx", "A 30239-2021")</f>
        <v/>
      </c>
      <c r="W674">
        <f>HYPERLINK("https://klasma.github.io/Logging_2521/klagomålsmail/A 30239-2021 FSC-klagomål mail.docx", "A 30239-2021")</f>
        <v/>
      </c>
      <c r="X674">
        <f>HYPERLINK("https://klasma.github.io/Logging_2521/tillsyn/A 30239-2021 tillsynsbegäran.docx", "A 30239-2021")</f>
        <v/>
      </c>
      <c r="Y674">
        <f>HYPERLINK("https://klasma.github.io/Logging_2521/tillsynsmail/A 30239-2021 tillsynsbegäran mail.docx", "A 30239-2021")</f>
        <v/>
      </c>
    </row>
    <row r="675" ht="15" customHeight="1">
      <c r="A675" t="inlineStr">
        <is>
          <t>A 30881-2021</t>
        </is>
      </c>
      <c r="B675" s="1" t="n">
        <v>44365</v>
      </c>
      <c r="C675" s="1" t="n">
        <v>45662</v>
      </c>
      <c r="D675" t="inlineStr">
        <is>
          <t>NORRBOTTENS LÄN</t>
        </is>
      </c>
      <c r="E675" t="inlineStr">
        <is>
          <t>BODEN</t>
        </is>
      </c>
      <c r="F675" t="inlineStr">
        <is>
          <t>Sveaskog</t>
        </is>
      </c>
      <c r="G675" t="n">
        <v>1</v>
      </c>
      <c r="H675" t="n">
        <v>0</v>
      </c>
      <c r="I675" t="n">
        <v>0</v>
      </c>
      <c r="J675" t="n">
        <v>0</v>
      </c>
      <c r="K675" t="n">
        <v>1</v>
      </c>
      <c r="L675" t="n">
        <v>0</v>
      </c>
      <c r="M675" t="n">
        <v>0</v>
      </c>
      <c r="N675" t="n">
        <v>0</v>
      </c>
      <c r="O675" t="n">
        <v>1</v>
      </c>
      <c r="P675" t="n">
        <v>1</v>
      </c>
      <c r="Q675" t="n">
        <v>1</v>
      </c>
      <c r="R675" s="2" t="inlineStr">
        <is>
          <t>Tallgråticka</t>
        </is>
      </c>
      <c r="S675">
        <f>HYPERLINK("https://klasma.github.io/Logging_2582/artfynd/A 30881-2021 artfynd.xlsx", "A 30881-2021")</f>
        <v/>
      </c>
      <c r="T675">
        <f>HYPERLINK("https://klasma.github.io/Logging_2582/kartor/A 30881-2021 karta.png", "A 30881-2021")</f>
        <v/>
      </c>
      <c r="V675">
        <f>HYPERLINK("https://klasma.github.io/Logging_2582/klagomål/A 30881-2021 FSC-klagomål.docx", "A 30881-2021")</f>
        <v/>
      </c>
      <c r="W675">
        <f>HYPERLINK("https://klasma.github.io/Logging_2582/klagomålsmail/A 30881-2021 FSC-klagomål mail.docx", "A 30881-2021")</f>
        <v/>
      </c>
      <c r="X675">
        <f>HYPERLINK("https://klasma.github.io/Logging_2582/tillsyn/A 30881-2021 tillsynsbegäran.docx", "A 30881-2021")</f>
        <v/>
      </c>
      <c r="Y675">
        <f>HYPERLINK("https://klasma.github.io/Logging_2582/tillsynsmail/A 30881-2021 tillsynsbegäran mail.docx", "A 30881-2021")</f>
        <v/>
      </c>
    </row>
    <row r="676" ht="15" customHeight="1">
      <c r="A676" t="inlineStr">
        <is>
          <t>A 30850-2021</t>
        </is>
      </c>
      <c r="B676" s="1" t="n">
        <v>44365</v>
      </c>
      <c r="C676" s="1" t="n">
        <v>45662</v>
      </c>
      <c r="D676" t="inlineStr">
        <is>
          <t>NORRBOTTENS LÄN</t>
        </is>
      </c>
      <c r="E676" t="inlineStr">
        <is>
          <t>BODEN</t>
        </is>
      </c>
      <c r="F676" t="inlineStr">
        <is>
          <t>Sveaskog</t>
        </is>
      </c>
      <c r="G676" t="n">
        <v>6.6</v>
      </c>
      <c r="H676" t="n">
        <v>0</v>
      </c>
      <c r="I676" t="n">
        <v>0</v>
      </c>
      <c r="J676" t="n">
        <v>1</v>
      </c>
      <c r="K676" t="n">
        <v>0</v>
      </c>
      <c r="L676" t="n">
        <v>0</v>
      </c>
      <c r="M676" t="n">
        <v>0</v>
      </c>
      <c r="N676" t="n">
        <v>0</v>
      </c>
      <c r="O676" t="n">
        <v>1</v>
      </c>
      <c r="P676" t="n">
        <v>0</v>
      </c>
      <c r="Q676" t="n">
        <v>1</v>
      </c>
      <c r="R676" s="2" t="inlineStr">
        <is>
          <t>Tallticka</t>
        </is>
      </c>
      <c r="S676">
        <f>HYPERLINK("https://klasma.github.io/Logging_2582/artfynd/A 30850-2021 artfynd.xlsx", "A 30850-2021")</f>
        <v/>
      </c>
      <c r="T676">
        <f>HYPERLINK("https://klasma.github.io/Logging_2582/kartor/A 30850-2021 karta.png", "A 30850-2021")</f>
        <v/>
      </c>
      <c r="V676">
        <f>HYPERLINK("https://klasma.github.io/Logging_2582/klagomål/A 30850-2021 FSC-klagomål.docx", "A 30850-2021")</f>
        <v/>
      </c>
      <c r="W676">
        <f>HYPERLINK("https://klasma.github.io/Logging_2582/klagomålsmail/A 30850-2021 FSC-klagomål mail.docx", "A 30850-2021")</f>
        <v/>
      </c>
      <c r="X676">
        <f>HYPERLINK("https://klasma.github.io/Logging_2582/tillsyn/A 30850-2021 tillsynsbegäran.docx", "A 30850-2021")</f>
        <v/>
      </c>
      <c r="Y676">
        <f>HYPERLINK("https://klasma.github.io/Logging_2582/tillsynsmail/A 30850-2021 tillsynsbegäran mail.docx", "A 30850-2021")</f>
        <v/>
      </c>
    </row>
    <row r="677" ht="15" customHeight="1">
      <c r="A677" t="inlineStr">
        <is>
          <t>A 31232-2021</t>
        </is>
      </c>
      <c r="B677" s="1" t="n">
        <v>44368</v>
      </c>
      <c r="C677" s="1" t="n">
        <v>45662</v>
      </c>
      <c r="D677" t="inlineStr">
        <is>
          <t>NORRBOTTENS LÄN</t>
        </is>
      </c>
      <c r="E677" t="inlineStr">
        <is>
          <t>KALIX</t>
        </is>
      </c>
      <c r="G677" t="n">
        <v>7.6</v>
      </c>
      <c r="H677" t="n">
        <v>0</v>
      </c>
      <c r="I677" t="n">
        <v>0</v>
      </c>
      <c r="J677" t="n">
        <v>1</v>
      </c>
      <c r="K677" t="n">
        <v>0</v>
      </c>
      <c r="L677" t="n">
        <v>0</v>
      </c>
      <c r="M677" t="n">
        <v>0</v>
      </c>
      <c r="N677" t="n">
        <v>0</v>
      </c>
      <c r="O677" t="n">
        <v>1</v>
      </c>
      <c r="P677" t="n">
        <v>0</v>
      </c>
      <c r="Q677" t="n">
        <v>1</v>
      </c>
      <c r="R677" s="2" t="inlineStr">
        <is>
          <t>Skrovlig taggsvamp</t>
        </is>
      </c>
      <c r="S677">
        <f>HYPERLINK("https://klasma.github.io/Logging_2514/artfynd/A 31232-2021 artfynd.xlsx", "A 31232-2021")</f>
        <v/>
      </c>
      <c r="T677">
        <f>HYPERLINK("https://klasma.github.io/Logging_2514/kartor/A 31232-2021 karta.png", "A 31232-2021")</f>
        <v/>
      </c>
      <c r="V677">
        <f>HYPERLINK("https://klasma.github.io/Logging_2514/klagomål/A 31232-2021 FSC-klagomål.docx", "A 31232-2021")</f>
        <v/>
      </c>
      <c r="W677">
        <f>HYPERLINK("https://klasma.github.io/Logging_2514/klagomålsmail/A 31232-2021 FSC-klagomål mail.docx", "A 31232-2021")</f>
        <v/>
      </c>
      <c r="X677">
        <f>HYPERLINK("https://klasma.github.io/Logging_2514/tillsyn/A 31232-2021 tillsynsbegäran.docx", "A 31232-2021")</f>
        <v/>
      </c>
      <c r="Y677">
        <f>HYPERLINK("https://klasma.github.io/Logging_2514/tillsynsmail/A 31232-2021 tillsynsbegäran mail.docx", "A 31232-2021")</f>
        <v/>
      </c>
    </row>
    <row r="678" ht="15" customHeight="1">
      <c r="A678" t="inlineStr">
        <is>
          <t>A 36594-2021</t>
        </is>
      </c>
      <c r="B678" s="1" t="n">
        <v>44391</v>
      </c>
      <c r="C678" s="1" t="n">
        <v>45662</v>
      </c>
      <c r="D678" t="inlineStr">
        <is>
          <t>NORRBOTTENS LÄN</t>
        </is>
      </c>
      <c r="E678" t="inlineStr">
        <is>
          <t>JOKKMOKK</t>
        </is>
      </c>
      <c r="F678" t="inlineStr">
        <is>
          <t>Sveaskog</t>
        </is>
      </c>
      <c r="G678" t="n">
        <v>5.8</v>
      </c>
      <c r="H678" t="n">
        <v>1</v>
      </c>
      <c r="I678" t="n">
        <v>0</v>
      </c>
      <c r="J678" t="n">
        <v>0</v>
      </c>
      <c r="K678" t="n">
        <v>1</v>
      </c>
      <c r="L678" t="n">
        <v>0</v>
      </c>
      <c r="M678" t="n">
        <v>0</v>
      </c>
      <c r="N678" t="n">
        <v>0</v>
      </c>
      <c r="O678" t="n">
        <v>1</v>
      </c>
      <c r="P678" t="n">
        <v>1</v>
      </c>
      <c r="Q678" t="n">
        <v>1</v>
      </c>
      <c r="R678" s="2" t="inlineStr">
        <is>
          <t>Doftticka</t>
        </is>
      </c>
      <c r="S678">
        <f>HYPERLINK("https://klasma.github.io/Logging_2510/artfynd/A 36594-2021 artfynd.xlsx", "A 36594-2021")</f>
        <v/>
      </c>
      <c r="T678">
        <f>HYPERLINK("https://klasma.github.io/Logging_2510/kartor/A 36594-2021 karta.png", "A 36594-2021")</f>
        <v/>
      </c>
      <c r="V678">
        <f>HYPERLINK("https://klasma.github.io/Logging_2510/klagomål/A 36594-2021 FSC-klagomål.docx", "A 36594-2021")</f>
        <v/>
      </c>
      <c r="W678">
        <f>HYPERLINK("https://klasma.github.io/Logging_2510/klagomålsmail/A 36594-2021 FSC-klagomål mail.docx", "A 36594-2021")</f>
        <v/>
      </c>
      <c r="X678">
        <f>HYPERLINK("https://klasma.github.io/Logging_2510/tillsyn/A 36594-2021 tillsynsbegäran.docx", "A 36594-2021")</f>
        <v/>
      </c>
      <c r="Y678">
        <f>HYPERLINK("https://klasma.github.io/Logging_2510/tillsynsmail/A 36594-2021 tillsynsbegäran mail.docx", "A 36594-2021")</f>
        <v/>
      </c>
    </row>
    <row r="679" ht="15" customHeight="1">
      <c r="A679" t="inlineStr">
        <is>
          <t>A 39289-2021</t>
        </is>
      </c>
      <c r="B679" s="1" t="n">
        <v>44413</v>
      </c>
      <c r="C679" s="1" t="n">
        <v>45662</v>
      </c>
      <c r="D679" t="inlineStr">
        <is>
          <t>NORRBOTTENS LÄN</t>
        </is>
      </c>
      <c r="E679" t="inlineStr">
        <is>
          <t>PAJALA</t>
        </is>
      </c>
      <c r="F679" t="inlineStr">
        <is>
          <t>Sveaskog</t>
        </is>
      </c>
      <c r="G679" t="n">
        <v>10.7</v>
      </c>
      <c r="H679" t="n">
        <v>1</v>
      </c>
      <c r="I679" t="n">
        <v>0</v>
      </c>
      <c r="J679" t="n">
        <v>0</v>
      </c>
      <c r="K679" t="n">
        <v>0</v>
      </c>
      <c r="L679" t="n">
        <v>0</v>
      </c>
      <c r="M679" t="n">
        <v>0</v>
      </c>
      <c r="N679" t="n">
        <v>0</v>
      </c>
      <c r="O679" t="n">
        <v>0</v>
      </c>
      <c r="P679" t="n">
        <v>0</v>
      </c>
      <c r="Q679" t="n">
        <v>1</v>
      </c>
      <c r="R679" s="2" t="inlineStr">
        <is>
          <t>Revlummer</t>
        </is>
      </c>
      <c r="S679">
        <f>HYPERLINK("https://klasma.github.io/Logging_2521/artfynd/A 39289-2021 artfynd.xlsx", "A 39289-2021")</f>
        <v/>
      </c>
      <c r="T679">
        <f>HYPERLINK("https://klasma.github.io/Logging_2521/kartor/A 39289-2021 karta.png", "A 39289-2021")</f>
        <v/>
      </c>
      <c r="V679">
        <f>HYPERLINK("https://klasma.github.io/Logging_2521/klagomål/A 39289-2021 FSC-klagomål.docx", "A 39289-2021")</f>
        <v/>
      </c>
      <c r="W679">
        <f>HYPERLINK("https://klasma.github.io/Logging_2521/klagomålsmail/A 39289-2021 FSC-klagomål mail.docx", "A 39289-2021")</f>
        <v/>
      </c>
      <c r="X679">
        <f>HYPERLINK("https://klasma.github.io/Logging_2521/tillsyn/A 39289-2021 tillsynsbegäran.docx", "A 39289-2021")</f>
        <v/>
      </c>
      <c r="Y679">
        <f>HYPERLINK("https://klasma.github.io/Logging_2521/tillsynsmail/A 39289-2021 tillsynsbegäran mail.docx", "A 39289-2021")</f>
        <v/>
      </c>
    </row>
    <row r="680" ht="15" customHeight="1">
      <c r="A680" t="inlineStr">
        <is>
          <t>A 40208-2021</t>
        </is>
      </c>
      <c r="B680" s="1" t="n">
        <v>44418</v>
      </c>
      <c r="C680" s="1" t="n">
        <v>45662</v>
      </c>
      <c r="D680" t="inlineStr">
        <is>
          <t>NORRBOTTENS LÄN</t>
        </is>
      </c>
      <c r="E680" t="inlineStr">
        <is>
          <t>ÖVERTORNEÅ</t>
        </is>
      </c>
      <c r="G680" t="n">
        <v>5.7</v>
      </c>
      <c r="H680" t="n">
        <v>0</v>
      </c>
      <c r="I680" t="n">
        <v>0</v>
      </c>
      <c r="J680" t="n">
        <v>1</v>
      </c>
      <c r="K680" t="n">
        <v>0</v>
      </c>
      <c r="L680" t="n">
        <v>0</v>
      </c>
      <c r="M680" t="n">
        <v>0</v>
      </c>
      <c r="N680" t="n">
        <v>0</v>
      </c>
      <c r="O680" t="n">
        <v>1</v>
      </c>
      <c r="P680" t="n">
        <v>0</v>
      </c>
      <c r="Q680" t="n">
        <v>1</v>
      </c>
      <c r="R680" s="2" t="inlineStr">
        <is>
          <t>Älvstarr</t>
        </is>
      </c>
      <c r="S680">
        <f>HYPERLINK("https://klasma.github.io/Logging_2518/artfynd/A 40208-2021 artfynd.xlsx", "A 40208-2021")</f>
        <v/>
      </c>
      <c r="T680">
        <f>HYPERLINK("https://klasma.github.io/Logging_2518/kartor/A 40208-2021 karta.png", "A 40208-2021")</f>
        <v/>
      </c>
      <c r="V680">
        <f>HYPERLINK("https://klasma.github.io/Logging_2518/klagomål/A 40208-2021 FSC-klagomål.docx", "A 40208-2021")</f>
        <v/>
      </c>
      <c r="W680">
        <f>HYPERLINK("https://klasma.github.io/Logging_2518/klagomålsmail/A 40208-2021 FSC-klagomål mail.docx", "A 40208-2021")</f>
        <v/>
      </c>
      <c r="X680">
        <f>HYPERLINK("https://klasma.github.io/Logging_2518/tillsyn/A 40208-2021 tillsynsbegäran.docx", "A 40208-2021")</f>
        <v/>
      </c>
      <c r="Y680">
        <f>HYPERLINK("https://klasma.github.io/Logging_2518/tillsynsmail/A 40208-2021 tillsynsbegäran mail.docx", "A 40208-2021")</f>
        <v/>
      </c>
    </row>
    <row r="681" ht="15" customHeight="1">
      <c r="A681" t="inlineStr">
        <is>
          <t>A 40779-2021</t>
        </is>
      </c>
      <c r="B681" s="1" t="n">
        <v>44421</v>
      </c>
      <c r="C681" s="1" t="n">
        <v>45662</v>
      </c>
      <c r="D681" t="inlineStr">
        <is>
          <t>NORRBOTTENS LÄN</t>
        </is>
      </c>
      <c r="E681" t="inlineStr">
        <is>
          <t>BODEN</t>
        </is>
      </c>
      <c r="F681" t="inlineStr">
        <is>
          <t>Sveaskog</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HYPERLINK("https://klasma.github.io/Logging_2582/artfynd/A 40779-2021 artfynd.xlsx", "A 40779-2021")</f>
        <v/>
      </c>
      <c r="T681">
        <f>HYPERLINK("https://klasma.github.io/Logging_2582/kartor/A 40779-2021 karta.png", "A 40779-2021")</f>
        <v/>
      </c>
      <c r="V681">
        <f>HYPERLINK("https://klasma.github.io/Logging_2582/klagomål/A 40779-2021 FSC-klagomål.docx", "A 40779-2021")</f>
        <v/>
      </c>
      <c r="W681">
        <f>HYPERLINK("https://klasma.github.io/Logging_2582/klagomålsmail/A 40779-2021 FSC-klagomål mail.docx", "A 40779-2021")</f>
        <v/>
      </c>
      <c r="X681">
        <f>HYPERLINK("https://klasma.github.io/Logging_2582/tillsyn/A 40779-2021 tillsynsbegäran.docx", "A 40779-2021")</f>
        <v/>
      </c>
      <c r="Y681">
        <f>HYPERLINK("https://klasma.github.io/Logging_2582/tillsynsmail/A 40779-2021 tillsynsbegäran mail.docx", "A 40779-2021")</f>
        <v/>
      </c>
    </row>
    <row r="682" ht="15" customHeight="1">
      <c r="A682" t="inlineStr">
        <is>
          <t>A 43092-2021</t>
        </is>
      </c>
      <c r="B682" s="1" t="n">
        <v>44431</v>
      </c>
      <c r="C682" s="1" t="n">
        <v>45662</v>
      </c>
      <c r="D682" t="inlineStr">
        <is>
          <t>NORRBOTTENS LÄN</t>
        </is>
      </c>
      <c r="E682" t="inlineStr">
        <is>
          <t>GÄLLIVARE</t>
        </is>
      </c>
      <c r="G682" t="n">
        <v>0.9</v>
      </c>
      <c r="H682" t="n">
        <v>1</v>
      </c>
      <c r="I682" t="n">
        <v>0</v>
      </c>
      <c r="J682" t="n">
        <v>1</v>
      </c>
      <c r="K682" t="n">
        <v>0</v>
      </c>
      <c r="L682" t="n">
        <v>0</v>
      </c>
      <c r="M682" t="n">
        <v>0</v>
      </c>
      <c r="N682" t="n">
        <v>0</v>
      </c>
      <c r="O682" t="n">
        <v>1</v>
      </c>
      <c r="P682" t="n">
        <v>0</v>
      </c>
      <c r="Q682" t="n">
        <v>1</v>
      </c>
      <c r="R682" s="2" t="inlineStr">
        <is>
          <t>Utter</t>
        </is>
      </c>
      <c r="S682">
        <f>HYPERLINK("https://klasma.github.io/Logging_2523/artfynd/A 43092-2021 artfynd.xlsx", "A 43092-2021")</f>
        <v/>
      </c>
      <c r="T682">
        <f>HYPERLINK("https://klasma.github.io/Logging_2523/kartor/A 43092-2021 karta.png", "A 43092-2021")</f>
        <v/>
      </c>
      <c r="V682">
        <f>HYPERLINK("https://klasma.github.io/Logging_2523/klagomål/A 43092-2021 FSC-klagomål.docx", "A 43092-2021")</f>
        <v/>
      </c>
      <c r="W682">
        <f>HYPERLINK("https://klasma.github.io/Logging_2523/klagomålsmail/A 43092-2021 FSC-klagomål mail.docx", "A 43092-2021")</f>
        <v/>
      </c>
      <c r="X682">
        <f>HYPERLINK("https://klasma.github.io/Logging_2523/tillsyn/A 43092-2021 tillsynsbegäran.docx", "A 43092-2021")</f>
        <v/>
      </c>
      <c r="Y682">
        <f>HYPERLINK("https://klasma.github.io/Logging_2523/tillsynsmail/A 43092-2021 tillsynsbegäran mail.docx", "A 43092-2021")</f>
        <v/>
      </c>
    </row>
    <row r="683" ht="15" customHeight="1">
      <c r="A683" t="inlineStr">
        <is>
          <t>A 43680-2021</t>
        </is>
      </c>
      <c r="B683" s="1" t="n">
        <v>44433</v>
      </c>
      <c r="C683" s="1" t="n">
        <v>45662</v>
      </c>
      <c r="D683" t="inlineStr">
        <is>
          <t>NORRBOTTENS LÄN</t>
        </is>
      </c>
      <c r="E683" t="inlineStr">
        <is>
          <t>ÖVERKALIX</t>
        </is>
      </c>
      <c r="F683" t="inlineStr">
        <is>
          <t>Sveaskog</t>
        </is>
      </c>
      <c r="G683" t="n">
        <v>5.4</v>
      </c>
      <c r="H683" t="n">
        <v>0</v>
      </c>
      <c r="I683" t="n">
        <v>0</v>
      </c>
      <c r="J683" t="n">
        <v>1</v>
      </c>
      <c r="K683" t="n">
        <v>0</v>
      </c>
      <c r="L683" t="n">
        <v>0</v>
      </c>
      <c r="M683" t="n">
        <v>0</v>
      </c>
      <c r="N683" t="n">
        <v>0</v>
      </c>
      <c r="O683" t="n">
        <v>1</v>
      </c>
      <c r="P683" t="n">
        <v>0</v>
      </c>
      <c r="Q683" t="n">
        <v>1</v>
      </c>
      <c r="R683" s="2" t="inlineStr">
        <is>
          <t>Gammelgransskål</t>
        </is>
      </c>
      <c r="S683">
        <f>HYPERLINK("https://klasma.github.io/Logging_2513/artfynd/A 43680-2021 artfynd.xlsx", "A 43680-2021")</f>
        <v/>
      </c>
      <c r="T683">
        <f>HYPERLINK("https://klasma.github.io/Logging_2513/kartor/A 43680-2021 karta.png", "A 43680-2021")</f>
        <v/>
      </c>
      <c r="V683">
        <f>HYPERLINK("https://klasma.github.io/Logging_2513/klagomål/A 43680-2021 FSC-klagomål.docx", "A 43680-2021")</f>
        <v/>
      </c>
      <c r="W683">
        <f>HYPERLINK("https://klasma.github.io/Logging_2513/klagomålsmail/A 43680-2021 FSC-klagomål mail.docx", "A 43680-2021")</f>
        <v/>
      </c>
      <c r="X683">
        <f>HYPERLINK("https://klasma.github.io/Logging_2513/tillsyn/A 43680-2021 tillsynsbegäran.docx", "A 43680-2021")</f>
        <v/>
      </c>
      <c r="Y683">
        <f>HYPERLINK("https://klasma.github.io/Logging_2513/tillsynsmail/A 43680-2021 tillsynsbegäran mail.docx", "A 43680-2021")</f>
        <v/>
      </c>
    </row>
    <row r="684" ht="15" customHeight="1">
      <c r="A684" t="inlineStr">
        <is>
          <t>A 45017-2021</t>
        </is>
      </c>
      <c r="B684" s="1" t="n">
        <v>44438</v>
      </c>
      <c r="C684" s="1" t="n">
        <v>45662</v>
      </c>
      <c r="D684" t="inlineStr">
        <is>
          <t>NORRBOTTENS LÄN</t>
        </is>
      </c>
      <c r="E684" t="inlineStr">
        <is>
          <t>GÄLLIVARE</t>
        </is>
      </c>
      <c r="F684" t="inlineStr">
        <is>
          <t>SCA</t>
        </is>
      </c>
      <c r="G684" t="n">
        <v>4.8</v>
      </c>
      <c r="H684" t="n">
        <v>0</v>
      </c>
      <c r="I684" t="n">
        <v>0</v>
      </c>
      <c r="J684" t="n">
        <v>1</v>
      </c>
      <c r="K684" t="n">
        <v>0</v>
      </c>
      <c r="L684" t="n">
        <v>0</v>
      </c>
      <c r="M684" t="n">
        <v>0</v>
      </c>
      <c r="N684" t="n">
        <v>0</v>
      </c>
      <c r="O684" t="n">
        <v>1</v>
      </c>
      <c r="P684" t="n">
        <v>0</v>
      </c>
      <c r="Q684" t="n">
        <v>1</v>
      </c>
      <c r="R684" s="2" t="inlineStr">
        <is>
          <t>Garnlav</t>
        </is>
      </c>
      <c r="S684">
        <f>HYPERLINK("https://klasma.github.io/Logging_2523/artfynd/A 45017-2021 artfynd.xlsx", "A 45017-2021")</f>
        <v/>
      </c>
      <c r="T684">
        <f>HYPERLINK("https://klasma.github.io/Logging_2523/kartor/A 45017-2021 karta.png", "A 45017-2021")</f>
        <v/>
      </c>
      <c r="V684">
        <f>HYPERLINK("https://klasma.github.io/Logging_2523/klagomål/A 45017-2021 FSC-klagomål.docx", "A 45017-2021")</f>
        <v/>
      </c>
      <c r="W684">
        <f>HYPERLINK("https://klasma.github.io/Logging_2523/klagomålsmail/A 45017-2021 FSC-klagomål mail.docx", "A 45017-2021")</f>
        <v/>
      </c>
      <c r="X684">
        <f>HYPERLINK("https://klasma.github.io/Logging_2523/tillsyn/A 45017-2021 tillsynsbegäran.docx", "A 45017-2021")</f>
        <v/>
      </c>
      <c r="Y684">
        <f>HYPERLINK("https://klasma.github.io/Logging_2523/tillsynsmail/A 45017-2021 tillsynsbegäran mail.docx", "A 45017-2021")</f>
        <v/>
      </c>
    </row>
    <row r="685" ht="15" customHeight="1">
      <c r="A685" t="inlineStr">
        <is>
          <t>A 46425-2021</t>
        </is>
      </c>
      <c r="B685" s="1" t="n">
        <v>44445</v>
      </c>
      <c r="C685" s="1" t="n">
        <v>45662</v>
      </c>
      <c r="D685" t="inlineStr">
        <is>
          <t>NORRBOTTENS LÄN</t>
        </is>
      </c>
      <c r="E685" t="inlineStr">
        <is>
          <t>BODEN</t>
        </is>
      </c>
      <c r="F685" t="inlineStr">
        <is>
          <t>Sveaskog</t>
        </is>
      </c>
      <c r="G685" t="n">
        <v>4.1</v>
      </c>
      <c r="H685" t="n">
        <v>1</v>
      </c>
      <c r="I685" t="n">
        <v>0</v>
      </c>
      <c r="J685" t="n">
        <v>1</v>
      </c>
      <c r="K685" t="n">
        <v>0</v>
      </c>
      <c r="L685" t="n">
        <v>0</v>
      </c>
      <c r="M685" t="n">
        <v>0</v>
      </c>
      <c r="N685" t="n">
        <v>0</v>
      </c>
      <c r="O685" t="n">
        <v>1</v>
      </c>
      <c r="P685" t="n">
        <v>0</v>
      </c>
      <c r="Q685" t="n">
        <v>1</v>
      </c>
      <c r="R685" s="2" t="inlineStr">
        <is>
          <t>Rödvingetrast</t>
        </is>
      </c>
      <c r="S685">
        <f>HYPERLINK("https://klasma.github.io/Logging_2582/artfynd/A 46425-2021 artfynd.xlsx", "A 46425-2021")</f>
        <v/>
      </c>
      <c r="T685">
        <f>HYPERLINK("https://klasma.github.io/Logging_2582/kartor/A 46425-2021 karta.png", "A 46425-2021")</f>
        <v/>
      </c>
      <c r="V685">
        <f>HYPERLINK("https://klasma.github.io/Logging_2582/klagomål/A 46425-2021 FSC-klagomål.docx", "A 46425-2021")</f>
        <v/>
      </c>
      <c r="W685">
        <f>HYPERLINK("https://klasma.github.io/Logging_2582/klagomålsmail/A 46425-2021 FSC-klagomål mail.docx", "A 46425-2021")</f>
        <v/>
      </c>
      <c r="X685">
        <f>HYPERLINK("https://klasma.github.io/Logging_2582/tillsyn/A 46425-2021 tillsynsbegäran.docx", "A 46425-2021")</f>
        <v/>
      </c>
      <c r="Y685">
        <f>HYPERLINK("https://klasma.github.io/Logging_2582/tillsynsmail/A 46425-2021 tillsynsbegäran mail.docx", "A 46425-2021")</f>
        <v/>
      </c>
      <c r="Z685">
        <f>HYPERLINK("https://klasma.github.io/Logging_2582/fåglar/A 46425-2021 prioriterade fågelarter.docx", "A 46425-2021")</f>
        <v/>
      </c>
    </row>
    <row r="686" ht="15" customHeight="1">
      <c r="A686" t="inlineStr">
        <is>
          <t>A 47030-2021</t>
        </is>
      </c>
      <c r="B686" s="1" t="n">
        <v>44446</v>
      </c>
      <c r="C686" s="1" t="n">
        <v>45662</v>
      </c>
      <c r="D686" t="inlineStr">
        <is>
          <t>NORRBOTTENS LÄN</t>
        </is>
      </c>
      <c r="E686" t="inlineStr">
        <is>
          <t>BODEN</t>
        </is>
      </c>
      <c r="G686" t="n">
        <v>3.3</v>
      </c>
      <c r="H686" t="n">
        <v>1</v>
      </c>
      <c r="I686" t="n">
        <v>0</v>
      </c>
      <c r="J686" t="n">
        <v>1</v>
      </c>
      <c r="K686" t="n">
        <v>0</v>
      </c>
      <c r="L686" t="n">
        <v>0</v>
      </c>
      <c r="M686" t="n">
        <v>0</v>
      </c>
      <c r="N686" t="n">
        <v>0</v>
      </c>
      <c r="O686" t="n">
        <v>1</v>
      </c>
      <c r="P686" t="n">
        <v>0</v>
      </c>
      <c r="Q686" t="n">
        <v>1</v>
      </c>
      <c r="R686" s="2" t="inlineStr">
        <is>
          <t>Svartvit flugsnappare</t>
        </is>
      </c>
      <c r="S686">
        <f>HYPERLINK("https://klasma.github.io/Logging_2582/artfynd/A 47030-2021 artfynd.xlsx", "A 47030-2021")</f>
        <v/>
      </c>
      <c r="T686">
        <f>HYPERLINK("https://klasma.github.io/Logging_2582/kartor/A 47030-2021 karta.png", "A 47030-2021")</f>
        <v/>
      </c>
      <c r="V686">
        <f>HYPERLINK("https://klasma.github.io/Logging_2582/klagomål/A 47030-2021 FSC-klagomål.docx", "A 47030-2021")</f>
        <v/>
      </c>
      <c r="W686">
        <f>HYPERLINK("https://klasma.github.io/Logging_2582/klagomålsmail/A 47030-2021 FSC-klagomål mail.docx", "A 47030-2021")</f>
        <v/>
      </c>
      <c r="X686">
        <f>HYPERLINK("https://klasma.github.io/Logging_2582/tillsyn/A 47030-2021 tillsynsbegäran.docx", "A 47030-2021")</f>
        <v/>
      </c>
      <c r="Y686">
        <f>HYPERLINK("https://klasma.github.io/Logging_2582/tillsynsmail/A 47030-2021 tillsynsbegäran mail.docx", "A 47030-2021")</f>
        <v/>
      </c>
      <c r="Z686">
        <f>HYPERLINK("https://klasma.github.io/Logging_2582/fåglar/A 47030-2021 prioriterade fågelarter.docx", "A 47030-2021")</f>
        <v/>
      </c>
    </row>
    <row r="687" ht="15" customHeight="1">
      <c r="A687" t="inlineStr">
        <is>
          <t>A 50085-2021</t>
        </is>
      </c>
      <c r="B687" s="1" t="n">
        <v>44456</v>
      </c>
      <c r="C687" s="1" t="n">
        <v>45662</v>
      </c>
      <c r="D687" t="inlineStr">
        <is>
          <t>NORRBOTTENS LÄN</t>
        </is>
      </c>
      <c r="E687" t="inlineStr">
        <is>
          <t>LULEÅ</t>
        </is>
      </c>
      <c r="F687" t="inlineStr">
        <is>
          <t>Sveaskog</t>
        </is>
      </c>
      <c r="G687" t="n">
        <v>5.1</v>
      </c>
      <c r="H687" t="n">
        <v>0</v>
      </c>
      <c r="I687" t="n">
        <v>0</v>
      </c>
      <c r="J687" t="n">
        <v>1</v>
      </c>
      <c r="K687" t="n">
        <v>0</v>
      </c>
      <c r="L687" t="n">
        <v>0</v>
      </c>
      <c r="M687" t="n">
        <v>0</v>
      </c>
      <c r="N687" t="n">
        <v>0</v>
      </c>
      <c r="O687" t="n">
        <v>1</v>
      </c>
      <c r="P687" t="n">
        <v>0</v>
      </c>
      <c r="Q687" t="n">
        <v>1</v>
      </c>
      <c r="R687" s="2" t="inlineStr">
        <is>
          <t>Granticka</t>
        </is>
      </c>
      <c r="S687">
        <f>HYPERLINK("https://klasma.github.io/Logging_2580/artfynd/A 50085-2021 artfynd.xlsx", "A 50085-2021")</f>
        <v/>
      </c>
      <c r="T687">
        <f>HYPERLINK("https://klasma.github.io/Logging_2580/kartor/A 50085-2021 karta.png", "A 50085-2021")</f>
        <v/>
      </c>
      <c r="V687">
        <f>HYPERLINK("https://klasma.github.io/Logging_2580/klagomål/A 50085-2021 FSC-klagomål.docx", "A 50085-2021")</f>
        <v/>
      </c>
      <c r="W687">
        <f>HYPERLINK("https://klasma.github.io/Logging_2580/klagomålsmail/A 50085-2021 FSC-klagomål mail.docx", "A 50085-2021")</f>
        <v/>
      </c>
      <c r="X687">
        <f>HYPERLINK("https://klasma.github.io/Logging_2580/tillsyn/A 50085-2021 tillsynsbegäran.docx", "A 50085-2021")</f>
        <v/>
      </c>
      <c r="Y687">
        <f>HYPERLINK("https://klasma.github.io/Logging_2580/tillsynsmail/A 50085-2021 tillsynsbegäran mail.docx", "A 50085-2021")</f>
        <v/>
      </c>
    </row>
    <row r="688" ht="15" customHeight="1">
      <c r="A688" t="inlineStr">
        <is>
          <t>A 56067-2021</t>
        </is>
      </c>
      <c r="B688" s="1" t="n">
        <v>44477</v>
      </c>
      <c r="C688" s="1" t="n">
        <v>45662</v>
      </c>
      <c r="D688" t="inlineStr">
        <is>
          <t>NORRBOTTENS LÄN</t>
        </is>
      </c>
      <c r="E688" t="inlineStr">
        <is>
          <t>LULEÅ</t>
        </is>
      </c>
      <c r="F688" t="inlineStr">
        <is>
          <t>Sveaskog</t>
        </is>
      </c>
      <c r="G688" t="n">
        <v>1.3</v>
      </c>
      <c r="H688" t="n">
        <v>0</v>
      </c>
      <c r="I688" t="n">
        <v>1</v>
      </c>
      <c r="J688" t="n">
        <v>0</v>
      </c>
      <c r="K688" t="n">
        <v>0</v>
      </c>
      <c r="L688" t="n">
        <v>0</v>
      </c>
      <c r="M688" t="n">
        <v>0</v>
      </c>
      <c r="N688" t="n">
        <v>0</v>
      </c>
      <c r="O688" t="n">
        <v>0</v>
      </c>
      <c r="P688" t="n">
        <v>0</v>
      </c>
      <c r="Q688" t="n">
        <v>1</v>
      </c>
      <c r="R688" s="2" t="inlineStr">
        <is>
          <t>Zontaggsvamp</t>
        </is>
      </c>
      <c r="S688">
        <f>HYPERLINK("https://klasma.github.io/Logging_2580/artfynd/A 56067-2021 artfynd.xlsx", "A 56067-2021")</f>
        <v/>
      </c>
      <c r="T688">
        <f>HYPERLINK("https://klasma.github.io/Logging_2580/kartor/A 56067-2021 karta.png", "A 56067-2021")</f>
        <v/>
      </c>
      <c r="V688">
        <f>HYPERLINK("https://klasma.github.io/Logging_2580/klagomål/A 56067-2021 FSC-klagomål.docx", "A 56067-2021")</f>
        <v/>
      </c>
      <c r="W688">
        <f>HYPERLINK("https://klasma.github.io/Logging_2580/klagomålsmail/A 56067-2021 FSC-klagomål mail.docx", "A 56067-2021")</f>
        <v/>
      </c>
      <c r="X688">
        <f>HYPERLINK("https://klasma.github.io/Logging_2580/tillsyn/A 56067-2021 tillsynsbegäran.docx", "A 56067-2021")</f>
        <v/>
      </c>
      <c r="Y688">
        <f>HYPERLINK("https://klasma.github.io/Logging_2580/tillsynsmail/A 56067-2021 tillsynsbegäran mail.docx", "A 56067-2021")</f>
        <v/>
      </c>
    </row>
    <row r="689" ht="15" customHeight="1">
      <c r="A689" t="inlineStr">
        <is>
          <t>A 57535-2021</t>
        </is>
      </c>
      <c r="B689" s="1" t="n">
        <v>44483</v>
      </c>
      <c r="C689" s="1" t="n">
        <v>45662</v>
      </c>
      <c r="D689" t="inlineStr">
        <is>
          <t>NORRBOTTENS LÄN</t>
        </is>
      </c>
      <c r="E689" t="inlineStr">
        <is>
          <t>GÄLLIVARE</t>
        </is>
      </c>
      <c r="G689" t="n">
        <v>20.6</v>
      </c>
      <c r="H689" t="n">
        <v>1</v>
      </c>
      <c r="I689" t="n">
        <v>0</v>
      </c>
      <c r="J689" t="n">
        <v>0</v>
      </c>
      <c r="K689" t="n">
        <v>0</v>
      </c>
      <c r="L689" t="n">
        <v>0</v>
      </c>
      <c r="M689" t="n">
        <v>0</v>
      </c>
      <c r="N689" t="n">
        <v>0</v>
      </c>
      <c r="O689" t="n">
        <v>0</v>
      </c>
      <c r="P689" t="n">
        <v>0</v>
      </c>
      <c r="Q689" t="n">
        <v>1</v>
      </c>
      <c r="R689" s="2" t="inlineStr">
        <is>
          <t>Revlummer</t>
        </is>
      </c>
      <c r="S689">
        <f>HYPERLINK("https://klasma.github.io/Logging_2523/artfynd/A 57535-2021 artfynd.xlsx", "A 57535-2021")</f>
        <v/>
      </c>
      <c r="T689">
        <f>HYPERLINK("https://klasma.github.io/Logging_2523/kartor/A 57535-2021 karta.png", "A 57535-2021")</f>
        <v/>
      </c>
      <c r="V689">
        <f>HYPERLINK("https://klasma.github.io/Logging_2523/klagomål/A 57535-2021 FSC-klagomål.docx", "A 57535-2021")</f>
        <v/>
      </c>
      <c r="W689">
        <f>HYPERLINK("https://klasma.github.io/Logging_2523/klagomålsmail/A 57535-2021 FSC-klagomål mail.docx", "A 57535-2021")</f>
        <v/>
      </c>
      <c r="X689">
        <f>HYPERLINK("https://klasma.github.io/Logging_2523/tillsyn/A 57535-2021 tillsynsbegäran.docx", "A 57535-2021")</f>
        <v/>
      </c>
      <c r="Y689">
        <f>HYPERLINK("https://klasma.github.io/Logging_2523/tillsynsmail/A 57535-2021 tillsynsbegäran mail.docx", "A 57535-2021")</f>
        <v/>
      </c>
    </row>
    <row r="690" ht="15" customHeight="1">
      <c r="A690" t="inlineStr">
        <is>
          <t>A 57926-2021</t>
        </is>
      </c>
      <c r="B690" s="1" t="n">
        <v>44487</v>
      </c>
      <c r="C690" s="1" t="n">
        <v>45662</v>
      </c>
      <c r="D690" t="inlineStr">
        <is>
          <t>NORRBOTTENS LÄN</t>
        </is>
      </c>
      <c r="E690" t="inlineStr">
        <is>
          <t>ARVIDSJAUR</t>
        </is>
      </c>
      <c r="F690" t="inlineStr">
        <is>
          <t>Sveaskog</t>
        </is>
      </c>
      <c r="G690" t="n">
        <v>28.6</v>
      </c>
      <c r="H690" t="n">
        <v>0</v>
      </c>
      <c r="I690" t="n">
        <v>0</v>
      </c>
      <c r="J690" t="n">
        <v>1</v>
      </c>
      <c r="K690" t="n">
        <v>0</v>
      </c>
      <c r="L690" t="n">
        <v>0</v>
      </c>
      <c r="M690" t="n">
        <v>0</v>
      </c>
      <c r="N690" t="n">
        <v>0</v>
      </c>
      <c r="O690" t="n">
        <v>1</v>
      </c>
      <c r="P690" t="n">
        <v>0</v>
      </c>
      <c r="Q690" t="n">
        <v>1</v>
      </c>
      <c r="R690" s="2" t="inlineStr">
        <is>
          <t>Tallticka</t>
        </is>
      </c>
      <c r="S690">
        <f>HYPERLINK("https://klasma.github.io/Logging_2505/artfynd/A 57926-2021 artfynd.xlsx", "A 57926-2021")</f>
        <v/>
      </c>
      <c r="T690">
        <f>HYPERLINK("https://klasma.github.io/Logging_2505/kartor/A 57926-2021 karta.png", "A 57926-2021")</f>
        <v/>
      </c>
      <c r="V690">
        <f>HYPERLINK("https://klasma.github.io/Logging_2505/klagomål/A 57926-2021 FSC-klagomål.docx", "A 57926-2021")</f>
        <v/>
      </c>
      <c r="W690">
        <f>HYPERLINK("https://klasma.github.io/Logging_2505/klagomålsmail/A 57926-2021 FSC-klagomål mail.docx", "A 57926-2021")</f>
        <v/>
      </c>
      <c r="X690">
        <f>HYPERLINK("https://klasma.github.io/Logging_2505/tillsyn/A 57926-2021 tillsynsbegäran.docx", "A 57926-2021")</f>
        <v/>
      </c>
      <c r="Y690">
        <f>HYPERLINK("https://klasma.github.io/Logging_2505/tillsynsmail/A 57926-2021 tillsynsbegäran mail.docx", "A 57926-2021")</f>
        <v/>
      </c>
    </row>
    <row r="691" ht="15" customHeight="1">
      <c r="A691" t="inlineStr">
        <is>
          <t>A 58201-2021</t>
        </is>
      </c>
      <c r="B691" s="1" t="n">
        <v>44487</v>
      </c>
      <c r="C691" s="1" t="n">
        <v>45662</v>
      </c>
      <c r="D691" t="inlineStr">
        <is>
          <t>NORRBOTTENS LÄN</t>
        </is>
      </c>
      <c r="E691" t="inlineStr">
        <is>
          <t>ÄLVSBYN</t>
        </is>
      </c>
      <c r="F691" t="inlineStr">
        <is>
          <t>Sveaskog</t>
        </is>
      </c>
      <c r="G691" t="n">
        <v>13.4</v>
      </c>
      <c r="H691" t="n">
        <v>1</v>
      </c>
      <c r="I691" t="n">
        <v>0</v>
      </c>
      <c r="J691" t="n">
        <v>0</v>
      </c>
      <c r="K691" t="n">
        <v>1</v>
      </c>
      <c r="L691" t="n">
        <v>0</v>
      </c>
      <c r="M691" t="n">
        <v>0</v>
      </c>
      <c r="N691" t="n">
        <v>0</v>
      </c>
      <c r="O691" t="n">
        <v>1</v>
      </c>
      <c r="P691" t="n">
        <v>1</v>
      </c>
      <c r="Q691" t="n">
        <v>1</v>
      </c>
      <c r="R691" s="2" t="inlineStr">
        <is>
          <t>Lappuggla</t>
        </is>
      </c>
      <c r="S691">
        <f>HYPERLINK("https://klasma.github.io/Logging_2560/artfynd/A 58201-2021 artfynd.xlsx", "A 58201-2021")</f>
        <v/>
      </c>
      <c r="T691">
        <f>HYPERLINK("https://klasma.github.io/Logging_2560/kartor/A 58201-2021 karta.png", "A 58201-2021")</f>
        <v/>
      </c>
      <c r="V691">
        <f>HYPERLINK("https://klasma.github.io/Logging_2560/klagomål/A 58201-2021 FSC-klagomål.docx", "A 58201-2021")</f>
        <v/>
      </c>
      <c r="W691">
        <f>HYPERLINK("https://klasma.github.io/Logging_2560/klagomålsmail/A 58201-2021 FSC-klagomål mail.docx", "A 58201-2021")</f>
        <v/>
      </c>
      <c r="X691">
        <f>HYPERLINK("https://klasma.github.io/Logging_2560/tillsyn/A 58201-2021 tillsynsbegäran.docx", "A 58201-2021")</f>
        <v/>
      </c>
      <c r="Y691">
        <f>HYPERLINK("https://klasma.github.io/Logging_2560/tillsynsmail/A 58201-2021 tillsynsbegäran mail.docx", "A 58201-2021")</f>
        <v/>
      </c>
      <c r="Z691">
        <f>HYPERLINK("https://klasma.github.io/Logging_2560/fåglar/A 58201-2021 prioriterade fågelarter.docx", "A 58201-2021")</f>
        <v/>
      </c>
    </row>
    <row r="692" ht="15" customHeight="1">
      <c r="A692" t="inlineStr">
        <is>
          <t>A 57994-2021</t>
        </is>
      </c>
      <c r="B692" s="1" t="n">
        <v>44487</v>
      </c>
      <c r="C692" s="1" t="n">
        <v>45662</v>
      </c>
      <c r="D692" t="inlineStr">
        <is>
          <t>NORRBOTTENS LÄN</t>
        </is>
      </c>
      <c r="E692" t="inlineStr">
        <is>
          <t>ARVIDSJAUR</t>
        </is>
      </c>
      <c r="F692" t="inlineStr">
        <is>
          <t>Sveaskog</t>
        </is>
      </c>
      <c r="G692" t="n">
        <v>12.9</v>
      </c>
      <c r="H692" t="n">
        <v>1</v>
      </c>
      <c r="I692" t="n">
        <v>0</v>
      </c>
      <c r="J692" t="n">
        <v>1</v>
      </c>
      <c r="K692" t="n">
        <v>0</v>
      </c>
      <c r="L692" t="n">
        <v>0</v>
      </c>
      <c r="M692" t="n">
        <v>0</v>
      </c>
      <c r="N692" t="n">
        <v>0</v>
      </c>
      <c r="O692" t="n">
        <v>1</v>
      </c>
      <c r="P692" t="n">
        <v>0</v>
      </c>
      <c r="Q692" t="n">
        <v>1</v>
      </c>
      <c r="R692" s="2" t="inlineStr">
        <is>
          <t>Kungsörn</t>
        </is>
      </c>
      <c r="S692">
        <f>HYPERLINK("https://klasma.github.io/Logging_2505/artfynd/A 57994-2021 artfynd.xlsx", "A 57994-2021")</f>
        <v/>
      </c>
      <c r="T692">
        <f>HYPERLINK("https://klasma.github.io/Logging_2505/kartor/A 57994-2021 karta.png", "A 57994-2021")</f>
        <v/>
      </c>
      <c r="V692">
        <f>HYPERLINK("https://klasma.github.io/Logging_2505/klagomål/A 57994-2021 FSC-klagomål.docx", "A 57994-2021")</f>
        <v/>
      </c>
      <c r="W692">
        <f>HYPERLINK("https://klasma.github.io/Logging_2505/klagomålsmail/A 57994-2021 FSC-klagomål mail.docx", "A 57994-2021")</f>
        <v/>
      </c>
      <c r="X692">
        <f>HYPERLINK("https://klasma.github.io/Logging_2505/tillsyn/A 57994-2021 tillsynsbegäran.docx", "A 57994-2021")</f>
        <v/>
      </c>
      <c r="Y692">
        <f>HYPERLINK("https://klasma.github.io/Logging_2505/tillsynsmail/A 57994-2021 tillsynsbegäran mail.docx", "A 57994-2021")</f>
        <v/>
      </c>
      <c r="Z692">
        <f>HYPERLINK("https://klasma.github.io/Logging_2505/fåglar/A 57994-2021 prioriterade fågelarter.docx", "A 57994-2021")</f>
        <v/>
      </c>
    </row>
    <row r="693" ht="15" customHeight="1">
      <c r="A693" t="inlineStr">
        <is>
          <t>A 60797-2021</t>
        </is>
      </c>
      <c r="B693" s="1" t="n">
        <v>44495</v>
      </c>
      <c r="C693" s="1" t="n">
        <v>45662</v>
      </c>
      <c r="D693" t="inlineStr">
        <is>
          <t>NORRBOTTENS LÄN</t>
        </is>
      </c>
      <c r="E693" t="inlineStr">
        <is>
          <t>PITEÅ</t>
        </is>
      </c>
      <c r="F693" t="inlineStr">
        <is>
          <t>Sveaskog</t>
        </is>
      </c>
      <c r="G693" t="n">
        <v>4.9</v>
      </c>
      <c r="H693" t="n">
        <v>0</v>
      </c>
      <c r="I693" t="n">
        <v>0</v>
      </c>
      <c r="J693" t="n">
        <v>1</v>
      </c>
      <c r="K693" t="n">
        <v>0</v>
      </c>
      <c r="L693" t="n">
        <v>0</v>
      </c>
      <c r="M693" t="n">
        <v>0</v>
      </c>
      <c r="N693" t="n">
        <v>0</v>
      </c>
      <c r="O693" t="n">
        <v>1</v>
      </c>
      <c r="P693" t="n">
        <v>0</v>
      </c>
      <c r="Q693" t="n">
        <v>1</v>
      </c>
      <c r="R693" s="2" t="inlineStr">
        <is>
          <t>Granticka</t>
        </is>
      </c>
      <c r="S693">
        <f>HYPERLINK("https://klasma.github.io/Logging_2581/artfynd/A 60797-2021 artfynd.xlsx", "A 60797-2021")</f>
        <v/>
      </c>
      <c r="T693">
        <f>HYPERLINK("https://klasma.github.io/Logging_2581/kartor/A 60797-2021 karta.png", "A 60797-2021")</f>
        <v/>
      </c>
      <c r="V693">
        <f>HYPERLINK("https://klasma.github.io/Logging_2581/klagomål/A 60797-2021 FSC-klagomål.docx", "A 60797-2021")</f>
        <v/>
      </c>
      <c r="W693">
        <f>HYPERLINK("https://klasma.github.io/Logging_2581/klagomålsmail/A 60797-2021 FSC-klagomål mail.docx", "A 60797-2021")</f>
        <v/>
      </c>
      <c r="X693">
        <f>HYPERLINK("https://klasma.github.io/Logging_2581/tillsyn/A 60797-2021 tillsynsbegäran.docx", "A 60797-2021")</f>
        <v/>
      </c>
      <c r="Y693">
        <f>HYPERLINK("https://klasma.github.io/Logging_2581/tillsynsmail/A 60797-2021 tillsynsbegäran mail.docx", "A 60797-2021")</f>
        <v/>
      </c>
    </row>
    <row r="694" ht="15" customHeight="1">
      <c r="A694" t="inlineStr">
        <is>
          <t>A 60546-2021</t>
        </is>
      </c>
      <c r="B694" s="1" t="n">
        <v>44496</v>
      </c>
      <c r="C694" s="1" t="n">
        <v>45662</v>
      </c>
      <c r="D694" t="inlineStr">
        <is>
          <t>NORRBOTTENS LÄN</t>
        </is>
      </c>
      <c r="E694" t="inlineStr">
        <is>
          <t>ÖVERKALIX</t>
        </is>
      </c>
      <c r="F694" t="inlineStr">
        <is>
          <t>Sveaskog</t>
        </is>
      </c>
      <c r="G694" t="n">
        <v>3</v>
      </c>
      <c r="H694" t="n">
        <v>0</v>
      </c>
      <c r="I694" t="n">
        <v>0</v>
      </c>
      <c r="J694" t="n">
        <v>1</v>
      </c>
      <c r="K694" t="n">
        <v>0</v>
      </c>
      <c r="L694" t="n">
        <v>0</v>
      </c>
      <c r="M694" t="n">
        <v>0</v>
      </c>
      <c r="N694" t="n">
        <v>0</v>
      </c>
      <c r="O694" t="n">
        <v>1</v>
      </c>
      <c r="P694" t="n">
        <v>0</v>
      </c>
      <c r="Q694" t="n">
        <v>1</v>
      </c>
      <c r="R694" s="2" t="inlineStr">
        <is>
          <t>Koralltaggsvamp</t>
        </is>
      </c>
      <c r="S694">
        <f>HYPERLINK("https://klasma.github.io/Logging_2513/artfynd/A 60546-2021 artfynd.xlsx", "A 60546-2021")</f>
        <v/>
      </c>
      <c r="T694">
        <f>HYPERLINK("https://klasma.github.io/Logging_2513/kartor/A 60546-2021 karta.png", "A 60546-2021")</f>
        <v/>
      </c>
      <c r="V694">
        <f>HYPERLINK("https://klasma.github.io/Logging_2513/klagomål/A 60546-2021 FSC-klagomål.docx", "A 60546-2021")</f>
        <v/>
      </c>
      <c r="W694">
        <f>HYPERLINK("https://klasma.github.io/Logging_2513/klagomålsmail/A 60546-2021 FSC-klagomål mail.docx", "A 60546-2021")</f>
        <v/>
      </c>
      <c r="X694">
        <f>HYPERLINK("https://klasma.github.io/Logging_2513/tillsyn/A 60546-2021 tillsynsbegäran.docx", "A 60546-2021")</f>
        <v/>
      </c>
      <c r="Y694">
        <f>HYPERLINK("https://klasma.github.io/Logging_2513/tillsynsmail/A 60546-2021 tillsynsbegäran mail.docx", "A 60546-2021")</f>
        <v/>
      </c>
    </row>
    <row r="695" ht="15" customHeight="1">
      <c r="A695" t="inlineStr">
        <is>
          <t>A 60509-2021</t>
        </is>
      </c>
      <c r="B695" s="1" t="n">
        <v>44496</v>
      </c>
      <c r="C695" s="1" t="n">
        <v>45662</v>
      </c>
      <c r="D695" t="inlineStr">
        <is>
          <t>NORRBOTTENS LÄN</t>
        </is>
      </c>
      <c r="E695" t="inlineStr">
        <is>
          <t>ÖVERKALIX</t>
        </is>
      </c>
      <c r="F695" t="inlineStr">
        <is>
          <t>Sveaskog</t>
        </is>
      </c>
      <c r="G695" t="n">
        <v>13.5</v>
      </c>
      <c r="H695" t="n">
        <v>0</v>
      </c>
      <c r="I695" t="n">
        <v>1</v>
      </c>
      <c r="J695" t="n">
        <v>0</v>
      </c>
      <c r="K695" t="n">
        <v>0</v>
      </c>
      <c r="L695" t="n">
        <v>0</v>
      </c>
      <c r="M695" t="n">
        <v>0</v>
      </c>
      <c r="N695" t="n">
        <v>0</v>
      </c>
      <c r="O695" t="n">
        <v>0</v>
      </c>
      <c r="P695" t="n">
        <v>0</v>
      </c>
      <c r="Q695" t="n">
        <v>1</v>
      </c>
      <c r="R695" s="2" t="inlineStr">
        <is>
          <t>Stor aspticka</t>
        </is>
      </c>
      <c r="S695">
        <f>HYPERLINK("https://klasma.github.io/Logging_2513/artfynd/A 60509-2021 artfynd.xlsx", "A 60509-2021")</f>
        <v/>
      </c>
      <c r="T695">
        <f>HYPERLINK("https://klasma.github.io/Logging_2513/kartor/A 60509-2021 karta.png", "A 60509-2021")</f>
        <v/>
      </c>
      <c r="V695">
        <f>HYPERLINK("https://klasma.github.io/Logging_2513/klagomål/A 60509-2021 FSC-klagomål.docx", "A 60509-2021")</f>
        <v/>
      </c>
      <c r="W695">
        <f>HYPERLINK("https://klasma.github.io/Logging_2513/klagomålsmail/A 60509-2021 FSC-klagomål mail.docx", "A 60509-2021")</f>
        <v/>
      </c>
      <c r="X695">
        <f>HYPERLINK("https://klasma.github.io/Logging_2513/tillsyn/A 60509-2021 tillsynsbegäran.docx", "A 60509-2021")</f>
        <v/>
      </c>
      <c r="Y695">
        <f>HYPERLINK("https://klasma.github.io/Logging_2513/tillsynsmail/A 60509-2021 tillsynsbegäran mail.docx", "A 60509-2021")</f>
        <v/>
      </c>
    </row>
    <row r="696" ht="15" customHeight="1">
      <c r="A696" t="inlineStr">
        <is>
          <t>A 60597-2021</t>
        </is>
      </c>
      <c r="B696" s="1" t="n">
        <v>44496</v>
      </c>
      <c r="C696" s="1" t="n">
        <v>45662</v>
      </c>
      <c r="D696" t="inlineStr">
        <is>
          <t>NORRBOTTENS LÄN</t>
        </is>
      </c>
      <c r="E696" t="inlineStr">
        <is>
          <t>PAJALA</t>
        </is>
      </c>
      <c r="F696" t="inlineStr">
        <is>
          <t>Sveaskog</t>
        </is>
      </c>
      <c r="G696" t="n">
        <v>1.4</v>
      </c>
      <c r="H696" t="n">
        <v>0</v>
      </c>
      <c r="I696" t="n">
        <v>0</v>
      </c>
      <c r="J696" t="n">
        <v>1</v>
      </c>
      <c r="K696" t="n">
        <v>0</v>
      </c>
      <c r="L696" t="n">
        <v>0</v>
      </c>
      <c r="M696" t="n">
        <v>0</v>
      </c>
      <c r="N696" t="n">
        <v>0</v>
      </c>
      <c r="O696" t="n">
        <v>1</v>
      </c>
      <c r="P696" t="n">
        <v>0</v>
      </c>
      <c r="Q696" t="n">
        <v>1</v>
      </c>
      <c r="R696" s="2" t="inlineStr">
        <is>
          <t>Garnlav</t>
        </is>
      </c>
      <c r="S696">
        <f>HYPERLINK("https://klasma.github.io/Logging_2521/artfynd/A 60597-2021 artfynd.xlsx", "A 60597-2021")</f>
        <v/>
      </c>
      <c r="T696">
        <f>HYPERLINK("https://klasma.github.io/Logging_2521/kartor/A 60597-2021 karta.png", "A 60597-2021")</f>
        <v/>
      </c>
      <c r="V696">
        <f>HYPERLINK("https://klasma.github.io/Logging_2521/klagomål/A 60597-2021 FSC-klagomål.docx", "A 60597-2021")</f>
        <v/>
      </c>
      <c r="W696">
        <f>HYPERLINK("https://klasma.github.io/Logging_2521/klagomålsmail/A 60597-2021 FSC-klagomål mail.docx", "A 60597-2021")</f>
        <v/>
      </c>
      <c r="X696">
        <f>HYPERLINK("https://klasma.github.io/Logging_2521/tillsyn/A 60597-2021 tillsynsbegäran.docx", "A 60597-2021")</f>
        <v/>
      </c>
      <c r="Y696">
        <f>HYPERLINK("https://klasma.github.io/Logging_2521/tillsynsmail/A 60597-2021 tillsynsbegäran mail.docx", "A 60597-2021")</f>
        <v/>
      </c>
    </row>
    <row r="697" ht="15" customHeight="1">
      <c r="A697" t="inlineStr">
        <is>
          <t>A 65518-2021</t>
        </is>
      </c>
      <c r="B697" s="1" t="n">
        <v>44516</v>
      </c>
      <c r="C697" s="1" t="n">
        <v>45662</v>
      </c>
      <c r="D697" t="inlineStr">
        <is>
          <t>NORRBOTTENS LÄN</t>
        </is>
      </c>
      <c r="E697" t="inlineStr">
        <is>
          <t>PAJALA</t>
        </is>
      </c>
      <c r="F697" t="inlineStr">
        <is>
          <t>Sveaskog</t>
        </is>
      </c>
      <c r="G697" t="n">
        <v>1.5</v>
      </c>
      <c r="H697" t="n">
        <v>0</v>
      </c>
      <c r="I697" t="n">
        <v>1</v>
      </c>
      <c r="J697" t="n">
        <v>0</v>
      </c>
      <c r="K697" t="n">
        <v>0</v>
      </c>
      <c r="L697" t="n">
        <v>0</v>
      </c>
      <c r="M697" t="n">
        <v>0</v>
      </c>
      <c r="N697" t="n">
        <v>0</v>
      </c>
      <c r="O697" t="n">
        <v>0</v>
      </c>
      <c r="P697" t="n">
        <v>0</v>
      </c>
      <c r="Q697" t="n">
        <v>1</v>
      </c>
      <c r="R697" s="2" t="inlineStr">
        <is>
          <t>Stuplav</t>
        </is>
      </c>
      <c r="S697">
        <f>HYPERLINK("https://klasma.github.io/Logging_2521/artfynd/A 65518-2021 artfynd.xlsx", "A 65518-2021")</f>
        <v/>
      </c>
      <c r="T697">
        <f>HYPERLINK("https://klasma.github.io/Logging_2521/kartor/A 65518-2021 karta.png", "A 65518-2021")</f>
        <v/>
      </c>
      <c r="V697">
        <f>HYPERLINK("https://klasma.github.io/Logging_2521/klagomål/A 65518-2021 FSC-klagomål.docx", "A 65518-2021")</f>
        <v/>
      </c>
      <c r="W697">
        <f>HYPERLINK("https://klasma.github.io/Logging_2521/klagomålsmail/A 65518-2021 FSC-klagomål mail.docx", "A 65518-2021")</f>
        <v/>
      </c>
      <c r="X697">
        <f>HYPERLINK("https://klasma.github.io/Logging_2521/tillsyn/A 65518-2021 tillsynsbegäran.docx", "A 65518-2021")</f>
        <v/>
      </c>
      <c r="Y697">
        <f>HYPERLINK("https://klasma.github.io/Logging_2521/tillsynsmail/A 65518-2021 tillsynsbegäran mail.docx", "A 65518-2021")</f>
        <v/>
      </c>
    </row>
    <row r="698" ht="15" customHeight="1">
      <c r="A698" t="inlineStr">
        <is>
          <t>A 71289-2021</t>
        </is>
      </c>
      <c r="B698" s="1" t="n">
        <v>44538</v>
      </c>
      <c r="C698" s="1" t="n">
        <v>45662</v>
      </c>
      <c r="D698" t="inlineStr">
        <is>
          <t>NORRBOTTENS LÄN</t>
        </is>
      </c>
      <c r="E698" t="inlineStr">
        <is>
          <t>PITEÅ</t>
        </is>
      </c>
      <c r="G698" t="n">
        <v>3.8</v>
      </c>
      <c r="H698" t="n">
        <v>0</v>
      </c>
      <c r="I698" t="n">
        <v>0</v>
      </c>
      <c r="J698" t="n">
        <v>1</v>
      </c>
      <c r="K698" t="n">
        <v>0</v>
      </c>
      <c r="L698" t="n">
        <v>0</v>
      </c>
      <c r="M698" t="n">
        <v>0</v>
      </c>
      <c r="N698" t="n">
        <v>0</v>
      </c>
      <c r="O698" t="n">
        <v>1</v>
      </c>
      <c r="P698" t="n">
        <v>0</v>
      </c>
      <c r="Q698" t="n">
        <v>1</v>
      </c>
      <c r="R698" s="2" t="inlineStr">
        <is>
          <t>Tallticka</t>
        </is>
      </c>
      <c r="S698">
        <f>HYPERLINK("https://klasma.github.io/Logging_2581/artfynd/A 71289-2021 artfynd.xlsx", "A 71289-2021")</f>
        <v/>
      </c>
      <c r="T698">
        <f>HYPERLINK("https://klasma.github.io/Logging_2581/kartor/A 71289-2021 karta.png", "A 71289-2021")</f>
        <v/>
      </c>
      <c r="V698">
        <f>HYPERLINK("https://klasma.github.io/Logging_2581/klagomål/A 71289-2021 FSC-klagomål.docx", "A 71289-2021")</f>
        <v/>
      </c>
      <c r="W698">
        <f>HYPERLINK("https://klasma.github.io/Logging_2581/klagomålsmail/A 71289-2021 FSC-klagomål mail.docx", "A 71289-2021")</f>
        <v/>
      </c>
      <c r="X698">
        <f>HYPERLINK("https://klasma.github.io/Logging_2581/tillsyn/A 71289-2021 tillsynsbegäran.docx", "A 71289-2021")</f>
        <v/>
      </c>
      <c r="Y698">
        <f>HYPERLINK("https://klasma.github.io/Logging_2581/tillsynsmail/A 71289-2021 tillsynsbegäran mail.docx", "A 71289-2021")</f>
        <v/>
      </c>
    </row>
    <row r="699" ht="15" customHeight="1">
      <c r="A699" t="inlineStr">
        <is>
          <t>A 72480-2021</t>
        </is>
      </c>
      <c r="B699" s="1" t="n">
        <v>44545</v>
      </c>
      <c r="C699" s="1" t="n">
        <v>45662</v>
      </c>
      <c r="D699" t="inlineStr">
        <is>
          <t>NORRBOTTENS LÄN</t>
        </is>
      </c>
      <c r="E699" t="inlineStr">
        <is>
          <t>JOKKMOKK</t>
        </is>
      </c>
      <c r="G699" t="n">
        <v>8.800000000000001</v>
      </c>
      <c r="H699" t="n">
        <v>0</v>
      </c>
      <c r="I699" t="n">
        <v>0</v>
      </c>
      <c r="J699" t="n">
        <v>1</v>
      </c>
      <c r="K699" t="n">
        <v>0</v>
      </c>
      <c r="L699" t="n">
        <v>0</v>
      </c>
      <c r="M699" t="n">
        <v>0</v>
      </c>
      <c r="N699" t="n">
        <v>0</v>
      </c>
      <c r="O699" t="n">
        <v>1</v>
      </c>
      <c r="P699" t="n">
        <v>0</v>
      </c>
      <c r="Q699" t="n">
        <v>1</v>
      </c>
      <c r="R699" s="2" t="inlineStr">
        <is>
          <t>Dvärgbägarlav</t>
        </is>
      </c>
      <c r="S699">
        <f>HYPERLINK("https://klasma.github.io/Logging_2510/artfynd/A 72480-2021 artfynd.xlsx", "A 72480-2021")</f>
        <v/>
      </c>
      <c r="T699">
        <f>HYPERLINK("https://klasma.github.io/Logging_2510/kartor/A 72480-2021 karta.png", "A 72480-2021")</f>
        <v/>
      </c>
      <c r="V699">
        <f>HYPERLINK("https://klasma.github.io/Logging_2510/klagomål/A 72480-2021 FSC-klagomål.docx", "A 72480-2021")</f>
        <v/>
      </c>
      <c r="W699">
        <f>HYPERLINK("https://klasma.github.io/Logging_2510/klagomålsmail/A 72480-2021 FSC-klagomål mail.docx", "A 72480-2021")</f>
        <v/>
      </c>
      <c r="X699">
        <f>HYPERLINK("https://klasma.github.io/Logging_2510/tillsyn/A 72480-2021 tillsynsbegäran.docx", "A 72480-2021")</f>
        <v/>
      </c>
      <c r="Y699">
        <f>HYPERLINK("https://klasma.github.io/Logging_2510/tillsynsmail/A 72480-2021 tillsynsbegäran mail.docx", "A 72480-2021")</f>
        <v/>
      </c>
    </row>
    <row r="700" ht="15" customHeight="1">
      <c r="A700" t="inlineStr">
        <is>
          <t>A 1090-2022</t>
        </is>
      </c>
      <c r="B700" s="1" t="n">
        <v>44571</v>
      </c>
      <c r="C700" s="1" t="n">
        <v>45662</v>
      </c>
      <c r="D700" t="inlineStr">
        <is>
          <t>NORRBOTTENS LÄN</t>
        </is>
      </c>
      <c r="E700" t="inlineStr">
        <is>
          <t>ÖVERTORNEÅ</t>
        </is>
      </c>
      <c r="G700" t="n">
        <v>23.1</v>
      </c>
      <c r="H700" t="n">
        <v>0</v>
      </c>
      <c r="I700" t="n">
        <v>1</v>
      </c>
      <c r="J700" t="n">
        <v>0</v>
      </c>
      <c r="K700" t="n">
        <v>0</v>
      </c>
      <c r="L700" t="n">
        <v>0</v>
      </c>
      <c r="M700" t="n">
        <v>0</v>
      </c>
      <c r="N700" t="n">
        <v>0</v>
      </c>
      <c r="O700" t="n">
        <v>0</v>
      </c>
      <c r="P700" t="n">
        <v>0</v>
      </c>
      <c r="Q700" t="n">
        <v>1</v>
      </c>
      <c r="R700" s="2" t="inlineStr">
        <is>
          <t>Grönpyrola</t>
        </is>
      </c>
      <c r="S700">
        <f>HYPERLINK("https://klasma.github.io/Logging_2518/artfynd/A 1090-2022 artfynd.xlsx", "A 1090-2022")</f>
        <v/>
      </c>
      <c r="T700">
        <f>HYPERLINK("https://klasma.github.io/Logging_2518/kartor/A 1090-2022 karta.png", "A 1090-2022")</f>
        <v/>
      </c>
      <c r="V700">
        <f>HYPERLINK("https://klasma.github.io/Logging_2518/klagomål/A 1090-2022 FSC-klagomål.docx", "A 1090-2022")</f>
        <v/>
      </c>
      <c r="W700">
        <f>HYPERLINK("https://klasma.github.io/Logging_2518/klagomålsmail/A 1090-2022 FSC-klagomål mail.docx", "A 1090-2022")</f>
        <v/>
      </c>
      <c r="X700">
        <f>HYPERLINK("https://klasma.github.io/Logging_2518/tillsyn/A 1090-2022 tillsynsbegäran.docx", "A 1090-2022")</f>
        <v/>
      </c>
      <c r="Y700">
        <f>HYPERLINK("https://klasma.github.io/Logging_2518/tillsynsmail/A 1090-2022 tillsynsbegäran mail.docx", "A 1090-2022")</f>
        <v/>
      </c>
    </row>
    <row r="701" ht="15" customHeight="1">
      <c r="A701" t="inlineStr">
        <is>
          <t>A 7960-2022</t>
        </is>
      </c>
      <c r="B701" s="1" t="n">
        <v>44608</v>
      </c>
      <c r="C701" s="1" t="n">
        <v>45662</v>
      </c>
      <c r="D701" t="inlineStr">
        <is>
          <t>NORRBOTTENS LÄN</t>
        </is>
      </c>
      <c r="E701" t="inlineStr">
        <is>
          <t>PAJALA</t>
        </is>
      </c>
      <c r="F701" t="inlineStr">
        <is>
          <t>SCA</t>
        </is>
      </c>
      <c r="G701" t="n">
        <v>4.9</v>
      </c>
      <c r="H701" t="n">
        <v>0</v>
      </c>
      <c r="I701" t="n">
        <v>0</v>
      </c>
      <c r="J701" t="n">
        <v>1</v>
      </c>
      <c r="K701" t="n">
        <v>0</v>
      </c>
      <c r="L701" t="n">
        <v>0</v>
      </c>
      <c r="M701" t="n">
        <v>0</v>
      </c>
      <c r="N701" t="n">
        <v>0</v>
      </c>
      <c r="O701" t="n">
        <v>1</v>
      </c>
      <c r="P701" t="n">
        <v>0</v>
      </c>
      <c r="Q701" t="n">
        <v>1</v>
      </c>
      <c r="R701" s="2" t="inlineStr">
        <is>
          <t>Gammelgransskål</t>
        </is>
      </c>
      <c r="S701">
        <f>HYPERLINK("https://klasma.github.io/Logging_2521/artfynd/A 7960-2022 artfynd.xlsx", "A 7960-2022")</f>
        <v/>
      </c>
      <c r="T701">
        <f>HYPERLINK("https://klasma.github.io/Logging_2521/kartor/A 7960-2022 karta.png", "A 7960-2022")</f>
        <v/>
      </c>
      <c r="V701">
        <f>HYPERLINK("https://klasma.github.io/Logging_2521/klagomål/A 7960-2022 FSC-klagomål.docx", "A 7960-2022")</f>
        <v/>
      </c>
      <c r="W701">
        <f>HYPERLINK("https://klasma.github.io/Logging_2521/klagomålsmail/A 7960-2022 FSC-klagomål mail.docx", "A 7960-2022")</f>
        <v/>
      </c>
      <c r="X701">
        <f>HYPERLINK("https://klasma.github.io/Logging_2521/tillsyn/A 7960-2022 tillsynsbegäran.docx", "A 7960-2022")</f>
        <v/>
      </c>
      <c r="Y701">
        <f>HYPERLINK("https://klasma.github.io/Logging_2521/tillsynsmail/A 7960-2022 tillsynsbegäran mail.docx", "A 7960-2022")</f>
        <v/>
      </c>
    </row>
    <row r="702" ht="15" customHeight="1">
      <c r="A702" t="inlineStr">
        <is>
          <t>A 12061-2022</t>
        </is>
      </c>
      <c r="B702" s="1" t="n">
        <v>44636</v>
      </c>
      <c r="C702" s="1" t="n">
        <v>45662</v>
      </c>
      <c r="D702" t="inlineStr">
        <is>
          <t>NORRBOTTENS LÄN</t>
        </is>
      </c>
      <c r="E702" t="inlineStr">
        <is>
          <t>PAJALA</t>
        </is>
      </c>
      <c r="G702" t="n">
        <v>36</v>
      </c>
      <c r="H702" t="n">
        <v>0</v>
      </c>
      <c r="I702" t="n">
        <v>1</v>
      </c>
      <c r="J702" t="n">
        <v>0</v>
      </c>
      <c r="K702" t="n">
        <v>0</v>
      </c>
      <c r="L702" t="n">
        <v>0</v>
      </c>
      <c r="M702" t="n">
        <v>0</v>
      </c>
      <c r="N702" t="n">
        <v>0</v>
      </c>
      <c r="O702" t="n">
        <v>0</v>
      </c>
      <c r="P702" t="n">
        <v>0</v>
      </c>
      <c r="Q702" t="n">
        <v>1</v>
      </c>
      <c r="R702" s="2" t="inlineStr">
        <is>
          <t>Grönpyrola</t>
        </is>
      </c>
      <c r="S702">
        <f>HYPERLINK("https://klasma.github.io/Logging_2521/artfynd/A 12061-2022 artfynd.xlsx", "A 12061-2022")</f>
        <v/>
      </c>
      <c r="T702">
        <f>HYPERLINK("https://klasma.github.io/Logging_2521/kartor/A 12061-2022 karta.png", "A 12061-2022")</f>
        <v/>
      </c>
      <c r="V702">
        <f>HYPERLINK("https://klasma.github.io/Logging_2521/klagomål/A 12061-2022 FSC-klagomål.docx", "A 12061-2022")</f>
        <v/>
      </c>
      <c r="W702">
        <f>HYPERLINK("https://klasma.github.io/Logging_2521/klagomålsmail/A 12061-2022 FSC-klagomål mail.docx", "A 12061-2022")</f>
        <v/>
      </c>
      <c r="X702">
        <f>HYPERLINK("https://klasma.github.io/Logging_2521/tillsyn/A 12061-2022 tillsynsbegäran.docx", "A 12061-2022")</f>
        <v/>
      </c>
      <c r="Y702">
        <f>HYPERLINK("https://klasma.github.io/Logging_2521/tillsynsmail/A 12061-2022 tillsynsbegäran mail.docx", "A 12061-2022")</f>
        <v/>
      </c>
    </row>
    <row r="703" ht="15" customHeight="1">
      <c r="A703" t="inlineStr">
        <is>
          <t>A 13467-2022</t>
        </is>
      </c>
      <c r="B703" s="1" t="n">
        <v>44645</v>
      </c>
      <c r="C703" s="1" t="n">
        <v>45662</v>
      </c>
      <c r="D703" t="inlineStr">
        <is>
          <t>NORRBOTTENS LÄN</t>
        </is>
      </c>
      <c r="E703" t="inlineStr">
        <is>
          <t>ÖVERKALIX</t>
        </is>
      </c>
      <c r="G703" t="n">
        <v>6.8</v>
      </c>
      <c r="H703" t="n">
        <v>1</v>
      </c>
      <c r="I703" t="n">
        <v>0</v>
      </c>
      <c r="J703" t="n">
        <v>1</v>
      </c>
      <c r="K703" t="n">
        <v>0</v>
      </c>
      <c r="L703" t="n">
        <v>0</v>
      </c>
      <c r="M703" t="n">
        <v>0</v>
      </c>
      <c r="N703" t="n">
        <v>0</v>
      </c>
      <c r="O703" t="n">
        <v>1</v>
      </c>
      <c r="P703" t="n">
        <v>0</v>
      </c>
      <c r="Q703" t="n">
        <v>1</v>
      </c>
      <c r="R703" s="2" t="inlineStr">
        <is>
          <t>Järpe</t>
        </is>
      </c>
      <c r="S703">
        <f>HYPERLINK("https://klasma.github.io/Logging_2513/artfynd/A 13467-2022 artfynd.xlsx", "A 13467-2022")</f>
        <v/>
      </c>
      <c r="T703">
        <f>HYPERLINK("https://klasma.github.io/Logging_2513/kartor/A 13467-2022 karta.png", "A 13467-2022")</f>
        <v/>
      </c>
      <c r="V703">
        <f>HYPERLINK("https://klasma.github.io/Logging_2513/klagomål/A 13467-2022 FSC-klagomål.docx", "A 13467-2022")</f>
        <v/>
      </c>
      <c r="W703">
        <f>HYPERLINK("https://klasma.github.io/Logging_2513/klagomålsmail/A 13467-2022 FSC-klagomål mail.docx", "A 13467-2022")</f>
        <v/>
      </c>
      <c r="X703">
        <f>HYPERLINK("https://klasma.github.io/Logging_2513/tillsyn/A 13467-2022 tillsynsbegäran.docx", "A 13467-2022")</f>
        <v/>
      </c>
      <c r="Y703">
        <f>HYPERLINK("https://klasma.github.io/Logging_2513/tillsynsmail/A 13467-2022 tillsynsbegäran mail.docx", "A 13467-2022")</f>
        <v/>
      </c>
      <c r="Z703">
        <f>HYPERLINK("https://klasma.github.io/Logging_2513/fåglar/A 13467-2022 prioriterade fågelarter.docx", "A 13467-2022")</f>
        <v/>
      </c>
    </row>
    <row r="704" ht="15" customHeight="1">
      <c r="A704" t="inlineStr">
        <is>
          <t>A 13647-2022</t>
        </is>
      </c>
      <c r="B704" s="1" t="n">
        <v>44648</v>
      </c>
      <c r="C704" s="1" t="n">
        <v>45662</v>
      </c>
      <c r="D704" t="inlineStr">
        <is>
          <t>NORRBOTTENS LÄN</t>
        </is>
      </c>
      <c r="E704" t="inlineStr">
        <is>
          <t>BODEN</t>
        </is>
      </c>
      <c r="F704" t="inlineStr">
        <is>
          <t>Sveaskog</t>
        </is>
      </c>
      <c r="G704" t="n">
        <v>3.8</v>
      </c>
      <c r="H704" t="n">
        <v>0</v>
      </c>
      <c r="I704" t="n">
        <v>0</v>
      </c>
      <c r="J704" t="n">
        <v>1</v>
      </c>
      <c r="K704" t="n">
        <v>0</v>
      </c>
      <c r="L704" t="n">
        <v>0</v>
      </c>
      <c r="M704" t="n">
        <v>0</v>
      </c>
      <c r="N704" t="n">
        <v>0</v>
      </c>
      <c r="O704" t="n">
        <v>1</v>
      </c>
      <c r="P704" t="n">
        <v>0</v>
      </c>
      <c r="Q704" t="n">
        <v>1</v>
      </c>
      <c r="R704" s="2" t="inlineStr">
        <is>
          <t>Gammelgransskål</t>
        </is>
      </c>
      <c r="S704">
        <f>HYPERLINK("https://klasma.github.io/Logging_2582/artfynd/A 13647-2022 artfynd.xlsx", "A 13647-2022")</f>
        <v/>
      </c>
      <c r="T704">
        <f>HYPERLINK("https://klasma.github.io/Logging_2582/kartor/A 13647-2022 karta.png", "A 13647-2022")</f>
        <v/>
      </c>
      <c r="V704">
        <f>HYPERLINK("https://klasma.github.io/Logging_2582/klagomål/A 13647-2022 FSC-klagomål.docx", "A 13647-2022")</f>
        <v/>
      </c>
      <c r="W704">
        <f>HYPERLINK("https://klasma.github.io/Logging_2582/klagomålsmail/A 13647-2022 FSC-klagomål mail.docx", "A 13647-2022")</f>
        <v/>
      </c>
      <c r="X704">
        <f>HYPERLINK("https://klasma.github.io/Logging_2582/tillsyn/A 13647-2022 tillsynsbegäran.docx", "A 13647-2022")</f>
        <v/>
      </c>
      <c r="Y704">
        <f>HYPERLINK("https://klasma.github.io/Logging_2582/tillsynsmail/A 13647-2022 tillsynsbegäran mail.docx", "A 13647-2022")</f>
        <v/>
      </c>
    </row>
    <row r="705" ht="15" customHeight="1">
      <c r="A705" t="inlineStr">
        <is>
          <t>A 14904-2022</t>
        </is>
      </c>
      <c r="B705" s="1" t="n">
        <v>44656</v>
      </c>
      <c r="C705" s="1" t="n">
        <v>45662</v>
      </c>
      <c r="D705" t="inlineStr">
        <is>
          <t>NORRBOTTENS LÄN</t>
        </is>
      </c>
      <c r="E705" t="inlineStr">
        <is>
          <t>ÖVERKALIX</t>
        </is>
      </c>
      <c r="F705" t="inlineStr">
        <is>
          <t>SCA</t>
        </is>
      </c>
      <c r="G705" t="n">
        <v>72.2</v>
      </c>
      <c r="H705" t="n">
        <v>1</v>
      </c>
      <c r="I705" t="n">
        <v>0</v>
      </c>
      <c r="J705" t="n">
        <v>0</v>
      </c>
      <c r="K705" t="n">
        <v>0</v>
      </c>
      <c r="L705" t="n">
        <v>0</v>
      </c>
      <c r="M705" t="n">
        <v>0</v>
      </c>
      <c r="N705" t="n">
        <v>0</v>
      </c>
      <c r="O705" t="n">
        <v>0</v>
      </c>
      <c r="P705" t="n">
        <v>0</v>
      </c>
      <c r="Q705" t="n">
        <v>1</v>
      </c>
      <c r="R705" s="2" t="inlineStr">
        <is>
          <t>Fläcknycklar</t>
        </is>
      </c>
      <c r="S705">
        <f>HYPERLINK("https://klasma.github.io/Logging_2513/artfynd/A 14904-2022 artfynd.xlsx", "A 14904-2022")</f>
        <v/>
      </c>
      <c r="T705">
        <f>HYPERLINK("https://klasma.github.io/Logging_2513/kartor/A 14904-2022 karta.png", "A 14904-2022")</f>
        <v/>
      </c>
      <c r="V705">
        <f>HYPERLINK("https://klasma.github.io/Logging_2513/klagomål/A 14904-2022 FSC-klagomål.docx", "A 14904-2022")</f>
        <v/>
      </c>
      <c r="W705">
        <f>HYPERLINK("https://klasma.github.io/Logging_2513/klagomålsmail/A 14904-2022 FSC-klagomål mail.docx", "A 14904-2022")</f>
        <v/>
      </c>
      <c r="X705">
        <f>HYPERLINK("https://klasma.github.io/Logging_2513/tillsyn/A 14904-2022 tillsynsbegäran.docx", "A 14904-2022")</f>
        <v/>
      </c>
      <c r="Y705">
        <f>HYPERLINK("https://klasma.github.io/Logging_2513/tillsynsmail/A 14904-2022 tillsynsbegäran mail.docx", "A 14904-2022")</f>
        <v/>
      </c>
    </row>
    <row r="706" ht="15" customHeight="1">
      <c r="A706" t="inlineStr">
        <is>
          <t>A 15137-2022</t>
        </is>
      </c>
      <c r="B706" s="1" t="n">
        <v>44658</v>
      </c>
      <c r="C706" s="1" t="n">
        <v>45662</v>
      </c>
      <c r="D706" t="inlineStr">
        <is>
          <t>NORRBOTTENS LÄN</t>
        </is>
      </c>
      <c r="E706" t="inlineStr">
        <is>
          <t>ÖVERKALIX</t>
        </is>
      </c>
      <c r="G706" t="n">
        <v>5.7</v>
      </c>
      <c r="H706" t="n">
        <v>0</v>
      </c>
      <c r="I706" t="n">
        <v>0</v>
      </c>
      <c r="J706" t="n">
        <v>1</v>
      </c>
      <c r="K706" t="n">
        <v>0</v>
      </c>
      <c r="L706" t="n">
        <v>0</v>
      </c>
      <c r="M706" t="n">
        <v>0</v>
      </c>
      <c r="N706" t="n">
        <v>0</v>
      </c>
      <c r="O706" t="n">
        <v>1</v>
      </c>
      <c r="P706" t="n">
        <v>0</v>
      </c>
      <c r="Q706" t="n">
        <v>1</v>
      </c>
      <c r="R706" s="2" t="inlineStr">
        <is>
          <t>Kortskaftad ärgspik</t>
        </is>
      </c>
      <c r="S706">
        <f>HYPERLINK("https://klasma.github.io/Logging_2513/artfynd/A 15137-2022 artfynd.xlsx", "A 15137-2022")</f>
        <v/>
      </c>
      <c r="T706">
        <f>HYPERLINK("https://klasma.github.io/Logging_2513/kartor/A 15137-2022 karta.png", "A 15137-2022")</f>
        <v/>
      </c>
      <c r="V706">
        <f>HYPERLINK("https://klasma.github.io/Logging_2513/klagomål/A 15137-2022 FSC-klagomål.docx", "A 15137-2022")</f>
        <v/>
      </c>
      <c r="W706">
        <f>HYPERLINK("https://klasma.github.io/Logging_2513/klagomålsmail/A 15137-2022 FSC-klagomål mail.docx", "A 15137-2022")</f>
        <v/>
      </c>
      <c r="X706">
        <f>HYPERLINK("https://klasma.github.io/Logging_2513/tillsyn/A 15137-2022 tillsynsbegäran.docx", "A 15137-2022")</f>
        <v/>
      </c>
      <c r="Y706">
        <f>HYPERLINK("https://klasma.github.io/Logging_2513/tillsynsmail/A 15137-2022 tillsynsbegäran mail.docx", "A 15137-2022")</f>
        <v/>
      </c>
    </row>
    <row r="707" ht="15" customHeight="1">
      <c r="A707" t="inlineStr">
        <is>
          <t>A 16470-2022</t>
        </is>
      </c>
      <c r="B707" s="1" t="n">
        <v>44671</v>
      </c>
      <c r="C707" s="1" t="n">
        <v>45662</v>
      </c>
      <c r="D707" t="inlineStr">
        <is>
          <t>NORRBOTTENS LÄN</t>
        </is>
      </c>
      <c r="E707" t="inlineStr">
        <is>
          <t>ÄLVSBYN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HYPERLINK("https://klasma.github.io/Logging_2560/artfynd/A 16470-2022 artfynd.xlsx", "A 16470-2022")</f>
        <v/>
      </c>
      <c r="T707">
        <f>HYPERLINK("https://klasma.github.io/Logging_2560/kartor/A 16470-2022 karta.png", "A 16470-2022")</f>
        <v/>
      </c>
      <c r="V707">
        <f>HYPERLINK("https://klasma.github.io/Logging_2560/klagomål/A 16470-2022 FSC-klagomål.docx", "A 16470-2022")</f>
        <v/>
      </c>
      <c r="W707">
        <f>HYPERLINK("https://klasma.github.io/Logging_2560/klagomålsmail/A 16470-2022 FSC-klagomål mail.docx", "A 16470-2022")</f>
        <v/>
      </c>
      <c r="X707">
        <f>HYPERLINK("https://klasma.github.io/Logging_2560/tillsyn/A 16470-2022 tillsynsbegäran.docx", "A 16470-2022")</f>
        <v/>
      </c>
      <c r="Y707">
        <f>HYPERLINK("https://klasma.github.io/Logging_2560/tillsynsmail/A 16470-2022 tillsynsbegäran mail.docx", "A 16470-2022")</f>
        <v/>
      </c>
    </row>
    <row r="708" ht="15" customHeight="1">
      <c r="A708" t="inlineStr">
        <is>
          <t>A 19396-2022</t>
        </is>
      </c>
      <c r="B708" s="1" t="n">
        <v>44692</v>
      </c>
      <c r="C708" s="1" t="n">
        <v>45662</v>
      </c>
      <c r="D708" t="inlineStr">
        <is>
          <t>NORRBOTTENS LÄN</t>
        </is>
      </c>
      <c r="E708" t="inlineStr">
        <is>
          <t>BODEN</t>
        </is>
      </c>
      <c r="F708" t="inlineStr">
        <is>
          <t>SCA</t>
        </is>
      </c>
      <c r="G708" t="n">
        <v>13.1</v>
      </c>
      <c r="H708" t="n">
        <v>0</v>
      </c>
      <c r="I708" t="n">
        <v>0</v>
      </c>
      <c r="J708" t="n">
        <v>1</v>
      </c>
      <c r="K708" t="n">
        <v>0</v>
      </c>
      <c r="L708" t="n">
        <v>0</v>
      </c>
      <c r="M708" t="n">
        <v>0</v>
      </c>
      <c r="N708" t="n">
        <v>0</v>
      </c>
      <c r="O708" t="n">
        <v>1</v>
      </c>
      <c r="P708" t="n">
        <v>0</v>
      </c>
      <c r="Q708" t="n">
        <v>1</v>
      </c>
      <c r="R708" s="2" t="inlineStr">
        <is>
          <t>Tallticka</t>
        </is>
      </c>
      <c r="S708">
        <f>HYPERLINK("https://klasma.github.io/Logging_2582/artfynd/A 19396-2022 artfynd.xlsx", "A 19396-2022")</f>
        <v/>
      </c>
      <c r="T708">
        <f>HYPERLINK("https://klasma.github.io/Logging_2582/kartor/A 19396-2022 karta.png", "A 19396-2022")</f>
        <v/>
      </c>
      <c r="V708">
        <f>HYPERLINK("https://klasma.github.io/Logging_2582/klagomål/A 19396-2022 FSC-klagomål.docx", "A 19396-2022")</f>
        <v/>
      </c>
      <c r="W708">
        <f>HYPERLINK("https://klasma.github.io/Logging_2582/klagomålsmail/A 19396-2022 FSC-klagomål mail.docx", "A 19396-2022")</f>
        <v/>
      </c>
      <c r="X708">
        <f>HYPERLINK("https://klasma.github.io/Logging_2582/tillsyn/A 19396-2022 tillsynsbegäran.docx", "A 19396-2022")</f>
        <v/>
      </c>
      <c r="Y708">
        <f>HYPERLINK("https://klasma.github.io/Logging_2582/tillsynsmail/A 19396-2022 tillsynsbegäran mail.docx", "A 19396-2022")</f>
        <v/>
      </c>
    </row>
    <row r="709" ht="15" customHeight="1">
      <c r="A709" t="inlineStr">
        <is>
          <t>A 24589-2022</t>
        </is>
      </c>
      <c r="B709" s="1" t="n">
        <v>44727</v>
      </c>
      <c r="C709" s="1" t="n">
        <v>45662</v>
      </c>
      <c r="D709" t="inlineStr">
        <is>
          <t>NORRBOTTENS LÄN</t>
        </is>
      </c>
      <c r="E709" t="inlineStr">
        <is>
          <t>PITEÅ</t>
        </is>
      </c>
      <c r="G709" t="n">
        <v>1.7</v>
      </c>
      <c r="H709" t="n">
        <v>1</v>
      </c>
      <c r="I709" t="n">
        <v>0</v>
      </c>
      <c r="J709" t="n">
        <v>1</v>
      </c>
      <c r="K709" t="n">
        <v>0</v>
      </c>
      <c r="L709" t="n">
        <v>0</v>
      </c>
      <c r="M709" t="n">
        <v>0</v>
      </c>
      <c r="N709" t="n">
        <v>0</v>
      </c>
      <c r="O709" t="n">
        <v>1</v>
      </c>
      <c r="P709" t="n">
        <v>0</v>
      </c>
      <c r="Q709" t="n">
        <v>1</v>
      </c>
      <c r="R709" s="2" t="inlineStr">
        <is>
          <t>Rosenfink</t>
        </is>
      </c>
      <c r="S709">
        <f>HYPERLINK("https://klasma.github.io/Logging_2581/artfynd/A 24589-2022 artfynd.xlsx", "A 24589-2022")</f>
        <v/>
      </c>
      <c r="T709">
        <f>HYPERLINK("https://klasma.github.io/Logging_2581/kartor/A 24589-2022 karta.png", "A 24589-2022")</f>
        <v/>
      </c>
      <c r="V709">
        <f>HYPERLINK("https://klasma.github.io/Logging_2581/klagomål/A 24589-2022 FSC-klagomål.docx", "A 24589-2022")</f>
        <v/>
      </c>
      <c r="W709">
        <f>HYPERLINK("https://klasma.github.io/Logging_2581/klagomålsmail/A 24589-2022 FSC-klagomål mail.docx", "A 24589-2022")</f>
        <v/>
      </c>
      <c r="X709">
        <f>HYPERLINK("https://klasma.github.io/Logging_2581/tillsyn/A 24589-2022 tillsynsbegäran.docx", "A 24589-2022")</f>
        <v/>
      </c>
      <c r="Y709">
        <f>HYPERLINK("https://klasma.github.io/Logging_2581/tillsynsmail/A 24589-2022 tillsynsbegäran mail.docx", "A 24589-2022")</f>
        <v/>
      </c>
      <c r="Z709">
        <f>HYPERLINK("https://klasma.github.io/Logging_2581/fåglar/A 24589-2022 prioriterade fågelarter.docx", "A 24589-2022")</f>
        <v/>
      </c>
    </row>
    <row r="710" ht="15" customHeight="1">
      <c r="A710" t="inlineStr">
        <is>
          <t>A 25651-2022</t>
        </is>
      </c>
      <c r="B710" s="1" t="n">
        <v>44732</v>
      </c>
      <c r="C710" s="1" t="n">
        <v>45662</v>
      </c>
      <c r="D710" t="inlineStr">
        <is>
          <t>NORRBOTTENS LÄN</t>
        </is>
      </c>
      <c r="E710" t="inlineStr">
        <is>
          <t>ÖVERKALIX</t>
        </is>
      </c>
      <c r="F710" t="inlineStr">
        <is>
          <t>SCA</t>
        </is>
      </c>
      <c r="G710" t="n">
        <v>1.6</v>
      </c>
      <c r="H710" t="n">
        <v>0</v>
      </c>
      <c r="I710" t="n">
        <v>0</v>
      </c>
      <c r="J710" t="n">
        <v>1</v>
      </c>
      <c r="K710" t="n">
        <v>0</v>
      </c>
      <c r="L710" t="n">
        <v>0</v>
      </c>
      <c r="M710" t="n">
        <v>0</v>
      </c>
      <c r="N710" t="n">
        <v>0</v>
      </c>
      <c r="O710" t="n">
        <v>1</v>
      </c>
      <c r="P710" t="n">
        <v>0</v>
      </c>
      <c r="Q710" t="n">
        <v>1</v>
      </c>
      <c r="R710" s="2" t="inlineStr">
        <is>
          <t>Ullticka</t>
        </is>
      </c>
      <c r="S710">
        <f>HYPERLINK("https://klasma.github.io/Logging_2513/artfynd/A 25651-2022 artfynd.xlsx", "A 25651-2022")</f>
        <v/>
      </c>
      <c r="T710">
        <f>HYPERLINK("https://klasma.github.io/Logging_2513/kartor/A 25651-2022 karta.png", "A 25651-2022")</f>
        <v/>
      </c>
      <c r="V710">
        <f>HYPERLINK("https://klasma.github.io/Logging_2513/klagomål/A 25651-2022 FSC-klagomål.docx", "A 25651-2022")</f>
        <v/>
      </c>
      <c r="W710">
        <f>HYPERLINK("https://klasma.github.io/Logging_2513/klagomålsmail/A 25651-2022 FSC-klagomål mail.docx", "A 25651-2022")</f>
        <v/>
      </c>
      <c r="X710">
        <f>HYPERLINK("https://klasma.github.io/Logging_2513/tillsyn/A 25651-2022 tillsynsbegäran.docx", "A 25651-2022")</f>
        <v/>
      </c>
      <c r="Y710">
        <f>HYPERLINK("https://klasma.github.io/Logging_2513/tillsynsmail/A 25651-2022 tillsynsbegäran mail.docx", "A 25651-2022")</f>
        <v/>
      </c>
    </row>
    <row r="711" ht="15" customHeight="1">
      <c r="A711" t="inlineStr">
        <is>
          <t>A 25729-2022</t>
        </is>
      </c>
      <c r="B711" s="1" t="n">
        <v>44733</v>
      </c>
      <c r="C711" s="1" t="n">
        <v>45662</v>
      </c>
      <c r="D711" t="inlineStr">
        <is>
          <t>NORRBOTTENS LÄN</t>
        </is>
      </c>
      <c r="E711" t="inlineStr">
        <is>
          <t>LULEÅ</t>
        </is>
      </c>
      <c r="G711" t="n">
        <v>3.5</v>
      </c>
      <c r="H711" t="n">
        <v>0</v>
      </c>
      <c r="I711" t="n">
        <v>0</v>
      </c>
      <c r="J711" t="n">
        <v>0</v>
      </c>
      <c r="K711" t="n">
        <v>1</v>
      </c>
      <c r="L711" t="n">
        <v>0</v>
      </c>
      <c r="M711" t="n">
        <v>0</v>
      </c>
      <c r="N711" t="n">
        <v>0</v>
      </c>
      <c r="O711" t="n">
        <v>1</v>
      </c>
      <c r="P711" t="n">
        <v>1</v>
      </c>
      <c r="Q711" t="n">
        <v>1</v>
      </c>
      <c r="R711" s="2" t="inlineStr">
        <is>
          <t>Ostticka</t>
        </is>
      </c>
      <c r="S711">
        <f>HYPERLINK("https://klasma.github.io/Logging_2580/artfynd/A 25729-2022 artfynd.xlsx", "A 25729-2022")</f>
        <v/>
      </c>
      <c r="T711">
        <f>HYPERLINK("https://klasma.github.io/Logging_2580/kartor/A 25729-2022 karta.png", "A 25729-2022")</f>
        <v/>
      </c>
      <c r="V711">
        <f>HYPERLINK("https://klasma.github.io/Logging_2580/klagomål/A 25729-2022 FSC-klagomål.docx", "A 25729-2022")</f>
        <v/>
      </c>
      <c r="W711">
        <f>HYPERLINK("https://klasma.github.io/Logging_2580/klagomålsmail/A 25729-2022 FSC-klagomål mail.docx", "A 25729-2022")</f>
        <v/>
      </c>
      <c r="X711">
        <f>HYPERLINK("https://klasma.github.io/Logging_2580/tillsyn/A 25729-2022 tillsynsbegäran.docx", "A 25729-2022")</f>
        <v/>
      </c>
      <c r="Y711">
        <f>HYPERLINK("https://klasma.github.io/Logging_2580/tillsynsmail/A 25729-2022 tillsynsbegäran mail.docx", "A 25729-2022")</f>
        <v/>
      </c>
    </row>
    <row r="712" ht="15" customHeight="1">
      <c r="A712" t="inlineStr">
        <is>
          <t>A 30095-2022</t>
        </is>
      </c>
      <c r="B712" s="1" t="n">
        <v>44757</v>
      </c>
      <c r="C712" s="1" t="n">
        <v>45662</v>
      </c>
      <c r="D712" t="inlineStr">
        <is>
          <t>NORRBOTTENS LÄN</t>
        </is>
      </c>
      <c r="E712" t="inlineStr">
        <is>
          <t>LULEÅ</t>
        </is>
      </c>
      <c r="G712" t="n">
        <v>27.7</v>
      </c>
      <c r="H712" t="n">
        <v>1</v>
      </c>
      <c r="I712" t="n">
        <v>0</v>
      </c>
      <c r="J712" t="n">
        <v>0</v>
      </c>
      <c r="K712" t="n">
        <v>1</v>
      </c>
      <c r="L712" t="n">
        <v>0</v>
      </c>
      <c r="M712" t="n">
        <v>0</v>
      </c>
      <c r="N712" t="n">
        <v>0</v>
      </c>
      <c r="O712" t="n">
        <v>1</v>
      </c>
      <c r="P712" t="n">
        <v>1</v>
      </c>
      <c r="Q712" t="n">
        <v>1</v>
      </c>
      <c r="R712" s="2" t="inlineStr">
        <is>
          <t>Knärot</t>
        </is>
      </c>
      <c r="S712">
        <f>HYPERLINK("https://klasma.github.io/Logging_2580/artfynd/A 30095-2022 artfynd.xlsx", "A 30095-2022")</f>
        <v/>
      </c>
      <c r="T712">
        <f>HYPERLINK("https://klasma.github.io/Logging_2580/kartor/A 30095-2022 karta.png", "A 30095-2022")</f>
        <v/>
      </c>
      <c r="U712">
        <f>HYPERLINK("https://klasma.github.io/Logging_2580/knärot/A 30095-2022 karta knärot.png", "A 30095-2022")</f>
        <v/>
      </c>
      <c r="V712">
        <f>HYPERLINK("https://klasma.github.io/Logging_2580/klagomål/A 30095-2022 FSC-klagomål.docx", "A 30095-2022")</f>
        <v/>
      </c>
      <c r="W712">
        <f>HYPERLINK("https://klasma.github.io/Logging_2580/klagomålsmail/A 30095-2022 FSC-klagomål mail.docx", "A 30095-2022")</f>
        <v/>
      </c>
      <c r="X712">
        <f>HYPERLINK("https://klasma.github.io/Logging_2580/tillsyn/A 30095-2022 tillsynsbegäran.docx", "A 30095-2022")</f>
        <v/>
      </c>
      <c r="Y712">
        <f>HYPERLINK("https://klasma.github.io/Logging_2580/tillsynsmail/A 30095-2022 tillsynsbegäran mail.docx", "A 30095-2022")</f>
        <v/>
      </c>
    </row>
    <row r="713" ht="15" customHeight="1">
      <c r="A713" t="inlineStr">
        <is>
          <t>A 33029-2022</t>
        </is>
      </c>
      <c r="B713" s="1" t="n">
        <v>44785</v>
      </c>
      <c r="C713" s="1" t="n">
        <v>45662</v>
      </c>
      <c r="D713" t="inlineStr">
        <is>
          <t>NORRBOTTENS LÄN</t>
        </is>
      </c>
      <c r="E713" t="inlineStr">
        <is>
          <t>ÖVERTORNEÅ</t>
        </is>
      </c>
      <c r="G713" t="n">
        <v>10.3</v>
      </c>
      <c r="H713" t="n">
        <v>1</v>
      </c>
      <c r="I713" t="n">
        <v>0</v>
      </c>
      <c r="J713" t="n">
        <v>0</v>
      </c>
      <c r="K713" t="n">
        <v>0</v>
      </c>
      <c r="L713" t="n">
        <v>0</v>
      </c>
      <c r="M713" t="n">
        <v>0</v>
      </c>
      <c r="N713" t="n">
        <v>0</v>
      </c>
      <c r="O713" t="n">
        <v>0</v>
      </c>
      <c r="P713" t="n">
        <v>0</v>
      </c>
      <c r="Q713" t="n">
        <v>1</v>
      </c>
      <c r="R713" s="2" t="inlineStr">
        <is>
          <t>Fläcknycklar</t>
        </is>
      </c>
      <c r="S713">
        <f>HYPERLINK("https://klasma.github.io/Logging_2518/artfynd/A 33029-2022 artfynd.xlsx", "A 33029-2022")</f>
        <v/>
      </c>
      <c r="T713">
        <f>HYPERLINK("https://klasma.github.io/Logging_2518/kartor/A 33029-2022 karta.png", "A 33029-2022")</f>
        <v/>
      </c>
      <c r="V713">
        <f>HYPERLINK("https://klasma.github.io/Logging_2518/klagomål/A 33029-2022 FSC-klagomål.docx", "A 33029-2022")</f>
        <v/>
      </c>
      <c r="W713">
        <f>HYPERLINK("https://klasma.github.io/Logging_2518/klagomålsmail/A 33029-2022 FSC-klagomål mail.docx", "A 33029-2022")</f>
        <v/>
      </c>
      <c r="X713">
        <f>HYPERLINK("https://klasma.github.io/Logging_2518/tillsyn/A 33029-2022 tillsynsbegäran.docx", "A 33029-2022")</f>
        <v/>
      </c>
      <c r="Y713">
        <f>HYPERLINK("https://klasma.github.io/Logging_2518/tillsynsmail/A 33029-2022 tillsynsbegäran mail.docx", "A 33029-2022")</f>
        <v/>
      </c>
    </row>
    <row r="714" ht="15" customHeight="1">
      <c r="A714" t="inlineStr">
        <is>
          <t>A 33740-2022</t>
        </is>
      </c>
      <c r="B714" s="1" t="n">
        <v>44790</v>
      </c>
      <c r="C714" s="1" t="n">
        <v>45662</v>
      </c>
      <c r="D714" t="inlineStr">
        <is>
          <t>NORRBOTTENS LÄN</t>
        </is>
      </c>
      <c r="E714" t="inlineStr">
        <is>
          <t>BODEN</t>
        </is>
      </c>
      <c r="F714" t="inlineStr">
        <is>
          <t>SCA</t>
        </is>
      </c>
      <c r="G714" t="n">
        <v>4.9</v>
      </c>
      <c r="H714" t="n">
        <v>1</v>
      </c>
      <c r="I714" t="n">
        <v>0</v>
      </c>
      <c r="J714" t="n">
        <v>0</v>
      </c>
      <c r="K714" t="n">
        <v>0</v>
      </c>
      <c r="L714" t="n">
        <v>0</v>
      </c>
      <c r="M714" t="n">
        <v>0</v>
      </c>
      <c r="N714" t="n">
        <v>0</v>
      </c>
      <c r="O714" t="n">
        <v>0</v>
      </c>
      <c r="P714" t="n">
        <v>0</v>
      </c>
      <c r="Q714" t="n">
        <v>1</v>
      </c>
      <c r="R714" s="2" t="inlineStr">
        <is>
          <t>Revlummer</t>
        </is>
      </c>
      <c r="S714">
        <f>HYPERLINK("https://klasma.github.io/Logging_2582/artfynd/A 33740-2022 artfynd.xlsx", "A 33740-2022")</f>
        <v/>
      </c>
      <c r="T714">
        <f>HYPERLINK("https://klasma.github.io/Logging_2582/kartor/A 33740-2022 karta.png", "A 33740-2022")</f>
        <v/>
      </c>
      <c r="V714">
        <f>HYPERLINK("https://klasma.github.io/Logging_2582/klagomål/A 33740-2022 FSC-klagomål.docx", "A 33740-2022")</f>
        <v/>
      </c>
      <c r="W714">
        <f>HYPERLINK("https://klasma.github.io/Logging_2582/klagomålsmail/A 33740-2022 FSC-klagomål mail.docx", "A 33740-2022")</f>
        <v/>
      </c>
      <c r="X714">
        <f>HYPERLINK("https://klasma.github.io/Logging_2582/tillsyn/A 33740-2022 tillsynsbegäran.docx", "A 33740-2022")</f>
        <v/>
      </c>
      <c r="Y714">
        <f>HYPERLINK("https://klasma.github.io/Logging_2582/tillsynsmail/A 33740-2022 tillsynsbegäran mail.docx", "A 33740-2022")</f>
        <v/>
      </c>
    </row>
    <row r="715" ht="15" customHeight="1">
      <c r="A715" t="inlineStr">
        <is>
          <t>A 34186-2022</t>
        </is>
      </c>
      <c r="B715" s="1" t="n">
        <v>44791</v>
      </c>
      <c r="C715" s="1" t="n">
        <v>45662</v>
      </c>
      <c r="D715" t="inlineStr">
        <is>
          <t>NORRBOTTENS LÄN</t>
        </is>
      </c>
      <c r="E715" t="inlineStr">
        <is>
          <t>ÖVERTORNEÅ</t>
        </is>
      </c>
      <c r="F715" t="inlineStr">
        <is>
          <t>Sveaskog</t>
        </is>
      </c>
      <c r="G715" t="n">
        <v>33</v>
      </c>
      <c r="H715" t="n">
        <v>0</v>
      </c>
      <c r="I715" t="n">
        <v>1</v>
      </c>
      <c r="J715" t="n">
        <v>0</v>
      </c>
      <c r="K715" t="n">
        <v>0</v>
      </c>
      <c r="L715" t="n">
        <v>0</v>
      </c>
      <c r="M715" t="n">
        <v>0</v>
      </c>
      <c r="N715" t="n">
        <v>0</v>
      </c>
      <c r="O715" t="n">
        <v>0</v>
      </c>
      <c r="P715" t="n">
        <v>0</v>
      </c>
      <c r="Q715" t="n">
        <v>1</v>
      </c>
      <c r="R715" s="2" t="inlineStr">
        <is>
          <t>Stor aspticka</t>
        </is>
      </c>
      <c r="S715">
        <f>HYPERLINK("https://klasma.github.io/Logging_2518/artfynd/A 34186-2022 artfynd.xlsx", "A 34186-2022")</f>
        <v/>
      </c>
      <c r="T715">
        <f>HYPERLINK("https://klasma.github.io/Logging_2518/kartor/A 34186-2022 karta.png", "A 34186-2022")</f>
        <v/>
      </c>
      <c r="V715">
        <f>HYPERLINK("https://klasma.github.io/Logging_2518/klagomål/A 34186-2022 FSC-klagomål.docx", "A 34186-2022")</f>
        <v/>
      </c>
      <c r="W715">
        <f>HYPERLINK("https://klasma.github.io/Logging_2518/klagomålsmail/A 34186-2022 FSC-klagomål mail.docx", "A 34186-2022")</f>
        <v/>
      </c>
      <c r="X715">
        <f>HYPERLINK("https://klasma.github.io/Logging_2518/tillsyn/A 34186-2022 tillsynsbegäran.docx", "A 34186-2022")</f>
        <v/>
      </c>
      <c r="Y715">
        <f>HYPERLINK("https://klasma.github.io/Logging_2518/tillsynsmail/A 34186-2022 tillsynsbegäran mail.docx", "A 34186-2022")</f>
        <v/>
      </c>
    </row>
    <row r="716" ht="15" customHeight="1">
      <c r="A716" t="inlineStr">
        <is>
          <t>A 34022-2022</t>
        </is>
      </c>
      <c r="B716" s="1" t="n">
        <v>44791</v>
      </c>
      <c r="C716" s="1" t="n">
        <v>45662</v>
      </c>
      <c r="D716" t="inlineStr">
        <is>
          <t>NORRBOTTENS LÄN</t>
        </is>
      </c>
      <c r="E716" t="inlineStr">
        <is>
          <t>ÄLVSBYN</t>
        </is>
      </c>
      <c r="F716" t="inlineStr">
        <is>
          <t>Sveaskog</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HYPERLINK("https://klasma.github.io/Logging_2560/artfynd/A 34022-2022 artfynd.xlsx", "A 34022-2022")</f>
        <v/>
      </c>
      <c r="T716">
        <f>HYPERLINK("https://klasma.github.io/Logging_2560/kartor/A 34022-2022 karta.png", "A 34022-2022")</f>
        <v/>
      </c>
      <c r="V716">
        <f>HYPERLINK("https://klasma.github.io/Logging_2560/klagomål/A 34022-2022 FSC-klagomål.docx", "A 34022-2022")</f>
        <v/>
      </c>
      <c r="W716">
        <f>HYPERLINK("https://klasma.github.io/Logging_2560/klagomålsmail/A 34022-2022 FSC-klagomål mail.docx", "A 34022-2022")</f>
        <v/>
      </c>
      <c r="X716">
        <f>HYPERLINK("https://klasma.github.io/Logging_2560/tillsyn/A 34022-2022 tillsynsbegäran.docx", "A 34022-2022")</f>
        <v/>
      </c>
      <c r="Y716">
        <f>HYPERLINK("https://klasma.github.io/Logging_2560/tillsynsmail/A 34022-2022 tillsynsbegäran mail.docx", "A 34022-2022")</f>
        <v/>
      </c>
    </row>
    <row r="717" ht="15" customHeight="1">
      <c r="A717" t="inlineStr">
        <is>
          <t>A 34184-2022</t>
        </is>
      </c>
      <c r="B717" s="1" t="n">
        <v>44791</v>
      </c>
      <c r="C717" s="1" t="n">
        <v>45662</v>
      </c>
      <c r="D717" t="inlineStr">
        <is>
          <t>NORRBOTTENS LÄN</t>
        </is>
      </c>
      <c r="E717" t="inlineStr">
        <is>
          <t>KALIX</t>
        </is>
      </c>
      <c r="F717" t="inlineStr">
        <is>
          <t>Sveaskog</t>
        </is>
      </c>
      <c r="G717" t="n">
        <v>15.2</v>
      </c>
      <c r="H717" t="n">
        <v>0</v>
      </c>
      <c r="I717" t="n">
        <v>0</v>
      </c>
      <c r="J717" t="n">
        <v>1</v>
      </c>
      <c r="K717" t="n">
        <v>0</v>
      </c>
      <c r="L717" t="n">
        <v>0</v>
      </c>
      <c r="M717" t="n">
        <v>0</v>
      </c>
      <c r="N717" t="n">
        <v>0</v>
      </c>
      <c r="O717" t="n">
        <v>1</v>
      </c>
      <c r="P717" t="n">
        <v>0</v>
      </c>
      <c r="Q717" t="n">
        <v>1</v>
      </c>
      <c r="R717" s="2" t="inlineStr">
        <is>
          <t>Garnlav</t>
        </is>
      </c>
      <c r="S717">
        <f>HYPERLINK("https://klasma.github.io/Logging_2514/artfynd/A 34184-2022 artfynd.xlsx", "A 34184-2022")</f>
        <v/>
      </c>
      <c r="T717">
        <f>HYPERLINK("https://klasma.github.io/Logging_2514/kartor/A 34184-2022 karta.png", "A 34184-2022")</f>
        <v/>
      </c>
      <c r="V717">
        <f>HYPERLINK("https://klasma.github.io/Logging_2514/klagomål/A 34184-2022 FSC-klagomål.docx", "A 34184-2022")</f>
        <v/>
      </c>
      <c r="W717">
        <f>HYPERLINK("https://klasma.github.io/Logging_2514/klagomålsmail/A 34184-2022 FSC-klagomål mail.docx", "A 34184-2022")</f>
        <v/>
      </c>
      <c r="X717">
        <f>HYPERLINK("https://klasma.github.io/Logging_2514/tillsyn/A 34184-2022 tillsynsbegäran.docx", "A 34184-2022")</f>
        <v/>
      </c>
      <c r="Y717">
        <f>HYPERLINK("https://klasma.github.io/Logging_2514/tillsynsmail/A 34184-2022 tillsynsbegäran mail.docx", "A 34184-2022")</f>
        <v/>
      </c>
    </row>
    <row r="718" ht="15" customHeight="1">
      <c r="A718" t="inlineStr">
        <is>
          <t>A 35037-2022</t>
        </is>
      </c>
      <c r="B718" s="1" t="n">
        <v>44796</v>
      </c>
      <c r="C718" s="1" t="n">
        <v>45662</v>
      </c>
      <c r="D718" t="inlineStr">
        <is>
          <t>NORRBOTTENS LÄN</t>
        </is>
      </c>
      <c r="E718" t="inlineStr">
        <is>
          <t>BODEN</t>
        </is>
      </c>
      <c r="G718" t="n">
        <v>0.6</v>
      </c>
      <c r="H718" t="n">
        <v>1</v>
      </c>
      <c r="I718" t="n">
        <v>0</v>
      </c>
      <c r="J718" t="n">
        <v>1</v>
      </c>
      <c r="K718" t="n">
        <v>0</v>
      </c>
      <c r="L718" t="n">
        <v>0</v>
      </c>
      <c r="M718" t="n">
        <v>0</v>
      </c>
      <c r="N718" t="n">
        <v>0</v>
      </c>
      <c r="O718" t="n">
        <v>1</v>
      </c>
      <c r="P718" t="n">
        <v>0</v>
      </c>
      <c r="Q718" t="n">
        <v>1</v>
      </c>
      <c r="R718" s="2" t="inlineStr">
        <is>
          <t>Rödvingetrast</t>
        </is>
      </c>
      <c r="S718">
        <f>HYPERLINK("https://klasma.github.io/Logging_2582/artfynd/A 35037-2022 artfynd.xlsx", "A 35037-2022")</f>
        <v/>
      </c>
      <c r="T718">
        <f>HYPERLINK("https://klasma.github.io/Logging_2582/kartor/A 35037-2022 karta.png", "A 35037-2022")</f>
        <v/>
      </c>
      <c r="V718">
        <f>HYPERLINK("https://klasma.github.io/Logging_2582/klagomål/A 35037-2022 FSC-klagomål.docx", "A 35037-2022")</f>
        <v/>
      </c>
      <c r="W718">
        <f>HYPERLINK("https://klasma.github.io/Logging_2582/klagomålsmail/A 35037-2022 FSC-klagomål mail.docx", "A 35037-2022")</f>
        <v/>
      </c>
      <c r="X718">
        <f>HYPERLINK("https://klasma.github.io/Logging_2582/tillsyn/A 35037-2022 tillsynsbegäran.docx", "A 35037-2022")</f>
        <v/>
      </c>
      <c r="Y718">
        <f>HYPERLINK("https://klasma.github.io/Logging_2582/tillsynsmail/A 35037-2022 tillsynsbegäran mail.docx", "A 35037-2022")</f>
        <v/>
      </c>
      <c r="Z718">
        <f>HYPERLINK("https://klasma.github.io/Logging_2582/fåglar/A 35037-2022 prioriterade fågelarter.docx", "A 35037-2022")</f>
        <v/>
      </c>
    </row>
    <row r="719" ht="15" customHeight="1">
      <c r="A719" t="inlineStr">
        <is>
          <t>A 35547-2022</t>
        </is>
      </c>
      <c r="B719" s="1" t="n">
        <v>44799</v>
      </c>
      <c r="C719" s="1" t="n">
        <v>45662</v>
      </c>
      <c r="D719" t="inlineStr">
        <is>
          <t>NORRBOTTENS LÄN</t>
        </is>
      </c>
      <c r="E719" t="inlineStr">
        <is>
          <t>KALIX</t>
        </is>
      </c>
      <c r="F719" t="inlineStr">
        <is>
          <t>Sveaskog</t>
        </is>
      </c>
      <c r="G719" t="n">
        <v>1.7</v>
      </c>
      <c r="H719" t="n">
        <v>0</v>
      </c>
      <c r="I719" t="n">
        <v>0</v>
      </c>
      <c r="J719" t="n">
        <v>1</v>
      </c>
      <c r="K719" t="n">
        <v>0</v>
      </c>
      <c r="L719" t="n">
        <v>0</v>
      </c>
      <c r="M719" t="n">
        <v>0</v>
      </c>
      <c r="N719" t="n">
        <v>0</v>
      </c>
      <c r="O719" t="n">
        <v>1</v>
      </c>
      <c r="P719" t="n">
        <v>0</v>
      </c>
      <c r="Q719" t="n">
        <v>1</v>
      </c>
      <c r="R719" s="2" t="inlineStr">
        <is>
          <t>Tallticka</t>
        </is>
      </c>
      <c r="S719">
        <f>HYPERLINK("https://klasma.github.io/Logging_2514/artfynd/A 35547-2022 artfynd.xlsx", "A 35547-2022")</f>
        <v/>
      </c>
      <c r="T719">
        <f>HYPERLINK("https://klasma.github.io/Logging_2514/kartor/A 35547-2022 karta.png", "A 35547-2022")</f>
        <v/>
      </c>
      <c r="V719">
        <f>HYPERLINK("https://klasma.github.io/Logging_2514/klagomål/A 35547-2022 FSC-klagomål.docx", "A 35547-2022")</f>
        <v/>
      </c>
      <c r="W719">
        <f>HYPERLINK("https://klasma.github.io/Logging_2514/klagomålsmail/A 35547-2022 FSC-klagomål mail.docx", "A 35547-2022")</f>
        <v/>
      </c>
      <c r="X719">
        <f>HYPERLINK("https://klasma.github.io/Logging_2514/tillsyn/A 35547-2022 tillsynsbegäran.docx", "A 35547-2022")</f>
        <v/>
      </c>
      <c r="Y719">
        <f>HYPERLINK("https://klasma.github.io/Logging_2514/tillsynsmail/A 35547-2022 tillsynsbegäran mail.docx", "A 35547-2022")</f>
        <v/>
      </c>
    </row>
    <row r="720" ht="15" customHeight="1">
      <c r="A720" t="inlineStr">
        <is>
          <t>A 36560-2022</t>
        </is>
      </c>
      <c r="B720" s="1" t="n">
        <v>44804</v>
      </c>
      <c r="C720" s="1" t="n">
        <v>45662</v>
      </c>
      <c r="D720" t="inlineStr">
        <is>
          <t>NORRBOTTENS LÄN</t>
        </is>
      </c>
      <c r="E720" t="inlineStr">
        <is>
          <t>PITEÅ</t>
        </is>
      </c>
      <c r="G720" t="n">
        <v>13.4</v>
      </c>
      <c r="H720" t="n">
        <v>0</v>
      </c>
      <c r="I720" t="n">
        <v>0</v>
      </c>
      <c r="J720" t="n">
        <v>1</v>
      </c>
      <c r="K720" t="n">
        <v>0</v>
      </c>
      <c r="L720" t="n">
        <v>0</v>
      </c>
      <c r="M720" t="n">
        <v>0</v>
      </c>
      <c r="N720" t="n">
        <v>0</v>
      </c>
      <c r="O720" t="n">
        <v>1</v>
      </c>
      <c r="P720" t="n">
        <v>0</v>
      </c>
      <c r="Q720" t="n">
        <v>1</v>
      </c>
      <c r="R720" s="2" t="inlineStr">
        <is>
          <t>Tallticka</t>
        </is>
      </c>
      <c r="S720">
        <f>HYPERLINK("https://klasma.github.io/Logging_2581/artfynd/A 36560-2022 artfynd.xlsx", "A 36560-2022")</f>
        <v/>
      </c>
      <c r="T720">
        <f>HYPERLINK("https://klasma.github.io/Logging_2581/kartor/A 36560-2022 karta.png", "A 36560-2022")</f>
        <v/>
      </c>
      <c r="V720">
        <f>HYPERLINK("https://klasma.github.io/Logging_2581/klagomål/A 36560-2022 FSC-klagomål.docx", "A 36560-2022")</f>
        <v/>
      </c>
      <c r="W720">
        <f>HYPERLINK("https://klasma.github.io/Logging_2581/klagomålsmail/A 36560-2022 FSC-klagomål mail.docx", "A 36560-2022")</f>
        <v/>
      </c>
      <c r="X720">
        <f>HYPERLINK("https://klasma.github.io/Logging_2581/tillsyn/A 36560-2022 tillsynsbegäran.docx", "A 36560-2022")</f>
        <v/>
      </c>
      <c r="Y720">
        <f>HYPERLINK("https://klasma.github.io/Logging_2581/tillsynsmail/A 36560-2022 tillsynsbegäran mail.docx", "A 36560-2022")</f>
        <v/>
      </c>
    </row>
    <row r="721" ht="15" customHeight="1">
      <c r="A721" t="inlineStr">
        <is>
          <t>A 37532-2022</t>
        </is>
      </c>
      <c r="B721" s="1" t="n">
        <v>44809</v>
      </c>
      <c r="C721" s="1" t="n">
        <v>45662</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38620-2022</t>
        </is>
      </c>
      <c r="B722" s="1" t="n">
        <v>44813</v>
      </c>
      <c r="C722" s="1" t="n">
        <v>45662</v>
      </c>
      <c r="D722" t="inlineStr">
        <is>
          <t>NORRBOTTENS LÄN</t>
        </is>
      </c>
      <c r="E722" t="inlineStr">
        <is>
          <t>ÄLVSBYN</t>
        </is>
      </c>
      <c r="F722" t="inlineStr">
        <is>
          <t>Sveaskog</t>
        </is>
      </c>
      <c r="G722" t="n">
        <v>3.4</v>
      </c>
      <c r="H722" t="n">
        <v>0</v>
      </c>
      <c r="I722" t="n">
        <v>0</v>
      </c>
      <c r="J722" t="n">
        <v>1</v>
      </c>
      <c r="K722" t="n">
        <v>0</v>
      </c>
      <c r="L722" t="n">
        <v>0</v>
      </c>
      <c r="M722" t="n">
        <v>0</v>
      </c>
      <c r="N722" t="n">
        <v>0</v>
      </c>
      <c r="O722" t="n">
        <v>1</v>
      </c>
      <c r="P722" t="n">
        <v>0</v>
      </c>
      <c r="Q722" t="n">
        <v>1</v>
      </c>
      <c r="R722" s="2" t="inlineStr">
        <is>
          <t>Blå taggsvamp</t>
        </is>
      </c>
      <c r="S722">
        <f>HYPERLINK("https://klasma.github.io/Logging_2560/artfynd/A 38620-2022 artfynd.xlsx", "A 38620-2022")</f>
        <v/>
      </c>
      <c r="T722">
        <f>HYPERLINK("https://klasma.github.io/Logging_2560/kartor/A 38620-2022 karta.png", "A 38620-2022")</f>
        <v/>
      </c>
      <c r="V722">
        <f>HYPERLINK("https://klasma.github.io/Logging_2560/klagomål/A 38620-2022 FSC-klagomål.docx", "A 38620-2022")</f>
        <v/>
      </c>
      <c r="W722">
        <f>HYPERLINK("https://klasma.github.io/Logging_2560/klagomålsmail/A 38620-2022 FSC-klagomål mail.docx", "A 38620-2022")</f>
        <v/>
      </c>
      <c r="X722">
        <f>HYPERLINK("https://klasma.github.io/Logging_2560/tillsyn/A 38620-2022 tillsynsbegäran.docx", "A 38620-2022")</f>
        <v/>
      </c>
      <c r="Y722">
        <f>HYPERLINK("https://klasma.github.io/Logging_2560/tillsynsmail/A 38620-2022 tillsynsbegäran mail.docx", "A 38620-2022")</f>
        <v/>
      </c>
    </row>
    <row r="723" ht="15" customHeight="1">
      <c r="A723" t="inlineStr">
        <is>
          <t>A 42556-2022</t>
        </is>
      </c>
      <c r="B723" s="1" t="n">
        <v>44831</v>
      </c>
      <c r="C723" s="1" t="n">
        <v>45662</v>
      </c>
      <c r="D723" t="inlineStr">
        <is>
          <t>NORRBOTTENS LÄN</t>
        </is>
      </c>
      <c r="E723" t="inlineStr">
        <is>
          <t>ARVIDSJAUR</t>
        </is>
      </c>
      <c r="F723" t="inlineStr">
        <is>
          <t>Sveaskog</t>
        </is>
      </c>
      <c r="G723" t="n">
        <v>14.6</v>
      </c>
      <c r="H723" t="n">
        <v>0</v>
      </c>
      <c r="I723" t="n">
        <v>0</v>
      </c>
      <c r="J723" t="n">
        <v>1</v>
      </c>
      <c r="K723" t="n">
        <v>0</v>
      </c>
      <c r="L723" t="n">
        <v>0</v>
      </c>
      <c r="M723" t="n">
        <v>0</v>
      </c>
      <c r="N723" t="n">
        <v>0</v>
      </c>
      <c r="O723" t="n">
        <v>1</v>
      </c>
      <c r="P723" t="n">
        <v>0</v>
      </c>
      <c r="Q723" t="n">
        <v>1</v>
      </c>
      <c r="R723" s="2" t="inlineStr">
        <is>
          <t>Motaggsvamp</t>
        </is>
      </c>
      <c r="S723">
        <f>HYPERLINK("https://klasma.github.io/Logging_2505/artfynd/A 42556-2022 artfynd.xlsx", "A 42556-2022")</f>
        <v/>
      </c>
      <c r="T723">
        <f>HYPERLINK("https://klasma.github.io/Logging_2505/kartor/A 42556-2022 karta.png", "A 42556-2022")</f>
        <v/>
      </c>
      <c r="V723">
        <f>HYPERLINK("https://klasma.github.io/Logging_2505/klagomål/A 42556-2022 FSC-klagomål.docx", "A 42556-2022")</f>
        <v/>
      </c>
      <c r="W723">
        <f>HYPERLINK("https://klasma.github.io/Logging_2505/klagomålsmail/A 42556-2022 FSC-klagomål mail.docx", "A 42556-2022")</f>
        <v/>
      </c>
      <c r="X723">
        <f>HYPERLINK("https://klasma.github.io/Logging_2505/tillsyn/A 42556-2022 tillsynsbegäran.docx", "A 42556-2022")</f>
        <v/>
      </c>
      <c r="Y723">
        <f>HYPERLINK("https://klasma.github.io/Logging_2505/tillsynsmail/A 42556-2022 tillsynsbegäran mail.docx", "A 42556-2022")</f>
        <v/>
      </c>
    </row>
    <row r="724" ht="15" customHeight="1">
      <c r="A724" t="inlineStr">
        <is>
          <t>A 42680-2022</t>
        </is>
      </c>
      <c r="B724" s="1" t="n">
        <v>44832</v>
      </c>
      <c r="C724" s="1" t="n">
        <v>45662</v>
      </c>
      <c r="D724" t="inlineStr">
        <is>
          <t>NORRBOTTENS LÄN</t>
        </is>
      </c>
      <c r="E724" t="inlineStr">
        <is>
          <t>ÄLVSBYN</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HYPERLINK("https://klasma.github.io/Logging_2560/artfynd/A 42680-2022 artfynd.xlsx", "A 42680-2022")</f>
        <v/>
      </c>
      <c r="T724">
        <f>HYPERLINK("https://klasma.github.io/Logging_2560/kartor/A 42680-2022 karta.png", "A 42680-2022")</f>
        <v/>
      </c>
      <c r="V724">
        <f>HYPERLINK("https://klasma.github.io/Logging_2560/klagomål/A 42680-2022 FSC-klagomål.docx", "A 42680-2022")</f>
        <v/>
      </c>
      <c r="W724">
        <f>HYPERLINK("https://klasma.github.io/Logging_2560/klagomålsmail/A 42680-2022 FSC-klagomål mail.docx", "A 42680-2022")</f>
        <v/>
      </c>
      <c r="X724">
        <f>HYPERLINK("https://klasma.github.io/Logging_2560/tillsyn/A 42680-2022 tillsynsbegäran.docx", "A 42680-2022")</f>
        <v/>
      </c>
      <c r="Y724">
        <f>HYPERLINK("https://klasma.github.io/Logging_2560/tillsynsmail/A 42680-2022 tillsynsbegäran mail.docx", "A 42680-2022")</f>
        <v/>
      </c>
    </row>
    <row r="725" ht="15" customHeight="1">
      <c r="A725" t="inlineStr">
        <is>
          <t>A 44253-2022</t>
        </is>
      </c>
      <c r="B725" s="1" t="n">
        <v>44839</v>
      </c>
      <c r="C725" s="1" t="n">
        <v>45662</v>
      </c>
      <c r="D725" t="inlineStr">
        <is>
          <t>NORRBOTTENS LÄN</t>
        </is>
      </c>
      <c r="E725" t="inlineStr">
        <is>
          <t>LULEÅ</t>
        </is>
      </c>
      <c r="G725" t="n">
        <v>4.4</v>
      </c>
      <c r="H725" t="n">
        <v>1</v>
      </c>
      <c r="I725" t="n">
        <v>0</v>
      </c>
      <c r="J725" t="n">
        <v>1</v>
      </c>
      <c r="K725" t="n">
        <v>0</v>
      </c>
      <c r="L725" t="n">
        <v>0</v>
      </c>
      <c r="M725" t="n">
        <v>0</v>
      </c>
      <c r="N725" t="n">
        <v>0</v>
      </c>
      <c r="O725" t="n">
        <v>1</v>
      </c>
      <c r="P725" t="n">
        <v>0</v>
      </c>
      <c r="Q725" t="n">
        <v>1</v>
      </c>
      <c r="R725" s="2" t="inlineStr">
        <is>
          <t>Spillkråka</t>
        </is>
      </c>
      <c r="S725">
        <f>HYPERLINK("https://klasma.github.io/Logging_2580/artfynd/A 44253-2022 artfynd.xlsx", "A 44253-2022")</f>
        <v/>
      </c>
      <c r="T725">
        <f>HYPERLINK("https://klasma.github.io/Logging_2580/kartor/A 44253-2022 karta.png", "A 44253-2022")</f>
        <v/>
      </c>
      <c r="V725">
        <f>HYPERLINK("https://klasma.github.io/Logging_2580/klagomål/A 44253-2022 FSC-klagomål.docx", "A 44253-2022")</f>
        <v/>
      </c>
      <c r="W725">
        <f>HYPERLINK("https://klasma.github.io/Logging_2580/klagomålsmail/A 44253-2022 FSC-klagomål mail.docx", "A 44253-2022")</f>
        <v/>
      </c>
      <c r="X725">
        <f>HYPERLINK("https://klasma.github.io/Logging_2580/tillsyn/A 44253-2022 tillsynsbegäran.docx", "A 44253-2022")</f>
        <v/>
      </c>
      <c r="Y725">
        <f>HYPERLINK("https://klasma.github.io/Logging_2580/tillsynsmail/A 44253-2022 tillsynsbegäran mail.docx", "A 44253-2022")</f>
        <v/>
      </c>
      <c r="Z725">
        <f>HYPERLINK("https://klasma.github.io/Logging_2580/fåglar/A 44253-2022 prioriterade fågelarter.docx", "A 44253-2022")</f>
        <v/>
      </c>
    </row>
    <row r="726" ht="15" customHeight="1">
      <c r="A726" t="inlineStr">
        <is>
          <t>A 44283-2022</t>
        </is>
      </c>
      <c r="B726" s="1" t="n">
        <v>44839</v>
      </c>
      <c r="C726" s="1" t="n">
        <v>45662</v>
      </c>
      <c r="D726" t="inlineStr">
        <is>
          <t>NORRBOTTENS LÄN</t>
        </is>
      </c>
      <c r="E726" t="inlineStr">
        <is>
          <t>ÄLVSBYN</t>
        </is>
      </c>
      <c r="F726" t="inlineStr">
        <is>
          <t>Sveaskog</t>
        </is>
      </c>
      <c r="G726" t="n">
        <v>4.1</v>
      </c>
      <c r="H726" t="n">
        <v>0</v>
      </c>
      <c r="I726" t="n">
        <v>0</v>
      </c>
      <c r="J726" t="n">
        <v>1</v>
      </c>
      <c r="K726" t="n">
        <v>0</v>
      </c>
      <c r="L726" t="n">
        <v>0</v>
      </c>
      <c r="M726" t="n">
        <v>0</v>
      </c>
      <c r="N726" t="n">
        <v>0</v>
      </c>
      <c r="O726" t="n">
        <v>1</v>
      </c>
      <c r="P726" t="n">
        <v>0</v>
      </c>
      <c r="Q726" t="n">
        <v>1</v>
      </c>
      <c r="R726" s="2" t="inlineStr">
        <is>
          <t>Lunglav</t>
        </is>
      </c>
      <c r="S726">
        <f>HYPERLINK("https://klasma.github.io/Logging_2560/artfynd/A 44283-2022 artfynd.xlsx", "A 44283-2022")</f>
        <v/>
      </c>
      <c r="T726">
        <f>HYPERLINK("https://klasma.github.io/Logging_2560/kartor/A 44283-2022 karta.png", "A 44283-2022")</f>
        <v/>
      </c>
      <c r="V726">
        <f>HYPERLINK("https://klasma.github.io/Logging_2560/klagomål/A 44283-2022 FSC-klagomål.docx", "A 44283-2022")</f>
        <v/>
      </c>
      <c r="W726">
        <f>HYPERLINK("https://klasma.github.io/Logging_2560/klagomålsmail/A 44283-2022 FSC-klagomål mail.docx", "A 44283-2022")</f>
        <v/>
      </c>
      <c r="X726">
        <f>HYPERLINK("https://klasma.github.io/Logging_2560/tillsyn/A 44283-2022 tillsynsbegäran.docx", "A 44283-2022")</f>
        <v/>
      </c>
      <c r="Y726">
        <f>HYPERLINK("https://klasma.github.io/Logging_2560/tillsynsmail/A 44283-2022 tillsynsbegäran mail.docx", "A 44283-2022")</f>
        <v/>
      </c>
    </row>
    <row r="727" ht="15" customHeight="1">
      <c r="A727" t="inlineStr">
        <is>
          <t>A 44255-2022</t>
        </is>
      </c>
      <c r="B727" s="1" t="n">
        <v>44839</v>
      </c>
      <c r="C727" s="1" t="n">
        <v>45662</v>
      </c>
      <c r="D727" t="inlineStr">
        <is>
          <t>NORRBOTTENS LÄN</t>
        </is>
      </c>
      <c r="E727" t="inlineStr">
        <is>
          <t>BODEN</t>
        </is>
      </c>
      <c r="F727" t="inlineStr">
        <is>
          <t>Sveaskog</t>
        </is>
      </c>
      <c r="G727" t="n">
        <v>4.2</v>
      </c>
      <c r="H727" t="n">
        <v>1</v>
      </c>
      <c r="I727" t="n">
        <v>0</v>
      </c>
      <c r="J727" t="n">
        <v>0</v>
      </c>
      <c r="K727" t="n">
        <v>0</v>
      </c>
      <c r="L727" t="n">
        <v>0</v>
      </c>
      <c r="M727" t="n">
        <v>0</v>
      </c>
      <c r="N727" t="n">
        <v>0</v>
      </c>
      <c r="O727" t="n">
        <v>0</v>
      </c>
      <c r="P727" t="n">
        <v>0</v>
      </c>
      <c r="Q727" t="n">
        <v>1</v>
      </c>
      <c r="R727" s="2" t="inlineStr">
        <is>
          <t>Revlummer</t>
        </is>
      </c>
      <c r="S727">
        <f>HYPERLINK("https://klasma.github.io/Logging_2582/artfynd/A 44255-2022 artfynd.xlsx", "A 44255-2022")</f>
        <v/>
      </c>
      <c r="T727">
        <f>HYPERLINK("https://klasma.github.io/Logging_2582/kartor/A 44255-2022 karta.png", "A 44255-2022")</f>
        <v/>
      </c>
      <c r="V727">
        <f>HYPERLINK("https://klasma.github.io/Logging_2582/klagomål/A 44255-2022 FSC-klagomål.docx", "A 44255-2022")</f>
        <v/>
      </c>
      <c r="W727">
        <f>HYPERLINK("https://klasma.github.io/Logging_2582/klagomålsmail/A 44255-2022 FSC-klagomål mail.docx", "A 44255-2022")</f>
        <v/>
      </c>
      <c r="X727">
        <f>HYPERLINK("https://klasma.github.io/Logging_2582/tillsyn/A 44255-2022 tillsynsbegäran.docx", "A 44255-2022")</f>
        <v/>
      </c>
      <c r="Y727">
        <f>HYPERLINK("https://klasma.github.io/Logging_2582/tillsynsmail/A 44255-2022 tillsynsbegäran mail.docx", "A 44255-2022")</f>
        <v/>
      </c>
    </row>
    <row r="728" ht="15" customHeight="1">
      <c r="A728" t="inlineStr">
        <is>
          <t>A 44768-2022</t>
        </is>
      </c>
      <c r="B728" s="1" t="n">
        <v>44840</v>
      </c>
      <c r="C728" s="1" t="n">
        <v>45662</v>
      </c>
      <c r="D728" t="inlineStr">
        <is>
          <t>NORRBOTTENS LÄN</t>
        </is>
      </c>
      <c r="E728" t="inlineStr">
        <is>
          <t>BODEN</t>
        </is>
      </c>
      <c r="F728" t="inlineStr">
        <is>
          <t>SCA</t>
        </is>
      </c>
      <c r="G728" t="n">
        <v>6.1</v>
      </c>
      <c r="H728" t="n">
        <v>0</v>
      </c>
      <c r="I728" t="n">
        <v>0</v>
      </c>
      <c r="J728" t="n">
        <v>1</v>
      </c>
      <c r="K728" t="n">
        <v>0</v>
      </c>
      <c r="L728" t="n">
        <v>0</v>
      </c>
      <c r="M728" t="n">
        <v>0</v>
      </c>
      <c r="N728" t="n">
        <v>0</v>
      </c>
      <c r="O728" t="n">
        <v>1</v>
      </c>
      <c r="P728" t="n">
        <v>0</v>
      </c>
      <c r="Q728" t="n">
        <v>1</v>
      </c>
      <c r="R728" s="2" t="inlineStr">
        <is>
          <t>Motaggsvamp</t>
        </is>
      </c>
      <c r="S728">
        <f>HYPERLINK("https://klasma.github.io/Logging_2582/artfynd/A 44768-2022 artfynd.xlsx", "A 44768-2022")</f>
        <v/>
      </c>
      <c r="T728">
        <f>HYPERLINK("https://klasma.github.io/Logging_2582/kartor/A 44768-2022 karta.png", "A 44768-2022")</f>
        <v/>
      </c>
      <c r="V728">
        <f>HYPERLINK("https://klasma.github.io/Logging_2582/klagomål/A 44768-2022 FSC-klagomål.docx", "A 44768-2022")</f>
        <v/>
      </c>
      <c r="W728">
        <f>HYPERLINK("https://klasma.github.io/Logging_2582/klagomålsmail/A 44768-2022 FSC-klagomål mail.docx", "A 44768-2022")</f>
        <v/>
      </c>
      <c r="X728">
        <f>HYPERLINK("https://klasma.github.io/Logging_2582/tillsyn/A 44768-2022 tillsynsbegäran.docx", "A 44768-2022")</f>
        <v/>
      </c>
      <c r="Y728">
        <f>HYPERLINK("https://klasma.github.io/Logging_2582/tillsynsmail/A 44768-2022 tillsynsbegäran mail.docx", "A 44768-2022")</f>
        <v/>
      </c>
    </row>
    <row r="729" ht="15" customHeight="1">
      <c r="A729" t="inlineStr">
        <is>
          <t>A 45324-2022</t>
        </is>
      </c>
      <c r="B729" s="1" t="n">
        <v>44841</v>
      </c>
      <c r="C729" s="1" t="n">
        <v>45662</v>
      </c>
      <c r="D729" t="inlineStr">
        <is>
          <t>NORRBOTTENS LÄN</t>
        </is>
      </c>
      <c r="E729" t="inlineStr">
        <is>
          <t>ARJEPLOG</t>
        </is>
      </c>
      <c r="G729" t="n">
        <v>23.2</v>
      </c>
      <c r="H729" t="n">
        <v>1</v>
      </c>
      <c r="I729" t="n">
        <v>0</v>
      </c>
      <c r="J729" t="n">
        <v>0</v>
      </c>
      <c r="K729" t="n">
        <v>0</v>
      </c>
      <c r="L729" t="n">
        <v>1</v>
      </c>
      <c r="M729" t="n">
        <v>0</v>
      </c>
      <c r="N729" t="n">
        <v>0</v>
      </c>
      <c r="O729" t="n">
        <v>1</v>
      </c>
      <c r="P729" t="n">
        <v>1</v>
      </c>
      <c r="Q729" t="n">
        <v>1</v>
      </c>
      <c r="R729" s="2" t="inlineStr">
        <is>
          <t>Bergand</t>
        </is>
      </c>
      <c r="S729">
        <f>HYPERLINK("https://klasma.github.io/Logging_2506/artfynd/A 45324-2022 artfynd.xlsx", "A 45324-2022")</f>
        <v/>
      </c>
      <c r="T729">
        <f>HYPERLINK("https://klasma.github.io/Logging_2506/kartor/A 45324-2022 karta.png", "A 45324-2022")</f>
        <v/>
      </c>
      <c r="V729">
        <f>HYPERLINK("https://klasma.github.io/Logging_2506/klagomål/A 45324-2022 FSC-klagomål.docx", "A 45324-2022")</f>
        <v/>
      </c>
      <c r="W729">
        <f>HYPERLINK("https://klasma.github.io/Logging_2506/klagomålsmail/A 45324-2022 FSC-klagomål mail.docx", "A 45324-2022")</f>
        <v/>
      </c>
      <c r="X729">
        <f>HYPERLINK("https://klasma.github.io/Logging_2506/tillsyn/A 45324-2022 tillsynsbegäran.docx", "A 45324-2022")</f>
        <v/>
      </c>
      <c r="Y729">
        <f>HYPERLINK("https://klasma.github.io/Logging_2506/tillsynsmail/A 45324-2022 tillsynsbegäran mail.docx", "A 45324-2022")</f>
        <v/>
      </c>
    </row>
    <row r="730" ht="15" customHeight="1">
      <c r="A730" t="inlineStr">
        <is>
          <t>A 45810-2022</t>
        </is>
      </c>
      <c r="B730" s="1" t="n">
        <v>44844</v>
      </c>
      <c r="C730" s="1" t="n">
        <v>45662</v>
      </c>
      <c r="D730" t="inlineStr">
        <is>
          <t>NORRBOTTENS LÄN</t>
        </is>
      </c>
      <c r="E730" t="inlineStr">
        <is>
          <t>KIRUNA</t>
        </is>
      </c>
      <c r="F730" t="inlineStr">
        <is>
          <t>Övriga statliga verk och myndigheter</t>
        </is>
      </c>
      <c r="G730" t="n">
        <v>6.8</v>
      </c>
      <c r="H730" t="n">
        <v>1</v>
      </c>
      <c r="I730" t="n">
        <v>0</v>
      </c>
      <c r="J730" t="n">
        <v>0</v>
      </c>
      <c r="K730" t="n">
        <v>0</v>
      </c>
      <c r="L730" t="n">
        <v>0</v>
      </c>
      <c r="M730" t="n">
        <v>0</v>
      </c>
      <c r="N730" t="n">
        <v>0</v>
      </c>
      <c r="O730" t="n">
        <v>0</v>
      </c>
      <c r="P730" t="n">
        <v>0</v>
      </c>
      <c r="Q730" t="n">
        <v>1</v>
      </c>
      <c r="R730" s="2" t="inlineStr">
        <is>
          <t>Revlummer</t>
        </is>
      </c>
      <c r="S730">
        <f>HYPERLINK("https://klasma.github.io/Logging_2584/artfynd/A 45810-2022 artfynd.xlsx", "A 45810-2022")</f>
        <v/>
      </c>
      <c r="T730">
        <f>HYPERLINK("https://klasma.github.io/Logging_2584/kartor/A 45810-2022 karta.png", "A 45810-2022")</f>
        <v/>
      </c>
      <c r="V730">
        <f>HYPERLINK("https://klasma.github.io/Logging_2584/klagomål/A 45810-2022 FSC-klagomål.docx", "A 45810-2022")</f>
        <v/>
      </c>
      <c r="W730">
        <f>HYPERLINK("https://klasma.github.io/Logging_2584/klagomålsmail/A 45810-2022 FSC-klagomål mail.docx", "A 45810-2022")</f>
        <v/>
      </c>
      <c r="X730">
        <f>HYPERLINK("https://klasma.github.io/Logging_2584/tillsyn/A 45810-2022 tillsynsbegäran.docx", "A 45810-2022")</f>
        <v/>
      </c>
      <c r="Y730">
        <f>HYPERLINK("https://klasma.github.io/Logging_2584/tillsynsmail/A 45810-2022 tillsynsbegäran mail.docx", "A 45810-2022")</f>
        <v/>
      </c>
    </row>
    <row r="731" ht="15" customHeight="1">
      <c r="A731" t="inlineStr">
        <is>
          <t>A 45665-2022</t>
        </is>
      </c>
      <c r="B731" s="1" t="n">
        <v>44845</v>
      </c>
      <c r="C731" s="1" t="n">
        <v>45662</v>
      </c>
      <c r="D731" t="inlineStr">
        <is>
          <t>NORRBOTTENS LÄN</t>
        </is>
      </c>
      <c r="E731" t="inlineStr">
        <is>
          <t>ÖVERTORNEÅ</t>
        </is>
      </c>
      <c r="F731" t="inlineStr">
        <is>
          <t>Sveaskog</t>
        </is>
      </c>
      <c r="G731" t="n">
        <v>4.6</v>
      </c>
      <c r="H731" t="n">
        <v>0</v>
      </c>
      <c r="I731" t="n">
        <v>0</v>
      </c>
      <c r="J731" t="n">
        <v>1</v>
      </c>
      <c r="K731" t="n">
        <v>0</v>
      </c>
      <c r="L731" t="n">
        <v>0</v>
      </c>
      <c r="M731" t="n">
        <v>0</v>
      </c>
      <c r="N731" t="n">
        <v>0</v>
      </c>
      <c r="O731" t="n">
        <v>1</v>
      </c>
      <c r="P731" t="n">
        <v>0</v>
      </c>
      <c r="Q731" t="n">
        <v>1</v>
      </c>
      <c r="R731" s="2" t="inlineStr">
        <is>
          <t>Garnlav</t>
        </is>
      </c>
      <c r="S731">
        <f>HYPERLINK("https://klasma.github.io/Logging_2518/artfynd/A 45665-2022 artfynd.xlsx", "A 45665-2022")</f>
        <v/>
      </c>
      <c r="T731">
        <f>HYPERLINK("https://klasma.github.io/Logging_2518/kartor/A 45665-2022 karta.png", "A 45665-2022")</f>
        <v/>
      </c>
      <c r="V731">
        <f>HYPERLINK("https://klasma.github.io/Logging_2518/klagomål/A 45665-2022 FSC-klagomål.docx", "A 45665-2022")</f>
        <v/>
      </c>
      <c r="W731">
        <f>HYPERLINK("https://klasma.github.io/Logging_2518/klagomålsmail/A 45665-2022 FSC-klagomål mail.docx", "A 45665-2022")</f>
        <v/>
      </c>
      <c r="X731">
        <f>HYPERLINK("https://klasma.github.io/Logging_2518/tillsyn/A 45665-2022 tillsynsbegäran.docx", "A 45665-2022")</f>
        <v/>
      </c>
      <c r="Y731">
        <f>HYPERLINK("https://klasma.github.io/Logging_2518/tillsynsmail/A 45665-2022 tillsynsbegäran mail.docx", "A 45665-2022")</f>
        <v/>
      </c>
    </row>
    <row r="732" ht="15" customHeight="1">
      <c r="A732" t="inlineStr">
        <is>
          <t>A 45941-2022</t>
        </is>
      </c>
      <c r="B732" s="1" t="n">
        <v>44846</v>
      </c>
      <c r="C732" s="1" t="n">
        <v>45662</v>
      </c>
      <c r="D732" t="inlineStr">
        <is>
          <t>NORRBOTTENS LÄN</t>
        </is>
      </c>
      <c r="E732" t="inlineStr">
        <is>
          <t>BODEN</t>
        </is>
      </c>
      <c r="F732" t="inlineStr">
        <is>
          <t>Sveaskog</t>
        </is>
      </c>
      <c r="G732" t="n">
        <v>3.4</v>
      </c>
      <c r="H732" t="n">
        <v>0</v>
      </c>
      <c r="I732" t="n">
        <v>0</v>
      </c>
      <c r="J732" t="n">
        <v>1</v>
      </c>
      <c r="K732" t="n">
        <v>0</v>
      </c>
      <c r="L732" t="n">
        <v>0</v>
      </c>
      <c r="M732" t="n">
        <v>0</v>
      </c>
      <c r="N732" t="n">
        <v>0</v>
      </c>
      <c r="O732" t="n">
        <v>1</v>
      </c>
      <c r="P732" t="n">
        <v>0</v>
      </c>
      <c r="Q732" t="n">
        <v>1</v>
      </c>
      <c r="R732" s="2" t="inlineStr">
        <is>
          <t>Lunglav</t>
        </is>
      </c>
      <c r="S732">
        <f>HYPERLINK("https://klasma.github.io/Logging_2582/artfynd/A 45941-2022 artfynd.xlsx", "A 45941-2022")</f>
        <v/>
      </c>
      <c r="T732">
        <f>HYPERLINK("https://klasma.github.io/Logging_2582/kartor/A 45941-2022 karta.png", "A 45941-2022")</f>
        <v/>
      </c>
      <c r="V732">
        <f>HYPERLINK("https://klasma.github.io/Logging_2582/klagomål/A 45941-2022 FSC-klagomål.docx", "A 45941-2022")</f>
        <v/>
      </c>
      <c r="W732">
        <f>HYPERLINK("https://klasma.github.io/Logging_2582/klagomålsmail/A 45941-2022 FSC-klagomål mail.docx", "A 45941-2022")</f>
        <v/>
      </c>
      <c r="X732">
        <f>HYPERLINK("https://klasma.github.io/Logging_2582/tillsyn/A 45941-2022 tillsynsbegäran.docx", "A 45941-2022")</f>
        <v/>
      </c>
      <c r="Y732">
        <f>HYPERLINK("https://klasma.github.io/Logging_2582/tillsynsmail/A 45941-2022 tillsynsbegäran mail.docx", "A 45941-2022")</f>
        <v/>
      </c>
    </row>
    <row r="733" ht="15" customHeight="1">
      <c r="A733" t="inlineStr">
        <is>
          <t>A 47498-2022</t>
        </is>
      </c>
      <c r="B733" s="1" t="n">
        <v>44853</v>
      </c>
      <c r="C733" s="1" t="n">
        <v>45662</v>
      </c>
      <c r="D733" t="inlineStr">
        <is>
          <t>NORRBOTTENS LÄN</t>
        </is>
      </c>
      <c r="E733" t="inlineStr">
        <is>
          <t>BODEN</t>
        </is>
      </c>
      <c r="F733" t="inlineStr">
        <is>
          <t>Kommuner</t>
        </is>
      </c>
      <c r="G733" t="n">
        <v>2.6</v>
      </c>
      <c r="H733" t="n">
        <v>1</v>
      </c>
      <c r="I733" t="n">
        <v>0</v>
      </c>
      <c r="J733" t="n">
        <v>1</v>
      </c>
      <c r="K733" t="n">
        <v>0</v>
      </c>
      <c r="L733" t="n">
        <v>0</v>
      </c>
      <c r="M733" t="n">
        <v>0</v>
      </c>
      <c r="N733" t="n">
        <v>0</v>
      </c>
      <c r="O733" t="n">
        <v>1</v>
      </c>
      <c r="P733" t="n">
        <v>0</v>
      </c>
      <c r="Q733" t="n">
        <v>1</v>
      </c>
      <c r="R733" s="2" t="inlineStr">
        <is>
          <t>Spillkråka</t>
        </is>
      </c>
      <c r="S733">
        <f>HYPERLINK("https://klasma.github.io/Logging_2582/artfynd/A 47498-2022 artfynd.xlsx", "A 47498-2022")</f>
        <v/>
      </c>
      <c r="T733">
        <f>HYPERLINK("https://klasma.github.io/Logging_2582/kartor/A 47498-2022 karta.png", "A 47498-2022")</f>
        <v/>
      </c>
      <c r="V733">
        <f>HYPERLINK("https://klasma.github.io/Logging_2582/klagomål/A 47498-2022 FSC-klagomål.docx", "A 47498-2022")</f>
        <v/>
      </c>
      <c r="W733">
        <f>HYPERLINK("https://klasma.github.io/Logging_2582/klagomålsmail/A 47498-2022 FSC-klagomål mail.docx", "A 47498-2022")</f>
        <v/>
      </c>
      <c r="X733">
        <f>HYPERLINK("https://klasma.github.io/Logging_2582/tillsyn/A 47498-2022 tillsynsbegäran.docx", "A 47498-2022")</f>
        <v/>
      </c>
      <c r="Y733">
        <f>HYPERLINK("https://klasma.github.io/Logging_2582/tillsynsmail/A 47498-2022 tillsynsbegäran mail.docx", "A 47498-2022")</f>
        <v/>
      </c>
      <c r="Z733">
        <f>HYPERLINK("https://klasma.github.io/Logging_2582/fåglar/A 47498-2022 prioriterade fågelarter.docx", "A 47498-2022")</f>
        <v/>
      </c>
    </row>
    <row r="734" ht="15" customHeight="1">
      <c r="A734" t="inlineStr">
        <is>
          <t>A 47505-2022</t>
        </is>
      </c>
      <c r="B734" s="1" t="n">
        <v>44853</v>
      </c>
      <c r="C734" s="1" t="n">
        <v>45662</v>
      </c>
      <c r="D734" t="inlineStr">
        <is>
          <t>NORRBOTTENS LÄN</t>
        </is>
      </c>
      <c r="E734" t="inlineStr">
        <is>
          <t>JOKKMOKK</t>
        </is>
      </c>
      <c r="F734" t="inlineStr">
        <is>
          <t>Sveaskog</t>
        </is>
      </c>
      <c r="G734" t="n">
        <v>2.7</v>
      </c>
      <c r="H734" t="n">
        <v>1</v>
      </c>
      <c r="I734" t="n">
        <v>0</v>
      </c>
      <c r="J734" t="n">
        <v>0</v>
      </c>
      <c r="K734" t="n">
        <v>0</v>
      </c>
      <c r="L734" t="n">
        <v>0</v>
      </c>
      <c r="M734" t="n">
        <v>0</v>
      </c>
      <c r="N734" t="n">
        <v>0</v>
      </c>
      <c r="O734" t="n">
        <v>0</v>
      </c>
      <c r="P734" t="n">
        <v>0</v>
      </c>
      <c r="Q734" t="n">
        <v>1</v>
      </c>
      <c r="R734" s="2" t="inlineStr">
        <is>
          <t>Lavskrika</t>
        </is>
      </c>
      <c r="S734">
        <f>HYPERLINK("https://klasma.github.io/Logging_2510/artfynd/A 47505-2022 artfynd.xlsx", "A 47505-2022")</f>
        <v/>
      </c>
      <c r="T734">
        <f>HYPERLINK("https://klasma.github.io/Logging_2510/kartor/A 47505-2022 karta.png", "A 47505-2022")</f>
        <v/>
      </c>
      <c r="V734">
        <f>HYPERLINK("https://klasma.github.io/Logging_2510/klagomål/A 47505-2022 FSC-klagomål.docx", "A 47505-2022")</f>
        <v/>
      </c>
      <c r="W734">
        <f>HYPERLINK("https://klasma.github.io/Logging_2510/klagomålsmail/A 47505-2022 FSC-klagomål mail.docx", "A 47505-2022")</f>
        <v/>
      </c>
      <c r="X734">
        <f>HYPERLINK("https://klasma.github.io/Logging_2510/tillsyn/A 47505-2022 tillsynsbegäran.docx", "A 47505-2022")</f>
        <v/>
      </c>
      <c r="Y734">
        <f>HYPERLINK("https://klasma.github.io/Logging_2510/tillsynsmail/A 47505-2022 tillsynsbegäran mail.docx", "A 47505-2022")</f>
        <v/>
      </c>
      <c r="Z734">
        <f>HYPERLINK("https://klasma.github.io/Logging_2510/fåglar/A 47505-2022 prioriterade fågelarter.docx", "A 47505-2022")</f>
        <v/>
      </c>
    </row>
    <row r="735" ht="15" customHeight="1">
      <c r="A735" t="inlineStr">
        <is>
          <t>A 47700-2022</t>
        </is>
      </c>
      <c r="B735" s="1" t="n">
        <v>44854</v>
      </c>
      <c r="C735" s="1" t="n">
        <v>45662</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Garnlav</t>
        </is>
      </c>
      <c r="S735">
        <f>HYPERLINK("https://klasma.github.io/Logging_2521/artfynd/A 47700-2022 artfynd.xlsx", "A 47700-2022")</f>
        <v/>
      </c>
      <c r="T735">
        <f>HYPERLINK("https://klasma.github.io/Logging_2521/kartor/A 47700-2022 karta.png", "A 47700-2022")</f>
        <v/>
      </c>
      <c r="V735">
        <f>HYPERLINK("https://klasma.github.io/Logging_2521/klagomål/A 47700-2022 FSC-klagomål.docx", "A 47700-2022")</f>
        <v/>
      </c>
      <c r="W735">
        <f>HYPERLINK("https://klasma.github.io/Logging_2521/klagomålsmail/A 47700-2022 FSC-klagomål mail.docx", "A 47700-2022")</f>
        <v/>
      </c>
      <c r="X735">
        <f>HYPERLINK("https://klasma.github.io/Logging_2521/tillsyn/A 47700-2022 tillsynsbegäran.docx", "A 47700-2022")</f>
        <v/>
      </c>
      <c r="Y735">
        <f>HYPERLINK("https://klasma.github.io/Logging_2521/tillsynsmail/A 47700-2022 tillsynsbegäran mail.docx", "A 47700-2022")</f>
        <v/>
      </c>
    </row>
    <row r="736" ht="15" customHeight="1">
      <c r="A736" t="inlineStr">
        <is>
          <t>A 47954-2022</t>
        </is>
      </c>
      <c r="B736" s="1" t="n">
        <v>44855</v>
      </c>
      <c r="C736" s="1" t="n">
        <v>45662</v>
      </c>
      <c r="D736" t="inlineStr">
        <is>
          <t>NORRBOTTENS LÄN</t>
        </is>
      </c>
      <c r="E736" t="inlineStr">
        <is>
          <t>ARVIDSJAUR</t>
        </is>
      </c>
      <c r="F736" t="inlineStr">
        <is>
          <t>Sveaskog</t>
        </is>
      </c>
      <c r="G736" t="n">
        <v>3.3</v>
      </c>
      <c r="H736" t="n">
        <v>1</v>
      </c>
      <c r="I736" t="n">
        <v>0</v>
      </c>
      <c r="J736" t="n">
        <v>1</v>
      </c>
      <c r="K736" t="n">
        <v>0</v>
      </c>
      <c r="L736" t="n">
        <v>0</v>
      </c>
      <c r="M736" t="n">
        <v>0</v>
      </c>
      <c r="N736" t="n">
        <v>0</v>
      </c>
      <c r="O736" t="n">
        <v>1</v>
      </c>
      <c r="P736" t="n">
        <v>0</v>
      </c>
      <c r="Q736" t="n">
        <v>1</v>
      </c>
      <c r="R736" s="2" t="inlineStr">
        <is>
          <t>Spillkråka</t>
        </is>
      </c>
      <c r="S736">
        <f>HYPERLINK("https://klasma.github.io/Logging_2505/artfynd/A 47954-2022 artfynd.xlsx", "A 47954-2022")</f>
        <v/>
      </c>
      <c r="T736">
        <f>HYPERLINK("https://klasma.github.io/Logging_2505/kartor/A 47954-2022 karta.png", "A 47954-2022")</f>
        <v/>
      </c>
      <c r="V736">
        <f>HYPERLINK("https://klasma.github.io/Logging_2505/klagomål/A 47954-2022 FSC-klagomål.docx", "A 47954-2022")</f>
        <v/>
      </c>
      <c r="W736">
        <f>HYPERLINK("https://klasma.github.io/Logging_2505/klagomålsmail/A 47954-2022 FSC-klagomål mail.docx", "A 47954-2022")</f>
        <v/>
      </c>
      <c r="X736">
        <f>HYPERLINK("https://klasma.github.io/Logging_2505/tillsyn/A 47954-2022 tillsynsbegäran.docx", "A 47954-2022")</f>
        <v/>
      </c>
      <c r="Y736">
        <f>HYPERLINK("https://klasma.github.io/Logging_2505/tillsynsmail/A 47954-2022 tillsynsbegäran mail.docx", "A 47954-2022")</f>
        <v/>
      </c>
      <c r="Z736">
        <f>HYPERLINK("https://klasma.github.io/Logging_2505/fåglar/A 47954-2022 prioriterade fågelarter.docx", "A 47954-2022")</f>
        <v/>
      </c>
    </row>
    <row r="737" ht="15" customHeight="1">
      <c r="A737" t="inlineStr">
        <is>
          <t>A 49188-2022</t>
        </is>
      </c>
      <c r="B737" s="1" t="n">
        <v>44860</v>
      </c>
      <c r="C737" s="1" t="n">
        <v>45662</v>
      </c>
      <c r="D737" t="inlineStr">
        <is>
          <t>NORRBOTTENS LÄN</t>
        </is>
      </c>
      <c r="E737" t="inlineStr">
        <is>
          <t>GÄLLIVARE</t>
        </is>
      </c>
      <c r="F737" t="inlineStr">
        <is>
          <t>SCA</t>
        </is>
      </c>
      <c r="G737" t="n">
        <v>5.4</v>
      </c>
      <c r="H737" t="n">
        <v>0</v>
      </c>
      <c r="I737" t="n">
        <v>1</v>
      </c>
      <c r="J737" t="n">
        <v>0</v>
      </c>
      <c r="K737" t="n">
        <v>0</v>
      </c>
      <c r="L737" t="n">
        <v>0</v>
      </c>
      <c r="M737" t="n">
        <v>0</v>
      </c>
      <c r="N737" t="n">
        <v>0</v>
      </c>
      <c r="O737" t="n">
        <v>0</v>
      </c>
      <c r="P737" t="n">
        <v>0</v>
      </c>
      <c r="Q737" t="n">
        <v>1</v>
      </c>
      <c r="R737" s="2" t="inlineStr">
        <is>
          <t>Dropptaggsvamp</t>
        </is>
      </c>
      <c r="S737">
        <f>HYPERLINK("https://klasma.github.io/Logging_2523/artfynd/A 49188-2022 artfynd.xlsx", "A 49188-2022")</f>
        <v/>
      </c>
      <c r="T737">
        <f>HYPERLINK("https://klasma.github.io/Logging_2523/kartor/A 49188-2022 karta.png", "A 49188-2022")</f>
        <v/>
      </c>
      <c r="V737">
        <f>HYPERLINK("https://klasma.github.io/Logging_2523/klagomål/A 49188-2022 FSC-klagomål.docx", "A 49188-2022")</f>
        <v/>
      </c>
      <c r="W737">
        <f>HYPERLINK("https://klasma.github.io/Logging_2523/klagomålsmail/A 49188-2022 FSC-klagomål mail.docx", "A 49188-2022")</f>
        <v/>
      </c>
      <c r="X737">
        <f>HYPERLINK("https://klasma.github.io/Logging_2523/tillsyn/A 49188-2022 tillsynsbegäran.docx", "A 49188-2022")</f>
        <v/>
      </c>
      <c r="Y737">
        <f>HYPERLINK("https://klasma.github.io/Logging_2523/tillsynsmail/A 49188-2022 tillsynsbegäran mail.docx", "A 49188-2022")</f>
        <v/>
      </c>
    </row>
    <row r="738" ht="15" customHeight="1">
      <c r="A738" t="inlineStr">
        <is>
          <t>A 49756-2022</t>
        </is>
      </c>
      <c r="B738" s="1" t="n">
        <v>44862</v>
      </c>
      <c r="C738" s="1" t="n">
        <v>45662</v>
      </c>
      <c r="D738" t="inlineStr">
        <is>
          <t>NORRBOTTENS LÄN</t>
        </is>
      </c>
      <c r="E738" t="inlineStr">
        <is>
          <t>PAJALA</t>
        </is>
      </c>
      <c r="F738" t="inlineStr">
        <is>
          <t>Sveaskog</t>
        </is>
      </c>
      <c r="G738" t="n">
        <v>2.9</v>
      </c>
      <c r="H738" t="n">
        <v>0</v>
      </c>
      <c r="I738" t="n">
        <v>0</v>
      </c>
      <c r="J738" t="n">
        <v>1</v>
      </c>
      <c r="K738" t="n">
        <v>0</v>
      </c>
      <c r="L738" t="n">
        <v>0</v>
      </c>
      <c r="M738" t="n">
        <v>0</v>
      </c>
      <c r="N738" t="n">
        <v>0</v>
      </c>
      <c r="O738" t="n">
        <v>1</v>
      </c>
      <c r="P738" t="n">
        <v>0</v>
      </c>
      <c r="Q738" t="n">
        <v>1</v>
      </c>
      <c r="R738" s="2" t="inlineStr">
        <is>
          <t>Lunglav</t>
        </is>
      </c>
      <c r="S738">
        <f>HYPERLINK("https://klasma.github.io/Logging_2521/artfynd/A 49756-2022 artfynd.xlsx", "A 49756-2022")</f>
        <v/>
      </c>
      <c r="T738">
        <f>HYPERLINK("https://klasma.github.io/Logging_2521/kartor/A 49756-2022 karta.png", "A 49756-2022")</f>
        <v/>
      </c>
      <c r="V738">
        <f>HYPERLINK("https://klasma.github.io/Logging_2521/klagomål/A 49756-2022 FSC-klagomål.docx", "A 49756-2022")</f>
        <v/>
      </c>
      <c r="W738">
        <f>HYPERLINK("https://klasma.github.io/Logging_2521/klagomålsmail/A 49756-2022 FSC-klagomål mail.docx", "A 49756-2022")</f>
        <v/>
      </c>
      <c r="X738">
        <f>HYPERLINK("https://klasma.github.io/Logging_2521/tillsyn/A 49756-2022 tillsynsbegäran.docx", "A 49756-2022")</f>
        <v/>
      </c>
      <c r="Y738">
        <f>HYPERLINK("https://klasma.github.io/Logging_2521/tillsynsmail/A 49756-2022 tillsynsbegäran mail.docx", "A 49756-2022")</f>
        <v/>
      </c>
    </row>
    <row r="739" ht="15" customHeight="1">
      <c r="A739" t="inlineStr">
        <is>
          <t>A 51641-2022</t>
        </is>
      </c>
      <c r="B739" s="1" t="n">
        <v>44867</v>
      </c>
      <c r="C739" s="1" t="n">
        <v>45662</v>
      </c>
      <c r="D739" t="inlineStr">
        <is>
          <t>NORRBOTTENS LÄN</t>
        </is>
      </c>
      <c r="E739" t="inlineStr">
        <is>
          <t>LULEÅ</t>
        </is>
      </c>
      <c r="G739" t="n">
        <v>5.7</v>
      </c>
      <c r="H739" t="n">
        <v>0</v>
      </c>
      <c r="I739" t="n">
        <v>0</v>
      </c>
      <c r="J739" t="n">
        <v>1</v>
      </c>
      <c r="K739" t="n">
        <v>0</v>
      </c>
      <c r="L739" t="n">
        <v>0</v>
      </c>
      <c r="M739" t="n">
        <v>0</v>
      </c>
      <c r="N739" t="n">
        <v>0</v>
      </c>
      <c r="O739" t="n">
        <v>1</v>
      </c>
      <c r="P739" t="n">
        <v>0</v>
      </c>
      <c r="Q739" t="n">
        <v>1</v>
      </c>
      <c r="R739" s="2" t="inlineStr">
        <is>
          <t>Granticka</t>
        </is>
      </c>
      <c r="S739">
        <f>HYPERLINK("https://klasma.github.io/Logging_2580/artfynd/A 51641-2022 artfynd.xlsx", "A 51641-2022")</f>
        <v/>
      </c>
      <c r="T739">
        <f>HYPERLINK("https://klasma.github.io/Logging_2580/kartor/A 51641-2022 karta.png", "A 51641-2022")</f>
        <v/>
      </c>
      <c r="V739">
        <f>HYPERLINK("https://klasma.github.io/Logging_2580/klagomål/A 51641-2022 FSC-klagomål.docx", "A 51641-2022")</f>
        <v/>
      </c>
      <c r="W739">
        <f>HYPERLINK("https://klasma.github.io/Logging_2580/klagomålsmail/A 51641-2022 FSC-klagomål mail.docx", "A 51641-2022")</f>
        <v/>
      </c>
      <c r="X739">
        <f>HYPERLINK("https://klasma.github.io/Logging_2580/tillsyn/A 51641-2022 tillsynsbegäran.docx", "A 51641-2022")</f>
        <v/>
      </c>
      <c r="Y739">
        <f>HYPERLINK("https://klasma.github.io/Logging_2580/tillsynsmail/A 51641-2022 tillsynsbegäran mail.docx", "A 51641-2022")</f>
        <v/>
      </c>
    </row>
    <row r="740" ht="15" customHeight="1">
      <c r="A740" t="inlineStr">
        <is>
          <t>A 51389-2022</t>
        </is>
      </c>
      <c r="B740" s="1" t="n">
        <v>44869</v>
      </c>
      <c r="C740" s="1" t="n">
        <v>45662</v>
      </c>
      <c r="D740" t="inlineStr">
        <is>
          <t>NORRBOTTENS LÄN</t>
        </is>
      </c>
      <c r="E740" t="inlineStr">
        <is>
          <t>BODEN</t>
        </is>
      </c>
      <c r="F740" t="inlineStr">
        <is>
          <t>Övriga statliga verk och myndigheter</t>
        </is>
      </c>
      <c r="G740" t="n">
        <v>15.6</v>
      </c>
      <c r="H740" t="n">
        <v>1</v>
      </c>
      <c r="I740" t="n">
        <v>0</v>
      </c>
      <c r="J740" t="n">
        <v>1</v>
      </c>
      <c r="K740" t="n">
        <v>0</v>
      </c>
      <c r="L740" t="n">
        <v>0</v>
      </c>
      <c r="M740" t="n">
        <v>0</v>
      </c>
      <c r="N740" t="n">
        <v>0</v>
      </c>
      <c r="O740" t="n">
        <v>1</v>
      </c>
      <c r="P740" t="n">
        <v>0</v>
      </c>
      <c r="Q740" t="n">
        <v>1</v>
      </c>
      <c r="R740" s="2" t="inlineStr">
        <is>
          <t>Grönsångare</t>
        </is>
      </c>
      <c r="S740">
        <f>HYPERLINK("https://klasma.github.io/Logging_2582/artfynd/A 51389-2022 artfynd.xlsx", "A 51389-2022")</f>
        <v/>
      </c>
      <c r="T740">
        <f>HYPERLINK("https://klasma.github.io/Logging_2582/kartor/A 51389-2022 karta.png", "A 51389-2022")</f>
        <v/>
      </c>
      <c r="V740">
        <f>HYPERLINK("https://klasma.github.io/Logging_2582/klagomål/A 51389-2022 FSC-klagomål.docx", "A 51389-2022")</f>
        <v/>
      </c>
      <c r="W740">
        <f>HYPERLINK("https://klasma.github.io/Logging_2582/klagomålsmail/A 51389-2022 FSC-klagomål mail.docx", "A 51389-2022")</f>
        <v/>
      </c>
      <c r="X740">
        <f>HYPERLINK("https://klasma.github.io/Logging_2582/tillsyn/A 51389-2022 tillsynsbegäran.docx", "A 51389-2022")</f>
        <v/>
      </c>
      <c r="Y740">
        <f>HYPERLINK("https://klasma.github.io/Logging_2582/tillsynsmail/A 51389-2022 tillsynsbegäran mail.docx", "A 51389-2022")</f>
        <v/>
      </c>
      <c r="Z740">
        <f>HYPERLINK("https://klasma.github.io/Logging_2582/fåglar/A 51389-2022 prioriterade fågelarter.docx", "A 51389-2022")</f>
        <v/>
      </c>
    </row>
    <row r="741" ht="15" customHeight="1">
      <c r="A741" t="inlineStr">
        <is>
          <t>A 54181-2022</t>
        </is>
      </c>
      <c r="B741" s="1" t="n">
        <v>44881</v>
      </c>
      <c r="C741" s="1" t="n">
        <v>45662</v>
      </c>
      <c r="D741" t="inlineStr">
        <is>
          <t>NORRBOTTENS LÄN</t>
        </is>
      </c>
      <c r="E741" t="inlineStr">
        <is>
          <t>BODEN</t>
        </is>
      </c>
      <c r="F741" t="inlineStr">
        <is>
          <t>Sveaskog</t>
        </is>
      </c>
      <c r="G741" t="n">
        <v>3.3</v>
      </c>
      <c r="H741" t="n">
        <v>0</v>
      </c>
      <c r="I741" t="n">
        <v>0</v>
      </c>
      <c r="J741" t="n">
        <v>1</v>
      </c>
      <c r="K741" t="n">
        <v>0</v>
      </c>
      <c r="L741" t="n">
        <v>0</v>
      </c>
      <c r="M741" t="n">
        <v>0</v>
      </c>
      <c r="N741" t="n">
        <v>0</v>
      </c>
      <c r="O741" t="n">
        <v>1</v>
      </c>
      <c r="P741" t="n">
        <v>0</v>
      </c>
      <c r="Q741" t="n">
        <v>1</v>
      </c>
      <c r="R741" s="2" t="inlineStr">
        <is>
          <t>Lunglav</t>
        </is>
      </c>
      <c r="S741">
        <f>HYPERLINK("https://klasma.github.io/Logging_2582/artfynd/A 54181-2022 artfynd.xlsx", "A 54181-2022")</f>
        <v/>
      </c>
      <c r="T741">
        <f>HYPERLINK("https://klasma.github.io/Logging_2582/kartor/A 54181-2022 karta.png", "A 54181-2022")</f>
        <v/>
      </c>
      <c r="V741">
        <f>HYPERLINK("https://klasma.github.io/Logging_2582/klagomål/A 54181-2022 FSC-klagomål.docx", "A 54181-2022")</f>
        <v/>
      </c>
      <c r="W741">
        <f>HYPERLINK("https://klasma.github.io/Logging_2582/klagomålsmail/A 54181-2022 FSC-klagomål mail.docx", "A 54181-2022")</f>
        <v/>
      </c>
      <c r="X741">
        <f>HYPERLINK("https://klasma.github.io/Logging_2582/tillsyn/A 54181-2022 tillsynsbegäran.docx", "A 54181-2022")</f>
        <v/>
      </c>
      <c r="Y741">
        <f>HYPERLINK("https://klasma.github.io/Logging_2582/tillsynsmail/A 54181-2022 tillsynsbegäran mail.docx", "A 54181-2022")</f>
        <v/>
      </c>
    </row>
    <row r="742" ht="15" customHeight="1">
      <c r="A742" t="inlineStr">
        <is>
          <t>A 58717-2022</t>
        </is>
      </c>
      <c r="B742" s="1" t="n">
        <v>44902</v>
      </c>
      <c r="C742" s="1" t="n">
        <v>45662</v>
      </c>
      <c r="D742" t="inlineStr">
        <is>
          <t>NORRBOTTENS LÄN</t>
        </is>
      </c>
      <c r="E742" t="inlineStr">
        <is>
          <t>LULEÅ</t>
        </is>
      </c>
      <c r="G742" t="n">
        <v>5.9</v>
      </c>
      <c r="H742" t="n">
        <v>0</v>
      </c>
      <c r="I742" t="n">
        <v>1</v>
      </c>
      <c r="J742" t="n">
        <v>0</v>
      </c>
      <c r="K742" t="n">
        <v>0</v>
      </c>
      <c r="L742" t="n">
        <v>0</v>
      </c>
      <c r="M742" t="n">
        <v>0</v>
      </c>
      <c r="N742" t="n">
        <v>0</v>
      </c>
      <c r="O742" t="n">
        <v>0</v>
      </c>
      <c r="P742" t="n">
        <v>0</v>
      </c>
      <c r="Q742" t="n">
        <v>1</v>
      </c>
      <c r="R742" s="2" t="inlineStr">
        <is>
          <t>Dropptaggsvamp</t>
        </is>
      </c>
      <c r="S742">
        <f>HYPERLINK("https://klasma.github.io/Logging_2580/artfynd/A 58717-2022 artfynd.xlsx", "A 58717-2022")</f>
        <v/>
      </c>
      <c r="T742">
        <f>HYPERLINK("https://klasma.github.io/Logging_2580/kartor/A 58717-2022 karta.png", "A 58717-2022")</f>
        <v/>
      </c>
      <c r="V742">
        <f>HYPERLINK("https://klasma.github.io/Logging_2580/klagomål/A 58717-2022 FSC-klagomål.docx", "A 58717-2022")</f>
        <v/>
      </c>
      <c r="W742">
        <f>HYPERLINK("https://klasma.github.io/Logging_2580/klagomålsmail/A 58717-2022 FSC-klagomål mail.docx", "A 58717-2022")</f>
        <v/>
      </c>
      <c r="X742">
        <f>HYPERLINK("https://klasma.github.io/Logging_2580/tillsyn/A 58717-2022 tillsynsbegäran.docx", "A 58717-2022")</f>
        <v/>
      </c>
      <c r="Y742">
        <f>HYPERLINK("https://klasma.github.io/Logging_2580/tillsynsmail/A 58717-2022 tillsynsbegäran mail.docx", "A 58717-2022")</f>
        <v/>
      </c>
    </row>
    <row r="743" ht="15" customHeight="1">
      <c r="A743" t="inlineStr">
        <is>
          <t>A 59071-2022</t>
        </is>
      </c>
      <c r="B743" s="1" t="n">
        <v>44904</v>
      </c>
      <c r="C743" s="1" t="n">
        <v>45662</v>
      </c>
      <c r="D743" t="inlineStr">
        <is>
          <t>NORRBOTTENS LÄN</t>
        </is>
      </c>
      <c r="E743" t="inlineStr">
        <is>
          <t>PAJALA</t>
        </is>
      </c>
      <c r="F743" t="inlineStr">
        <is>
          <t>Sveaskog</t>
        </is>
      </c>
      <c r="G743" t="n">
        <v>9</v>
      </c>
      <c r="H743" t="n">
        <v>0</v>
      </c>
      <c r="I743" t="n">
        <v>0</v>
      </c>
      <c r="J743" t="n">
        <v>1</v>
      </c>
      <c r="K743" t="n">
        <v>0</v>
      </c>
      <c r="L743" t="n">
        <v>0</v>
      </c>
      <c r="M743" t="n">
        <v>0</v>
      </c>
      <c r="N743" t="n">
        <v>0</v>
      </c>
      <c r="O743" t="n">
        <v>1</v>
      </c>
      <c r="P743" t="n">
        <v>0</v>
      </c>
      <c r="Q743" t="n">
        <v>1</v>
      </c>
      <c r="R743" s="2" t="inlineStr">
        <is>
          <t>Garnlav</t>
        </is>
      </c>
      <c r="S743">
        <f>HYPERLINK("https://klasma.github.io/Logging_2521/artfynd/A 59071-2022 artfynd.xlsx", "A 59071-2022")</f>
        <v/>
      </c>
      <c r="T743">
        <f>HYPERLINK("https://klasma.github.io/Logging_2521/kartor/A 59071-2022 karta.png", "A 59071-2022")</f>
        <v/>
      </c>
      <c r="V743">
        <f>HYPERLINK("https://klasma.github.io/Logging_2521/klagomål/A 59071-2022 FSC-klagomål.docx", "A 59071-2022")</f>
        <v/>
      </c>
      <c r="W743">
        <f>HYPERLINK("https://klasma.github.io/Logging_2521/klagomålsmail/A 59071-2022 FSC-klagomål mail.docx", "A 59071-2022")</f>
        <v/>
      </c>
      <c r="X743">
        <f>HYPERLINK("https://klasma.github.io/Logging_2521/tillsyn/A 59071-2022 tillsynsbegäran.docx", "A 59071-2022")</f>
        <v/>
      </c>
      <c r="Y743">
        <f>HYPERLINK("https://klasma.github.io/Logging_2521/tillsynsmail/A 59071-2022 tillsynsbegäran mail.docx", "A 59071-2022")</f>
        <v/>
      </c>
    </row>
    <row r="744" ht="15" customHeight="1">
      <c r="A744" t="inlineStr">
        <is>
          <t>A 59362-2022</t>
        </is>
      </c>
      <c r="B744" s="1" t="n">
        <v>44904</v>
      </c>
      <c r="C744" s="1" t="n">
        <v>45662</v>
      </c>
      <c r="D744" t="inlineStr">
        <is>
          <t>NORRBOTTENS LÄN</t>
        </is>
      </c>
      <c r="E744" t="inlineStr">
        <is>
          <t>LULEÅ</t>
        </is>
      </c>
      <c r="G744" t="n">
        <v>5.1</v>
      </c>
      <c r="H744" t="n">
        <v>1</v>
      </c>
      <c r="I744" t="n">
        <v>0</v>
      </c>
      <c r="J744" t="n">
        <v>1</v>
      </c>
      <c r="K744" t="n">
        <v>0</v>
      </c>
      <c r="L744" t="n">
        <v>0</v>
      </c>
      <c r="M744" t="n">
        <v>0</v>
      </c>
      <c r="N744" t="n">
        <v>0</v>
      </c>
      <c r="O744" t="n">
        <v>1</v>
      </c>
      <c r="P744" t="n">
        <v>0</v>
      </c>
      <c r="Q744" t="n">
        <v>1</v>
      </c>
      <c r="R744" s="2" t="inlineStr">
        <is>
          <t>Tretåig hackspett</t>
        </is>
      </c>
      <c r="S744">
        <f>HYPERLINK("https://klasma.github.io/Logging_2580/artfynd/A 59362-2022 artfynd.xlsx", "A 59362-2022")</f>
        <v/>
      </c>
      <c r="T744">
        <f>HYPERLINK("https://klasma.github.io/Logging_2580/kartor/A 59362-2022 karta.png", "A 59362-2022")</f>
        <v/>
      </c>
      <c r="V744">
        <f>HYPERLINK("https://klasma.github.io/Logging_2580/klagomål/A 59362-2022 FSC-klagomål.docx", "A 59362-2022")</f>
        <v/>
      </c>
      <c r="W744">
        <f>HYPERLINK("https://klasma.github.io/Logging_2580/klagomålsmail/A 59362-2022 FSC-klagomål mail.docx", "A 59362-2022")</f>
        <v/>
      </c>
      <c r="X744">
        <f>HYPERLINK("https://klasma.github.io/Logging_2580/tillsyn/A 59362-2022 tillsynsbegäran.docx", "A 59362-2022")</f>
        <v/>
      </c>
      <c r="Y744">
        <f>HYPERLINK("https://klasma.github.io/Logging_2580/tillsynsmail/A 59362-2022 tillsynsbegäran mail.docx", "A 59362-2022")</f>
        <v/>
      </c>
      <c r="Z744">
        <f>HYPERLINK("https://klasma.github.io/Logging_2580/fåglar/A 59362-2022 prioriterade fågelarter.docx", "A 59362-2022")</f>
        <v/>
      </c>
    </row>
    <row r="745" ht="15" customHeight="1">
      <c r="A745" t="inlineStr">
        <is>
          <t>A 61496-2022</t>
        </is>
      </c>
      <c r="B745" s="1" t="n">
        <v>44910</v>
      </c>
      <c r="C745" s="1" t="n">
        <v>45662</v>
      </c>
      <c r="D745" t="inlineStr">
        <is>
          <t>NORRBOTTENS LÄN</t>
        </is>
      </c>
      <c r="E745" t="inlineStr">
        <is>
          <t>BODEN</t>
        </is>
      </c>
      <c r="F745" t="inlineStr">
        <is>
          <t>Sveaskog</t>
        </is>
      </c>
      <c r="G745" t="n">
        <v>2.8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61496-2022 artfynd.xlsx", "A 61496-2022")</f>
        <v/>
      </c>
      <c r="T745">
        <f>HYPERLINK("https://klasma.github.io/Logging_2582/kartor/A 61496-2022 karta.png", "A 61496-2022")</f>
        <v/>
      </c>
      <c r="V745">
        <f>HYPERLINK("https://klasma.github.io/Logging_2582/klagomål/A 61496-2022 FSC-klagomål.docx", "A 61496-2022")</f>
        <v/>
      </c>
      <c r="W745">
        <f>HYPERLINK("https://klasma.github.io/Logging_2582/klagomålsmail/A 61496-2022 FSC-klagomål mail.docx", "A 61496-2022")</f>
        <v/>
      </c>
      <c r="X745">
        <f>HYPERLINK("https://klasma.github.io/Logging_2582/tillsyn/A 61496-2022 tillsynsbegäran.docx", "A 61496-2022")</f>
        <v/>
      </c>
      <c r="Y745">
        <f>HYPERLINK("https://klasma.github.io/Logging_2582/tillsynsmail/A 61496-2022 tillsynsbegäran mail.docx", "A 61496-2022")</f>
        <v/>
      </c>
    </row>
    <row r="746" ht="15" customHeight="1">
      <c r="A746" t="inlineStr">
        <is>
          <t>A 61713-2022</t>
        </is>
      </c>
      <c r="B746" s="1" t="n">
        <v>44917</v>
      </c>
      <c r="C746" s="1" t="n">
        <v>45662</v>
      </c>
      <c r="D746" t="inlineStr">
        <is>
          <t>NORRBOTTENS LÄN</t>
        </is>
      </c>
      <c r="E746" t="inlineStr">
        <is>
          <t>PITEÅ</t>
        </is>
      </c>
      <c r="F746" t="inlineStr">
        <is>
          <t>Sveaskog</t>
        </is>
      </c>
      <c r="G746" t="n">
        <v>8.4</v>
      </c>
      <c r="H746" t="n">
        <v>1</v>
      </c>
      <c r="I746" t="n">
        <v>0</v>
      </c>
      <c r="J746" t="n">
        <v>0</v>
      </c>
      <c r="K746" t="n">
        <v>0</v>
      </c>
      <c r="L746" t="n">
        <v>0</v>
      </c>
      <c r="M746" t="n">
        <v>0</v>
      </c>
      <c r="N746" t="n">
        <v>0</v>
      </c>
      <c r="O746" t="n">
        <v>0</v>
      </c>
      <c r="P746" t="n">
        <v>0</v>
      </c>
      <c r="Q746" t="n">
        <v>1</v>
      </c>
      <c r="R746" s="2" t="inlineStr">
        <is>
          <t>Revlummer</t>
        </is>
      </c>
      <c r="S746">
        <f>HYPERLINK("https://klasma.github.io/Logging_2581/artfynd/A 61713-2022 artfynd.xlsx", "A 61713-2022")</f>
        <v/>
      </c>
      <c r="T746">
        <f>HYPERLINK("https://klasma.github.io/Logging_2581/kartor/A 61713-2022 karta.png", "A 61713-2022")</f>
        <v/>
      </c>
      <c r="V746">
        <f>HYPERLINK("https://klasma.github.io/Logging_2581/klagomål/A 61713-2022 FSC-klagomål.docx", "A 61713-2022")</f>
        <v/>
      </c>
      <c r="W746">
        <f>HYPERLINK("https://klasma.github.io/Logging_2581/klagomålsmail/A 61713-2022 FSC-klagomål mail.docx", "A 61713-2022")</f>
        <v/>
      </c>
      <c r="X746">
        <f>HYPERLINK("https://klasma.github.io/Logging_2581/tillsyn/A 61713-2022 tillsynsbegäran.docx", "A 61713-2022")</f>
        <v/>
      </c>
      <c r="Y746">
        <f>HYPERLINK("https://klasma.github.io/Logging_2581/tillsynsmail/A 61713-2022 tillsynsbegäran mail.docx", "A 61713-2022")</f>
        <v/>
      </c>
    </row>
    <row r="747" ht="15" customHeight="1">
      <c r="A747" t="inlineStr">
        <is>
          <t>A 2397-2023</t>
        </is>
      </c>
      <c r="B747" s="1" t="n">
        <v>44942</v>
      </c>
      <c r="C747" s="1" t="n">
        <v>45662</v>
      </c>
      <c r="D747" t="inlineStr">
        <is>
          <t>NORRBOTTENS LÄN</t>
        </is>
      </c>
      <c r="E747" t="inlineStr">
        <is>
          <t>ARVIDSJAUR</t>
        </is>
      </c>
      <c r="G747" t="n">
        <v>9.5</v>
      </c>
      <c r="H747" t="n">
        <v>0</v>
      </c>
      <c r="I747" t="n">
        <v>1</v>
      </c>
      <c r="J747" t="n">
        <v>0</v>
      </c>
      <c r="K747" t="n">
        <v>0</v>
      </c>
      <c r="L747" t="n">
        <v>0</v>
      </c>
      <c r="M747" t="n">
        <v>0</v>
      </c>
      <c r="N747" t="n">
        <v>0</v>
      </c>
      <c r="O747" t="n">
        <v>0</v>
      </c>
      <c r="P747" t="n">
        <v>0</v>
      </c>
      <c r="Q747" t="n">
        <v>1</v>
      </c>
      <c r="R747" s="2" t="inlineStr">
        <is>
          <t>Stuplav</t>
        </is>
      </c>
      <c r="S747">
        <f>HYPERLINK("https://klasma.github.io/Logging_2505/artfynd/A 2397-2023 artfynd.xlsx", "A 2397-2023")</f>
        <v/>
      </c>
      <c r="T747">
        <f>HYPERLINK("https://klasma.github.io/Logging_2505/kartor/A 2397-2023 karta.png", "A 2397-2023")</f>
        <v/>
      </c>
      <c r="V747">
        <f>HYPERLINK("https://klasma.github.io/Logging_2505/klagomål/A 2397-2023 FSC-klagomål.docx", "A 2397-2023")</f>
        <v/>
      </c>
      <c r="W747">
        <f>HYPERLINK("https://klasma.github.io/Logging_2505/klagomålsmail/A 2397-2023 FSC-klagomål mail.docx", "A 2397-2023")</f>
        <v/>
      </c>
      <c r="X747">
        <f>HYPERLINK("https://klasma.github.io/Logging_2505/tillsyn/A 2397-2023 tillsynsbegäran.docx", "A 2397-2023")</f>
        <v/>
      </c>
      <c r="Y747">
        <f>HYPERLINK("https://klasma.github.io/Logging_2505/tillsynsmail/A 2397-2023 tillsynsbegäran mail.docx", "A 2397-2023")</f>
        <v/>
      </c>
    </row>
    <row r="748" ht="15" customHeight="1">
      <c r="A748" t="inlineStr">
        <is>
          <t>A 4561-2023</t>
        </is>
      </c>
      <c r="B748" s="1" t="n">
        <v>44951</v>
      </c>
      <c r="C748" s="1" t="n">
        <v>45662</v>
      </c>
      <c r="D748" t="inlineStr">
        <is>
          <t>NORRBOTTENS LÄN</t>
        </is>
      </c>
      <c r="E748" t="inlineStr">
        <is>
          <t>LULEÅ</t>
        </is>
      </c>
      <c r="G748" t="n">
        <v>4.1</v>
      </c>
      <c r="H748" t="n">
        <v>1</v>
      </c>
      <c r="I748" t="n">
        <v>0</v>
      </c>
      <c r="J748" t="n">
        <v>0</v>
      </c>
      <c r="K748" t="n">
        <v>1</v>
      </c>
      <c r="L748" t="n">
        <v>0</v>
      </c>
      <c r="M748" t="n">
        <v>0</v>
      </c>
      <c r="N748" t="n">
        <v>0</v>
      </c>
      <c r="O748" t="n">
        <v>1</v>
      </c>
      <c r="P748" t="n">
        <v>1</v>
      </c>
      <c r="Q748" t="n">
        <v>1</v>
      </c>
      <c r="R748" s="2" t="inlineStr">
        <is>
          <t>Topplåsbräken</t>
        </is>
      </c>
      <c r="S748">
        <f>HYPERLINK("https://klasma.github.io/Logging_2580/artfynd/A 4561-2023 artfynd.xlsx", "A 4561-2023")</f>
        <v/>
      </c>
      <c r="T748">
        <f>HYPERLINK("https://klasma.github.io/Logging_2580/kartor/A 4561-2023 karta.png", "A 4561-2023")</f>
        <v/>
      </c>
      <c r="V748">
        <f>HYPERLINK("https://klasma.github.io/Logging_2580/klagomål/A 4561-2023 FSC-klagomål.docx", "A 4561-2023")</f>
        <v/>
      </c>
      <c r="W748">
        <f>HYPERLINK("https://klasma.github.io/Logging_2580/klagomålsmail/A 4561-2023 FSC-klagomål mail.docx", "A 4561-2023")</f>
        <v/>
      </c>
      <c r="X748">
        <f>HYPERLINK("https://klasma.github.io/Logging_2580/tillsyn/A 4561-2023 tillsynsbegäran.docx", "A 4561-2023")</f>
        <v/>
      </c>
      <c r="Y748">
        <f>HYPERLINK("https://klasma.github.io/Logging_2580/tillsynsmail/A 4561-2023 tillsynsbegäran mail.docx", "A 4561-2023")</f>
        <v/>
      </c>
    </row>
    <row r="749" ht="15" customHeight="1">
      <c r="A749" t="inlineStr">
        <is>
          <t>A 5824-2023</t>
        </is>
      </c>
      <c r="B749" s="1" t="n">
        <v>44958</v>
      </c>
      <c r="C749" s="1" t="n">
        <v>45662</v>
      </c>
      <c r="D749" t="inlineStr">
        <is>
          <t>NORRBOTTENS LÄN</t>
        </is>
      </c>
      <c r="E749" t="inlineStr">
        <is>
          <t>JOKKMOKK</t>
        </is>
      </c>
      <c r="G749" t="n">
        <v>6.7</v>
      </c>
      <c r="H749" t="n">
        <v>0</v>
      </c>
      <c r="I749" t="n">
        <v>0</v>
      </c>
      <c r="J749" t="n">
        <v>1</v>
      </c>
      <c r="K749" t="n">
        <v>0</v>
      </c>
      <c r="L749" t="n">
        <v>0</v>
      </c>
      <c r="M749" t="n">
        <v>0</v>
      </c>
      <c r="N749" t="n">
        <v>0</v>
      </c>
      <c r="O749" t="n">
        <v>1</v>
      </c>
      <c r="P749" t="n">
        <v>0</v>
      </c>
      <c r="Q749" t="n">
        <v>1</v>
      </c>
      <c r="R749" s="2" t="inlineStr">
        <is>
          <t>Granticka</t>
        </is>
      </c>
      <c r="S749">
        <f>HYPERLINK("https://klasma.github.io/Logging_2510/artfynd/A 5824-2023 artfynd.xlsx", "A 5824-2023")</f>
        <v/>
      </c>
      <c r="T749">
        <f>HYPERLINK("https://klasma.github.io/Logging_2510/kartor/A 5824-2023 karta.png", "A 5824-2023")</f>
        <v/>
      </c>
      <c r="V749">
        <f>HYPERLINK("https://klasma.github.io/Logging_2510/klagomål/A 5824-2023 FSC-klagomål.docx", "A 5824-2023")</f>
        <v/>
      </c>
      <c r="W749">
        <f>HYPERLINK("https://klasma.github.io/Logging_2510/klagomålsmail/A 5824-2023 FSC-klagomål mail.docx", "A 5824-2023")</f>
        <v/>
      </c>
      <c r="X749">
        <f>HYPERLINK("https://klasma.github.io/Logging_2510/tillsyn/A 5824-2023 tillsynsbegäran.docx", "A 5824-2023")</f>
        <v/>
      </c>
      <c r="Y749">
        <f>HYPERLINK("https://klasma.github.io/Logging_2510/tillsynsmail/A 5824-2023 tillsynsbegäran mail.docx", "A 5824-2023")</f>
        <v/>
      </c>
    </row>
    <row r="750" ht="15" customHeight="1">
      <c r="A750" t="inlineStr">
        <is>
          <t>A 6239-2023</t>
        </is>
      </c>
      <c r="B750" s="1" t="n">
        <v>44964</v>
      </c>
      <c r="C750" s="1" t="n">
        <v>45662</v>
      </c>
      <c r="D750" t="inlineStr">
        <is>
          <t>NORRBOTTENS LÄN</t>
        </is>
      </c>
      <c r="E750" t="inlineStr">
        <is>
          <t>BODEN</t>
        </is>
      </c>
      <c r="F750" t="inlineStr">
        <is>
          <t>SCA</t>
        </is>
      </c>
      <c r="G750" t="n">
        <v>7.3</v>
      </c>
      <c r="H750" t="n">
        <v>0</v>
      </c>
      <c r="I750" t="n">
        <v>0</v>
      </c>
      <c r="J750" t="n">
        <v>0</v>
      </c>
      <c r="K750" t="n">
        <v>1</v>
      </c>
      <c r="L750" t="n">
        <v>0</v>
      </c>
      <c r="M750" t="n">
        <v>0</v>
      </c>
      <c r="N750" t="n">
        <v>0</v>
      </c>
      <c r="O750" t="n">
        <v>1</v>
      </c>
      <c r="P750" t="n">
        <v>1</v>
      </c>
      <c r="Q750" t="n">
        <v>1</v>
      </c>
      <c r="R750" s="2" t="inlineStr">
        <is>
          <t>Liten aspgelélav</t>
        </is>
      </c>
      <c r="S750">
        <f>HYPERLINK("https://klasma.github.io/Logging_2582/artfynd/A 6239-2023 artfynd.xlsx", "A 6239-2023")</f>
        <v/>
      </c>
      <c r="T750">
        <f>HYPERLINK("https://klasma.github.io/Logging_2582/kartor/A 6239-2023 karta.png", "A 6239-2023")</f>
        <v/>
      </c>
      <c r="V750">
        <f>HYPERLINK("https://klasma.github.io/Logging_2582/klagomål/A 6239-2023 FSC-klagomål.docx", "A 6239-2023")</f>
        <v/>
      </c>
      <c r="W750">
        <f>HYPERLINK("https://klasma.github.io/Logging_2582/klagomålsmail/A 6239-2023 FSC-klagomål mail.docx", "A 6239-2023")</f>
        <v/>
      </c>
      <c r="X750">
        <f>HYPERLINK("https://klasma.github.io/Logging_2582/tillsyn/A 6239-2023 tillsynsbegäran.docx", "A 6239-2023")</f>
        <v/>
      </c>
      <c r="Y750">
        <f>HYPERLINK("https://klasma.github.io/Logging_2582/tillsynsmail/A 6239-2023 tillsynsbegäran mail.docx", "A 6239-2023")</f>
        <v/>
      </c>
    </row>
    <row r="751" ht="15" customHeight="1">
      <c r="A751" t="inlineStr">
        <is>
          <t>A 11208-2023</t>
        </is>
      </c>
      <c r="B751" s="1" t="n">
        <v>44992</v>
      </c>
      <c r="C751" s="1" t="n">
        <v>45662</v>
      </c>
      <c r="D751" t="inlineStr">
        <is>
          <t>NORRBOTTENS LÄN</t>
        </is>
      </c>
      <c r="E751" t="inlineStr">
        <is>
          <t>BODEN</t>
        </is>
      </c>
      <c r="G751" t="n">
        <v>14.9</v>
      </c>
      <c r="H751" t="n">
        <v>0</v>
      </c>
      <c r="I751" t="n">
        <v>1</v>
      </c>
      <c r="J751" t="n">
        <v>0</v>
      </c>
      <c r="K751" t="n">
        <v>0</v>
      </c>
      <c r="L751" t="n">
        <v>0</v>
      </c>
      <c r="M751" t="n">
        <v>0</v>
      </c>
      <c r="N751" t="n">
        <v>0</v>
      </c>
      <c r="O751" t="n">
        <v>0</v>
      </c>
      <c r="P751" t="n">
        <v>0</v>
      </c>
      <c r="Q751" t="n">
        <v>1</v>
      </c>
      <c r="R751" s="2" t="inlineStr">
        <is>
          <t>Ögonpyrola</t>
        </is>
      </c>
      <c r="S751">
        <f>HYPERLINK("https://klasma.github.io/Logging_2582/artfynd/A 11208-2023 artfynd.xlsx", "A 11208-2023")</f>
        <v/>
      </c>
      <c r="T751">
        <f>HYPERLINK("https://klasma.github.io/Logging_2582/kartor/A 11208-2023 karta.png", "A 11208-2023")</f>
        <v/>
      </c>
      <c r="V751">
        <f>HYPERLINK("https://klasma.github.io/Logging_2582/klagomål/A 11208-2023 FSC-klagomål.docx", "A 11208-2023")</f>
        <v/>
      </c>
      <c r="W751">
        <f>HYPERLINK("https://klasma.github.io/Logging_2582/klagomålsmail/A 11208-2023 FSC-klagomål mail.docx", "A 11208-2023")</f>
        <v/>
      </c>
      <c r="X751">
        <f>HYPERLINK("https://klasma.github.io/Logging_2582/tillsyn/A 11208-2023 tillsynsbegäran.docx", "A 11208-2023")</f>
        <v/>
      </c>
      <c r="Y751">
        <f>HYPERLINK("https://klasma.github.io/Logging_2582/tillsynsmail/A 11208-2023 tillsynsbegäran mail.docx", "A 11208-2023")</f>
        <v/>
      </c>
    </row>
    <row r="752" ht="15" customHeight="1">
      <c r="A752" t="inlineStr">
        <is>
          <t>A 14979-2023</t>
        </is>
      </c>
      <c r="B752" s="1" t="n">
        <v>45014</v>
      </c>
      <c r="C752" s="1" t="n">
        <v>45662</v>
      </c>
      <c r="D752" t="inlineStr">
        <is>
          <t>NORRBOTTENS LÄN</t>
        </is>
      </c>
      <c r="E752" t="inlineStr">
        <is>
          <t>PAJALA</t>
        </is>
      </c>
      <c r="F752" t="inlineStr">
        <is>
          <t>Allmännings- och besparingsskogar</t>
        </is>
      </c>
      <c r="G752" t="n">
        <v>26.1</v>
      </c>
      <c r="H752" t="n">
        <v>0</v>
      </c>
      <c r="I752" t="n">
        <v>0</v>
      </c>
      <c r="J752" t="n">
        <v>1</v>
      </c>
      <c r="K752" t="n">
        <v>0</v>
      </c>
      <c r="L752" t="n">
        <v>0</v>
      </c>
      <c r="M752" t="n">
        <v>0</v>
      </c>
      <c r="N752" t="n">
        <v>0</v>
      </c>
      <c r="O752" t="n">
        <v>1</v>
      </c>
      <c r="P752" t="n">
        <v>0</v>
      </c>
      <c r="Q752" t="n">
        <v>1</v>
      </c>
      <c r="R752" s="2" t="inlineStr">
        <is>
          <t>Garnlav</t>
        </is>
      </c>
      <c r="S752">
        <f>HYPERLINK("https://klasma.github.io/Logging_2521/artfynd/A 14979-2023 artfynd.xlsx", "A 14979-2023")</f>
        <v/>
      </c>
      <c r="T752">
        <f>HYPERLINK("https://klasma.github.io/Logging_2521/kartor/A 14979-2023 karta.png", "A 14979-2023")</f>
        <v/>
      </c>
      <c r="V752">
        <f>HYPERLINK("https://klasma.github.io/Logging_2521/klagomål/A 14979-2023 FSC-klagomål.docx", "A 14979-2023")</f>
        <v/>
      </c>
      <c r="W752">
        <f>HYPERLINK("https://klasma.github.io/Logging_2521/klagomålsmail/A 14979-2023 FSC-klagomål mail.docx", "A 14979-2023")</f>
        <v/>
      </c>
      <c r="X752">
        <f>HYPERLINK("https://klasma.github.io/Logging_2521/tillsyn/A 14979-2023 tillsynsbegäran.docx", "A 14979-2023")</f>
        <v/>
      </c>
      <c r="Y752">
        <f>HYPERLINK("https://klasma.github.io/Logging_2521/tillsynsmail/A 14979-2023 tillsynsbegäran mail.docx", "A 14979-2023")</f>
        <v/>
      </c>
    </row>
    <row r="753" ht="15" customHeight="1">
      <c r="A753" t="inlineStr">
        <is>
          <t>A 17740-2023</t>
        </is>
      </c>
      <c r="B753" s="1" t="n">
        <v>45035</v>
      </c>
      <c r="C753" s="1" t="n">
        <v>45662</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17428-2023</t>
        </is>
      </c>
      <c r="B754" s="1" t="n">
        <v>45036</v>
      </c>
      <c r="C754" s="1" t="n">
        <v>45662</v>
      </c>
      <c r="D754" t="inlineStr">
        <is>
          <t>NORRBOTTENS LÄN</t>
        </is>
      </c>
      <c r="E754" t="inlineStr">
        <is>
          <t>LULEÅ</t>
        </is>
      </c>
      <c r="G754" t="n">
        <v>2</v>
      </c>
      <c r="H754" t="n">
        <v>0</v>
      </c>
      <c r="I754" t="n">
        <v>1</v>
      </c>
      <c r="J754" t="n">
        <v>0</v>
      </c>
      <c r="K754" t="n">
        <v>0</v>
      </c>
      <c r="L754" t="n">
        <v>0</v>
      </c>
      <c r="M754" t="n">
        <v>0</v>
      </c>
      <c r="N754" t="n">
        <v>0</v>
      </c>
      <c r="O754" t="n">
        <v>0</v>
      </c>
      <c r="P754" t="n">
        <v>0</v>
      </c>
      <c r="Q754" t="n">
        <v>1</v>
      </c>
      <c r="R754" s="2" t="inlineStr">
        <is>
          <t>Mindre märgborre</t>
        </is>
      </c>
      <c r="S754">
        <f>HYPERLINK("https://klasma.github.io/Logging_2580/artfynd/A 17428-2023 artfynd.xlsx", "A 17428-2023")</f>
        <v/>
      </c>
      <c r="T754">
        <f>HYPERLINK("https://klasma.github.io/Logging_2580/kartor/A 17428-2023 karta.png", "A 17428-2023")</f>
        <v/>
      </c>
      <c r="V754">
        <f>HYPERLINK("https://klasma.github.io/Logging_2580/klagomål/A 17428-2023 FSC-klagomål.docx", "A 17428-2023")</f>
        <v/>
      </c>
      <c r="W754">
        <f>HYPERLINK("https://klasma.github.io/Logging_2580/klagomålsmail/A 17428-2023 FSC-klagomål mail.docx", "A 17428-2023")</f>
        <v/>
      </c>
      <c r="X754">
        <f>HYPERLINK("https://klasma.github.io/Logging_2580/tillsyn/A 17428-2023 tillsynsbegäran.docx", "A 17428-2023")</f>
        <v/>
      </c>
      <c r="Y754">
        <f>HYPERLINK("https://klasma.github.io/Logging_2580/tillsynsmail/A 17428-2023 tillsynsbegäran mail.docx", "A 17428-2023")</f>
        <v/>
      </c>
    </row>
    <row r="755" ht="15" customHeight="1">
      <c r="A755" t="inlineStr">
        <is>
          <t>A 19375-2023</t>
        </is>
      </c>
      <c r="B755" s="1" t="n">
        <v>45049</v>
      </c>
      <c r="C755" s="1" t="n">
        <v>45662</v>
      </c>
      <c r="D755" t="inlineStr">
        <is>
          <t>NORRBOTTENS LÄN</t>
        </is>
      </c>
      <c r="E755" t="inlineStr">
        <is>
          <t>PITEÅ</t>
        </is>
      </c>
      <c r="G755" t="n">
        <v>1.1</v>
      </c>
      <c r="H755" t="n">
        <v>1</v>
      </c>
      <c r="I755" t="n">
        <v>0</v>
      </c>
      <c r="J755" t="n">
        <v>0</v>
      </c>
      <c r="K755" t="n">
        <v>1</v>
      </c>
      <c r="L755" t="n">
        <v>0</v>
      </c>
      <c r="M755" t="n">
        <v>0</v>
      </c>
      <c r="N755" t="n">
        <v>0</v>
      </c>
      <c r="O755" t="n">
        <v>1</v>
      </c>
      <c r="P755" t="n">
        <v>1</v>
      </c>
      <c r="Q755" t="n">
        <v>1</v>
      </c>
      <c r="R755" s="2" t="inlineStr">
        <is>
          <t>Lappuggla</t>
        </is>
      </c>
      <c r="S755">
        <f>HYPERLINK("https://klasma.github.io/Logging_2581/artfynd/A 19375-2023 artfynd.xlsx", "A 19375-2023")</f>
        <v/>
      </c>
      <c r="T755">
        <f>HYPERLINK("https://klasma.github.io/Logging_2581/kartor/A 19375-2023 karta.png", "A 19375-2023")</f>
        <v/>
      </c>
      <c r="V755">
        <f>HYPERLINK("https://klasma.github.io/Logging_2581/klagomål/A 19375-2023 FSC-klagomål.docx", "A 19375-2023")</f>
        <v/>
      </c>
      <c r="W755">
        <f>HYPERLINK("https://klasma.github.io/Logging_2581/klagomålsmail/A 19375-2023 FSC-klagomål mail.docx", "A 19375-2023")</f>
        <v/>
      </c>
      <c r="X755">
        <f>HYPERLINK("https://klasma.github.io/Logging_2581/tillsyn/A 19375-2023 tillsynsbegäran.docx", "A 19375-2023")</f>
        <v/>
      </c>
      <c r="Y755">
        <f>HYPERLINK("https://klasma.github.io/Logging_2581/tillsynsmail/A 19375-2023 tillsynsbegäran mail.docx", "A 19375-2023")</f>
        <v/>
      </c>
      <c r="Z755">
        <f>HYPERLINK("https://klasma.github.io/Logging_2581/fåglar/A 19375-2023 prioriterade fågelarter.docx", "A 19375-2023")</f>
        <v/>
      </c>
    </row>
    <row r="756" ht="15" customHeight="1">
      <c r="A756" t="inlineStr">
        <is>
          <t>A 21019-2023</t>
        </is>
      </c>
      <c r="B756" s="1" t="n">
        <v>45056</v>
      </c>
      <c r="C756" s="1" t="n">
        <v>45662</v>
      </c>
      <c r="D756" t="inlineStr">
        <is>
          <t>NORRBOTTENS LÄN</t>
        </is>
      </c>
      <c r="E756" t="inlineStr">
        <is>
          <t>BODEN</t>
        </is>
      </c>
      <c r="G756" t="n">
        <v>7.5</v>
      </c>
      <c r="H756" t="n">
        <v>1</v>
      </c>
      <c r="I756" t="n">
        <v>0</v>
      </c>
      <c r="J756" t="n">
        <v>0</v>
      </c>
      <c r="K756" t="n">
        <v>0</v>
      </c>
      <c r="L756" t="n">
        <v>0</v>
      </c>
      <c r="M756" t="n">
        <v>0</v>
      </c>
      <c r="N756" t="n">
        <v>0</v>
      </c>
      <c r="O756" t="n">
        <v>0</v>
      </c>
      <c r="P756" t="n">
        <v>0</v>
      </c>
      <c r="Q756" t="n">
        <v>1</v>
      </c>
      <c r="R756" s="2" t="inlineStr">
        <is>
          <t>Sångsvan</t>
        </is>
      </c>
      <c r="S756">
        <f>HYPERLINK("https://klasma.github.io/Logging_2582/artfynd/A 21019-2023 artfynd.xlsx", "A 21019-2023")</f>
        <v/>
      </c>
      <c r="T756">
        <f>HYPERLINK("https://klasma.github.io/Logging_2582/kartor/A 21019-2023 karta.png", "A 21019-2023")</f>
        <v/>
      </c>
      <c r="V756">
        <f>HYPERLINK("https://klasma.github.io/Logging_2582/klagomål/A 21019-2023 FSC-klagomål.docx", "A 21019-2023")</f>
        <v/>
      </c>
      <c r="W756">
        <f>HYPERLINK("https://klasma.github.io/Logging_2582/klagomålsmail/A 21019-2023 FSC-klagomål mail.docx", "A 21019-2023")</f>
        <v/>
      </c>
      <c r="X756">
        <f>HYPERLINK("https://klasma.github.io/Logging_2582/tillsyn/A 21019-2023 tillsynsbegäran.docx", "A 21019-2023")</f>
        <v/>
      </c>
      <c r="Y756">
        <f>HYPERLINK("https://klasma.github.io/Logging_2582/tillsynsmail/A 21019-2023 tillsynsbegäran mail.docx", "A 21019-2023")</f>
        <v/>
      </c>
      <c r="Z756">
        <f>HYPERLINK("https://klasma.github.io/Logging_2582/fåglar/A 21019-2023 prioriterade fågelarter.docx", "A 21019-2023")</f>
        <v/>
      </c>
    </row>
    <row r="757" ht="15" customHeight="1">
      <c r="A757" t="inlineStr">
        <is>
          <t>A 21552-2023</t>
        </is>
      </c>
      <c r="B757" s="1" t="n">
        <v>45063</v>
      </c>
      <c r="C757" s="1" t="n">
        <v>45662</v>
      </c>
      <c r="D757" t="inlineStr">
        <is>
          <t>NORRBOTTENS LÄN</t>
        </is>
      </c>
      <c r="E757" t="inlineStr">
        <is>
          <t>KALIX</t>
        </is>
      </c>
      <c r="G757" t="n">
        <v>3.7</v>
      </c>
      <c r="H757" t="n">
        <v>1</v>
      </c>
      <c r="I757" t="n">
        <v>0</v>
      </c>
      <c r="J757" t="n">
        <v>0</v>
      </c>
      <c r="K757" t="n">
        <v>0</v>
      </c>
      <c r="L757" t="n">
        <v>0</v>
      </c>
      <c r="M757" t="n">
        <v>0</v>
      </c>
      <c r="N757" t="n">
        <v>0</v>
      </c>
      <c r="O757" t="n">
        <v>0</v>
      </c>
      <c r="P757" t="n">
        <v>0</v>
      </c>
      <c r="Q757" t="n">
        <v>1</v>
      </c>
      <c r="R757" s="2" t="inlineStr">
        <is>
          <t>Mattlummer</t>
        </is>
      </c>
      <c r="S757">
        <f>HYPERLINK("https://klasma.github.io/Logging_2514/artfynd/A 21552-2023 artfynd.xlsx", "A 21552-2023")</f>
        <v/>
      </c>
      <c r="T757">
        <f>HYPERLINK("https://klasma.github.io/Logging_2514/kartor/A 21552-2023 karta.png", "A 21552-2023")</f>
        <v/>
      </c>
      <c r="V757">
        <f>HYPERLINK("https://klasma.github.io/Logging_2514/klagomål/A 21552-2023 FSC-klagomål.docx", "A 21552-2023")</f>
        <v/>
      </c>
      <c r="W757">
        <f>HYPERLINK("https://klasma.github.io/Logging_2514/klagomålsmail/A 21552-2023 FSC-klagomål mail.docx", "A 21552-2023")</f>
        <v/>
      </c>
      <c r="X757">
        <f>HYPERLINK("https://klasma.github.io/Logging_2514/tillsyn/A 21552-2023 tillsynsbegäran.docx", "A 21552-2023")</f>
        <v/>
      </c>
      <c r="Y757">
        <f>HYPERLINK("https://klasma.github.io/Logging_2514/tillsynsmail/A 21552-2023 tillsynsbegäran mail.docx", "A 21552-2023")</f>
        <v/>
      </c>
    </row>
    <row r="758" ht="15" customHeight="1">
      <c r="A758" t="inlineStr">
        <is>
          <t>A 23026-2023</t>
        </is>
      </c>
      <c r="B758" s="1" t="n">
        <v>45073</v>
      </c>
      <c r="C758" s="1" t="n">
        <v>45662</v>
      </c>
      <c r="D758" t="inlineStr">
        <is>
          <t>NORRBOTTENS LÄN</t>
        </is>
      </c>
      <c r="E758" t="inlineStr">
        <is>
          <t>JOKKMOKK</t>
        </is>
      </c>
      <c r="F758" t="inlineStr">
        <is>
          <t>SCA</t>
        </is>
      </c>
      <c r="G758" t="n">
        <v>3.1</v>
      </c>
      <c r="H758" t="n">
        <v>0</v>
      </c>
      <c r="I758" t="n">
        <v>1</v>
      </c>
      <c r="J758" t="n">
        <v>0</v>
      </c>
      <c r="K758" t="n">
        <v>0</v>
      </c>
      <c r="L758" t="n">
        <v>0</v>
      </c>
      <c r="M758" t="n">
        <v>0</v>
      </c>
      <c r="N758" t="n">
        <v>0</v>
      </c>
      <c r="O758" t="n">
        <v>0</v>
      </c>
      <c r="P758" t="n">
        <v>0</v>
      </c>
      <c r="Q758" t="n">
        <v>1</v>
      </c>
      <c r="R758" s="2" t="inlineStr">
        <is>
          <t>Bollvitmossa</t>
        </is>
      </c>
      <c r="S758">
        <f>HYPERLINK("https://klasma.github.io/Logging_2510/artfynd/A 23026-2023 artfynd.xlsx", "A 23026-2023")</f>
        <v/>
      </c>
      <c r="T758">
        <f>HYPERLINK("https://klasma.github.io/Logging_2510/kartor/A 23026-2023 karta.png", "A 23026-2023")</f>
        <v/>
      </c>
      <c r="V758">
        <f>HYPERLINK("https://klasma.github.io/Logging_2510/klagomål/A 23026-2023 FSC-klagomål.docx", "A 23026-2023")</f>
        <v/>
      </c>
      <c r="W758">
        <f>HYPERLINK("https://klasma.github.io/Logging_2510/klagomålsmail/A 23026-2023 FSC-klagomål mail.docx", "A 23026-2023")</f>
        <v/>
      </c>
      <c r="X758">
        <f>HYPERLINK("https://klasma.github.io/Logging_2510/tillsyn/A 23026-2023 tillsynsbegäran.docx", "A 23026-2023")</f>
        <v/>
      </c>
      <c r="Y758">
        <f>HYPERLINK("https://klasma.github.io/Logging_2510/tillsynsmail/A 23026-2023 tillsynsbegäran mail.docx", "A 23026-2023")</f>
        <v/>
      </c>
    </row>
    <row r="759" ht="15" customHeight="1">
      <c r="A759" t="inlineStr">
        <is>
          <t>A 25279-2023</t>
        </is>
      </c>
      <c r="B759" s="1" t="n">
        <v>45079</v>
      </c>
      <c r="C759" s="1" t="n">
        <v>45662</v>
      </c>
      <c r="D759" t="inlineStr">
        <is>
          <t>NORRBOTTENS LÄN</t>
        </is>
      </c>
      <c r="E759" t="inlineStr">
        <is>
          <t>ARJEPLOG</t>
        </is>
      </c>
      <c r="F759" t="inlineStr">
        <is>
          <t>Övriga statliga verk och myndigheter</t>
        </is>
      </c>
      <c r="G759" t="n">
        <v>6.9</v>
      </c>
      <c r="H759" t="n">
        <v>1</v>
      </c>
      <c r="I759" t="n">
        <v>1</v>
      </c>
      <c r="J759" t="n">
        <v>0</v>
      </c>
      <c r="K759" t="n">
        <v>0</v>
      </c>
      <c r="L759" t="n">
        <v>0</v>
      </c>
      <c r="M759" t="n">
        <v>0</v>
      </c>
      <c r="N759" t="n">
        <v>0</v>
      </c>
      <c r="O759" t="n">
        <v>0</v>
      </c>
      <c r="P759" t="n">
        <v>0</v>
      </c>
      <c r="Q759" t="n">
        <v>1</v>
      </c>
      <c r="R759" s="2" t="inlineStr">
        <is>
          <t>Plattlummer</t>
        </is>
      </c>
      <c r="S759">
        <f>HYPERLINK("https://klasma.github.io/Logging_2506/artfynd/A 25279-2023 artfynd.xlsx", "A 25279-2023")</f>
        <v/>
      </c>
      <c r="T759">
        <f>HYPERLINK("https://klasma.github.io/Logging_2506/kartor/A 25279-2023 karta.png", "A 25279-2023")</f>
        <v/>
      </c>
      <c r="V759">
        <f>HYPERLINK("https://klasma.github.io/Logging_2506/klagomål/A 25279-2023 FSC-klagomål.docx", "A 25279-2023")</f>
        <v/>
      </c>
      <c r="W759">
        <f>HYPERLINK("https://klasma.github.io/Logging_2506/klagomålsmail/A 25279-2023 FSC-klagomål mail.docx", "A 25279-2023")</f>
        <v/>
      </c>
      <c r="X759">
        <f>HYPERLINK("https://klasma.github.io/Logging_2506/tillsyn/A 25279-2023 tillsynsbegäran.docx", "A 25279-2023")</f>
        <v/>
      </c>
      <c r="Y759">
        <f>HYPERLINK("https://klasma.github.io/Logging_2506/tillsynsmail/A 25279-2023 tillsynsbegäran mail.docx", "A 25279-2023")</f>
        <v/>
      </c>
    </row>
    <row r="760" ht="15" customHeight="1">
      <c r="A760" t="inlineStr">
        <is>
          <t>A 26966-2023</t>
        </is>
      </c>
      <c r="B760" s="1" t="n">
        <v>45093</v>
      </c>
      <c r="C760" s="1" t="n">
        <v>45662</v>
      </c>
      <c r="D760" t="inlineStr">
        <is>
          <t>NORRBOTTENS LÄN</t>
        </is>
      </c>
      <c r="E760" t="inlineStr">
        <is>
          <t>BODEN</t>
        </is>
      </c>
      <c r="F760" t="inlineStr">
        <is>
          <t>Sveaskog</t>
        </is>
      </c>
      <c r="G760" t="n">
        <v>19.1</v>
      </c>
      <c r="H760" t="n">
        <v>1</v>
      </c>
      <c r="I760" t="n">
        <v>0</v>
      </c>
      <c r="J760" t="n">
        <v>1</v>
      </c>
      <c r="K760" t="n">
        <v>0</v>
      </c>
      <c r="L760" t="n">
        <v>0</v>
      </c>
      <c r="M760" t="n">
        <v>0</v>
      </c>
      <c r="N760" t="n">
        <v>0</v>
      </c>
      <c r="O760" t="n">
        <v>1</v>
      </c>
      <c r="P760" t="n">
        <v>0</v>
      </c>
      <c r="Q760" t="n">
        <v>1</v>
      </c>
      <c r="R760" s="2" t="inlineStr">
        <is>
          <t>Talltita</t>
        </is>
      </c>
      <c r="S760">
        <f>HYPERLINK("https://klasma.github.io/Logging_2582/artfynd/A 26966-2023 artfynd.xlsx", "A 26966-2023")</f>
        <v/>
      </c>
      <c r="T760">
        <f>HYPERLINK("https://klasma.github.io/Logging_2582/kartor/A 26966-2023 karta.png", "A 26966-2023")</f>
        <v/>
      </c>
      <c r="V760">
        <f>HYPERLINK("https://klasma.github.io/Logging_2582/klagomål/A 26966-2023 FSC-klagomål.docx", "A 26966-2023")</f>
        <v/>
      </c>
      <c r="W760">
        <f>HYPERLINK("https://klasma.github.io/Logging_2582/klagomålsmail/A 26966-2023 FSC-klagomål mail.docx", "A 26966-2023")</f>
        <v/>
      </c>
      <c r="X760">
        <f>HYPERLINK("https://klasma.github.io/Logging_2582/tillsyn/A 26966-2023 tillsynsbegäran.docx", "A 26966-2023")</f>
        <v/>
      </c>
      <c r="Y760">
        <f>HYPERLINK("https://klasma.github.io/Logging_2582/tillsynsmail/A 26966-2023 tillsynsbegäran mail.docx", "A 26966-2023")</f>
        <v/>
      </c>
      <c r="Z760">
        <f>HYPERLINK("https://klasma.github.io/Logging_2582/fåglar/A 26966-2023 prioriterade fågelarter.docx", "A 26966-2023")</f>
        <v/>
      </c>
    </row>
    <row r="761" ht="15" customHeight="1">
      <c r="A761" t="inlineStr">
        <is>
          <t>A 27336-2023</t>
        </is>
      </c>
      <c r="B761" s="1" t="n">
        <v>45096</v>
      </c>
      <c r="C761" s="1" t="n">
        <v>45662</v>
      </c>
      <c r="D761" t="inlineStr">
        <is>
          <t>NORRBOTTENS LÄN</t>
        </is>
      </c>
      <c r="E761" t="inlineStr">
        <is>
          <t>GÄLLIVARE</t>
        </is>
      </c>
      <c r="G761" t="n">
        <v>1.8</v>
      </c>
      <c r="H761" t="n">
        <v>0</v>
      </c>
      <c r="I761" t="n">
        <v>1</v>
      </c>
      <c r="J761" t="n">
        <v>0</v>
      </c>
      <c r="K761" t="n">
        <v>0</v>
      </c>
      <c r="L761" t="n">
        <v>0</v>
      </c>
      <c r="M761" t="n">
        <v>0</v>
      </c>
      <c r="N761" t="n">
        <v>0</v>
      </c>
      <c r="O761" t="n">
        <v>0</v>
      </c>
      <c r="P761" t="n">
        <v>0</v>
      </c>
      <c r="Q761" t="n">
        <v>1</v>
      </c>
      <c r="R761" s="2" t="inlineStr">
        <is>
          <t>Dropptaggsvamp</t>
        </is>
      </c>
      <c r="S761">
        <f>HYPERLINK("https://klasma.github.io/Logging_2523/artfynd/A 27336-2023 artfynd.xlsx", "A 27336-2023")</f>
        <v/>
      </c>
      <c r="T761">
        <f>HYPERLINK("https://klasma.github.io/Logging_2523/kartor/A 27336-2023 karta.png", "A 27336-2023")</f>
        <v/>
      </c>
      <c r="V761">
        <f>HYPERLINK("https://klasma.github.io/Logging_2523/klagomål/A 27336-2023 FSC-klagomål.docx", "A 27336-2023")</f>
        <v/>
      </c>
      <c r="W761">
        <f>HYPERLINK("https://klasma.github.io/Logging_2523/klagomålsmail/A 27336-2023 FSC-klagomål mail.docx", "A 27336-2023")</f>
        <v/>
      </c>
      <c r="X761">
        <f>HYPERLINK("https://klasma.github.io/Logging_2523/tillsyn/A 27336-2023 tillsynsbegäran.docx", "A 27336-2023")</f>
        <v/>
      </c>
      <c r="Y761">
        <f>HYPERLINK("https://klasma.github.io/Logging_2523/tillsynsmail/A 27336-2023 tillsynsbegäran mail.docx", "A 27336-2023")</f>
        <v/>
      </c>
    </row>
    <row r="762" ht="15" customHeight="1">
      <c r="A762" t="inlineStr">
        <is>
          <t>A 27804-2023</t>
        </is>
      </c>
      <c r="B762" s="1" t="n">
        <v>45098</v>
      </c>
      <c r="C762" s="1" t="n">
        <v>45662</v>
      </c>
      <c r="D762" t="inlineStr">
        <is>
          <t>NORRBOTTENS LÄN</t>
        </is>
      </c>
      <c r="E762" t="inlineStr">
        <is>
          <t>BODEN</t>
        </is>
      </c>
      <c r="F762" t="inlineStr">
        <is>
          <t>Sveaskog</t>
        </is>
      </c>
      <c r="G762" t="n">
        <v>21</v>
      </c>
      <c r="H762" t="n">
        <v>1</v>
      </c>
      <c r="I762" t="n">
        <v>0</v>
      </c>
      <c r="J762" t="n">
        <v>0</v>
      </c>
      <c r="K762" t="n">
        <v>1</v>
      </c>
      <c r="L762" t="n">
        <v>0</v>
      </c>
      <c r="M762" t="n">
        <v>0</v>
      </c>
      <c r="N762" t="n">
        <v>0</v>
      </c>
      <c r="O762" t="n">
        <v>1</v>
      </c>
      <c r="P762" t="n">
        <v>1</v>
      </c>
      <c r="Q762" t="n">
        <v>1</v>
      </c>
      <c r="R762" s="2" t="inlineStr">
        <is>
          <t>Doftticka</t>
        </is>
      </c>
      <c r="S762">
        <f>HYPERLINK("https://klasma.github.io/Logging_2582/artfynd/A 27804-2023 artfynd.xlsx", "A 27804-2023")</f>
        <v/>
      </c>
      <c r="T762">
        <f>HYPERLINK("https://klasma.github.io/Logging_2582/kartor/A 27804-2023 karta.png", "A 27804-2023")</f>
        <v/>
      </c>
      <c r="V762">
        <f>HYPERLINK("https://klasma.github.io/Logging_2582/klagomål/A 27804-2023 FSC-klagomål.docx", "A 27804-2023")</f>
        <v/>
      </c>
      <c r="W762">
        <f>HYPERLINK("https://klasma.github.io/Logging_2582/klagomålsmail/A 27804-2023 FSC-klagomål mail.docx", "A 27804-2023")</f>
        <v/>
      </c>
      <c r="X762">
        <f>HYPERLINK("https://klasma.github.io/Logging_2582/tillsyn/A 27804-2023 tillsynsbegäran.docx", "A 27804-2023")</f>
        <v/>
      </c>
      <c r="Y762">
        <f>HYPERLINK("https://klasma.github.io/Logging_2582/tillsynsmail/A 27804-2023 tillsynsbegäran mail.docx", "A 27804-2023")</f>
        <v/>
      </c>
    </row>
    <row r="763" ht="15" customHeight="1">
      <c r="A763" t="inlineStr">
        <is>
          <t>A 27927-2023</t>
        </is>
      </c>
      <c r="B763" s="1" t="n">
        <v>45098</v>
      </c>
      <c r="C763" s="1" t="n">
        <v>45662</v>
      </c>
      <c r="D763" t="inlineStr">
        <is>
          <t>NORRBOTTENS LÄN</t>
        </is>
      </c>
      <c r="E763" t="inlineStr">
        <is>
          <t>PITEÅ</t>
        </is>
      </c>
      <c r="F763" t="inlineStr">
        <is>
          <t>Sveaskog</t>
        </is>
      </c>
      <c r="G763" t="n">
        <v>13.7</v>
      </c>
      <c r="H763" t="n">
        <v>0</v>
      </c>
      <c r="I763" t="n">
        <v>0</v>
      </c>
      <c r="J763" t="n">
        <v>1</v>
      </c>
      <c r="K763" t="n">
        <v>0</v>
      </c>
      <c r="L763" t="n">
        <v>0</v>
      </c>
      <c r="M763" t="n">
        <v>0</v>
      </c>
      <c r="N763" t="n">
        <v>0</v>
      </c>
      <c r="O763" t="n">
        <v>1</v>
      </c>
      <c r="P763" t="n">
        <v>0</v>
      </c>
      <c r="Q763" t="n">
        <v>1</v>
      </c>
      <c r="R763" s="2" t="inlineStr">
        <is>
          <t>Garnlav</t>
        </is>
      </c>
      <c r="S763">
        <f>HYPERLINK("https://klasma.github.io/Logging_2581/artfynd/A 27927-2023 artfynd.xlsx", "A 27927-2023")</f>
        <v/>
      </c>
      <c r="T763">
        <f>HYPERLINK("https://klasma.github.io/Logging_2581/kartor/A 27927-2023 karta.png", "A 27927-2023")</f>
        <v/>
      </c>
      <c r="V763">
        <f>HYPERLINK("https://klasma.github.io/Logging_2581/klagomål/A 27927-2023 FSC-klagomål.docx", "A 27927-2023")</f>
        <v/>
      </c>
      <c r="W763">
        <f>HYPERLINK("https://klasma.github.io/Logging_2581/klagomålsmail/A 27927-2023 FSC-klagomål mail.docx", "A 27927-2023")</f>
        <v/>
      </c>
      <c r="X763">
        <f>HYPERLINK("https://klasma.github.io/Logging_2581/tillsyn/A 27927-2023 tillsynsbegäran.docx", "A 27927-2023")</f>
        <v/>
      </c>
      <c r="Y763">
        <f>HYPERLINK("https://klasma.github.io/Logging_2581/tillsynsmail/A 27927-2023 tillsynsbegäran mail.docx", "A 27927-2023")</f>
        <v/>
      </c>
    </row>
    <row r="764" ht="15" customHeight="1">
      <c r="A764" t="inlineStr">
        <is>
          <t>A 28089-2023</t>
        </is>
      </c>
      <c r="B764" s="1" t="n">
        <v>45099</v>
      </c>
      <c r="C764" s="1" t="n">
        <v>45662</v>
      </c>
      <c r="D764" t="inlineStr">
        <is>
          <t>NORRBOTTENS LÄN</t>
        </is>
      </c>
      <c r="E764" t="inlineStr">
        <is>
          <t>JOKKMOKK</t>
        </is>
      </c>
      <c r="F764" t="inlineStr">
        <is>
          <t>Sveaskog</t>
        </is>
      </c>
      <c r="G764" t="n">
        <v>2.1</v>
      </c>
      <c r="H764" t="n">
        <v>0</v>
      </c>
      <c r="I764" t="n">
        <v>0</v>
      </c>
      <c r="J764" t="n">
        <v>1</v>
      </c>
      <c r="K764" t="n">
        <v>0</v>
      </c>
      <c r="L764" t="n">
        <v>0</v>
      </c>
      <c r="M764" t="n">
        <v>0</v>
      </c>
      <c r="N764" t="n">
        <v>0</v>
      </c>
      <c r="O764" t="n">
        <v>1</v>
      </c>
      <c r="P764" t="n">
        <v>0</v>
      </c>
      <c r="Q764" t="n">
        <v>1</v>
      </c>
      <c r="R764" s="2" t="inlineStr">
        <is>
          <t>Kolflarnlav</t>
        </is>
      </c>
      <c r="S764">
        <f>HYPERLINK("https://klasma.github.io/Logging_2510/artfynd/A 28089-2023 artfynd.xlsx", "A 28089-2023")</f>
        <v/>
      </c>
      <c r="T764">
        <f>HYPERLINK("https://klasma.github.io/Logging_2510/kartor/A 28089-2023 karta.png", "A 28089-2023")</f>
        <v/>
      </c>
      <c r="V764">
        <f>HYPERLINK("https://klasma.github.io/Logging_2510/klagomål/A 28089-2023 FSC-klagomål.docx", "A 28089-2023")</f>
        <v/>
      </c>
      <c r="W764">
        <f>HYPERLINK("https://klasma.github.io/Logging_2510/klagomålsmail/A 28089-2023 FSC-klagomål mail.docx", "A 28089-2023")</f>
        <v/>
      </c>
      <c r="X764">
        <f>HYPERLINK("https://klasma.github.io/Logging_2510/tillsyn/A 28089-2023 tillsynsbegäran.docx", "A 28089-2023")</f>
        <v/>
      </c>
      <c r="Y764">
        <f>HYPERLINK("https://klasma.github.io/Logging_2510/tillsynsmail/A 28089-2023 tillsynsbegäran mail.docx", "A 28089-2023")</f>
        <v/>
      </c>
    </row>
    <row r="765" ht="15" customHeight="1">
      <c r="A765" t="inlineStr">
        <is>
          <t>A 28614-2023</t>
        </is>
      </c>
      <c r="B765" s="1" t="n">
        <v>45103</v>
      </c>
      <c r="C765" s="1" t="n">
        <v>45662</v>
      </c>
      <c r="D765" t="inlineStr">
        <is>
          <t>NORRBOTTENS LÄN</t>
        </is>
      </c>
      <c r="E765" t="inlineStr">
        <is>
          <t>PITEÅ</t>
        </is>
      </c>
      <c r="F765" t="inlineStr">
        <is>
          <t>Sveaskog</t>
        </is>
      </c>
      <c r="G765" t="n">
        <v>4.1</v>
      </c>
      <c r="H765" t="n">
        <v>0</v>
      </c>
      <c r="I765" t="n">
        <v>0</v>
      </c>
      <c r="J765" t="n">
        <v>1</v>
      </c>
      <c r="K765" t="n">
        <v>0</v>
      </c>
      <c r="L765" t="n">
        <v>0</v>
      </c>
      <c r="M765" t="n">
        <v>0</v>
      </c>
      <c r="N765" t="n">
        <v>0</v>
      </c>
      <c r="O765" t="n">
        <v>1</v>
      </c>
      <c r="P765" t="n">
        <v>0</v>
      </c>
      <c r="Q765" t="n">
        <v>1</v>
      </c>
      <c r="R765" s="2" t="inlineStr">
        <is>
          <t>Kolflarnlav</t>
        </is>
      </c>
      <c r="S765">
        <f>HYPERLINK("https://klasma.github.io/Logging_2581/artfynd/A 28614-2023 artfynd.xlsx", "A 28614-2023")</f>
        <v/>
      </c>
      <c r="T765">
        <f>HYPERLINK("https://klasma.github.io/Logging_2581/kartor/A 28614-2023 karta.png", "A 28614-2023")</f>
        <v/>
      </c>
      <c r="V765">
        <f>HYPERLINK("https://klasma.github.io/Logging_2581/klagomål/A 28614-2023 FSC-klagomål.docx", "A 28614-2023")</f>
        <v/>
      </c>
      <c r="W765">
        <f>HYPERLINK("https://klasma.github.io/Logging_2581/klagomålsmail/A 28614-2023 FSC-klagomål mail.docx", "A 28614-2023")</f>
        <v/>
      </c>
      <c r="X765">
        <f>HYPERLINK("https://klasma.github.io/Logging_2581/tillsyn/A 28614-2023 tillsynsbegäran.docx", "A 28614-2023")</f>
        <v/>
      </c>
      <c r="Y765">
        <f>HYPERLINK("https://klasma.github.io/Logging_2581/tillsynsmail/A 28614-2023 tillsynsbegäran mail.docx", "A 28614-2023")</f>
        <v/>
      </c>
    </row>
    <row r="766" ht="15" customHeight="1">
      <c r="A766" t="inlineStr">
        <is>
          <t>A 30746-2023</t>
        </is>
      </c>
      <c r="B766" s="1" t="n">
        <v>45103</v>
      </c>
      <c r="C766" s="1" t="n">
        <v>45662</v>
      </c>
      <c r="D766" t="inlineStr">
        <is>
          <t>NORRBOTTENS LÄN</t>
        </is>
      </c>
      <c r="E766" t="inlineStr">
        <is>
          <t>GÄLLIVARE</t>
        </is>
      </c>
      <c r="F766" t="inlineStr">
        <is>
          <t>Allmännings- och besparingsskogar</t>
        </is>
      </c>
      <c r="G766" t="n">
        <v>13.9</v>
      </c>
      <c r="H766" t="n">
        <v>0</v>
      </c>
      <c r="I766" t="n">
        <v>0</v>
      </c>
      <c r="J766" t="n">
        <v>1</v>
      </c>
      <c r="K766" t="n">
        <v>0</v>
      </c>
      <c r="L766" t="n">
        <v>0</v>
      </c>
      <c r="M766" t="n">
        <v>0</v>
      </c>
      <c r="N766" t="n">
        <v>0</v>
      </c>
      <c r="O766" t="n">
        <v>1</v>
      </c>
      <c r="P766" t="n">
        <v>0</v>
      </c>
      <c r="Q766" t="n">
        <v>1</v>
      </c>
      <c r="R766" s="2" t="inlineStr">
        <is>
          <t>Mörk kolflarnlav</t>
        </is>
      </c>
      <c r="S766">
        <f>HYPERLINK("https://klasma.github.io/Logging_2523/artfynd/A 30746-2023 artfynd.xlsx", "A 30746-2023")</f>
        <v/>
      </c>
      <c r="T766">
        <f>HYPERLINK("https://klasma.github.io/Logging_2523/kartor/A 30746-2023 karta.png", "A 30746-2023")</f>
        <v/>
      </c>
      <c r="V766">
        <f>HYPERLINK("https://klasma.github.io/Logging_2523/klagomål/A 30746-2023 FSC-klagomål.docx", "A 30746-2023")</f>
        <v/>
      </c>
      <c r="W766">
        <f>HYPERLINK("https://klasma.github.io/Logging_2523/klagomålsmail/A 30746-2023 FSC-klagomål mail.docx", "A 30746-2023")</f>
        <v/>
      </c>
      <c r="X766">
        <f>HYPERLINK("https://klasma.github.io/Logging_2523/tillsyn/A 30746-2023 tillsynsbegäran.docx", "A 30746-2023")</f>
        <v/>
      </c>
      <c r="Y766">
        <f>HYPERLINK("https://klasma.github.io/Logging_2523/tillsynsmail/A 30746-2023 tillsynsbegäran mail.docx", "A 30746-2023")</f>
        <v/>
      </c>
    </row>
    <row r="767" ht="15" customHeight="1">
      <c r="A767" t="inlineStr">
        <is>
          <t>A 28772-2023</t>
        </is>
      </c>
      <c r="B767" s="1" t="n">
        <v>45104</v>
      </c>
      <c r="C767" s="1" t="n">
        <v>45662</v>
      </c>
      <c r="D767" t="inlineStr">
        <is>
          <t>NORRBOTTENS LÄN</t>
        </is>
      </c>
      <c r="E767" t="inlineStr">
        <is>
          <t>BODEN</t>
        </is>
      </c>
      <c r="F767" t="inlineStr">
        <is>
          <t>Sveaskog</t>
        </is>
      </c>
      <c r="G767" t="n">
        <v>9</v>
      </c>
      <c r="H767" t="n">
        <v>0</v>
      </c>
      <c r="I767" t="n">
        <v>1</v>
      </c>
      <c r="J767" t="n">
        <v>0</v>
      </c>
      <c r="K767" t="n">
        <v>0</v>
      </c>
      <c r="L767" t="n">
        <v>0</v>
      </c>
      <c r="M767" t="n">
        <v>0</v>
      </c>
      <c r="N767" t="n">
        <v>0</v>
      </c>
      <c r="O767" t="n">
        <v>0</v>
      </c>
      <c r="P767" t="n">
        <v>0</v>
      </c>
      <c r="Q767" t="n">
        <v>1</v>
      </c>
      <c r="R767" s="2" t="inlineStr">
        <is>
          <t>Bollvitmossa</t>
        </is>
      </c>
      <c r="S767">
        <f>HYPERLINK("https://klasma.github.io/Logging_2582/artfynd/A 28772-2023 artfynd.xlsx", "A 28772-2023")</f>
        <v/>
      </c>
      <c r="T767">
        <f>HYPERLINK("https://klasma.github.io/Logging_2582/kartor/A 28772-2023 karta.png", "A 28772-2023")</f>
        <v/>
      </c>
      <c r="V767">
        <f>HYPERLINK("https://klasma.github.io/Logging_2582/klagomål/A 28772-2023 FSC-klagomål.docx", "A 28772-2023")</f>
        <v/>
      </c>
      <c r="W767">
        <f>HYPERLINK("https://klasma.github.io/Logging_2582/klagomålsmail/A 28772-2023 FSC-klagomål mail.docx", "A 28772-2023")</f>
        <v/>
      </c>
      <c r="X767">
        <f>HYPERLINK("https://klasma.github.io/Logging_2582/tillsyn/A 28772-2023 tillsynsbegäran.docx", "A 28772-2023")</f>
        <v/>
      </c>
      <c r="Y767">
        <f>HYPERLINK("https://klasma.github.io/Logging_2582/tillsynsmail/A 28772-2023 tillsynsbegäran mail.docx", "A 28772-2023")</f>
        <v/>
      </c>
    </row>
    <row r="768" ht="15" customHeight="1">
      <c r="A768" t="inlineStr">
        <is>
          <t>A 29314-2023</t>
        </is>
      </c>
      <c r="B768" s="1" t="n">
        <v>45105</v>
      </c>
      <c r="C768" s="1" t="n">
        <v>45662</v>
      </c>
      <c r="D768" t="inlineStr">
        <is>
          <t>NORRBOTTENS LÄN</t>
        </is>
      </c>
      <c r="E768" t="inlineStr">
        <is>
          <t>ARVIDSJAUR</t>
        </is>
      </c>
      <c r="G768" t="n">
        <v>1.7</v>
      </c>
      <c r="H768" t="n">
        <v>1</v>
      </c>
      <c r="I768" t="n">
        <v>0</v>
      </c>
      <c r="J768" t="n">
        <v>0</v>
      </c>
      <c r="K768" t="n">
        <v>0</v>
      </c>
      <c r="L768" t="n">
        <v>0</v>
      </c>
      <c r="M768" t="n">
        <v>0</v>
      </c>
      <c r="N768" t="n">
        <v>0</v>
      </c>
      <c r="O768" t="n">
        <v>0</v>
      </c>
      <c r="P768" t="n">
        <v>0</v>
      </c>
      <c r="Q768" t="n">
        <v>1</v>
      </c>
      <c r="R768" s="2" t="inlineStr">
        <is>
          <t>Lavskrika</t>
        </is>
      </c>
      <c r="S768">
        <f>HYPERLINK("https://klasma.github.io/Logging_2505/artfynd/A 29314-2023 artfynd.xlsx", "A 29314-2023")</f>
        <v/>
      </c>
      <c r="T768">
        <f>HYPERLINK("https://klasma.github.io/Logging_2505/kartor/A 29314-2023 karta.png", "A 29314-2023")</f>
        <v/>
      </c>
      <c r="V768">
        <f>HYPERLINK("https://klasma.github.io/Logging_2505/klagomål/A 29314-2023 FSC-klagomål.docx", "A 29314-2023")</f>
        <v/>
      </c>
      <c r="W768">
        <f>HYPERLINK("https://klasma.github.io/Logging_2505/klagomålsmail/A 29314-2023 FSC-klagomål mail.docx", "A 29314-2023")</f>
        <v/>
      </c>
      <c r="X768">
        <f>HYPERLINK("https://klasma.github.io/Logging_2505/tillsyn/A 29314-2023 tillsynsbegäran.docx", "A 29314-2023")</f>
        <v/>
      </c>
      <c r="Y768">
        <f>HYPERLINK("https://klasma.github.io/Logging_2505/tillsynsmail/A 29314-2023 tillsynsbegäran mail.docx", "A 29314-2023")</f>
        <v/>
      </c>
      <c r="Z768">
        <f>HYPERLINK("https://klasma.github.io/Logging_2505/fåglar/A 29314-2023 prioriterade fågelarter.docx", "A 29314-2023")</f>
        <v/>
      </c>
    </row>
    <row r="769" ht="15" customHeight="1">
      <c r="A769" t="inlineStr">
        <is>
          <t>A 29626-2023</t>
        </is>
      </c>
      <c r="B769" s="1" t="n">
        <v>45107</v>
      </c>
      <c r="C769" s="1" t="n">
        <v>45662</v>
      </c>
      <c r="D769" t="inlineStr">
        <is>
          <t>NORRBOTTENS LÄN</t>
        </is>
      </c>
      <c r="E769" t="inlineStr">
        <is>
          <t>JOKKMOKK</t>
        </is>
      </c>
      <c r="F769" t="inlineStr">
        <is>
          <t>SCA</t>
        </is>
      </c>
      <c r="G769" t="n">
        <v>3.2</v>
      </c>
      <c r="H769" t="n">
        <v>0</v>
      </c>
      <c r="I769" t="n">
        <v>1</v>
      </c>
      <c r="J769" t="n">
        <v>0</v>
      </c>
      <c r="K769" t="n">
        <v>0</v>
      </c>
      <c r="L769" t="n">
        <v>0</v>
      </c>
      <c r="M769" t="n">
        <v>0</v>
      </c>
      <c r="N769" t="n">
        <v>0</v>
      </c>
      <c r="O769" t="n">
        <v>0</v>
      </c>
      <c r="P769" t="n">
        <v>0</v>
      </c>
      <c r="Q769" t="n">
        <v>1</v>
      </c>
      <c r="R769" s="2" t="inlineStr">
        <is>
          <t>Norrlandslav</t>
        </is>
      </c>
      <c r="S769">
        <f>HYPERLINK("https://klasma.github.io/Logging_2510/artfynd/A 29626-2023 artfynd.xlsx", "A 29626-2023")</f>
        <v/>
      </c>
      <c r="T769">
        <f>HYPERLINK("https://klasma.github.io/Logging_2510/kartor/A 29626-2023 karta.png", "A 29626-2023")</f>
        <v/>
      </c>
      <c r="V769">
        <f>HYPERLINK("https://klasma.github.io/Logging_2510/klagomål/A 29626-2023 FSC-klagomål.docx", "A 29626-2023")</f>
        <v/>
      </c>
      <c r="W769">
        <f>HYPERLINK("https://klasma.github.io/Logging_2510/klagomålsmail/A 29626-2023 FSC-klagomål mail.docx", "A 29626-2023")</f>
        <v/>
      </c>
      <c r="X769">
        <f>HYPERLINK("https://klasma.github.io/Logging_2510/tillsyn/A 29626-2023 tillsynsbegäran.docx", "A 29626-2023")</f>
        <v/>
      </c>
      <c r="Y769">
        <f>HYPERLINK("https://klasma.github.io/Logging_2510/tillsynsmail/A 29626-2023 tillsynsbegäran mail.docx", "A 29626-2023")</f>
        <v/>
      </c>
    </row>
    <row r="770" ht="15" customHeight="1">
      <c r="A770" t="inlineStr">
        <is>
          <t>A 31829-2023</t>
        </is>
      </c>
      <c r="B770" s="1" t="n">
        <v>45106</v>
      </c>
      <c r="C770" s="1" t="n">
        <v>45662</v>
      </c>
      <c r="D770" t="inlineStr">
        <is>
          <t>NORRBOTTENS LÄN</t>
        </is>
      </c>
      <c r="E770" t="inlineStr">
        <is>
          <t>ÄLVSBYN</t>
        </is>
      </c>
      <c r="F770" t="inlineStr">
        <is>
          <t>Sveaskog</t>
        </is>
      </c>
      <c r="G770" t="n">
        <v>1.9</v>
      </c>
      <c r="H770" t="n">
        <v>1</v>
      </c>
      <c r="I770" t="n">
        <v>0</v>
      </c>
      <c r="J770" t="n">
        <v>1</v>
      </c>
      <c r="K770" t="n">
        <v>0</v>
      </c>
      <c r="L770" t="n">
        <v>0</v>
      </c>
      <c r="M770" t="n">
        <v>0</v>
      </c>
      <c r="N770" t="n">
        <v>0</v>
      </c>
      <c r="O770" t="n">
        <v>1</v>
      </c>
      <c r="P770" t="n">
        <v>0</v>
      </c>
      <c r="Q770" t="n">
        <v>1</v>
      </c>
      <c r="R770" s="2" t="inlineStr">
        <is>
          <t>Järpe</t>
        </is>
      </c>
      <c r="S770">
        <f>HYPERLINK("https://klasma.github.io/Logging_2560/artfynd/A 31829-2023 artfynd.xlsx", "A 31829-2023")</f>
        <v/>
      </c>
      <c r="T770">
        <f>HYPERLINK("https://klasma.github.io/Logging_2560/kartor/A 31829-2023 karta.png", "A 31829-2023")</f>
        <v/>
      </c>
      <c r="V770">
        <f>HYPERLINK("https://klasma.github.io/Logging_2560/klagomål/A 31829-2023 FSC-klagomål.docx", "A 31829-2023")</f>
        <v/>
      </c>
      <c r="W770">
        <f>HYPERLINK("https://klasma.github.io/Logging_2560/klagomålsmail/A 31829-2023 FSC-klagomål mail.docx", "A 31829-2023")</f>
        <v/>
      </c>
      <c r="X770">
        <f>HYPERLINK("https://klasma.github.io/Logging_2560/tillsyn/A 31829-2023 tillsynsbegäran.docx", "A 31829-2023")</f>
        <v/>
      </c>
      <c r="Y770">
        <f>HYPERLINK("https://klasma.github.io/Logging_2560/tillsynsmail/A 31829-2023 tillsynsbegäran mail.docx", "A 31829-2023")</f>
        <v/>
      </c>
      <c r="Z770">
        <f>HYPERLINK("https://klasma.github.io/Logging_2560/fåglar/A 31829-2023 prioriterade fågelarter.docx", "A 31829-2023")</f>
        <v/>
      </c>
    </row>
    <row r="771" ht="15" customHeight="1">
      <c r="A771" t="inlineStr">
        <is>
          <t>A 29651-2023</t>
        </is>
      </c>
      <c r="B771" s="1" t="n">
        <v>45107</v>
      </c>
      <c r="C771" s="1" t="n">
        <v>45662</v>
      </c>
      <c r="D771" t="inlineStr">
        <is>
          <t>NORRBOTTENS LÄN</t>
        </is>
      </c>
      <c r="E771" t="inlineStr">
        <is>
          <t>ÄLVSBYN</t>
        </is>
      </c>
      <c r="F771" t="inlineStr">
        <is>
          <t>Sveaskog</t>
        </is>
      </c>
      <c r="G771" t="n">
        <v>3.4</v>
      </c>
      <c r="H771" t="n">
        <v>0</v>
      </c>
      <c r="I771" t="n">
        <v>0</v>
      </c>
      <c r="J771" t="n">
        <v>1</v>
      </c>
      <c r="K771" t="n">
        <v>0</v>
      </c>
      <c r="L771" t="n">
        <v>0</v>
      </c>
      <c r="M771" t="n">
        <v>0</v>
      </c>
      <c r="N771" t="n">
        <v>0</v>
      </c>
      <c r="O771" t="n">
        <v>1</v>
      </c>
      <c r="P771" t="n">
        <v>0</v>
      </c>
      <c r="Q771" t="n">
        <v>1</v>
      </c>
      <c r="R771" s="2" t="inlineStr">
        <is>
          <t>Kolflarnlav</t>
        </is>
      </c>
      <c r="S771">
        <f>HYPERLINK("https://klasma.github.io/Logging_2560/artfynd/A 29651-2023 artfynd.xlsx", "A 29651-2023")</f>
        <v/>
      </c>
      <c r="T771">
        <f>HYPERLINK("https://klasma.github.io/Logging_2560/kartor/A 29651-2023 karta.png", "A 29651-2023")</f>
        <v/>
      </c>
      <c r="V771">
        <f>HYPERLINK("https://klasma.github.io/Logging_2560/klagomål/A 29651-2023 FSC-klagomål.docx", "A 29651-2023")</f>
        <v/>
      </c>
      <c r="W771">
        <f>HYPERLINK("https://klasma.github.io/Logging_2560/klagomålsmail/A 29651-2023 FSC-klagomål mail.docx", "A 29651-2023")</f>
        <v/>
      </c>
      <c r="X771">
        <f>HYPERLINK("https://klasma.github.io/Logging_2560/tillsyn/A 29651-2023 tillsynsbegäran.docx", "A 29651-2023")</f>
        <v/>
      </c>
      <c r="Y771">
        <f>HYPERLINK("https://klasma.github.io/Logging_2560/tillsynsmail/A 29651-2023 tillsynsbegäran mail.docx", "A 29651-2023")</f>
        <v/>
      </c>
    </row>
    <row r="772" ht="15" customHeight="1">
      <c r="A772" t="inlineStr">
        <is>
          <t>A 29650-2023</t>
        </is>
      </c>
      <c r="B772" s="1" t="n">
        <v>45107</v>
      </c>
      <c r="C772" s="1" t="n">
        <v>45662</v>
      </c>
      <c r="D772" t="inlineStr">
        <is>
          <t>NORRBOTTENS LÄN</t>
        </is>
      </c>
      <c r="E772" t="inlineStr">
        <is>
          <t>ÄLVSBYN</t>
        </is>
      </c>
      <c r="F772" t="inlineStr">
        <is>
          <t>Sveaskog</t>
        </is>
      </c>
      <c r="G772" t="n">
        <v>5.9</v>
      </c>
      <c r="H772" t="n">
        <v>0</v>
      </c>
      <c r="I772" t="n">
        <v>0</v>
      </c>
      <c r="J772" t="n">
        <v>1</v>
      </c>
      <c r="K772" t="n">
        <v>0</v>
      </c>
      <c r="L772" t="n">
        <v>0</v>
      </c>
      <c r="M772" t="n">
        <v>0</v>
      </c>
      <c r="N772" t="n">
        <v>0</v>
      </c>
      <c r="O772" t="n">
        <v>1</v>
      </c>
      <c r="P772" t="n">
        <v>0</v>
      </c>
      <c r="Q772" t="n">
        <v>1</v>
      </c>
      <c r="R772" s="2" t="inlineStr">
        <is>
          <t>Kolflarnlav</t>
        </is>
      </c>
      <c r="S772">
        <f>HYPERLINK("https://klasma.github.io/Logging_2560/artfynd/A 29650-2023 artfynd.xlsx", "A 29650-2023")</f>
        <v/>
      </c>
      <c r="T772">
        <f>HYPERLINK("https://klasma.github.io/Logging_2560/kartor/A 29650-2023 karta.png", "A 29650-2023")</f>
        <v/>
      </c>
      <c r="V772">
        <f>HYPERLINK("https://klasma.github.io/Logging_2560/klagomål/A 29650-2023 FSC-klagomål.docx", "A 29650-2023")</f>
        <v/>
      </c>
      <c r="W772">
        <f>HYPERLINK("https://klasma.github.io/Logging_2560/klagomålsmail/A 29650-2023 FSC-klagomål mail.docx", "A 29650-2023")</f>
        <v/>
      </c>
      <c r="X772">
        <f>HYPERLINK("https://klasma.github.io/Logging_2560/tillsyn/A 29650-2023 tillsynsbegäran.docx", "A 29650-2023")</f>
        <v/>
      </c>
      <c r="Y772">
        <f>HYPERLINK("https://klasma.github.io/Logging_2560/tillsynsmail/A 29650-2023 tillsynsbegäran mail.docx", "A 29650-2023")</f>
        <v/>
      </c>
    </row>
    <row r="773" ht="15" customHeight="1">
      <c r="A773" t="inlineStr">
        <is>
          <t>A 30592-2023</t>
        </is>
      </c>
      <c r="B773" s="1" t="n">
        <v>45112</v>
      </c>
      <c r="C773" s="1" t="n">
        <v>45662</v>
      </c>
      <c r="D773" t="inlineStr">
        <is>
          <t>NORRBOTTENS LÄN</t>
        </is>
      </c>
      <c r="E773" t="inlineStr">
        <is>
          <t>ARJEPLOG</t>
        </is>
      </c>
      <c r="F773" t="inlineStr">
        <is>
          <t>Allmännings- och besparingsskogar</t>
        </is>
      </c>
      <c r="G773" t="n">
        <v>19</v>
      </c>
      <c r="H773" t="n">
        <v>1</v>
      </c>
      <c r="I773" t="n">
        <v>0</v>
      </c>
      <c r="J773" t="n">
        <v>1</v>
      </c>
      <c r="K773" t="n">
        <v>0</v>
      </c>
      <c r="L773" t="n">
        <v>0</v>
      </c>
      <c r="M773" t="n">
        <v>0</v>
      </c>
      <c r="N773" t="n">
        <v>0</v>
      </c>
      <c r="O773" t="n">
        <v>1</v>
      </c>
      <c r="P773" t="n">
        <v>0</v>
      </c>
      <c r="Q773" t="n">
        <v>1</v>
      </c>
      <c r="R773" s="2" t="inlineStr">
        <is>
          <t>Tretåig hackspett</t>
        </is>
      </c>
      <c r="S773">
        <f>HYPERLINK("https://klasma.github.io/Logging_2506/artfynd/A 30592-2023 artfynd.xlsx", "A 30592-2023")</f>
        <v/>
      </c>
      <c r="T773">
        <f>HYPERLINK("https://klasma.github.io/Logging_2506/kartor/A 30592-2023 karta.png", "A 30592-2023")</f>
        <v/>
      </c>
      <c r="V773">
        <f>HYPERLINK("https://klasma.github.io/Logging_2506/klagomål/A 30592-2023 FSC-klagomål.docx", "A 30592-2023")</f>
        <v/>
      </c>
      <c r="W773">
        <f>HYPERLINK("https://klasma.github.io/Logging_2506/klagomålsmail/A 30592-2023 FSC-klagomål mail.docx", "A 30592-2023")</f>
        <v/>
      </c>
      <c r="X773">
        <f>HYPERLINK("https://klasma.github.io/Logging_2506/tillsyn/A 30592-2023 tillsynsbegäran.docx", "A 30592-2023")</f>
        <v/>
      </c>
      <c r="Y773">
        <f>HYPERLINK("https://klasma.github.io/Logging_2506/tillsynsmail/A 30592-2023 tillsynsbegäran mail.docx", "A 30592-2023")</f>
        <v/>
      </c>
      <c r="Z773">
        <f>HYPERLINK("https://klasma.github.io/Logging_2506/fåglar/A 30592-2023 prioriterade fågelarter.docx", "A 30592-2023")</f>
        <v/>
      </c>
    </row>
    <row r="774" ht="15" customHeight="1">
      <c r="A774" t="inlineStr">
        <is>
          <t>A 31349-2023</t>
        </is>
      </c>
      <c r="B774" s="1" t="n">
        <v>45114</v>
      </c>
      <c r="C774" s="1" t="n">
        <v>45662</v>
      </c>
      <c r="D774" t="inlineStr">
        <is>
          <t>NORRBOTTENS LÄN</t>
        </is>
      </c>
      <c r="E774" t="inlineStr">
        <is>
          <t>PAJALA</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HYPERLINK("https://klasma.github.io/Logging_2521/artfynd/A 31349-2023 artfynd.xlsx", "A 31349-2023")</f>
        <v/>
      </c>
      <c r="T774">
        <f>HYPERLINK("https://klasma.github.io/Logging_2521/kartor/A 31349-2023 karta.png", "A 31349-2023")</f>
        <v/>
      </c>
      <c r="V774">
        <f>HYPERLINK("https://klasma.github.io/Logging_2521/klagomål/A 31349-2023 FSC-klagomål.docx", "A 31349-2023")</f>
        <v/>
      </c>
      <c r="W774">
        <f>HYPERLINK("https://klasma.github.io/Logging_2521/klagomålsmail/A 31349-2023 FSC-klagomål mail.docx", "A 31349-2023")</f>
        <v/>
      </c>
      <c r="X774">
        <f>HYPERLINK("https://klasma.github.io/Logging_2521/tillsyn/A 31349-2023 tillsynsbegäran.docx", "A 31349-2023")</f>
        <v/>
      </c>
      <c r="Y774">
        <f>HYPERLINK("https://klasma.github.io/Logging_2521/tillsynsmail/A 31349-2023 tillsynsbegäran mail.docx", "A 31349-2023")</f>
        <v/>
      </c>
    </row>
    <row r="775" ht="15" customHeight="1">
      <c r="A775" t="inlineStr">
        <is>
          <t>A 31490-2023</t>
        </is>
      </c>
      <c r="B775" s="1" t="n">
        <v>45114</v>
      </c>
      <c r="C775" s="1" t="n">
        <v>45662</v>
      </c>
      <c r="D775" t="inlineStr">
        <is>
          <t>NORRBOTTENS LÄN</t>
        </is>
      </c>
      <c r="E775" t="inlineStr">
        <is>
          <t>JOKKMOKK</t>
        </is>
      </c>
      <c r="F775" t="inlineStr">
        <is>
          <t>Allmännings- och besparingsskogar</t>
        </is>
      </c>
      <c r="G775" t="n">
        <v>7.7</v>
      </c>
      <c r="H775" t="n">
        <v>0</v>
      </c>
      <c r="I775" t="n">
        <v>1</v>
      </c>
      <c r="J775" t="n">
        <v>0</v>
      </c>
      <c r="K775" t="n">
        <v>0</v>
      </c>
      <c r="L775" t="n">
        <v>0</v>
      </c>
      <c r="M775" t="n">
        <v>0</v>
      </c>
      <c r="N775" t="n">
        <v>0</v>
      </c>
      <c r="O775" t="n">
        <v>0</v>
      </c>
      <c r="P775" t="n">
        <v>0</v>
      </c>
      <c r="Q775" t="n">
        <v>1</v>
      </c>
      <c r="R775" s="2" t="inlineStr">
        <is>
          <t>Norrlandslav</t>
        </is>
      </c>
      <c r="S775">
        <f>HYPERLINK("https://klasma.github.io/Logging_2510/artfynd/A 31490-2023 artfynd.xlsx", "A 31490-2023")</f>
        <v/>
      </c>
      <c r="T775">
        <f>HYPERLINK("https://klasma.github.io/Logging_2510/kartor/A 31490-2023 karta.png", "A 31490-2023")</f>
        <v/>
      </c>
      <c r="V775">
        <f>HYPERLINK("https://klasma.github.io/Logging_2510/klagomål/A 31490-2023 FSC-klagomål.docx", "A 31490-2023")</f>
        <v/>
      </c>
      <c r="W775">
        <f>HYPERLINK("https://klasma.github.io/Logging_2510/klagomålsmail/A 31490-2023 FSC-klagomål mail.docx", "A 31490-2023")</f>
        <v/>
      </c>
      <c r="X775">
        <f>HYPERLINK("https://klasma.github.io/Logging_2510/tillsyn/A 31490-2023 tillsynsbegäran.docx", "A 31490-2023")</f>
        <v/>
      </c>
      <c r="Y775">
        <f>HYPERLINK("https://klasma.github.io/Logging_2510/tillsynsmail/A 31490-2023 tillsynsbegäran mail.docx", "A 31490-2023")</f>
        <v/>
      </c>
    </row>
    <row r="776" ht="15" customHeight="1">
      <c r="A776" t="inlineStr">
        <is>
          <t>A 33388-2023</t>
        </is>
      </c>
      <c r="B776" s="1" t="n">
        <v>45117</v>
      </c>
      <c r="C776" s="1" t="n">
        <v>45662</v>
      </c>
      <c r="D776" t="inlineStr">
        <is>
          <t>NORRBOTTENS LÄN</t>
        </is>
      </c>
      <c r="E776" t="inlineStr">
        <is>
          <t>GÄLLIVARE</t>
        </is>
      </c>
      <c r="F776" t="inlineStr">
        <is>
          <t>Allmännings- och besparingsskogar</t>
        </is>
      </c>
      <c r="G776" t="n">
        <v>3.8</v>
      </c>
      <c r="H776" t="n">
        <v>0</v>
      </c>
      <c r="I776" t="n">
        <v>0</v>
      </c>
      <c r="J776" t="n">
        <v>1</v>
      </c>
      <c r="K776" t="n">
        <v>0</v>
      </c>
      <c r="L776" t="n">
        <v>0</v>
      </c>
      <c r="M776" t="n">
        <v>0</v>
      </c>
      <c r="N776" t="n">
        <v>0</v>
      </c>
      <c r="O776" t="n">
        <v>1</v>
      </c>
      <c r="P776" t="n">
        <v>0</v>
      </c>
      <c r="Q776" t="n">
        <v>1</v>
      </c>
      <c r="R776" s="2" t="inlineStr">
        <is>
          <t>Kolflarnlav</t>
        </is>
      </c>
      <c r="S776">
        <f>HYPERLINK("https://klasma.github.io/Logging_2523/artfynd/A 33388-2023 artfynd.xlsx", "A 33388-2023")</f>
        <v/>
      </c>
      <c r="T776">
        <f>HYPERLINK("https://klasma.github.io/Logging_2523/kartor/A 33388-2023 karta.png", "A 33388-2023")</f>
        <v/>
      </c>
      <c r="V776">
        <f>HYPERLINK("https://klasma.github.io/Logging_2523/klagomål/A 33388-2023 FSC-klagomål.docx", "A 33388-2023")</f>
        <v/>
      </c>
      <c r="W776">
        <f>HYPERLINK("https://klasma.github.io/Logging_2523/klagomålsmail/A 33388-2023 FSC-klagomål mail.docx", "A 33388-2023")</f>
        <v/>
      </c>
      <c r="X776">
        <f>HYPERLINK("https://klasma.github.io/Logging_2523/tillsyn/A 33388-2023 tillsynsbegäran.docx", "A 33388-2023")</f>
        <v/>
      </c>
      <c r="Y776">
        <f>HYPERLINK("https://klasma.github.io/Logging_2523/tillsynsmail/A 33388-2023 tillsynsbegäran mail.docx", "A 33388-2023")</f>
        <v/>
      </c>
    </row>
    <row r="777" ht="15" customHeight="1">
      <c r="A777" t="inlineStr">
        <is>
          <t>A 35898-2023</t>
        </is>
      </c>
      <c r="B777" s="1" t="n">
        <v>45148</v>
      </c>
      <c r="C777" s="1" t="n">
        <v>45662</v>
      </c>
      <c r="D777" t="inlineStr">
        <is>
          <t>NORRBOTTENS LÄN</t>
        </is>
      </c>
      <c r="E777" t="inlineStr">
        <is>
          <t>PITEÅ</t>
        </is>
      </c>
      <c r="G777" t="n">
        <v>12</v>
      </c>
      <c r="H777" t="n">
        <v>1</v>
      </c>
      <c r="I777" t="n">
        <v>0</v>
      </c>
      <c r="J777" t="n">
        <v>1</v>
      </c>
      <c r="K777" t="n">
        <v>0</v>
      </c>
      <c r="L777" t="n">
        <v>0</v>
      </c>
      <c r="M777" t="n">
        <v>0</v>
      </c>
      <c r="N777" t="n">
        <v>0</v>
      </c>
      <c r="O777" t="n">
        <v>1</v>
      </c>
      <c r="P777" t="n">
        <v>0</v>
      </c>
      <c r="Q777" t="n">
        <v>1</v>
      </c>
      <c r="R777" s="2" t="inlineStr">
        <is>
          <t>Spillkråka</t>
        </is>
      </c>
      <c r="S777">
        <f>HYPERLINK("https://klasma.github.io/Logging_2581/artfynd/A 35898-2023 artfynd.xlsx", "A 35898-2023")</f>
        <v/>
      </c>
      <c r="T777">
        <f>HYPERLINK("https://klasma.github.io/Logging_2581/kartor/A 35898-2023 karta.png", "A 35898-2023")</f>
        <v/>
      </c>
      <c r="V777">
        <f>HYPERLINK("https://klasma.github.io/Logging_2581/klagomål/A 35898-2023 FSC-klagomål.docx", "A 35898-2023")</f>
        <v/>
      </c>
      <c r="W777">
        <f>HYPERLINK("https://klasma.github.io/Logging_2581/klagomålsmail/A 35898-2023 FSC-klagomål mail.docx", "A 35898-2023")</f>
        <v/>
      </c>
      <c r="X777">
        <f>HYPERLINK("https://klasma.github.io/Logging_2581/tillsyn/A 35898-2023 tillsynsbegäran.docx", "A 35898-2023")</f>
        <v/>
      </c>
      <c r="Y777">
        <f>HYPERLINK("https://klasma.github.io/Logging_2581/tillsynsmail/A 35898-2023 tillsynsbegäran mail.docx", "A 35898-2023")</f>
        <v/>
      </c>
      <c r="Z777">
        <f>HYPERLINK("https://klasma.github.io/Logging_2581/fåglar/A 35898-2023 prioriterade fågelarter.docx", "A 35898-2023")</f>
        <v/>
      </c>
    </row>
    <row r="778" ht="15" customHeight="1">
      <c r="A778" t="inlineStr">
        <is>
          <t>A 37717-2023</t>
        </is>
      </c>
      <c r="B778" s="1" t="n">
        <v>45159</v>
      </c>
      <c r="C778" s="1" t="n">
        <v>45662</v>
      </c>
      <c r="D778" t="inlineStr">
        <is>
          <t>NORRBOTTENS LÄN</t>
        </is>
      </c>
      <c r="E778" t="inlineStr">
        <is>
          <t>ÄLVSBYN</t>
        </is>
      </c>
      <c r="F778" t="inlineStr">
        <is>
          <t>Sveaskog</t>
        </is>
      </c>
      <c r="G778" t="n">
        <v>1.2</v>
      </c>
      <c r="H778" t="n">
        <v>0</v>
      </c>
      <c r="I778" t="n">
        <v>0</v>
      </c>
      <c r="J778" t="n">
        <v>1</v>
      </c>
      <c r="K778" t="n">
        <v>0</v>
      </c>
      <c r="L778" t="n">
        <v>0</v>
      </c>
      <c r="M778" t="n">
        <v>0</v>
      </c>
      <c r="N778" t="n">
        <v>0</v>
      </c>
      <c r="O778" t="n">
        <v>1</v>
      </c>
      <c r="P778" t="n">
        <v>0</v>
      </c>
      <c r="Q778" t="n">
        <v>1</v>
      </c>
      <c r="R778" s="2" t="inlineStr">
        <is>
          <t>Kolflarnlav</t>
        </is>
      </c>
      <c r="S778">
        <f>HYPERLINK("https://klasma.github.io/Logging_2560/artfynd/A 37717-2023 artfynd.xlsx", "A 37717-2023")</f>
        <v/>
      </c>
      <c r="T778">
        <f>HYPERLINK("https://klasma.github.io/Logging_2560/kartor/A 37717-2023 karta.png", "A 37717-2023")</f>
        <v/>
      </c>
      <c r="V778">
        <f>HYPERLINK("https://klasma.github.io/Logging_2560/klagomål/A 37717-2023 FSC-klagomål.docx", "A 37717-2023")</f>
        <v/>
      </c>
      <c r="W778">
        <f>HYPERLINK("https://klasma.github.io/Logging_2560/klagomålsmail/A 37717-2023 FSC-klagomål mail.docx", "A 37717-2023")</f>
        <v/>
      </c>
      <c r="X778">
        <f>HYPERLINK("https://klasma.github.io/Logging_2560/tillsyn/A 37717-2023 tillsynsbegäran.docx", "A 37717-2023")</f>
        <v/>
      </c>
      <c r="Y778">
        <f>HYPERLINK("https://klasma.github.io/Logging_2560/tillsynsmail/A 37717-2023 tillsynsbegäran mail.docx", "A 37717-2023")</f>
        <v/>
      </c>
    </row>
    <row r="779" ht="15" customHeight="1">
      <c r="A779" t="inlineStr">
        <is>
          <t>A 38166-2023</t>
        </is>
      </c>
      <c r="B779" s="1" t="n">
        <v>45161</v>
      </c>
      <c r="C779" s="1" t="n">
        <v>45662</v>
      </c>
      <c r="D779" t="inlineStr">
        <is>
          <t>NORRBOTTENS LÄN</t>
        </is>
      </c>
      <c r="E779" t="inlineStr">
        <is>
          <t>ARVIDSJAUR</t>
        </is>
      </c>
      <c r="F779" t="inlineStr">
        <is>
          <t>Sveaskog</t>
        </is>
      </c>
      <c r="G779" t="n">
        <v>8.1</v>
      </c>
      <c r="H779" t="n">
        <v>0</v>
      </c>
      <c r="I779" t="n">
        <v>0</v>
      </c>
      <c r="J779" t="n">
        <v>1</v>
      </c>
      <c r="K779" t="n">
        <v>0</v>
      </c>
      <c r="L779" t="n">
        <v>0</v>
      </c>
      <c r="M779" t="n">
        <v>0</v>
      </c>
      <c r="N779" t="n">
        <v>0</v>
      </c>
      <c r="O779" t="n">
        <v>1</v>
      </c>
      <c r="P779" t="n">
        <v>0</v>
      </c>
      <c r="Q779" t="n">
        <v>1</v>
      </c>
      <c r="R779" s="2" t="inlineStr">
        <is>
          <t>Violmussling</t>
        </is>
      </c>
      <c r="S779">
        <f>HYPERLINK("https://klasma.github.io/Logging_2505/artfynd/A 38166-2023 artfynd.xlsx", "A 38166-2023")</f>
        <v/>
      </c>
      <c r="T779">
        <f>HYPERLINK("https://klasma.github.io/Logging_2505/kartor/A 38166-2023 karta.png", "A 38166-2023")</f>
        <v/>
      </c>
      <c r="V779">
        <f>HYPERLINK("https://klasma.github.io/Logging_2505/klagomål/A 38166-2023 FSC-klagomål.docx", "A 38166-2023")</f>
        <v/>
      </c>
      <c r="W779">
        <f>HYPERLINK("https://klasma.github.io/Logging_2505/klagomålsmail/A 38166-2023 FSC-klagomål mail.docx", "A 38166-2023")</f>
        <v/>
      </c>
      <c r="X779">
        <f>HYPERLINK("https://klasma.github.io/Logging_2505/tillsyn/A 38166-2023 tillsynsbegäran.docx", "A 38166-2023")</f>
        <v/>
      </c>
      <c r="Y779">
        <f>HYPERLINK("https://klasma.github.io/Logging_2505/tillsynsmail/A 38166-2023 tillsynsbegäran mail.docx", "A 38166-2023")</f>
        <v/>
      </c>
    </row>
    <row r="780" ht="15" customHeight="1">
      <c r="A780" t="inlineStr">
        <is>
          <t>A 38349-2023</t>
        </is>
      </c>
      <c r="B780" s="1" t="n">
        <v>45161</v>
      </c>
      <c r="C780" s="1" t="n">
        <v>45662</v>
      </c>
      <c r="D780" t="inlineStr">
        <is>
          <t>NORRBOTTENS LÄN</t>
        </is>
      </c>
      <c r="E780" t="inlineStr">
        <is>
          <t>ÖVERTORNEÅ</t>
        </is>
      </c>
      <c r="G780" t="n">
        <v>12.1</v>
      </c>
      <c r="H780" t="n">
        <v>0</v>
      </c>
      <c r="I780" t="n">
        <v>0</v>
      </c>
      <c r="J780" t="n">
        <v>1</v>
      </c>
      <c r="K780" t="n">
        <v>0</v>
      </c>
      <c r="L780" t="n">
        <v>0</v>
      </c>
      <c r="M780" t="n">
        <v>0</v>
      </c>
      <c r="N780" t="n">
        <v>0</v>
      </c>
      <c r="O780" t="n">
        <v>1</v>
      </c>
      <c r="P780" t="n">
        <v>0</v>
      </c>
      <c r="Q780" t="n">
        <v>1</v>
      </c>
      <c r="R780" s="2" t="inlineStr">
        <is>
          <t>Garnlav</t>
        </is>
      </c>
      <c r="S780">
        <f>HYPERLINK("https://klasma.github.io/Logging_2518/artfynd/A 38349-2023 artfynd.xlsx", "A 38349-2023")</f>
        <v/>
      </c>
      <c r="T780">
        <f>HYPERLINK("https://klasma.github.io/Logging_2518/kartor/A 38349-2023 karta.png", "A 38349-2023")</f>
        <v/>
      </c>
      <c r="V780">
        <f>HYPERLINK("https://klasma.github.io/Logging_2518/klagomål/A 38349-2023 FSC-klagomål.docx", "A 38349-2023")</f>
        <v/>
      </c>
      <c r="W780">
        <f>HYPERLINK("https://klasma.github.io/Logging_2518/klagomålsmail/A 38349-2023 FSC-klagomål mail.docx", "A 38349-2023")</f>
        <v/>
      </c>
      <c r="X780">
        <f>HYPERLINK("https://klasma.github.io/Logging_2518/tillsyn/A 38349-2023 tillsynsbegäran.docx", "A 38349-2023")</f>
        <v/>
      </c>
      <c r="Y780">
        <f>HYPERLINK("https://klasma.github.io/Logging_2518/tillsynsmail/A 38349-2023 tillsynsbegäran mail.docx", "A 38349-2023")</f>
        <v/>
      </c>
    </row>
    <row r="781" ht="15" customHeight="1">
      <c r="A781" t="inlineStr">
        <is>
          <t>A 38755-2023</t>
        </is>
      </c>
      <c r="B781" s="1" t="n">
        <v>45163</v>
      </c>
      <c r="C781" s="1" t="n">
        <v>45662</v>
      </c>
      <c r="D781" t="inlineStr">
        <is>
          <t>NORRBOTTENS LÄN</t>
        </is>
      </c>
      <c r="E781" t="inlineStr">
        <is>
          <t>ARVIDSJAUR</t>
        </is>
      </c>
      <c r="F781" t="inlineStr">
        <is>
          <t>Sveaskog</t>
        </is>
      </c>
      <c r="G781" t="n">
        <v>9.6</v>
      </c>
      <c r="H781" t="n">
        <v>1</v>
      </c>
      <c r="I781" t="n">
        <v>0</v>
      </c>
      <c r="J781" t="n">
        <v>1</v>
      </c>
      <c r="K781" t="n">
        <v>0</v>
      </c>
      <c r="L781" t="n">
        <v>0</v>
      </c>
      <c r="M781" t="n">
        <v>0</v>
      </c>
      <c r="N781" t="n">
        <v>0</v>
      </c>
      <c r="O781" t="n">
        <v>1</v>
      </c>
      <c r="P781" t="n">
        <v>0</v>
      </c>
      <c r="Q781" t="n">
        <v>1</v>
      </c>
      <c r="R781" s="2" t="inlineStr">
        <is>
          <t>Höstlåsbräken</t>
        </is>
      </c>
      <c r="S781">
        <f>HYPERLINK("https://klasma.github.io/Logging_2505/artfynd/A 38755-2023 artfynd.xlsx", "A 38755-2023")</f>
        <v/>
      </c>
      <c r="T781">
        <f>HYPERLINK("https://klasma.github.io/Logging_2505/kartor/A 38755-2023 karta.png", "A 38755-2023")</f>
        <v/>
      </c>
      <c r="V781">
        <f>HYPERLINK("https://klasma.github.io/Logging_2505/klagomål/A 38755-2023 FSC-klagomål.docx", "A 38755-2023")</f>
        <v/>
      </c>
      <c r="W781">
        <f>HYPERLINK("https://klasma.github.io/Logging_2505/klagomålsmail/A 38755-2023 FSC-klagomål mail.docx", "A 38755-2023")</f>
        <v/>
      </c>
      <c r="X781">
        <f>HYPERLINK("https://klasma.github.io/Logging_2505/tillsyn/A 38755-2023 tillsynsbegäran.docx", "A 38755-2023")</f>
        <v/>
      </c>
      <c r="Y781">
        <f>HYPERLINK("https://klasma.github.io/Logging_2505/tillsynsmail/A 38755-2023 tillsynsbegäran mail.docx", "A 38755-2023")</f>
        <v/>
      </c>
    </row>
    <row r="782" ht="15" customHeight="1">
      <c r="A782" t="inlineStr">
        <is>
          <t>A 39450-2023</t>
        </is>
      </c>
      <c r="B782" s="1" t="n">
        <v>45166</v>
      </c>
      <c r="C782" s="1" t="n">
        <v>45662</v>
      </c>
      <c r="D782" t="inlineStr">
        <is>
          <t>NORRBOTTENS LÄN</t>
        </is>
      </c>
      <c r="E782" t="inlineStr">
        <is>
          <t>BODEN</t>
        </is>
      </c>
      <c r="F782" t="inlineStr">
        <is>
          <t>Sveaskog</t>
        </is>
      </c>
      <c r="G782" t="n">
        <v>14.6</v>
      </c>
      <c r="H782" t="n">
        <v>0</v>
      </c>
      <c r="I782" t="n">
        <v>0</v>
      </c>
      <c r="J782" t="n">
        <v>1</v>
      </c>
      <c r="K782" t="n">
        <v>0</v>
      </c>
      <c r="L782" t="n">
        <v>0</v>
      </c>
      <c r="M782" t="n">
        <v>0</v>
      </c>
      <c r="N782" t="n">
        <v>0</v>
      </c>
      <c r="O782" t="n">
        <v>1</v>
      </c>
      <c r="P782" t="n">
        <v>0</v>
      </c>
      <c r="Q782" t="n">
        <v>1</v>
      </c>
      <c r="R782" s="2" t="inlineStr">
        <is>
          <t>Kolflarnlav</t>
        </is>
      </c>
      <c r="S782">
        <f>HYPERLINK("https://klasma.github.io/Logging_2582/artfynd/A 39450-2023 artfynd.xlsx", "A 39450-2023")</f>
        <v/>
      </c>
      <c r="T782">
        <f>HYPERLINK("https://klasma.github.io/Logging_2582/kartor/A 39450-2023 karta.png", "A 39450-2023")</f>
        <v/>
      </c>
      <c r="V782">
        <f>HYPERLINK("https://klasma.github.io/Logging_2582/klagomål/A 39450-2023 FSC-klagomål.docx", "A 39450-2023")</f>
        <v/>
      </c>
      <c r="W782">
        <f>HYPERLINK("https://klasma.github.io/Logging_2582/klagomålsmail/A 39450-2023 FSC-klagomål mail.docx", "A 39450-2023")</f>
        <v/>
      </c>
      <c r="X782">
        <f>HYPERLINK("https://klasma.github.io/Logging_2582/tillsyn/A 39450-2023 tillsynsbegäran.docx", "A 39450-2023")</f>
        <v/>
      </c>
      <c r="Y782">
        <f>HYPERLINK("https://klasma.github.io/Logging_2582/tillsynsmail/A 39450-2023 tillsynsbegäran mail.docx", "A 39450-2023")</f>
        <v/>
      </c>
    </row>
    <row r="783" ht="15" customHeight="1">
      <c r="A783" t="inlineStr">
        <is>
          <t>A 39583-2023</t>
        </is>
      </c>
      <c r="B783" s="1" t="n">
        <v>45167</v>
      </c>
      <c r="C783" s="1" t="n">
        <v>45662</v>
      </c>
      <c r="D783" t="inlineStr">
        <is>
          <t>NORRBOTTENS LÄN</t>
        </is>
      </c>
      <c r="E783" t="inlineStr">
        <is>
          <t>LULEÅ</t>
        </is>
      </c>
      <c r="G783" t="n">
        <v>20.5</v>
      </c>
      <c r="H783" t="n">
        <v>0</v>
      </c>
      <c r="I783" t="n">
        <v>1</v>
      </c>
      <c r="J783" t="n">
        <v>0</v>
      </c>
      <c r="K783" t="n">
        <v>0</v>
      </c>
      <c r="L783" t="n">
        <v>0</v>
      </c>
      <c r="M783" t="n">
        <v>0</v>
      </c>
      <c r="N783" t="n">
        <v>0</v>
      </c>
      <c r="O783" t="n">
        <v>0</v>
      </c>
      <c r="P783" t="n">
        <v>0</v>
      </c>
      <c r="Q783" t="n">
        <v>1</v>
      </c>
      <c r="R783" s="2" t="inlineStr">
        <is>
          <t>Dropptaggsvamp</t>
        </is>
      </c>
      <c r="S783">
        <f>HYPERLINK("https://klasma.github.io/Logging_2580/artfynd/A 39583-2023 artfynd.xlsx", "A 39583-2023")</f>
        <v/>
      </c>
      <c r="T783">
        <f>HYPERLINK("https://klasma.github.io/Logging_2580/kartor/A 39583-2023 karta.png", "A 39583-2023")</f>
        <v/>
      </c>
      <c r="V783">
        <f>HYPERLINK("https://klasma.github.io/Logging_2580/klagomål/A 39583-2023 FSC-klagomål.docx", "A 39583-2023")</f>
        <v/>
      </c>
      <c r="W783">
        <f>HYPERLINK("https://klasma.github.io/Logging_2580/klagomålsmail/A 39583-2023 FSC-klagomål mail.docx", "A 39583-2023")</f>
        <v/>
      </c>
      <c r="X783">
        <f>HYPERLINK("https://klasma.github.io/Logging_2580/tillsyn/A 39583-2023 tillsynsbegäran.docx", "A 39583-2023")</f>
        <v/>
      </c>
      <c r="Y783">
        <f>HYPERLINK("https://klasma.github.io/Logging_2580/tillsynsmail/A 39583-2023 tillsynsbegäran mail.docx", "A 39583-2023")</f>
        <v/>
      </c>
    </row>
    <row r="784" ht="15" customHeight="1">
      <c r="A784" t="inlineStr">
        <is>
          <t>A 39828-2023</t>
        </is>
      </c>
      <c r="B784" s="1" t="n">
        <v>45168</v>
      </c>
      <c r="C784" s="1" t="n">
        <v>45662</v>
      </c>
      <c r="D784" t="inlineStr">
        <is>
          <t>NORRBOTTENS LÄN</t>
        </is>
      </c>
      <c r="E784" t="inlineStr">
        <is>
          <t>ÄLVSBYN</t>
        </is>
      </c>
      <c r="G784" t="n">
        <v>14</v>
      </c>
      <c r="H784" t="n">
        <v>1</v>
      </c>
      <c r="I784" t="n">
        <v>1</v>
      </c>
      <c r="J784" t="n">
        <v>0</v>
      </c>
      <c r="K784" t="n">
        <v>0</v>
      </c>
      <c r="L784" t="n">
        <v>0</v>
      </c>
      <c r="M784" t="n">
        <v>0</v>
      </c>
      <c r="N784" t="n">
        <v>0</v>
      </c>
      <c r="O784" t="n">
        <v>0</v>
      </c>
      <c r="P784" t="n">
        <v>0</v>
      </c>
      <c r="Q784" t="n">
        <v>1</v>
      </c>
      <c r="R784" s="2" t="inlineStr">
        <is>
          <t>Korallrot</t>
        </is>
      </c>
      <c r="S784">
        <f>HYPERLINK("https://klasma.github.io/Logging_2560/artfynd/A 39828-2023 artfynd.xlsx", "A 39828-2023")</f>
        <v/>
      </c>
      <c r="T784">
        <f>HYPERLINK("https://klasma.github.io/Logging_2560/kartor/A 39828-2023 karta.png", "A 39828-2023")</f>
        <v/>
      </c>
      <c r="V784">
        <f>HYPERLINK("https://klasma.github.io/Logging_2560/klagomål/A 39828-2023 FSC-klagomål.docx", "A 39828-2023")</f>
        <v/>
      </c>
      <c r="W784">
        <f>HYPERLINK("https://klasma.github.io/Logging_2560/klagomålsmail/A 39828-2023 FSC-klagomål mail.docx", "A 39828-2023")</f>
        <v/>
      </c>
      <c r="X784">
        <f>HYPERLINK("https://klasma.github.io/Logging_2560/tillsyn/A 39828-2023 tillsynsbegäran.docx", "A 39828-2023")</f>
        <v/>
      </c>
      <c r="Y784">
        <f>HYPERLINK("https://klasma.github.io/Logging_2560/tillsynsmail/A 39828-2023 tillsynsbegäran mail.docx", "A 39828-2023")</f>
        <v/>
      </c>
    </row>
    <row r="785" ht="15" customHeight="1">
      <c r="A785" t="inlineStr">
        <is>
          <t>A 40265-2023</t>
        </is>
      </c>
      <c r="B785" s="1" t="n">
        <v>45169</v>
      </c>
      <c r="C785" s="1" t="n">
        <v>45662</v>
      </c>
      <c r="D785" t="inlineStr">
        <is>
          <t>NORRBOTTENS LÄN</t>
        </is>
      </c>
      <c r="E785" t="inlineStr">
        <is>
          <t>ÖVERKALIX</t>
        </is>
      </c>
      <c r="F785" t="inlineStr">
        <is>
          <t>Sveaskog</t>
        </is>
      </c>
      <c r="G785" t="n">
        <v>0.8</v>
      </c>
      <c r="H785" t="n">
        <v>0</v>
      </c>
      <c r="I785" t="n">
        <v>0</v>
      </c>
      <c r="J785" t="n">
        <v>1</v>
      </c>
      <c r="K785" t="n">
        <v>0</v>
      </c>
      <c r="L785" t="n">
        <v>0</v>
      </c>
      <c r="M785" t="n">
        <v>0</v>
      </c>
      <c r="N785" t="n">
        <v>0</v>
      </c>
      <c r="O785" t="n">
        <v>1</v>
      </c>
      <c r="P785" t="n">
        <v>0</v>
      </c>
      <c r="Q785" t="n">
        <v>1</v>
      </c>
      <c r="R785" s="2" t="inlineStr">
        <is>
          <t>Orange taggsvamp</t>
        </is>
      </c>
      <c r="S785">
        <f>HYPERLINK("https://klasma.github.io/Logging_2513/artfynd/A 40265-2023 artfynd.xlsx", "A 40265-2023")</f>
        <v/>
      </c>
      <c r="T785">
        <f>HYPERLINK("https://klasma.github.io/Logging_2513/kartor/A 40265-2023 karta.png", "A 40265-2023")</f>
        <v/>
      </c>
      <c r="V785">
        <f>HYPERLINK("https://klasma.github.io/Logging_2513/klagomål/A 40265-2023 FSC-klagomål.docx", "A 40265-2023")</f>
        <v/>
      </c>
      <c r="W785">
        <f>HYPERLINK("https://klasma.github.io/Logging_2513/klagomålsmail/A 40265-2023 FSC-klagomål mail.docx", "A 40265-2023")</f>
        <v/>
      </c>
      <c r="X785">
        <f>HYPERLINK("https://klasma.github.io/Logging_2513/tillsyn/A 40265-2023 tillsynsbegäran.docx", "A 40265-2023")</f>
        <v/>
      </c>
      <c r="Y785">
        <f>HYPERLINK("https://klasma.github.io/Logging_2513/tillsynsmail/A 40265-2023 tillsynsbegäran mail.docx", "A 40265-2023")</f>
        <v/>
      </c>
    </row>
    <row r="786" ht="15" customHeight="1">
      <c r="A786" t="inlineStr">
        <is>
          <t>A 40263-2023</t>
        </is>
      </c>
      <c r="B786" s="1" t="n">
        <v>45169</v>
      </c>
      <c r="C786" s="1" t="n">
        <v>45662</v>
      </c>
      <c r="D786" t="inlineStr">
        <is>
          <t>NORRBOTTENS LÄN</t>
        </is>
      </c>
      <c r="E786" t="inlineStr">
        <is>
          <t>ÖVERKALIX</t>
        </is>
      </c>
      <c r="F786" t="inlineStr">
        <is>
          <t>Sveaskog</t>
        </is>
      </c>
      <c r="G786" t="n">
        <v>1.5</v>
      </c>
      <c r="H786" t="n">
        <v>0</v>
      </c>
      <c r="I786" t="n">
        <v>0</v>
      </c>
      <c r="J786" t="n">
        <v>1</v>
      </c>
      <c r="K786" t="n">
        <v>0</v>
      </c>
      <c r="L786" t="n">
        <v>0</v>
      </c>
      <c r="M786" t="n">
        <v>0</v>
      </c>
      <c r="N786" t="n">
        <v>0</v>
      </c>
      <c r="O786" t="n">
        <v>1</v>
      </c>
      <c r="P786" t="n">
        <v>0</v>
      </c>
      <c r="Q786" t="n">
        <v>1</v>
      </c>
      <c r="R786" s="2" t="inlineStr">
        <is>
          <t>Blå taggsvamp</t>
        </is>
      </c>
      <c r="S786">
        <f>HYPERLINK("https://klasma.github.io/Logging_2513/artfynd/A 40263-2023 artfynd.xlsx", "A 40263-2023")</f>
        <v/>
      </c>
      <c r="T786">
        <f>HYPERLINK("https://klasma.github.io/Logging_2513/kartor/A 40263-2023 karta.png", "A 40263-2023")</f>
        <v/>
      </c>
      <c r="V786">
        <f>HYPERLINK("https://klasma.github.io/Logging_2513/klagomål/A 40263-2023 FSC-klagomål.docx", "A 40263-2023")</f>
        <v/>
      </c>
      <c r="W786">
        <f>HYPERLINK("https://klasma.github.io/Logging_2513/klagomålsmail/A 40263-2023 FSC-klagomål mail.docx", "A 40263-2023")</f>
        <v/>
      </c>
      <c r="X786">
        <f>HYPERLINK("https://klasma.github.io/Logging_2513/tillsyn/A 40263-2023 tillsynsbegäran.docx", "A 40263-2023")</f>
        <v/>
      </c>
      <c r="Y786">
        <f>HYPERLINK("https://klasma.github.io/Logging_2513/tillsynsmail/A 40263-2023 tillsynsbegäran mail.docx", "A 40263-2023")</f>
        <v/>
      </c>
    </row>
    <row r="787" ht="15" customHeight="1">
      <c r="A787" t="inlineStr">
        <is>
          <t>A 40463-2023</t>
        </is>
      </c>
      <c r="B787" s="1" t="n">
        <v>45170</v>
      </c>
      <c r="C787" s="1" t="n">
        <v>45662</v>
      </c>
      <c r="D787" t="inlineStr">
        <is>
          <t>NORRBOTTENS LÄN</t>
        </is>
      </c>
      <c r="E787" t="inlineStr">
        <is>
          <t>ÄLVSBYN</t>
        </is>
      </c>
      <c r="F787" t="inlineStr">
        <is>
          <t>Sveaskog</t>
        </is>
      </c>
      <c r="G787" t="n">
        <v>5.3</v>
      </c>
      <c r="H787" t="n">
        <v>0</v>
      </c>
      <c r="I787" t="n">
        <v>0</v>
      </c>
      <c r="J787" t="n">
        <v>1</v>
      </c>
      <c r="K787" t="n">
        <v>0</v>
      </c>
      <c r="L787" t="n">
        <v>0</v>
      </c>
      <c r="M787" t="n">
        <v>0</v>
      </c>
      <c r="N787" t="n">
        <v>0</v>
      </c>
      <c r="O787" t="n">
        <v>1</v>
      </c>
      <c r="P787" t="n">
        <v>0</v>
      </c>
      <c r="Q787" t="n">
        <v>1</v>
      </c>
      <c r="R787" s="2" t="inlineStr">
        <is>
          <t>Lunglav</t>
        </is>
      </c>
      <c r="S787">
        <f>HYPERLINK("https://klasma.github.io/Logging_2560/artfynd/A 40463-2023 artfynd.xlsx", "A 40463-2023")</f>
        <v/>
      </c>
      <c r="T787">
        <f>HYPERLINK("https://klasma.github.io/Logging_2560/kartor/A 40463-2023 karta.png", "A 40463-2023")</f>
        <v/>
      </c>
      <c r="V787">
        <f>HYPERLINK("https://klasma.github.io/Logging_2560/klagomål/A 40463-2023 FSC-klagomål.docx", "A 40463-2023")</f>
        <v/>
      </c>
      <c r="W787">
        <f>HYPERLINK("https://klasma.github.io/Logging_2560/klagomålsmail/A 40463-2023 FSC-klagomål mail.docx", "A 40463-2023")</f>
        <v/>
      </c>
      <c r="X787">
        <f>HYPERLINK("https://klasma.github.io/Logging_2560/tillsyn/A 40463-2023 tillsynsbegäran.docx", "A 40463-2023")</f>
        <v/>
      </c>
      <c r="Y787">
        <f>HYPERLINK("https://klasma.github.io/Logging_2560/tillsynsmail/A 40463-2023 tillsynsbegäran mail.docx", "A 40463-2023")</f>
        <v/>
      </c>
    </row>
    <row r="788" ht="15" customHeight="1">
      <c r="A788" t="inlineStr">
        <is>
          <t>A 40466-2023</t>
        </is>
      </c>
      <c r="B788" s="1" t="n">
        <v>45170</v>
      </c>
      <c r="C788" s="1" t="n">
        <v>45662</v>
      </c>
      <c r="D788" t="inlineStr">
        <is>
          <t>NORRBOTTENS LÄN</t>
        </is>
      </c>
      <c r="E788" t="inlineStr">
        <is>
          <t>JOKKMOKK</t>
        </is>
      </c>
      <c r="F788" t="inlineStr">
        <is>
          <t>Sveaskog</t>
        </is>
      </c>
      <c r="G788" t="n">
        <v>1.5</v>
      </c>
      <c r="H788" t="n">
        <v>0</v>
      </c>
      <c r="I788" t="n">
        <v>0</v>
      </c>
      <c r="J788" t="n">
        <v>1</v>
      </c>
      <c r="K788" t="n">
        <v>0</v>
      </c>
      <c r="L788" t="n">
        <v>0</v>
      </c>
      <c r="M788" t="n">
        <v>0</v>
      </c>
      <c r="N788" t="n">
        <v>0</v>
      </c>
      <c r="O788" t="n">
        <v>1</v>
      </c>
      <c r="P788" t="n">
        <v>0</v>
      </c>
      <c r="Q788" t="n">
        <v>1</v>
      </c>
      <c r="R788" s="2" t="inlineStr">
        <is>
          <t>Motaggsvamp</t>
        </is>
      </c>
      <c r="S788">
        <f>HYPERLINK("https://klasma.github.io/Logging_2510/artfynd/A 40466-2023 artfynd.xlsx", "A 40466-2023")</f>
        <v/>
      </c>
      <c r="T788">
        <f>HYPERLINK("https://klasma.github.io/Logging_2510/kartor/A 40466-2023 karta.png", "A 40466-2023")</f>
        <v/>
      </c>
      <c r="V788">
        <f>HYPERLINK("https://klasma.github.io/Logging_2510/klagomål/A 40466-2023 FSC-klagomål.docx", "A 40466-2023")</f>
        <v/>
      </c>
      <c r="W788">
        <f>HYPERLINK("https://klasma.github.io/Logging_2510/klagomålsmail/A 40466-2023 FSC-klagomål mail.docx", "A 40466-2023")</f>
        <v/>
      </c>
      <c r="X788">
        <f>HYPERLINK("https://klasma.github.io/Logging_2510/tillsyn/A 40466-2023 tillsynsbegäran.docx", "A 40466-2023")</f>
        <v/>
      </c>
      <c r="Y788">
        <f>HYPERLINK("https://klasma.github.io/Logging_2510/tillsynsmail/A 40466-2023 tillsynsbegäran mail.docx", "A 40466-2023")</f>
        <v/>
      </c>
    </row>
    <row r="789" ht="15" customHeight="1">
      <c r="A789" t="inlineStr">
        <is>
          <t>A 40815-2023</t>
        </is>
      </c>
      <c r="B789" s="1" t="n">
        <v>45171</v>
      </c>
      <c r="C789" s="1" t="n">
        <v>45662</v>
      </c>
      <c r="D789" t="inlineStr">
        <is>
          <t>NORRBOTTENS LÄN</t>
        </is>
      </c>
      <c r="E789" t="inlineStr">
        <is>
          <t>GÄLLIVARE</t>
        </is>
      </c>
      <c r="F789" t="inlineStr">
        <is>
          <t>Sveaskog</t>
        </is>
      </c>
      <c r="G789" t="n">
        <v>31.4</v>
      </c>
      <c r="H789" t="n">
        <v>0</v>
      </c>
      <c r="I789" t="n">
        <v>0</v>
      </c>
      <c r="J789" t="n">
        <v>1</v>
      </c>
      <c r="K789" t="n">
        <v>0</v>
      </c>
      <c r="L789" t="n">
        <v>0</v>
      </c>
      <c r="M789" t="n">
        <v>0</v>
      </c>
      <c r="N789" t="n">
        <v>0</v>
      </c>
      <c r="O789" t="n">
        <v>1</v>
      </c>
      <c r="P789" t="n">
        <v>0</v>
      </c>
      <c r="Q789" t="n">
        <v>1</v>
      </c>
      <c r="R789" s="2" t="inlineStr">
        <is>
          <t>Talltaggsvamp</t>
        </is>
      </c>
      <c r="S789">
        <f>HYPERLINK("https://klasma.github.io/Logging_2523/artfynd/A 40815-2023 artfynd.xlsx", "A 40815-2023")</f>
        <v/>
      </c>
      <c r="T789">
        <f>HYPERLINK("https://klasma.github.io/Logging_2523/kartor/A 40815-2023 karta.png", "A 40815-2023")</f>
        <v/>
      </c>
      <c r="V789">
        <f>HYPERLINK("https://klasma.github.io/Logging_2523/klagomål/A 40815-2023 FSC-klagomål.docx", "A 40815-2023")</f>
        <v/>
      </c>
      <c r="W789">
        <f>HYPERLINK("https://klasma.github.io/Logging_2523/klagomålsmail/A 40815-2023 FSC-klagomål mail.docx", "A 40815-2023")</f>
        <v/>
      </c>
      <c r="X789">
        <f>HYPERLINK("https://klasma.github.io/Logging_2523/tillsyn/A 40815-2023 tillsynsbegäran.docx", "A 40815-2023")</f>
        <v/>
      </c>
      <c r="Y789">
        <f>HYPERLINK("https://klasma.github.io/Logging_2523/tillsynsmail/A 40815-2023 tillsynsbegäran mail.docx", "A 40815-2023")</f>
        <v/>
      </c>
    </row>
    <row r="790" ht="15" customHeight="1">
      <c r="A790" t="inlineStr">
        <is>
          <t>A 41171-2023</t>
        </is>
      </c>
      <c r="B790" s="1" t="n">
        <v>45174</v>
      </c>
      <c r="C790" s="1" t="n">
        <v>45662</v>
      </c>
      <c r="D790" t="inlineStr">
        <is>
          <t>NORRBOTTENS LÄN</t>
        </is>
      </c>
      <c r="E790" t="inlineStr">
        <is>
          <t>ÖVERKALIX</t>
        </is>
      </c>
      <c r="F790" t="inlineStr">
        <is>
          <t>Sveaskog</t>
        </is>
      </c>
      <c r="G790" t="n">
        <v>17</v>
      </c>
      <c r="H790" t="n">
        <v>0</v>
      </c>
      <c r="I790" t="n">
        <v>0</v>
      </c>
      <c r="J790" t="n">
        <v>1</v>
      </c>
      <c r="K790" t="n">
        <v>0</v>
      </c>
      <c r="L790" t="n">
        <v>0</v>
      </c>
      <c r="M790" t="n">
        <v>0</v>
      </c>
      <c r="N790" t="n">
        <v>0</v>
      </c>
      <c r="O790" t="n">
        <v>1</v>
      </c>
      <c r="P790" t="n">
        <v>0</v>
      </c>
      <c r="Q790" t="n">
        <v>1</v>
      </c>
      <c r="R790" s="2" t="inlineStr">
        <is>
          <t>Lunglav</t>
        </is>
      </c>
      <c r="S790">
        <f>HYPERLINK("https://klasma.github.io/Logging_2513/artfynd/A 41171-2023 artfynd.xlsx", "A 41171-2023")</f>
        <v/>
      </c>
      <c r="T790">
        <f>HYPERLINK("https://klasma.github.io/Logging_2513/kartor/A 41171-2023 karta.png", "A 41171-2023")</f>
        <v/>
      </c>
      <c r="V790">
        <f>HYPERLINK("https://klasma.github.io/Logging_2513/klagomål/A 41171-2023 FSC-klagomål.docx", "A 41171-2023")</f>
        <v/>
      </c>
      <c r="W790">
        <f>HYPERLINK("https://klasma.github.io/Logging_2513/klagomålsmail/A 41171-2023 FSC-klagomål mail.docx", "A 41171-2023")</f>
        <v/>
      </c>
      <c r="X790">
        <f>HYPERLINK("https://klasma.github.io/Logging_2513/tillsyn/A 41171-2023 tillsynsbegäran.docx", "A 41171-2023")</f>
        <v/>
      </c>
      <c r="Y790">
        <f>HYPERLINK("https://klasma.github.io/Logging_2513/tillsynsmail/A 41171-2023 tillsynsbegäran mail.docx", "A 41171-2023")</f>
        <v/>
      </c>
    </row>
    <row r="791" ht="15" customHeight="1">
      <c r="A791" t="inlineStr">
        <is>
          <t>A 41664-2023</t>
        </is>
      </c>
      <c r="B791" s="1" t="n">
        <v>45175</v>
      </c>
      <c r="C791" s="1" t="n">
        <v>45662</v>
      </c>
      <c r="D791" t="inlineStr">
        <is>
          <t>NORRBOTTENS LÄN</t>
        </is>
      </c>
      <c r="E791" t="inlineStr">
        <is>
          <t>PITEÅ</t>
        </is>
      </c>
      <c r="F791" t="inlineStr">
        <is>
          <t>SCA</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HYPERLINK("https://klasma.github.io/Logging_2581/artfynd/A 41664-2023 artfynd.xlsx", "A 41664-2023")</f>
        <v/>
      </c>
      <c r="T791">
        <f>HYPERLINK("https://klasma.github.io/Logging_2581/kartor/A 41664-2023 karta.png", "A 41664-2023")</f>
        <v/>
      </c>
      <c r="V791">
        <f>HYPERLINK("https://klasma.github.io/Logging_2581/klagomål/A 41664-2023 FSC-klagomål.docx", "A 41664-2023")</f>
        <v/>
      </c>
      <c r="W791">
        <f>HYPERLINK("https://klasma.github.io/Logging_2581/klagomålsmail/A 41664-2023 FSC-klagomål mail.docx", "A 41664-2023")</f>
        <v/>
      </c>
      <c r="X791">
        <f>HYPERLINK("https://klasma.github.io/Logging_2581/tillsyn/A 41664-2023 tillsynsbegäran.docx", "A 41664-2023")</f>
        <v/>
      </c>
      <c r="Y791">
        <f>HYPERLINK("https://klasma.github.io/Logging_2581/tillsynsmail/A 41664-2023 tillsynsbegäran mail.docx", "A 41664-2023")</f>
        <v/>
      </c>
    </row>
    <row r="792" ht="15" customHeight="1">
      <c r="A792" t="inlineStr">
        <is>
          <t>A 42696-2023</t>
        </is>
      </c>
      <c r="B792" s="1" t="n">
        <v>45181</v>
      </c>
      <c r="C792" s="1" t="n">
        <v>45662</v>
      </c>
      <c r="D792" t="inlineStr">
        <is>
          <t>NORRBOTTENS LÄN</t>
        </is>
      </c>
      <c r="E792" t="inlineStr">
        <is>
          <t>PITEÅ</t>
        </is>
      </c>
      <c r="F792" t="inlineStr">
        <is>
          <t>Sveaskog</t>
        </is>
      </c>
      <c r="G792" t="n">
        <v>3</v>
      </c>
      <c r="H792" t="n">
        <v>0</v>
      </c>
      <c r="I792" t="n">
        <v>0</v>
      </c>
      <c r="J792" t="n">
        <v>1</v>
      </c>
      <c r="K792" t="n">
        <v>0</v>
      </c>
      <c r="L792" t="n">
        <v>0</v>
      </c>
      <c r="M792" t="n">
        <v>0</v>
      </c>
      <c r="N792" t="n">
        <v>0</v>
      </c>
      <c r="O792" t="n">
        <v>1</v>
      </c>
      <c r="P792" t="n">
        <v>0</v>
      </c>
      <c r="Q792" t="n">
        <v>1</v>
      </c>
      <c r="R792" s="2" t="inlineStr">
        <is>
          <t>Harticka</t>
        </is>
      </c>
      <c r="S792">
        <f>HYPERLINK("https://klasma.github.io/Logging_2581/artfynd/A 42696-2023 artfynd.xlsx", "A 42696-2023")</f>
        <v/>
      </c>
      <c r="T792">
        <f>HYPERLINK("https://klasma.github.io/Logging_2581/kartor/A 42696-2023 karta.png", "A 42696-2023")</f>
        <v/>
      </c>
      <c r="V792">
        <f>HYPERLINK("https://klasma.github.io/Logging_2581/klagomål/A 42696-2023 FSC-klagomål.docx", "A 42696-2023")</f>
        <v/>
      </c>
      <c r="W792">
        <f>HYPERLINK("https://klasma.github.io/Logging_2581/klagomålsmail/A 42696-2023 FSC-klagomål mail.docx", "A 42696-2023")</f>
        <v/>
      </c>
      <c r="X792">
        <f>HYPERLINK("https://klasma.github.io/Logging_2581/tillsyn/A 42696-2023 tillsynsbegäran.docx", "A 42696-2023")</f>
        <v/>
      </c>
      <c r="Y792">
        <f>HYPERLINK("https://klasma.github.io/Logging_2581/tillsynsmail/A 42696-2023 tillsynsbegäran mail.docx", "A 42696-2023")</f>
        <v/>
      </c>
    </row>
    <row r="793" ht="15" customHeight="1">
      <c r="A793" t="inlineStr">
        <is>
          <t>A 43323-2023</t>
        </is>
      </c>
      <c r="B793" s="1" t="n">
        <v>45183</v>
      </c>
      <c r="C793" s="1" t="n">
        <v>45662</v>
      </c>
      <c r="D793" t="inlineStr">
        <is>
          <t>NORRBOTTENS LÄN</t>
        </is>
      </c>
      <c r="E793" t="inlineStr">
        <is>
          <t>GÄLLIVARE</t>
        </is>
      </c>
      <c r="F793" t="inlineStr">
        <is>
          <t>Sveaskog</t>
        </is>
      </c>
      <c r="G793" t="n">
        <v>30.4</v>
      </c>
      <c r="H793" t="n">
        <v>1</v>
      </c>
      <c r="I793" t="n">
        <v>1</v>
      </c>
      <c r="J793" t="n">
        <v>0</v>
      </c>
      <c r="K793" t="n">
        <v>0</v>
      </c>
      <c r="L793" t="n">
        <v>0</v>
      </c>
      <c r="M793" t="n">
        <v>0</v>
      </c>
      <c r="N793" t="n">
        <v>0</v>
      </c>
      <c r="O793" t="n">
        <v>0</v>
      </c>
      <c r="P793" t="n">
        <v>0</v>
      </c>
      <c r="Q793" t="n">
        <v>1</v>
      </c>
      <c r="R793" s="2" t="inlineStr">
        <is>
          <t>Plattlummer</t>
        </is>
      </c>
      <c r="S793">
        <f>HYPERLINK("https://klasma.github.io/Logging_2523/artfynd/A 43323-2023 artfynd.xlsx", "A 43323-2023")</f>
        <v/>
      </c>
      <c r="T793">
        <f>HYPERLINK("https://klasma.github.io/Logging_2523/kartor/A 43323-2023 karta.png", "A 43323-2023")</f>
        <v/>
      </c>
      <c r="V793">
        <f>HYPERLINK("https://klasma.github.io/Logging_2523/klagomål/A 43323-2023 FSC-klagomål.docx", "A 43323-2023")</f>
        <v/>
      </c>
      <c r="W793">
        <f>HYPERLINK("https://klasma.github.io/Logging_2523/klagomålsmail/A 43323-2023 FSC-klagomål mail.docx", "A 43323-2023")</f>
        <v/>
      </c>
      <c r="X793">
        <f>HYPERLINK("https://klasma.github.io/Logging_2523/tillsyn/A 43323-2023 tillsynsbegäran.docx", "A 43323-2023")</f>
        <v/>
      </c>
      <c r="Y793">
        <f>HYPERLINK("https://klasma.github.io/Logging_2523/tillsynsmail/A 43323-2023 tillsynsbegäran mail.docx", "A 43323-2023")</f>
        <v/>
      </c>
    </row>
    <row r="794" ht="15" customHeight="1">
      <c r="A794" t="inlineStr">
        <is>
          <t>A 43851-2023</t>
        </is>
      </c>
      <c r="B794" s="1" t="n">
        <v>45187</v>
      </c>
      <c r="C794" s="1" t="n">
        <v>45662</v>
      </c>
      <c r="D794" t="inlineStr">
        <is>
          <t>NORRBOTTENS LÄN</t>
        </is>
      </c>
      <c r="E794" t="inlineStr">
        <is>
          <t>PAJALA</t>
        </is>
      </c>
      <c r="G794" t="n">
        <v>7.2</v>
      </c>
      <c r="H794" t="n">
        <v>0</v>
      </c>
      <c r="I794" t="n">
        <v>0</v>
      </c>
      <c r="J794" t="n">
        <v>1</v>
      </c>
      <c r="K794" t="n">
        <v>0</v>
      </c>
      <c r="L794" t="n">
        <v>0</v>
      </c>
      <c r="M794" t="n">
        <v>0</v>
      </c>
      <c r="N794" t="n">
        <v>0</v>
      </c>
      <c r="O794" t="n">
        <v>1</v>
      </c>
      <c r="P794" t="n">
        <v>0</v>
      </c>
      <c r="Q794" t="n">
        <v>1</v>
      </c>
      <c r="R794" s="2" t="inlineStr">
        <is>
          <t>Garnlav</t>
        </is>
      </c>
      <c r="S794">
        <f>HYPERLINK("https://klasma.github.io/Logging_2521/artfynd/A 43851-2023 artfynd.xlsx", "A 43851-2023")</f>
        <v/>
      </c>
      <c r="T794">
        <f>HYPERLINK("https://klasma.github.io/Logging_2521/kartor/A 43851-2023 karta.png", "A 43851-2023")</f>
        <v/>
      </c>
      <c r="V794">
        <f>HYPERLINK("https://klasma.github.io/Logging_2521/klagomål/A 43851-2023 FSC-klagomål.docx", "A 43851-2023")</f>
        <v/>
      </c>
      <c r="W794">
        <f>HYPERLINK("https://klasma.github.io/Logging_2521/klagomålsmail/A 43851-2023 FSC-klagomål mail.docx", "A 43851-2023")</f>
        <v/>
      </c>
      <c r="X794">
        <f>HYPERLINK("https://klasma.github.io/Logging_2521/tillsyn/A 43851-2023 tillsynsbegäran.docx", "A 43851-2023")</f>
        <v/>
      </c>
      <c r="Y794">
        <f>HYPERLINK("https://klasma.github.io/Logging_2521/tillsynsmail/A 43851-2023 tillsynsbegäran mail.docx", "A 43851-2023")</f>
        <v/>
      </c>
    </row>
    <row r="795" ht="15" customHeight="1">
      <c r="A795" t="inlineStr">
        <is>
          <t>A 44255-2023</t>
        </is>
      </c>
      <c r="B795" s="1" t="n">
        <v>45188</v>
      </c>
      <c r="C795" s="1" t="n">
        <v>45662</v>
      </c>
      <c r="D795" t="inlineStr">
        <is>
          <t>NORRBOTTENS LÄN</t>
        </is>
      </c>
      <c r="E795" t="inlineStr">
        <is>
          <t>PITEÅ</t>
        </is>
      </c>
      <c r="F795" t="inlineStr">
        <is>
          <t>Sveaskog</t>
        </is>
      </c>
      <c r="G795" t="n">
        <v>5.7</v>
      </c>
      <c r="H795" t="n">
        <v>0</v>
      </c>
      <c r="I795" t="n">
        <v>0</v>
      </c>
      <c r="J795" t="n">
        <v>1</v>
      </c>
      <c r="K795" t="n">
        <v>0</v>
      </c>
      <c r="L795" t="n">
        <v>0</v>
      </c>
      <c r="M795" t="n">
        <v>0</v>
      </c>
      <c r="N795" t="n">
        <v>0</v>
      </c>
      <c r="O795" t="n">
        <v>1</v>
      </c>
      <c r="P795" t="n">
        <v>0</v>
      </c>
      <c r="Q795" t="n">
        <v>1</v>
      </c>
      <c r="R795" s="2" t="inlineStr">
        <is>
          <t>Garnlav</t>
        </is>
      </c>
      <c r="S795">
        <f>HYPERLINK("https://klasma.github.io/Logging_2581/artfynd/A 44255-2023 artfynd.xlsx", "A 44255-2023")</f>
        <v/>
      </c>
      <c r="T795">
        <f>HYPERLINK("https://klasma.github.io/Logging_2581/kartor/A 44255-2023 karta.png", "A 44255-2023")</f>
        <v/>
      </c>
      <c r="V795">
        <f>HYPERLINK("https://klasma.github.io/Logging_2581/klagomål/A 44255-2023 FSC-klagomål.docx", "A 44255-2023")</f>
        <v/>
      </c>
      <c r="W795">
        <f>HYPERLINK("https://klasma.github.io/Logging_2581/klagomålsmail/A 44255-2023 FSC-klagomål mail.docx", "A 44255-2023")</f>
        <v/>
      </c>
      <c r="X795">
        <f>HYPERLINK("https://klasma.github.io/Logging_2581/tillsyn/A 44255-2023 tillsynsbegäran.docx", "A 44255-2023")</f>
        <v/>
      </c>
      <c r="Y795">
        <f>HYPERLINK("https://klasma.github.io/Logging_2581/tillsynsmail/A 44255-2023 tillsynsbegäran mail.docx", "A 44255-2023")</f>
        <v/>
      </c>
    </row>
    <row r="796" ht="15" customHeight="1">
      <c r="A796" t="inlineStr">
        <is>
          <t>A 46378-2023</t>
        </is>
      </c>
      <c r="B796" s="1" t="n">
        <v>45197</v>
      </c>
      <c r="C796" s="1" t="n">
        <v>45662</v>
      </c>
      <c r="D796" t="inlineStr">
        <is>
          <t>NORRBOTTENS LÄN</t>
        </is>
      </c>
      <c r="E796" t="inlineStr">
        <is>
          <t>ÖVERTORNEÅ</t>
        </is>
      </c>
      <c r="F796" t="inlineStr">
        <is>
          <t>Sveaskog</t>
        </is>
      </c>
      <c r="G796" t="n">
        <v>43.9</v>
      </c>
      <c r="H796" t="n">
        <v>1</v>
      </c>
      <c r="I796" t="n">
        <v>0</v>
      </c>
      <c r="J796" t="n">
        <v>1</v>
      </c>
      <c r="K796" t="n">
        <v>0</v>
      </c>
      <c r="L796" t="n">
        <v>0</v>
      </c>
      <c r="M796" t="n">
        <v>0</v>
      </c>
      <c r="N796" t="n">
        <v>0</v>
      </c>
      <c r="O796" t="n">
        <v>1</v>
      </c>
      <c r="P796" t="n">
        <v>0</v>
      </c>
      <c r="Q796" t="n">
        <v>1</v>
      </c>
      <c r="R796" s="2" t="inlineStr">
        <is>
          <t>Kungsörn</t>
        </is>
      </c>
      <c r="S796">
        <f>HYPERLINK("https://klasma.github.io/Logging_2518/artfynd/A 46378-2023 artfynd.xlsx", "A 46378-2023")</f>
        <v/>
      </c>
      <c r="T796">
        <f>HYPERLINK("https://klasma.github.io/Logging_2518/kartor/A 46378-2023 karta.png", "A 46378-2023")</f>
        <v/>
      </c>
      <c r="V796">
        <f>HYPERLINK("https://klasma.github.io/Logging_2518/klagomål/A 46378-2023 FSC-klagomål.docx", "A 46378-2023")</f>
        <v/>
      </c>
      <c r="W796">
        <f>HYPERLINK("https://klasma.github.io/Logging_2518/klagomålsmail/A 46378-2023 FSC-klagomål mail.docx", "A 46378-2023")</f>
        <v/>
      </c>
      <c r="X796">
        <f>HYPERLINK("https://klasma.github.io/Logging_2518/tillsyn/A 46378-2023 tillsynsbegäran.docx", "A 46378-2023")</f>
        <v/>
      </c>
      <c r="Y796">
        <f>HYPERLINK("https://klasma.github.io/Logging_2518/tillsynsmail/A 46378-2023 tillsynsbegäran mail.docx", "A 46378-2023")</f>
        <v/>
      </c>
      <c r="Z796">
        <f>HYPERLINK("https://klasma.github.io/Logging_2518/fåglar/A 46378-2023 prioriterade fågelarter.docx", "A 46378-2023")</f>
        <v/>
      </c>
    </row>
    <row r="797" ht="15" customHeight="1">
      <c r="A797" t="inlineStr">
        <is>
          <t>A 46853-2023</t>
        </is>
      </c>
      <c r="B797" s="1" t="n">
        <v>45199</v>
      </c>
      <c r="C797" s="1" t="n">
        <v>45662</v>
      </c>
      <c r="D797" t="inlineStr">
        <is>
          <t>NORRBOTTENS LÄN</t>
        </is>
      </c>
      <c r="E797" t="inlineStr">
        <is>
          <t>GÄLLIVARE</t>
        </is>
      </c>
      <c r="F797" t="inlineStr">
        <is>
          <t>SCA</t>
        </is>
      </c>
      <c r="G797" t="n">
        <v>6.7</v>
      </c>
      <c r="H797" t="n">
        <v>1</v>
      </c>
      <c r="I797" t="n">
        <v>0</v>
      </c>
      <c r="J797" t="n">
        <v>1</v>
      </c>
      <c r="K797" t="n">
        <v>0</v>
      </c>
      <c r="L797" t="n">
        <v>0</v>
      </c>
      <c r="M797" t="n">
        <v>0</v>
      </c>
      <c r="N797" t="n">
        <v>0</v>
      </c>
      <c r="O797" t="n">
        <v>1</v>
      </c>
      <c r="P797" t="n">
        <v>0</v>
      </c>
      <c r="Q797" t="n">
        <v>1</v>
      </c>
      <c r="R797" s="2" t="inlineStr">
        <is>
          <t>Utter</t>
        </is>
      </c>
      <c r="S797">
        <f>HYPERLINK("https://klasma.github.io/Logging_2523/artfynd/A 46853-2023 artfynd.xlsx", "A 46853-2023")</f>
        <v/>
      </c>
      <c r="T797">
        <f>HYPERLINK("https://klasma.github.io/Logging_2523/kartor/A 46853-2023 karta.png", "A 46853-2023")</f>
        <v/>
      </c>
      <c r="V797">
        <f>HYPERLINK("https://klasma.github.io/Logging_2523/klagomål/A 46853-2023 FSC-klagomål.docx", "A 46853-2023")</f>
        <v/>
      </c>
      <c r="W797">
        <f>HYPERLINK("https://klasma.github.io/Logging_2523/klagomålsmail/A 46853-2023 FSC-klagomål mail.docx", "A 46853-2023")</f>
        <v/>
      </c>
      <c r="X797">
        <f>HYPERLINK("https://klasma.github.io/Logging_2523/tillsyn/A 46853-2023 tillsynsbegäran.docx", "A 46853-2023")</f>
        <v/>
      </c>
      <c r="Y797">
        <f>HYPERLINK("https://klasma.github.io/Logging_2523/tillsynsmail/A 46853-2023 tillsynsbegäran mail.docx", "A 46853-2023")</f>
        <v/>
      </c>
    </row>
    <row r="798" ht="15" customHeight="1">
      <c r="A798" t="inlineStr">
        <is>
          <t>A 48418-2023</t>
        </is>
      </c>
      <c r="B798" s="1" t="n">
        <v>45205</v>
      </c>
      <c r="C798" s="1" t="n">
        <v>45662</v>
      </c>
      <c r="D798" t="inlineStr">
        <is>
          <t>NORRBOTTENS LÄN</t>
        </is>
      </c>
      <c r="E798" t="inlineStr">
        <is>
          <t>BODEN</t>
        </is>
      </c>
      <c r="F798" t="inlineStr">
        <is>
          <t>SCA</t>
        </is>
      </c>
      <c r="G798" t="n">
        <v>3.6</v>
      </c>
      <c r="H798" t="n">
        <v>1</v>
      </c>
      <c r="I798" t="n">
        <v>0</v>
      </c>
      <c r="J798" t="n">
        <v>1</v>
      </c>
      <c r="K798" t="n">
        <v>0</v>
      </c>
      <c r="L798" t="n">
        <v>0</v>
      </c>
      <c r="M798" t="n">
        <v>0</v>
      </c>
      <c r="N798" t="n">
        <v>0</v>
      </c>
      <c r="O798" t="n">
        <v>1</v>
      </c>
      <c r="P798" t="n">
        <v>0</v>
      </c>
      <c r="Q798" t="n">
        <v>1</v>
      </c>
      <c r="R798" s="2" t="inlineStr">
        <is>
          <t>Duvhök</t>
        </is>
      </c>
      <c r="S798">
        <f>HYPERLINK("https://klasma.github.io/Logging_2582/artfynd/A 48418-2023 artfynd.xlsx", "A 48418-2023")</f>
        <v/>
      </c>
      <c r="T798">
        <f>HYPERLINK("https://klasma.github.io/Logging_2582/kartor/A 48418-2023 karta.png", "A 48418-2023")</f>
        <v/>
      </c>
      <c r="V798">
        <f>HYPERLINK("https://klasma.github.io/Logging_2582/klagomål/A 48418-2023 FSC-klagomål.docx", "A 48418-2023")</f>
        <v/>
      </c>
      <c r="W798">
        <f>HYPERLINK("https://klasma.github.io/Logging_2582/klagomålsmail/A 48418-2023 FSC-klagomål mail.docx", "A 48418-2023")</f>
        <v/>
      </c>
      <c r="X798">
        <f>HYPERLINK("https://klasma.github.io/Logging_2582/tillsyn/A 48418-2023 tillsynsbegäran.docx", "A 48418-2023")</f>
        <v/>
      </c>
      <c r="Y798">
        <f>HYPERLINK("https://klasma.github.io/Logging_2582/tillsynsmail/A 48418-2023 tillsynsbegäran mail.docx", "A 48418-2023")</f>
        <v/>
      </c>
      <c r="Z798">
        <f>HYPERLINK("https://klasma.github.io/Logging_2582/fåglar/A 48418-2023 prioriterade fågelarter.docx", "A 48418-2023")</f>
        <v/>
      </c>
    </row>
    <row r="799" ht="15" customHeight="1">
      <c r="A799" t="inlineStr">
        <is>
          <t>A 51389-2023</t>
        </is>
      </c>
      <c r="B799" s="1" t="n">
        <v>45213</v>
      </c>
      <c r="C799" s="1" t="n">
        <v>45662</v>
      </c>
      <c r="D799" t="inlineStr">
        <is>
          <t>NORRBOTTENS LÄN</t>
        </is>
      </c>
      <c r="E799" t="inlineStr">
        <is>
          <t>GÄLLIVARE</t>
        </is>
      </c>
      <c r="G799" t="n">
        <v>4.5</v>
      </c>
      <c r="H799" t="n">
        <v>1</v>
      </c>
      <c r="I799" t="n">
        <v>0</v>
      </c>
      <c r="J799" t="n">
        <v>1</v>
      </c>
      <c r="K799" t="n">
        <v>0</v>
      </c>
      <c r="L799" t="n">
        <v>0</v>
      </c>
      <c r="M799" t="n">
        <v>0</v>
      </c>
      <c r="N799" t="n">
        <v>0</v>
      </c>
      <c r="O799" t="n">
        <v>1</v>
      </c>
      <c r="P799" t="n">
        <v>0</v>
      </c>
      <c r="Q799" t="n">
        <v>1</v>
      </c>
      <c r="R799" s="2" t="inlineStr">
        <is>
          <t>Spillkråka</t>
        </is>
      </c>
      <c r="S799">
        <f>HYPERLINK("https://klasma.github.io/Logging_2523/artfynd/A 51389-2023 artfynd.xlsx", "A 51389-2023")</f>
        <v/>
      </c>
      <c r="T799">
        <f>HYPERLINK("https://klasma.github.io/Logging_2523/kartor/A 51389-2023 karta.png", "A 51389-2023")</f>
        <v/>
      </c>
      <c r="V799">
        <f>HYPERLINK("https://klasma.github.io/Logging_2523/klagomål/A 51389-2023 FSC-klagomål.docx", "A 51389-2023")</f>
        <v/>
      </c>
      <c r="W799">
        <f>HYPERLINK("https://klasma.github.io/Logging_2523/klagomålsmail/A 51389-2023 FSC-klagomål mail.docx", "A 51389-2023")</f>
        <v/>
      </c>
      <c r="X799">
        <f>HYPERLINK("https://klasma.github.io/Logging_2523/tillsyn/A 51389-2023 tillsynsbegäran.docx", "A 51389-2023")</f>
        <v/>
      </c>
      <c r="Y799">
        <f>HYPERLINK("https://klasma.github.io/Logging_2523/tillsynsmail/A 51389-2023 tillsynsbegäran mail.docx", "A 51389-2023")</f>
        <v/>
      </c>
      <c r="Z799">
        <f>HYPERLINK("https://klasma.github.io/Logging_2523/fåglar/A 51389-2023 prioriterade fågelarter.docx", "A 51389-2023")</f>
        <v/>
      </c>
    </row>
    <row r="800" ht="15" customHeight="1">
      <c r="A800" t="inlineStr">
        <is>
          <t>A 50382-2023</t>
        </is>
      </c>
      <c r="B800" s="1" t="n">
        <v>45216</v>
      </c>
      <c r="C800" s="1" t="n">
        <v>45662</v>
      </c>
      <c r="D800" t="inlineStr">
        <is>
          <t>NORRBOTTENS LÄN</t>
        </is>
      </c>
      <c r="E800" t="inlineStr">
        <is>
          <t>PAJALA</t>
        </is>
      </c>
      <c r="F800" t="inlineStr">
        <is>
          <t>Sveaskog</t>
        </is>
      </c>
      <c r="G800" t="n">
        <v>4</v>
      </c>
      <c r="H800" t="n">
        <v>0</v>
      </c>
      <c r="I800" t="n">
        <v>0</v>
      </c>
      <c r="J800" t="n">
        <v>0</v>
      </c>
      <c r="K800" t="n">
        <v>1</v>
      </c>
      <c r="L800" t="n">
        <v>0</v>
      </c>
      <c r="M800" t="n">
        <v>0</v>
      </c>
      <c r="N800" t="n">
        <v>0</v>
      </c>
      <c r="O800" t="n">
        <v>1</v>
      </c>
      <c r="P800" t="n">
        <v>1</v>
      </c>
      <c r="Q800" t="n">
        <v>1</v>
      </c>
      <c r="R800" s="2" t="inlineStr">
        <is>
          <t>Lappticka</t>
        </is>
      </c>
      <c r="S800">
        <f>HYPERLINK("https://klasma.github.io/Logging_2521/artfynd/A 50382-2023 artfynd.xlsx", "A 50382-2023")</f>
        <v/>
      </c>
      <c r="T800">
        <f>HYPERLINK("https://klasma.github.io/Logging_2521/kartor/A 50382-2023 karta.png", "A 50382-2023")</f>
        <v/>
      </c>
      <c r="V800">
        <f>HYPERLINK("https://klasma.github.io/Logging_2521/klagomål/A 50382-2023 FSC-klagomål.docx", "A 50382-2023")</f>
        <v/>
      </c>
      <c r="W800">
        <f>HYPERLINK("https://klasma.github.io/Logging_2521/klagomålsmail/A 50382-2023 FSC-klagomål mail.docx", "A 50382-2023")</f>
        <v/>
      </c>
      <c r="X800">
        <f>HYPERLINK("https://klasma.github.io/Logging_2521/tillsyn/A 50382-2023 tillsynsbegäran.docx", "A 50382-2023")</f>
        <v/>
      </c>
      <c r="Y800">
        <f>HYPERLINK("https://klasma.github.io/Logging_2521/tillsynsmail/A 50382-2023 tillsynsbegäran mail.docx", "A 50382-2023")</f>
        <v/>
      </c>
    </row>
    <row r="801" ht="15" customHeight="1">
      <c r="A801" t="inlineStr">
        <is>
          <t>A 50377-2023</t>
        </is>
      </c>
      <c r="B801" s="1" t="n">
        <v>45216</v>
      </c>
      <c r="C801" s="1" t="n">
        <v>45662</v>
      </c>
      <c r="D801" t="inlineStr">
        <is>
          <t>NORRBOTTENS LÄN</t>
        </is>
      </c>
      <c r="E801" t="inlineStr">
        <is>
          <t>PAJALA</t>
        </is>
      </c>
      <c r="F801" t="inlineStr">
        <is>
          <t>Sveaskog</t>
        </is>
      </c>
      <c r="G801" t="n">
        <v>2.6</v>
      </c>
      <c r="H801" t="n">
        <v>0</v>
      </c>
      <c r="I801" t="n">
        <v>0</v>
      </c>
      <c r="J801" t="n">
        <v>1</v>
      </c>
      <c r="K801" t="n">
        <v>0</v>
      </c>
      <c r="L801" t="n">
        <v>0</v>
      </c>
      <c r="M801" t="n">
        <v>0</v>
      </c>
      <c r="N801" t="n">
        <v>0</v>
      </c>
      <c r="O801" t="n">
        <v>1</v>
      </c>
      <c r="P801" t="n">
        <v>0</v>
      </c>
      <c r="Q801" t="n">
        <v>1</v>
      </c>
      <c r="R801" s="2" t="inlineStr">
        <is>
          <t>Motaggsvamp</t>
        </is>
      </c>
      <c r="S801">
        <f>HYPERLINK("https://klasma.github.io/Logging_2521/artfynd/A 50377-2023 artfynd.xlsx", "A 50377-2023")</f>
        <v/>
      </c>
      <c r="T801">
        <f>HYPERLINK("https://klasma.github.io/Logging_2521/kartor/A 50377-2023 karta.png", "A 50377-2023")</f>
        <v/>
      </c>
      <c r="V801">
        <f>HYPERLINK("https://klasma.github.io/Logging_2521/klagomål/A 50377-2023 FSC-klagomål.docx", "A 50377-2023")</f>
        <v/>
      </c>
      <c r="W801">
        <f>HYPERLINK("https://klasma.github.io/Logging_2521/klagomålsmail/A 50377-2023 FSC-klagomål mail.docx", "A 50377-2023")</f>
        <v/>
      </c>
      <c r="X801">
        <f>HYPERLINK("https://klasma.github.io/Logging_2521/tillsyn/A 50377-2023 tillsynsbegäran.docx", "A 50377-2023")</f>
        <v/>
      </c>
      <c r="Y801">
        <f>HYPERLINK("https://klasma.github.io/Logging_2521/tillsynsmail/A 50377-2023 tillsynsbegäran mail.docx", "A 50377-2023")</f>
        <v/>
      </c>
    </row>
    <row r="802" ht="15" customHeight="1">
      <c r="A802" t="inlineStr">
        <is>
          <t>A 51580-2023</t>
        </is>
      </c>
      <c r="B802" s="1" t="n">
        <v>45222</v>
      </c>
      <c r="C802" s="1" t="n">
        <v>45662</v>
      </c>
      <c r="D802" t="inlineStr">
        <is>
          <t>NORRBOTTENS LÄN</t>
        </is>
      </c>
      <c r="E802" t="inlineStr">
        <is>
          <t>JOKKMOKK</t>
        </is>
      </c>
      <c r="G802" t="n">
        <v>11.1</v>
      </c>
      <c r="H802" t="n">
        <v>1</v>
      </c>
      <c r="I802" t="n">
        <v>0</v>
      </c>
      <c r="J802" t="n">
        <v>0</v>
      </c>
      <c r="K802" t="n">
        <v>1</v>
      </c>
      <c r="L802" t="n">
        <v>0</v>
      </c>
      <c r="M802" t="n">
        <v>0</v>
      </c>
      <c r="N802" t="n">
        <v>0</v>
      </c>
      <c r="O802" t="n">
        <v>1</v>
      </c>
      <c r="P802" t="n">
        <v>1</v>
      </c>
      <c r="Q802" t="n">
        <v>1</v>
      </c>
      <c r="R802" s="2" t="inlineStr">
        <is>
          <t>Norna</t>
        </is>
      </c>
      <c r="S802">
        <f>HYPERLINK("https://klasma.github.io/Logging_2510/artfynd/A 51580-2023 artfynd.xlsx", "A 51580-2023")</f>
        <v/>
      </c>
      <c r="T802">
        <f>HYPERLINK("https://klasma.github.io/Logging_2510/kartor/A 51580-2023 karta.png", "A 51580-2023")</f>
        <v/>
      </c>
      <c r="V802">
        <f>HYPERLINK("https://klasma.github.io/Logging_2510/klagomål/A 51580-2023 FSC-klagomål.docx", "A 51580-2023")</f>
        <v/>
      </c>
      <c r="W802">
        <f>HYPERLINK("https://klasma.github.io/Logging_2510/klagomålsmail/A 51580-2023 FSC-klagomål mail.docx", "A 51580-2023")</f>
        <v/>
      </c>
      <c r="X802">
        <f>HYPERLINK("https://klasma.github.io/Logging_2510/tillsyn/A 51580-2023 tillsynsbegäran.docx", "A 51580-2023")</f>
        <v/>
      </c>
      <c r="Y802">
        <f>HYPERLINK("https://klasma.github.io/Logging_2510/tillsynsmail/A 51580-2023 tillsynsbegäran mail.docx", "A 51580-2023")</f>
        <v/>
      </c>
    </row>
    <row r="803" ht="15" customHeight="1">
      <c r="A803" t="inlineStr">
        <is>
          <t>A 52268-2023</t>
        </is>
      </c>
      <c r="B803" s="1" t="n">
        <v>45224</v>
      </c>
      <c r="C803" s="1" t="n">
        <v>45662</v>
      </c>
      <c r="D803" t="inlineStr">
        <is>
          <t>NORRBOTTENS LÄN</t>
        </is>
      </c>
      <c r="E803" t="inlineStr">
        <is>
          <t>PITEÅ</t>
        </is>
      </c>
      <c r="G803" t="n">
        <v>4</v>
      </c>
      <c r="H803" t="n">
        <v>1</v>
      </c>
      <c r="I803" t="n">
        <v>0</v>
      </c>
      <c r="J803" t="n">
        <v>0</v>
      </c>
      <c r="K803" t="n">
        <v>0</v>
      </c>
      <c r="L803" t="n">
        <v>0</v>
      </c>
      <c r="M803" t="n">
        <v>0</v>
      </c>
      <c r="N803" t="n">
        <v>0</v>
      </c>
      <c r="O803" t="n">
        <v>0</v>
      </c>
      <c r="P803" t="n">
        <v>0</v>
      </c>
      <c r="Q803" t="n">
        <v>1</v>
      </c>
      <c r="R803" s="2" t="inlineStr">
        <is>
          <t>Revlummer</t>
        </is>
      </c>
      <c r="S803">
        <f>HYPERLINK("https://klasma.github.io/Logging_2581/artfynd/A 52268-2023 artfynd.xlsx", "A 52268-2023")</f>
        <v/>
      </c>
      <c r="T803">
        <f>HYPERLINK("https://klasma.github.io/Logging_2581/kartor/A 52268-2023 karta.png", "A 52268-2023")</f>
        <v/>
      </c>
      <c r="V803">
        <f>HYPERLINK("https://klasma.github.io/Logging_2581/klagomål/A 52268-2023 FSC-klagomål.docx", "A 52268-2023")</f>
        <v/>
      </c>
      <c r="W803">
        <f>HYPERLINK("https://klasma.github.io/Logging_2581/klagomålsmail/A 52268-2023 FSC-klagomål mail.docx", "A 52268-2023")</f>
        <v/>
      </c>
      <c r="X803">
        <f>HYPERLINK("https://klasma.github.io/Logging_2581/tillsyn/A 52268-2023 tillsynsbegäran.docx", "A 52268-2023")</f>
        <v/>
      </c>
      <c r="Y803">
        <f>HYPERLINK("https://klasma.github.io/Logging_2581/tillsynsmail/A 52268-2023 tillsynsbegäran mail.docx", "A 52268-2023")</f>
        <v/>
      </c>
    </row>
    <row r="804" ht="15" customHeight="1">
      <c r="A804" t="inlineStr">
        <is>
          <t>A 52394-2023</t>
        </is>
      </c>
      <c r="B804" s="1" t="n">
        <v>45224</v>
      </c>
      <c r="C804" s="1" t="n">
        <v>45662</v>
      </c>
      <c r="D804" t="inlineStr">
        <is>
          <t>NORRBOTTENS LÄN</t>
        </is>
      </c>
      <c r="E804" t="inlineStr">
        <is>
          <t>BODEN</t>
        </is>
      </c>
      <c r="F804" t="inlineStr">
        <is>
          <t>SCA</t>
        </is>
      </c>
      <c r="G804" t="n">
        <v>6.3</v>
      </c>
      <c r="H804" t="n">
        <v>0</v>
      </c>
      <c r="I804" t="n">
        <v>0</v>
      </c>
      <c r="J804" t="n">
        <v>1</v>
      </c>
      <c r="K804" t="n">
        <v>0</v>
      </c>
      <c r="L804" t="n">
        <v>0</v>
      </c>
      <c r="M804" t="n">
        <v>0</v>
      </c>
      <c r="N804" t="n">
        <v>0</v>
      </c>
      <c r="O804" t="n">
        <v>1</v>
      </c>
      <c r="P804" t="n">
        <v>0</v>
      </c>
      <c r="Q804" t="n">
        <v>1</v>
      </c>
      <c r="R804" s="2" t="inlineStr">
        <is>
          <t>Koralltaggsvamp</t>
        </is>
      </c>
      <c r="S804">
        <f>HYPERLINK("https://klasma.github.io/Logging_2582/artfynd/A 52394-2023 artfynd.xlsx", "A 52394-2023")</f>
        <v/>
      </c>
      <c r="T804">
        <f>HYPERLINK("https://klasma.github.io/Logging_2582/kartor/A 52394-2023 karta.png", "A 52394-2023")</f>
        <v/>
      </c>
      <c r="V804">
        <f>HYPERLINK("https://klasma.github.io/Logging_2582/klagomål/A 52394-2023 FSC-klagomål.docx", "A 52394-2023")</f>
        <v/>
      </c>
      <c r="W804">
        <f>HYPERLINK("https://klasma.github.io/Logging_2582/klagomålsmail/A 52394-2023 FSC-klagomål mail.docx", "A 52394-2023")</f>
        <v/>
      </c>
      <c r="X804">
        <f>HYPERLINK("https://klasma.github.io/Logging_2582/tillsyn/A 52394-2023 tillsynsbegäran.docx", "A 52394-2023")</f>
        <v/>
      </c>
      <c r="Y804">
        <f>HYPERLINK("https://klasma.github.io/Logging_2582/tillsynsmail/A 52394-2023 tillsynsbegäran mail.docx", "A 52394-2023")</f>
        <v/>
      </c>
    </row>
    <row r="805" ht="15" customHeight="1">
      <c r="A805" t="inlineStr">
        <is>
          <t>A 52537-2023</t>
        </is>
      </c>
      <c r="B805" s="1" t="n">
        <v>45225</v>
      </c>
      <c r="C805" s="1" t="n">
        <v>45662</v>
      </c>
      <c r="D805" t="inlineStr">
        <is>
          <t>NORRBOTTENS LÄN</t>
        </is>
      </c>
      <c r="E805" t="inlineStr">
        <is>
          <t>JOKKMOKK</t>
        </is>
      </c>
      <c r="F805" t="inlineStr">
        <is>
          <t>Övriga statliga verk och myndigheter</t>
        </is>
      </c>
      <c r="G805" t="n">
        <v>15.3</v>
      </c>
      <c r="H805" t="n">
        <v>0</v>
      </c>
      <c r="I805" t="n">
        <v>0</v>
      </c>
      <c r="J805" t="n">
        <v>1</v>
      </c>
      <c r="K805" t="n">
        <v>0</v>
      </c>
      <c r="L805" t="n">
        <v>0</v>
      </c>
      <c r="M805" t="n">
        <v>0</v>
      </c>
      <c r="N805" t="n">
        <v>0</v>
      </c>
      <c r="O805" t="n">
        <v>1</v>
      </c>
      <c r="P805" t="n">
        <v>0</v>
      </c>
      <c r="Q805" t="n">
        <v>1</v>
      </c>
      <c r="R805" s="2" t="inlineStr">
        <is>
          <t>Reliktbock</t>
        </is>
      </c>
      <c r="S805">
        <f>HYPERLINK("https://klasma.github.io/Logging_2510/artfynd/A 52537-2023 artfynd.xlsx", "A 52537-2023")</f>
        <v/>
      </c>
      <c r="T805">
        <f>HYPERLINK("https://klasma.github.io/Logging_2510/kartor/A 52537-2023 karta.png", "A 52537-2023")</f>
        <v/>
      </c>
      <c r="V805">
        <f>HYPERLINK("https://klasma.github.io/Logging_2510/klagomål/A 52537-2023 FSC-klagomål.docx", "A 52537-2023")</f>
        <v/>
      </c>
      <c r="W805">
        <f>HYPERLINK("https://klasma.github.io/Logging_2510/klagomålsmail/A 52537-2023 FSC-klagomål mail.docx", "A 52537-2023")</f>
        <v/>
      </c>
      <c r="X805">
        <f>HYPERLINK("https://klasma.github.io/Logging_2510/tillsyn/A 52537-2023 tillsynsbegäran.docx", "A 52537-2023")</f>
        <v/>
      </c>
      <c r="Y805">
        <f>HYPERLINK("https://klasma.github.io/Logging_2510/tillsynsmail/A 52537-2023 tillsynsbegäran mail.docx", "A 52537-2023")</f>
        <v/>
      </c>
    </row>
    <row r="806" ht="15" customHeight="1">
      <c r="A806" t="inlineStr">
        <is>
          <t>A 56190-2023</t>
        </is>
      </c>
      <c r="B806" s="1" t="n">
        <v>45240</v>
      </c>
      <c r="C806" s="1" t="n">
        <v>45662</v>
      </c>
      <c r="D806" t="inlineStr">
        <is>
          <t>NORRBOTTENS LÄN</t>
        </is>
      </c>
      <c r="E806" t="inlineStr">
        <is>
          <t>KALIX</t>
        </is>
      </c>
      <c r="G806" t="n">
        <v>1.5</v>
      </c>
      <c r="H806" t="n">
        <v>0</v>
      </c>
      <c r="I806" t="n">
        <v>0</v>
      </c>
      <c r="J806" t="n">
        <v>1</v>
      </c>
      <c r="K806" t="n">
        <v>0</v>
      </c>
      <c r="L806" t="n">
        <v>0</v>
      </c>
      <c r="M806" t="n">
        <v>0</v>
      </c>
      <c r="N806" t="n">
        <v>0</v>
      </c>
      <c r="O806" t="n">
        <v>1</v>
      </c>
      <c r="P806" t="n">
        <v>0</v>
      </c>
      <c r="Q806" t="n">
        <v>1</v>
      </c>
      <c r="R806" s="2" t="inlineStr">
        <is>
          <t>Garnlav</t>
        </is>
      </c>
      <c r="S806">
        <f>HYPERLINK("https://klasma.github.io/Logging_2514/artfynd/A 56190-2023 artfynd.xlsx", "A 56190-2023")</f>
        <v/>
      </c>
      <c r="T806">
        <f>HYPERLINK("https://klasma.github.io/Logging_2514/kartor/A 56190-2023 karta.png", "A 56190-2023")</f>
        <v/>
      </c>
      <c r="V806">
        <f>HYPERLINK("https://klasma.github.io/Logging_2514/klagomål/A 56190-2023 FSC-klagomål.docx", "A 56190-2023")</f>
        <v/>
      </c>
      <c r="W806">
        <f>HYPERLINK("https://klasma.github.io/Logging_2514/klagomålsmail/A 56190-2023 FSC-klagomål mail.docx", "A 56190-2023")</f>
        <v/>
      </c>
      <c r="X806">
        <f>HYPERLINK("https://klasma.github.io/Logging_2514/tillsyn/A 56190-2023 tillsynsbegäran.docx", "A 56190-2023")</f>
        <v/>
      </c>
      <c r="Y806">
        <f>HYPERLINK("https://klasma.github.io/Logging_2514/tillsynsmail/A 56190-2023 tillsynsbegäran mail.docx", "A 56190-2023")</f>
        <v/>
      </c>
    </row>
    <row r="807" ht="15" customHeight="1">
      <c r="A807" t="inlineStr">
        <is>
          <t>A 56592-2023</t>
        </is>
      </c>
      <c r="B807" s="1" t="n">
        <v>45243</v>
      </c>
      <c r="C807" s="1" t="n">
        <v>45662</v>
      </c>
      <c r="D807" t="inlineStr">
        <is>
          <t>NORRBOTTENS LÄN</t>
        </is>
      </c>
      <c r="E807" t="inlineStr">
        <is>
          <t>PITEÅ</t>
        </is>
      </c>
      <c r="F807" t="inlineStr">
        <is>
          <t>Sveaskog</t>
        </is>
      </c>
      <c r="G807" t="n">
        <v>22.6</v>
      </c>
      <c r="H807" t="n">
        <v>1</v>
      </c>
      <c r="I807" t="n">
        <v>0</v>
      </c>
      <c r="J807" t="n">
        <v>0</v>
      </c>
      <c r="K807" t="n">
        <v>0</v>
      </c>
      <c r="L807" t="n">
        <v>0</v>
      </c>
      <c r="M807" t="n">
        <v>0</v>
      </c>
      <c r="N807" t="n">
        <v>0</v>
      </c>
      <c r="O807" t="n">
        <v>0</v>
      </c>
      <c r="P807" t="n">
        <v>0</v>
      </c>
      <c r="Q807" t="n">
        <v>1</v>
      </c>
      <c r="R807" s="2" t="inlineStr">
        <is>
          <t>Mattlummer</t>
        </is>
      </c>
      <c r="S807">
        <f>HYPERLINK("https://klasma.github.io/Logging_2581/artfynd/A 56592-2023 artfynd.xlsx", "A 56592-2023")</f>
        <v/>
      </c>
      <c r="T807">
        <f>HYPERLINK("https://klasma.github.io/Logging_2581/kartor/A 56592-2023 karta.png", "A 56592-2023")</f>
        <v/>
      </c>
      <c r="V807">
        <f>HYPERLINK("https://klasma.github.io/Logging_2581/klagomål/A 56592-2023 FSC-klagomål.docx", "A 56592-2023")</f>
        <v/>
      </c>
      <c r="W807">
        <f>HYPERLINK("https://klasma.github.io/Logging_2581/klagomålsmail/A 56592-2023 FSC-klagomål mail.docx", "A 56592-2023")</f>
        <v/>
      </c>
      <c r="X807">
        <f>HYPERLINK("https://klasma.github.io/Logging_2581/tillsyn/A 56592-2023 tillsynsbegäran.docx", "A 56592-2023")</f>
        <v/>
      </c>
      <c r="Y807">
        <f>HYPERLINK("https://klasma.github.io/Logging_2581/tillsynsmail/A 56592-2023 tillsynsbegäran mail.docx", "A 56592-2023")</f>
        <v/>
      </c>
    </row>
    <row r="808" ht="15" customHeight="1">
      <c r="A808" t="inlineStr">
        <is>
          <t>A 58068-2023</t>
        </is>
      </c>
      <c r="B808" s="1" t="n">
        <v>45247</v>
      </c>
      <c r="C808" s="1" t="n">
        <v>45662</v>
      </c>
      <c r="D808" t="inlineStr">
        <is>
          <t>NORRBOTTENS LÄN</t>
        </is>
      </c>
      <c r="E808" t="inlineStr">
        <is>
          <t>JOKKMOKK</t>
        </is>
      </c>
      <c r="G808" t="n">
        <v>3.1</v>
      </c>
      <c r="H808" t="n">
        <v>0</v>
      </c>
      <c r="I808" t="n">
        <v>1</v>
      </c>
      <c r="J808" t="n">
        <v>0</v>
      </c>
      <c r="K808" t="n">
        <v>0</v>
      </c>
      <c r="L808" t="n">
        <v>0</v>
      </c>
      <c r="M808" t="n">
        <v>0</v>
      </c>
      <c r="N808" t="n">
        <v>0</v>
      </c>
      <c r="O808" t="n">
        <v>0</v>
      </c>
      <c r="P808" t="n">
        <v>0</v>
      </c>
      <c r="Q808" t="n">
        <v>1</v>
      </c>
      <c r="R808" s="2" t="inlineStr">
        <is>
          <t>Källmossa</t>
        </is>
      </c>
      <c r="S808">
        <f>HYPERLINK("https://klasma.github.io/Logging_2510/artfynd/A 58068-2023 artfynd.xlsx", "A 58068-2023")</f>
        <v/>
      </c>
      <c r="T808">
        <f>HYPERLINK("https://klasma.github.io/Logging_2510/kartor/A 58068-2023 karta.png", "A 58068-2023")</f>
        <v/>
      </c>
      <c r="V808">
        <f>HYPERLINK("https://klasma.github.io/Logging_2510/klagomål/A 58068-2023 FSC-klagomål.docx", "A 58068-2023")</f>
        <v/>
      </c>
      <c r="W808">
        <f>HYPERLINK("https://klasma.github.io/Logging_2510/klagomålsmail/A 58068-2023 FSC-klagomål mail.docx", "A 58068-2023")</f>
        <v/>
      </c>
      <c r="X808">
        <f>HYPERLINK("https://klasma.github.io/Logging_2510/tillsyn/A 58068-2023 tillsynsbegäran.docx", "A 58068-2023")</f>
        <v/>
      </c>
      <c r="Y808">
        <f>HYPERLINK("https://klasma.github.io/Logging_2510/tillsynsmail/A 58068-2023 tillsynsbegäran mail.docx", "A 58068-2023")</f>
        <v/>
      </c>
    </row>
    <row r="809" ht="15" customHeight="1">
      <c r="A809" t="inlineStr">
        <is>
          <t>A 59466-2023</t>
        </is>
      </c>
      <c r="B809" s="1" t="n">
        <v>45254</v>
      </c>
      <c r="C809" s="1" t="n">
        <v>45662</v>
      </c>
      <c r="D809" t="inlineStr">
        <is>
          <t>NORRBOTTENS LÄN</t>
        </is>
      </c>
      <c r="E809" t="inlineStr">
        <is>
          <t>LULEÅ</t>
        </is>
      </c>
      <c r="F809" t="inlineStr">
        <is>
          <t>Sveaskog</t>
        </is>
      </c>
      <c r="G809" t="n">
        <v>0.4</v>
      </c>
      <c r="H809" t="n">
        <v>0</v>
      </c>
      <c r="I809" t="n">
        <v>0</v>
      </c>
      <c r="J809" t="n">
        <v>1</v>
      </c>
      <c r="K809" t="n">
        <v>0</v>
      </c>
      <c r="L809" t="n">
        <v>0</v>
      </c>
      <c r="M809" t="n">
        <v>0</v>
      </c>
      <c r="N809" t="n">
        <v>0</v>
      </c>
      <c r="O809" t="n">
        <v>1</v>
      </c>
      <c r="P809" t="n">
        <v>0</v>
      </c>
      <c r="Q809" t="n">
        <v>1</v>
      </c>
      <c r="R809" s="2" t="inlineStr">
        <is>
          <t>Motaggsvamp</t>
        </is>
      </c>
      <c r="S809">
        <f>HYPERLINK("https://klasma.github.io/Logging_2580/artfynd/A 59466-2023 artfynd.xlsx", "A 59466-2023")</f>
        <v/>
      </c>
      <c r="T809">
        <f>HYPERLINK("https://klasma.github.io/Logging_2580/kartor/A 59466-2023 karta.png", "A 59466-2023")</f>
        <v/>
      </c>
      <c r="V809">
        <f>HYPERLINK("https://klasma.github.io/Logging_2580/klagomål/A 59466-2023 FSC-klagomål.docx", "A 59466-2023")</f>
        <v/>
      </c>
      <c r="W809">
        <f>HYPERLINK("https://klasma.github.io/Logging_2580/klagomålsmail/A 59466-2023 FSC-klagomål mail.docx", "A 59466-2023")</f>
        <v/>
      </c>
      <c r="X809">
        <f>HYPERLINK("https://klasma.github.io/Logging_2580/tillsyn/A 59466-2023 tillsynsbegäran.docx", "A 59466-2023")</f>
        <v/>
      </c>
      <c r="Y809">
        <f>HYPERLINK("https://klasma.github.io/Logging_2580/tillsynsmail/A 59466-2023 tillsynsbegäran mail.docx", "A 59466-2023")</f>
        <v/>
      </c>
    </row>
    <row r="810" ht="15" customHeight="1">
      <c r="A810" t="inlineStr">
        <is>
          <t>A 60069-2023</t>
        </is>
      </c>
      <c r="B810" s="1" t="n">
        <v>45258</v>
      </c>
      <c r="C810" s="1" t="n">
        <v>45662</v>
      </c>
      <c r="D810" t="inlineStr">
        <is>
          <t>NORRBOTTENS LÄN</t>
        </is>
      </c>
      <c r="E810" t="inlineStr">
        <is>
          <t>PAJALA</t>
        </is>
      </c>
      <c r="G810" t="n">
        <v>4.4</v>
      </c>
      <c r="H810" t="n">
        <v>0</v>
      </c>
      <c r="I810" t="n">
        <v>0</v>
      </c>
      <c r="J810" t="n">
        <v>1</v>
      </c>
      <c r="K810" t="n">
        <v>0</v>
      </c>
      <c r="L810" t="n">
        <v>0</v>
      </c>
      <c r="M810" t="n">
        <v>0</v>
      </c>
      <c r="N810" t="n">
        <v>0</v>
      </c>
      <c r="O810" t="n">
        <v>1</v>
      </c>
      <c r="P810" t="n">
        <v>0</v>
      </c>
      <c r="Q810" t="n">
        <v>1</v>
      </c>
      <c r="R810" s="2" t="inlineStr">
        <is>
          <t>Garnlav</t>
        </is>
      </c>
      <c r="S810">
        <f>HYPERLINK("https://klasma.github.io/Logging_2521/artfynd/A 60069-2023 artfynd.xlsx", "A 60069-2023")</f>
        <v/>
      </c>
      <c r="T810">
        <f>HYPERLINK("https://klasma.github.io/Logging_2521/kartor/A 60069-2023 karta.png", "A 60069-2023")</f>
        <v/>
      </c>
      <c r="V810">
        <f>HYPERLINK("https://klasma.github.io/Logging_2521/klagomål/A 60069-2023 FSC-klagomål.docx", "A 60069-2023")</f>
        <v/>
      </c>
      <c r="W810">
        <f>HYPERLINK("https://klasma.github.io/Logging_2521/klagomålsmail/A 60069-2023 FSC-klagomål mail.docx", "A 60069-2023")</f>
        <v/>
      </c>
      <c r="X810">
        <f>HYPERLINK("https://klasma.github.io/Logging_2521/tillsyn/A 60069-2023 tillsynsbegäran.docx", "A 60069-2023")</f>
        <v/>
      </c>
      <c r="Y810">
        <f>HYPERLINK("https://klasma.github.io/Logging_2521/tillsynsmail/A 60069-2023 tillsynsbegäran mail.docx", "A 60069-2023")</f>
        <v/>
      </c>
    </row>
    <row r="811" ht="15" customHeight="1">
      <c r="A811" t="inlineStr">
        <is>
          <t>A 61645-2023</t>
        </is>
      </c>
      <c r="B811" s="1" t="n">
        <v>45265</v>
      </c>
      <c r="C811" s="1" t="n">
        <v>45662</v>
      </c>
      <c r="D811" t="inlineStr">
        <is>
          <t>NORRBOTTENS LÄN</t>
        </is>
      </c>
      <c r="E811" t="inlineStr">
        <is>
          <t>PITEÅ</t>
        </is>
      </c>
      <c r="G811" t="n">
        <v>6.1</v>
      </c>
      <c r="H811" t="n">
        <v>0</v>
      </c>
      <c r="I811" t="n">
        <v>0</v>
      </c>
      <c r="J811" t="n">
        <v>1</v>
      </c>
      <c r="K811" t="n">
        <v>0</v>
      </c>
      <c r="L811" t="n">
        <v>0</v>
      </c>
      <c r="M811" t="n">
        <v>0</v>
      </c>
      <c r="N811" t="n">
        <v>0</v>
      </c>
      <c r="O811" t="n">
        <v>1</v>
      </c>
      <c r="P811" t="n">
        <v>0</v>
      </c>
      <c r="Q811" t="n">
        <v>1</v>
      </c>
      <c r="R811" s="2" t="inlineStr">
        <is>
          <t>Garnlav</t>
        </is>
      </c>
      <c r="S811">
        <f>HYPERLINK("https://klasma.github.io/Logging_2581/artfynd/A 61645-2023 artfynd.xlsx", "A 61645-2023")</f>
        <v/>
      </c>
      <c r="T811">
        <f>HYPERLINK("https://klasma.github.io/Logging_2581/kartor/A 61645-2023 karta.png", "A 61645-2023")</f>
        <v/>
      </c>
      <c r="V811">
        <f>HYPERLINK("https://klasma.github.io/Logging_2581/klagomål/A 61645-2023 FSC-klagomål.docx", "A 61645-2023")</f>
        <v/>
      </c>
      <c r="W811">
        <f>HYPERLINK("https://klasma.github.io/Logging_2581/klagomålsmail/A 61645-2023 FSC-klagomål mail.docx", "A 61645-2023")</f>
        <v/>
      </c>
      <c r="X811">
        <f>HYPERLINK("https://klasma.github.io/Logging_2581/tillsyn/A 61645-2023 tillsynsbegäran.docx", "A 61645-2023")</f>
        <v/>
      </c>
      <c r="Y811">
        <f>HYPERLINK("https://klasma.github.io/Logging_2581/tillsynsmail/A 61645-2023 tillsynsbegäran mail.docx", "A 61645-2023")</f>
        <v/>
      </c>
    </row>
    <row r="812" ht="15" customHeight="1">
      <c r="A812" t="inlineStr">
        <is>
          <t>A 63879-2023</t>
        </is>
      </c>
      <c r="B812" s="1" t="n">
        <v>45278</v>
      </c>
      <c r="C812" s="1" t="n">
        <v>45662</v>
      </c>
      <c r="D812" t="inlineStr">
        <is>
          <t>NORRBOTTENS LÄN</t>
        </is>
      </c>
      <c r="E812" t="inlineStr">
        <is>
          <t>LULEÅ</t>
        </is>
      </c>
      <c r="G812" t="n">
        <v>4</v>
      </c>
      <c r="H812" t="n">
        <v>1</v>
      </c>
      <c r="I812" t="n">
        <v>0</v>
      </c>
      <c r="J812" t="n">
        <v>0</v>
      </c>
      <c r="K812" t="n">
        <v>0</v>
      </c>
      <c r="L812" t="n">
        <v>0</v>
      </c>
      <c r="M812" t="n">
        <v>0</v>
      </c>
      <c r="N812" t="n">
        <v>0</v>
      </c>
      <c r="O812" t="n">
        <v>0</v>
      </c>
      <c r="P812" t="n">
        <v>0</v>
      </c>
      <c r="Q812" t="n">
        <v>1</v>
      </c>
      <c r="R812" s="2" t="inlineStr">
        <is>
          <t>Nattviol</t>
        </is>
      </c>
      <c r="S812">
        <f>HYPERLINK("https://klasma.github.io/Logging_2580/artfynd/A 63879-2023 artfynd.xlsx", "A 63879-2023")</f>
        <v/>
      </c>
      <c r="T812">
        <f>HYPERLINK("https://klasma.github.io/Logging_2580/kartor/A 63879-2023 karta.png", "A 63879-2023")</f>
        <v/>
      </c>
      <c r="V812">
        <f>HYPERLINK("https://klasma.github.io/Logging_2580/klagomål/A 63879-2023 FSC-klagomål.docx", "A 63879-2023")</f>
        <v/>
      </c>
      <c r="W812">
        <f>HYPERLINK("https://klasma.github.io/Logging_2580/klagomålsmail/A 63879-2023 FSC-klagomål mail.docx", "A 63879-2023")</f>
        <v/>
      </c>
      <c r="X812">
        <f>HYPERLINK("https://klasma.github.io/Logging_2580/tillsyn/A 63879-2023 tillsynsbegäran.docx", "A 63879-2023")</f>
        <v/>
      </c>
      <c r="Y812">
        <f>HYPERLINK("https://klasma.github.io/Logging_2580/tillsynsmail/A 63879-2023 tillsynsbegäran mail.docx", "A 63879-2023")</f>
        <v/>
      </c>
    </row>
    <row r="813" ht="15" customHeight="1">
      <c r="A813" t="inlineStr">
        <is>
          <t>A 65183-2023</t>
        </is>
      </c>
      <c r="B813" s="1" t="n">
        <v>45288</v>
      </c>
      <c r="C813" s="1" t="n">
        <v>45662</v>
      </c>
      <c r="D813" t="inlineStr">
        <is>
          <t>NORRBOTTENS LÄN</t>
        </is>
      </c>
      <c r="E813" t="inlineStr">
        <is>
          <t>ÖVERTORNEÅ</t>
        </is>
      </c>
      <c r="G813" t="n">
        <v>8.300000000000001</v>
      </c>
      <c r="H813" t="n">
        <v>0</v>
      </c>
      <c r="I813" t="n">
        <v>0</v>
      </c>
      <c r="J813" t="n">
        <v>1</v>
      </c>
      <c r="K813" t="n">
        <v>0</v>
      </c>
      <c r="L813" t="n">
        <v>0</v>
      </c>
      <c r="M813" t="n">
        <v>0</v>
      </c>
      <c r="N813" t="n">
        <v>0</v>
      </c>
      <c r="O813" t="n">
        <v>1</v>
      </c>
      <c r="P813" t="n">
        <v>0</v>
      </c>
      <c r="Q813" t="n">
        <v>1</v>
      </c>
      <c r="R813" s="2" t="inlineStr">
        <is>
          <t>Garnlav</t>
        </is>
      </c>
      <c r="S813">
        <f>HYPERLINK("https://klasma.github.io/Logging_2518/artfynd/A 65183-2023 artfynd.xlsx", "A 65183-2023")</f>
        <v/>
      </c>
      <c r="T813">
        <f>HYPERLINK("https://klasma.github.io/Logging_2518/kartor/A 65183-2023 karta.png", "A 65183-2023")</f>
        <v/>
      </c>
      <c r="V813">
        <f>HYPERLINK("https://klasma.github.io/Logging_2518/klagomål/A 65183-2023 FSC-klagomål.docx", "A 65183-2023")</f>
        <v/>
      </c>
      <c r="W813">
        <f>HYPERLINK("https://klasma.github.io/Logging_2518/klagomålsmail/A 65183-2023 FSC-klagomål mail.docx", "A 65183-2023")</f>
        <v/>
      </c>
      <c r="X813">
        <f>HYPERLINK("https://klasma.github.io/Logging_2518/tillsyn/A 65183-2023 tillsynsbegäran.docx", "A 65183-2023")</f>
        <v/>
      </c>
      <c r="Y813">
        <f>HYPERLINK("https://klasma.github.io/Logging_2518/tillsynsmail/A 65183-2023 tillsynsbegäran mail.docx", "A 65183-2023")</f>
        <v/>
      </c>
    </row>
    <row r="814" ht="15" customHeight="1">
      <c r="A814" t="inlineStr">
        <is>
          <t>A 856-2024</t>
        </is>
      </c>
      <c r="B814" s="1" t="n">
        <v>45300</v>
      </c>
      <c r="C814" s="1" t="n">
        <v>45662</v>
      </c>
      <c r="D814" t="inlineStr">
        <is>
          <t>NORRBOTTENS LÄN</t>
        </is>
      </c>
      <c r="E814" t="inlineStr">
        <is>
          <t>ÖVERTORNEÅ</t>
        </is>
      </c>
      <c r="G814" t="n">
        <v>8.300000000000001</v>
      </c>
      <c r="H814" t="n">
        <v>0</v>
      </c>
      <c r="I814" t="n">
        <v>0</v>
      </c>
      <c r="J814" t="n">
        <v>1</v>
      </c>
      <c r="K814" t="n">
        <v>0</v>
      </c>
      <c r="L814" t="n">
        <v>0</v>
      </c>
      <c r="M814" t="n">
        <v>0</v>
      </c>
      <c r="N814" t="n">
        <v>0</v>
      </c>
      <c r="O814" t="n">
        <v>1</v>
      </c>
      <c r="P814" t="n">
        <v>0</v>
      </c>
      <c r="Q814" t="n">
        <v>1</v>
      </c>
      <c r="R814" s="2" t="inlineStr">
        <is>
          <t>Garnlav</t>
        </is>
      </c>
      <c r="S814">
        <f>HYPERLINK("https://klasma.github.io/Logging_2518/artfynd/A 856-2024 artfynd.xlsx", "A 856-2024")</f>
        <v/>
      </c>
      <c r="T814">
        <f>HYPERLINK("https://klasma.github.io/Logging_2518/kartor/A 856-2024 karta.png", "A 856-2024")</f>
        <v/>
      </c>
      <c r="V814">
        <f>HYPERLINK("https://klasma.github.io/Logging_2518/klagomål/A 856-2024 FSC-klagomål.docx", "A 856-2024")</f>
        <v/>
      </c>
      <c r="W814">
        <f>HYPERLINK("https://klasma.github.io/Logging_2518/klagomålsmail/A 856-2024 FSC-klagomål mail.docx", "A 856-2024")</f>
        <v/>
      </c>
      <c r="X814">
        <f>HYPERLINK("https://klasma.github.io/Logging_2518/tillsyn/A 856-2024 tillsynsbegäran.docx", "A 856-2024")</f>
        <v/>
      </c>
      <c r="Y814">
        <f>HYPERLINK("https://klasma.github.io/Logging_2518/tillsynsmail/A 856-2024 tillsynsbegäran mail.docx", "A 856-2024")</f>
        <v/>
      </c>
    </row>
    <row r="815" ht="15" customHeight="1">
      <c r="A815" t="inlineStr">
        <is>
          <t>A 1625-2024</t>
        </is>
      </c>
      <c r="B815" s="1" t="n">
        <v>45306</v>
      </c>
      <c r="C815" s="1" t="n">
        <v>45662</v>
      </c>
      <c r="D815" t="inlineStr">
        <is>
          <t>NORRBOTTENS LÄN</t>
        </is>
      </c>
      <c r="E815" t="inlineStr">
        <is>
          <t>GÄLLIVARE</t>
        </is>
      </c>
      <c r="F815" t="inlineStr">
        <is>
          <t>Sveaskog</t>
        </is>
      </c>
      <c r="G815" t="n">
        <v>6.6</v>
      </c>
      <c r="H815" t="n">
        <v>0</v>
      </c>
      <c r="I815" t="n">
        <v>0</v>
      </c>
      <c r="J815" t="n">
        <v>1</v>
      </c>
      <c r="K815" t="n">
        <v>0</v>
      </c>
      <c r="L815" t="n">
        <v>0</v>
      </c>
      <c r="M815" t="n">
        <v>0</v>
      </c>
      <c r="N815" t="n">
        <v>0</v>
      </c>
      <c r="O815" t="n">
        <v>1</v>
      </c>
      <c r="P815" t="n">
        <v>0</v>
      </c>
      <c r="Q815" t="n">
        <v>1</v>
      </c>
      <c r="R815" s="2" t="inlineStr">
        <is>
          <t>Orange taggsvamp</t>
        </is>
      </c>
      <c r="S815">
        <f>HYPERLINK("https://klasma.github.io/Logging_2523/artfynd/A 1625-2024 artfynd.xlsx", "A 1625-2024")</f>
        <v/>
      </c>
      <c r="T815">
        <f>HYPERLINK("https://klasma.github.io/Logging_2523/kartor/A 1625-2024 karta.png", "A 1625-2024")</f>
        <v/>
      </c>
      <c r="V815">
        <f>HYPERLINK("https://klasma.github.io/Logging_2523/klagomål/A 1625-2024 FSC-klagomål.docx", "A 1625-2024")</f>
        <v/>
      </c>
      <c r="W815">
        <f>HYPERLINK("https://klasma.github.io/Logging_2523/klagomålsmail/A 1625-2024 FSC-klagomål mail.docx", "A 1625-2024")</f>
        <v/>
      </c>
      <c r="X815">
        <f>HYPERLINK("https://klasma.github.io/Logging_2523/tillsyn/A 1625-2024 tillsynsbegäran.docx", "A 1625-2024")</f>
        <v/>
      </c>
      <c r="Y815">
        <f>HYPERLINK("https://klasma.github.io/Logging_2523/tillsynsmail/A 1625-2024 tillsynsbegäran mail.docx", "A 1625-2024")</f>
        <v/>
      </c>
    </row>
    <row r="816" ht="15" customHeight="1">
      <c r="A816" t="inlineStr">
        <is>
          <t>A 2568-2024</t>
        </is>
      </c>
      <c r="B816" s="1" t="n">
        <v>45313</v>
      </c>
      <c r="C816" s="1" t="n">
        <v>45662</v>
      </c>
      <c r="D816" t="inlineStr">
        <is>
          <t>NORRBOTTENS LÄN</t>
        </is>
      </c>
      <c r="E816" t="inlineStr">
        <is>
          <t>BODEN</t>
        </is>
      </c>
      <c r="G816" t="n">
        <v>1.6</v>
      </c>
      <c r="H816" t="n">
        <v>0</v>
      </c>
      <c r="I816" t="n">
        <v>0</v>
      </c>
      <c r="J816" t="n">
        <v>1</v>
      </c>
      <c r="K816" t="n">
        <v>0</v>
      </c>
      <c r="L816" t="n">
        <v>0</v>
      </c>
      <c r="M816" t="n">
        <v>0</v>
      </c>
      <c r="N816" t="n">
        <v>0</v>
      </c>
      <c r="O816" t="n">
        <v>1</v>
      </c>
      <c r="P816" t="n">
        <v>0</v>
      </c>
      <c r="Q816" t="n">
        <v>1</v>
      </c>
      <c r="R816" s="2" t="inlineStr">
        <is>
          <t>Blå taggsvamp</t>
        </is>
      </c>
      <c r="S816">
        <f>HYPERLINK("https://klasma.github.io/Logging_2582/artfynd/A 2568-2024 artfynd.xlsx", "A 2568-2024")</f>
        <v/>
      </c>
      <c r="T816">
        <f>HYPERLINK("https://klasma.github.io/Logging_2582/kartor/A 2568-2024 karta.png", "A 2568-2024")</f>
        <v/>
      </c>
      <c r="V816">
        <f>HYPERLINK("https://klasma.github.io/Logging_2582/klagomål/A 2568-2024 FSC-klagomål.docx", "A 2568-2024")</f>
        <v/>
      </c>
      <c r="W816">
        <f>HYPERLINK("https://klasma.github.io/Logging_2582/klagomålsmail/A 2568-2024 FSC-klagomål mail.docx", "A 2568-2024")</f>
        <v/>
      </c>
      <c r="X816">
        <f>HYPERLINK("https://klasma.github.io/Logging_2582/tillsyn/A 2568-2024 tillsynsbegäran.docx", "A 2568-2024")</f>
        <v/>
      </c>
      <c r="Y816">
        <f>HYPERLINK("https://klasma.github.io/Logging_2582/tillsynsmail/A 2568-2024 tillsynsbegäran mail.docx", "A 2568-2024")</f>
        <v/>
      </c>
    </row>
    <row r="817" ht="15" customHeight="1">
      <c r="A817" t="inlineStr">
        <is>
          <t>A 4126-2024</t>
        </is>
      </c>
      <c r="B817" s="1" t="n">
        <v>45323</v>
      </c>
      <c r="C817" s="1" t="n">
        <v>45662</v>
      </c>
      <c r="D817" t="inlineStr">
        <is>
          <t>NORRBOTTENS LÄN</t>
        </is>
      </c>
      <c r="E817" t="inlineStr">
        <is>
          <t>PITEÅ</t>
        </is>
      </c>
      <c r="F817" t="inlineStr">
        <is>
          <t>Sveaskog</t>
        </is>
      </c>
      <c r="G817" t="n">
        <v>7.8</v>
      </c>
      <c r="H817" t="n">
        <v>0</v>
      </c>
      <c r="I817" t="n">
        <v>0</v>
      </c>
      <c r="J817" t="n">
        <v>1</v>
      </c>
      <c r="K817" t="n">
        <v>0</v>
      </c>
      <c r="L817" t="n">
        <v>0</v>
      </c>
      <c r="M817" t="n">
        <v>0</v>
      </c>
      <c r="N817" t="n">
        <v>0</v>
      </c>
      <c r="O817" t="n">
        <v>1</v>
      </c>
      <c r="P817" t="n">
        <v>0</v>
      </c>
      <c r="Q817" t="n">
        <v>1</v>
      </c>
      <c r="R817" s="2" t="inlineStr">
        <is>
          <t>Tallticka</t>
        </is>
      </c>
      <c r="S817">
        <f>HYPERLINK("https://klasma.github.io/Logging_2581/artfynd/A 4126-2024 artfynd.xlsx", "A 4126-2024")</f>
        <v/>
      </c>
      <c r="T817">
        <f>HYPERLINK("https://klasma.github.io/Logging_2581/kartor/A 4126-2024 karta.png", "A 4126-2024")</f>
        <v/>
      </c>
      <c r="V817">
        <f>HYPERLINK("https://klasma.github.io/Logging_2581/klagomål/A 4126-2024 FSC-klagomål.docx", "A 4126-2024")</f>
        <v/>
      </c>
      <c r="W817">
        <f>HYPERLINK("https://klasma.github.io/Logging_2581/klagomålsmail/A 4126-2024 FSC-klagomål mail.docx", "A 4126-2024")</f>
        <v/>
      </c>
      <c r="X817">
        <f>HYPERLINK("https://klasma.github.io/Logging_2581/tillsyn/A 4126-2024 tillsynsbegäran.docx", "A 4126-2024")</f>
        <v/>
      </c>
      <c r="Y817">
        <f>HYPERLINK("https://klasma.github.io/Logging_2581/tillsynsmail/A 4126-2024 tillsynsbegäran mail.docx", "A 4126-2024")</f>
        <v/>
      </c>
    </row>
    <row r="818" ht="15" customHeight="1">
      <c r="A818" t="inlineStr">
        <is>
          <t>A 4141-2024</t>
        </is>
      </c>
      <c r="B818" s="1" t="n">
        <v>45323</v>
      </c>
      <c r="C818" s="1" t="n">
        <v>45662</v>
      </c>
      <c r="D818" t="inlineStr">
        <is>
          <t>NORRBOTTENS LÄN</t>
        </is>
      </c>
      <c r="E818" t="inlineStr">
        <is>
          <t>LULEÅ</t>
        </is>
      </c>
      <c r="G818" t="n">
        <v>24</v>
      </c>
      <c r="H818" t="n">
        <v>1</v>
      </c>
      <c r="I818" t="n">
        <v>0</v>
      </c>
      <c r="J818" t="n">
        <v>1</v>
      </c>
      <c r="K818" t="n">
        <v>0</v>
      </c>
      <c r="L818" t="n">
        <v>0</v>
      </c>
      <c r="M818" t="n">
        <v>0</v>
      </c>
      <c r="N818" t="n">
        <v>0</v>
      </c>
      <c r="O818" t="n">
        <v>1</v>
      </c>
      <c r="P818" t="n">
        <v>0</v>
      </c>
      <c r="Q818" t="n">
        <v>1</v>
      </c>
      <c r="R818" s="2" t="inlineStr">
        <is>
          <t>Havsörn</t>
        </is>
      </c>
      <c r="S818">
        <f>HYPERLINK("https://klasma.github.io/Logging_2580/artfynd/A 4141-2024 artfynd.xlsx", "A 4141-2024")</f>
        <v/>
      </c>
      <c r="T818">
        <f>HYPERLINK("https://klasma.github.io/Logging_2580/kartor/A 4141-2024 karta.png", "A 4141-2024")</f>
        <v/>
      </c>
      <c r="V818">
        <f>HYPERLINK("https://klasma.github.io/Logging_2580/klagomål/A 4141-2024 FSC-klagomål.docx", "A 4141-2024")</f>
        <v/>
      </c>
      <c r="W818">
        <f>HYPERLINK("https://klasma.github.io/Logging_2580/klagomålsmail/A 4141-2024 FSC-klagomål mail.docx", "A 4141-2024")</f>
        <v/>
      </c>
      <c r="X818">
        <f>HYPERLINK("https://klasma.github.io/Logging_2580/tillsyn/A 4141-2024 tillsynsbegäran.docx", "A 4141-2024")</f>
        <v/>
      </c>
      <c r="Y818">
        <f>HYPERLINK("https://klasma.github.io/Logging_2580/tillsynsmail/A 4141-2024 tillsynsbegäran mail.docx", "A 4141-2024")</f>
        <v/>
      </c>
      <c r="Z818">
        <f>HYPERLINK("https://klasma.github.io/Logging_2580/fåglar/A 4141-2024 prioriterade fågelarter.docx", "A 4141-2024")</f>
        <v/>
      </c>
    </row>
    <row r="819" ht="15" customHeight="1">
      <c r="A819" t="inlineStr">
        <is>
          <t>A 4692-2024</t>
        </is>
      </c>
      <c r="B819" s="1" t="n">
        <v>45328</v>
      </c>
      <c r="C819" s="1" t="n">
        <v>45662</v>
      </c>
      <c r="D819" t="inlineStr">
        <is>
          <t>NORRBOTTENS LÄN</t>
        </is>
      </c>
      <c r="E819" t="inlineStr">
        <is>
          <t>LULEÅ</t>
        </is>
      </c>
      <c r="G819" t="n">
        <v>4</v>
      </c>
      <c r="H819" t="n">
        <v>1</v>
      </c>
      <c r="I819" t="n">
        <v>0</v>
      </c>
      <c r="J819" t="n">
        <v>0</v>
      </c>
      <c r="K819" t="n">
        <v>0</v>
      </c>
      <c r="L819" t="n">
        <v>0</v>
      </c>
      <c r="M819" t="n">
        <v>0</v>
      </c>
      <c r="N819" t="n">
        <v>0</v>
      </c>
      <c r="O819" t="n">
        <v>0</v>
      </c>
      <c r="P819" t="n">
        <v>0</v>
      </c>
      <c r="Q819" t="n">
        <v>1</v>
      </c>
      <c r="R819" s="2" t="inlineStr">
        <is>
          <t>Fläcknycklar</t>
        </is>
      </c>
      <c r="S819">
        <f>HYPERLINK("https://klasma.github.io/Logging_2580/artfynd/A 4692-2024 artfynd.xlsx", "A 4692-2024")</f>
        <v/>
      </c>
      <c r="T819">
        <f>HYPERLINK("https://klasma.github.io/Logging_2580/kartor/A 4692-2024 karta.png", "A 4692-2024")</f>
        <v/>
      </c>
      <c r="V819">
        <f>HYPERLINK("https://klasma.github.io/Logging_2580/klagomål/A 4692-2024 FSC-klagomål.docx", "A 4692-2024")</f>
        <v/>
      </c>
      <c r="W819">
        <f>HYPERLINK("https://klasma.github.io/Logging_2580/klagomålsmail/A 4692-2024 FSC-klagomål mail.docx", "A 4692-2024")</f>
        <v/>
      </c>
      <c r="X819">
        <f>HYPERLINK("https://klasma.github.io/Logging_2580/tillsyn/A 4692-2024 tillsynsbegäran.docx", "A 4692-2024")</f>
        <v/>
      </c>
      <c r="Y819">
        <f>HYPERLINK("https://klasma.github.io/Logging_2580/tillsynsmail/A 4692-2024 tillsynsbegäran mail.docx", "A 4692-2024")</f>
        <v/>
      </c>
    </row>
    <row r="820" ht="15" customHeight="1">
      <c r="A820" t="inlineStr">
        <is>
          <t>A 7558-2024</t>
        </is>
      </c>
      <c r="B820" s="1" t="n">
        <v>45348</v>
      </c>
      <c r="C820" s="1" t="n">
        <v>45662</v>
      </c>
      <c r="D820" t="inlineStr">
        <is>
          <t>NORRBOTTENS LÄN</t>
        </is>
      </c>
      <c r="E820" t="inlineStr">
        <is>
          <t>PITEÅ</t>
        </is>
      </c>
      <c r="F820" t="inlineStr">
        <is>
          <t>Sveaskog</t>
        </is>
      </c>
      <c r="G820" t="n">
        <v>14.9</v>
      </c>
      <c r="H820" t="n">
        <v>1</v>
      </c>
      <c r="I820" t="n">
        <v>1</v>
      </c>
      <c r="J820" t="n">
        <v>0</v>
      </c>
      <c r="K820" t="n">
        <v>0</v>
      </c>
      <c r="L820" t="n">
        <v>0</v>
      </c>
      <c r="M820" t="n">
        <v>0</v>
      </c>
      <c r="N820" t="n">
        <v>0</v>
      </c>
      <c r="O820" t="n">
        <v>0</v>
      </c>
      <c r="P820" t="n">
        <v>0</v>
      </c>
      <c r="Q820" t="n">
        <v>1</v>
      </c>
      <c r="R820" s="2" t="inlineStr">
        <is>
          <t>Plattlummer</t>
        </is>
      </c>
      <c r="S820">
        <f>HYPERLINK("https://klasma.github.io/Logging_2581/artfynd/A 7558-2024 artfynd.xlsx", "A 7558-2024")</f>
        <v/>
      </c>
      <c r="T820">
        <f>HYPERLINK("https://klasma.github.io/Logging_2581/kartor/A 7558-2024 karta.png", "A 7558-2024")</f>
        <v/>
      </c>
      <c r="V820">
        <f>HYPERLINK("https://klasma.github.io/Logging_2581/klagomål/A 7558-2024 FSC-klagomål.docx", "A 7558-2024")</f>
        <v/>
      </c>
      <c r="W820">
        <f>HYPERLINK("https://klasma.github.io/Logging_2581/klagomålsmail/A 7558-2024 FSC-klagomål mail.docx", "A 7558-2024")</f>
        <v/>
      </c>
      <c r="X820">
        <f>HYPERLINK("https://klasma.github.io/Logging_2581/tillsyn/A 7558-2024 tillsynsbegäran.docx", "A 7558-2024")</f>
        <v/>
      </c>
      <c r="Y820">
        <f>HYPERLINK("https://klasma.github.io/Logging_2581/tillsynsmail/A 7558-2024 tillsynsbegäran mail.docx", "A 7558-2024")</f>
        <v/>
      </c>
    </row>
    <row r="821" ht="15" customHeight="1">
      <c r="A821" t="inlineStr">
        <is>
          <t>A 8985-2024</t>
        </is>
      </c>
      <c r="B821" s="1" t="n">
        <v>45356</v>
      </c>
      <c r="C821" s="1" t="n">
        <v>45662</v>
      </c>
      <c r="D821" t="inlineStr">
        <is>
          <t>NORRBOTTENS LÄN</t>
        </is>
      </c>
      <c r="E821" t="inlineStr">
        <is>
          <t>PAJALA</t>
        </is>
      </c>
      <c r="G821" t="n">
        <v>16.2</v>
      </c>
      <c r="H821" t="n">
        <v>1</v>
      </c>
      <c r="I821" t="n">
        <v>0</v>
      </c>
      <c r="J821" t="n">
        <v>0</v>
      </c>
      <c r="K821" t="n">
        <v>0</v>
      </c>
      <c r="L821" t="n">
        <v>0</v>
      </c>
      <c r="M821" t="n">
        <v>0</v>
      </c>
      <c r="N821" t="n">
        <v>0</v>
      </c>
      <c r="O821" t="n">
        <v>0</v>
      </c>
      <c r="P821" t="n">
        <v>0</v>
      </c>
      <c r="Q821" t="n">
        <v>1</v>
      </c>
      <c r="R821" s="2" t="inlineStr">
        <is>
          <t>Fläcknycklar</t>
        </is>
      </c>
      <c r="S821">
        <f>HYPERLINK("https://klasma.github.io/Logging_2521/artfynd/A 8985-2024 artfynd.xlsx", "A 8985-2024")</f>
        <v/>
      </c>
      <c r="T821">
        <f>HYPERLINK("https://klasma.github.io/Logging_2521/kartor/A 8985-2024 karta.png", "A 8985-2024")</f>
        <v/>
      </c>
      <c r="V821">
        <f>HYPERLINK("https://klasma.github.io/Logging_2521/klagomål/A 8985-2024 FSC-klagomål.docx", "A 8985-2024")</f>
        <v/>
      </c>
      <c r="W821">
        <f>HYPERLINK("https://klasma.github.io/Logging_2521/klagomålsmail/A 8985-2024 FSC-klagomål mail.docx", "A 8985-2024")</f>
        <v/>
      </c>
      <c r="X821">
        <f>HYPERLINK("https://klasma.github.io/Logging_2521/tillsyn/A 8985-2024 tillsynsbegäran.docx", "A 8985-2024")</f>
        <v/>
      </c>
      <c r="Y821">
        <f>HYPERLINK("https://klasma.github.io/Logging_2521/tillsynsmail/A 8985-2024 tillsynsbegäran mail.docx", "A 8985-2024")</f>
        <v/>
      </c>
    </row>
    <row r="822" ht="15" customHeight="1">
      <c r="A822" t="inlineStr">
        <is>
          <t>A 9007-2024</t>
        </is>
      </c>
      <c r="B822" s="1" t="n">
        <v>45356</v>
      </c>
      <c r="C822" s="1" t="n">
        <v>45662</v>
      </c>
      <c r="D822" t="inlineStr">
        <is>
          <t>NORRBOTTENS LÄN</t>
        </is>
      </c>
      <c r="E822" t="inlineStr">
        <is>
          <t>PITEÅ</t>
        </is>
      </c>
      <c r="G822" t="n">
        <v>1.6</v>
      </c>
      <c r="H822" t="n">
        <v>1</v>
      </c>
      <c r="I822" t="n">
        <v>0</v>
      </c>
      <c r="J822" t="n">
        <v>0</v>
      </c>
      <c r="K822" t="n">
        <v>1</v>
      </c>
      <c r="L822" t="n">
        <v>0</v>
      </c>
      <c r="M822" t="n">
        <v>0</v>
      </c>
      <c r="N822" t="n">
        <v>0</v>
      </c>
      <c r="O822" t="n">
        <v>1</v>
      </c>
      <c r="P822" t="n">
        <v>1</v>
      </c>
      <c r="Q822" t="n">
        <v>1</v>
      </c>
      <c r="R822" s="2" t="inlineStr">
        <is>
          <t>Norna</t>
        </is>
      </c>
      <c r="S822">
        <f>HYPERLINK("https://klasma.github.io/Logging_2581/artfynd/A 9007-2024 artfynd.xlsx", "A 9007-2024")</f>
        <v/>
      </c>
      <c r="T822">
        <f>HYPERLINK("https://klasma.github.io/Logging_2581/kartor/A 9007-2024 karta.png", "A 9007-2024")</f>
        <v/>
      </c>
      <c r="V822">
        <f>HYPERLINK("https://klasma.github.io/Logging_2581/klagomål/A 9007-2024 FSC-klagomål.docx", "A 9007-2024")</f>
        <v/>
      </c>
      <c r="W822">
        <f>HYPERLINK("https://klasma.github.io/Logging_2581/klagomålsmail/A 9007-2024 FSC-klagomål mail.docx", "A 9007-2024")</f>
        <v/>
      </c>
      <c r="X822">
        <f>HYPERLINK("https://klasma.github.io/Logging_2581/tillsyn/A 9007-2024 tillsynsbegäran.docx", "A 9007-2024")</f>
        <v/>
      </c>
      <c r="Y822">
        <f>HYPERLINK("https://klasma.github.io/Logging_2581/tillsynsmail/A 9007-2024 tillsynsbegäran mail.docx", "A 9007-2024")</f>
        <v/>
      </c>
    </row>
    <row r="823" ht="15" customHeight="1">
      <c r="A823" t="inlineStr">
        <is>
          <t>A 9757-2024</t>
        </is>
      </c>
      <c r="B823" s="1" t="n">
        <v>45362</v>
      </c>
      <c r="C823" s="1" t="n">
        <v>45662</v>
      </c>
      <c r="D823" t="inlineStr">
        <is>
          <t>NORRBOTTENS LÄN</t>
        </is>
      </c>
      <c r="E823" t="inlineStr">
        <is>
          <t>PAJALA</t>
        </is>
      </c>
      <c r="F823" t="inlineStr">
        <is>
          <t>Allmännings- och besparingsskogar</t>
        </is>
      </c>
      <c r="G823" t="n">
        <v>38.1</v>
      </c>
      <c r="H823" t="n">
        <v>1</v>
      </c>
      <c r="I823" t="n">
        <v>0</v>
      </c>
      <c r="J823" t="n">
        <v>0</v>
      </c>
      <c r="K823" t="n">
        <v>0</v>
      </c>
      <c r="L823" t="n">
        <v>0</v>
      </c>
      <c r="M823" t="n">
        <v>0</v>
      </c>
      <c r="N823" t="n">
        <v>0</v>
      </c>
      <c r="O823" t="n">
        <v>0</v>
      </c>
      <c r="P823" t="n">
        <v>0</v>
      </c>
      <c r="Q823" t="n">
        <v>1</v>
      </c>
      <c r="R823" s="2" t="inlineStr">
        <is>
          <t>Fläcknycklar</t>
        </is>
      </c>
      <c r="S823">
        <f>HYPERLINK("https://klasma.github.io/Logging_2521/artfynd/A 9757-2024 artfynd.xlsx", "A 9757-2024")</f>
        <v/>
      </c>
      <c r="T823">
        <f>HYPERLINK("https://klasma.github.io/Logging_2521/kartor/A 9757-2024 karta.png", "A 9757-2024")</f>
        <v/>
      </c>
      <c r="V823">
        <f>HYPERLINK("https://klasma.github.io/Logging_2521/klagomål/A 9757-2024 FSC-klagomål.docx", "A 9757-2024")</f>
        <v/>
      </c>
      <c r="W823">
        <f>HYPERLINK("https://klasma.github.io/Logging_2521/klagomålsmail/A 9757-2024 FSC-klagomål mail.docx", "A 9757-2024")</f>
        <v/>
      </c>
      <c r="X823">
        <f>HYPERLINK("https://klasma.github.io/Logging_2521/tillsyn/A 9757-2024 tillsynsbegäran.docx", "A 9757-2024")</f>
        <v/>
      </c>
      <c r="Y823">
        <f>HYPERLINK("https://klasma.github.io/Logging_2521/tillsynsmail/A 9757-2024 tillsynsbegäran mail.docx", "A 9757-2024")</f>
        <v/>
      </c>
    </row>
    <row r="824" ht="15" customHeight="1">
      <c r="A824" t="inlineStr">
        <is>
          <t>A 11555-2024</t>
        </is>
      </c>
      <c r="B824" s="1" t="n">
        <v>45373</v>
      </c>
      <c r="C824" s="1" t="n">
        <v>45662</v>
      </c>
      <c r="D824" t="inlineStr">
        <is>
          <t>NORRBOTTENS LÄN</t>
        </is>
      </c>
      <c r="E824" t="inlineStr">
        <is>
          <t>BODEN</t>
        </is>
      </c>
      <c r="F824" t="inlineStr">
        <is>
          <t>SCA</t>
        </is>
      </c>
      <c r="G824" t="n">
        <v>1.6</v>
      </c>
      <c r="H824" t="n">
        <v>1</v>
      </c>
      <c r="I824" t="n">
        <v>0</v>
      </c>
      <c r="J824" t="n">
        <v>0</v>
      </c>
      <c r="K824" t="n">
        <v>0</v>
      </c>
      <c r="L824" t="n">
        <v>0</v>
      </c>
      <c r="M824" t="n">
        <v>0</v>
      </c>
      <c r="N824" t="n">
        <v>0</v>
      </c>
      <c r="O824" t="n">
        <v>0</v>
      </c>
      <c r="P824" t="n">
        <v>0</v>
      </c>
      <c r="Q824" t="n">
        <v>1</v>
      </c>
      <c r="R824" s="2" t="inlineStr">
        <is>
          <t>Grön flodtrollslända</t>
        </is>
      </c>
      <c r="S824">
        <f>HYPERLINK("https://klasma.github.io/Logging_2582/artfynd/A 11555-2024 artfynd.xlsx", "A 11555-2024")</f>
        <v/>
      </c>
      <c r="T824">
        <f>HYPERLINK("https://klasma.github.io/Logging_2582/kartor/A 11555-2024 karta.png", "A 11555-2024")</f>
        <v/>
      </c>
      <c r="V824">
        <f>HYPERLINK("https://klasma.github.io/Logging_2582/klagomål/A 11555-2024 FSC-klagomål.docx", "A 11555-2024")</f>
        <v/>
      </c>
      <c r="W824">
        <f>HYPERLINK("https://klasma.github.io/Logging_2582/klagomålsmail/A 11555-2024 FSC-klagomål mail.docx", "A 11555-2024")</f>
        <v/>
      </c>
      <c r="X824">
        <f>HYPERLINK("https://klasma.github.io/Logging_2582/tillsyn/A 11555-2024 tillsynsbegäran.docx", "A 11555-2024")</f>
        <v/>
      </c>
      <c r="Y824">
        <f>HYPERLINK("https://klasma.github.io/Logging_2582/tillsynsmail/A 11555-2024 tillsynsbegäran mail.docx", "A 11555-2024")</f>
        <v/>
      </c>
    </row>
    <row r="825" ht="15" customHeight="1">
      <c r="A825" t="inlineStr">
        <is>
          <t>A 12224-2024</t>
        </is>
      </c>
      <c r="B825" s="1" t="n">
        <v>45378</v>
      </c>
      <c r="C825" s="1" t="n">
        <v>45662</v>
      </c>
      <c r="D825" t="inlineStr">
        <is>
          <t>NORRBOTTENS LÄN</t>
        </is>
      </c>
      <c r="E825" t="inlineStr">
        <is>
          <t>GÄLLIVARE</t>
        </is>
      </c>
      <c r="F825" t="inlineStr">
        <is>
          <t>Sveaskog</t>
        </is>
      </c>
      <c r="G825" t="n">
        <v>28.6</v>
      </c>
      <c r="H825" t="n">
        <v>0</v>
      </c>
      <c r="I825" t="n">
        <v>0</v>
      </c>
      <c r="J825" t="n">
        <v>1</v>
      </c>
      <c r="K825" t="n">
        <v>0</v>
      </c>
      <c r="L825" t="n">
        <v>0</v>
      </c>
      <c r="M825" t="n">
        <v>0</v>
      </c>
      <c r="N825" t="n">
        <v>0</v>
      </c>
      <c r="O825" t="n">
        <v>1</v>
      </c>
      <c r="P825" t="n">
        <v>0</v>
      </c>
      <c r="Q825" t="n">
        <v>1</v>
      </c>
      <c r="R825" s="2" t="inlineStr">
        <is>
          <t>Garnlav</t>
        </is>
      </c>
      <c r="S825">
        <f>HYPERLINK("https://klasma.github.io/Logging_2523/artfynd/A 12224-2024 artfynd.xlsx", "A 12224-2024")</f>
        <v/>
      </c>
      <c r="T825">
        <f>HYPERLINK("https://klasma.github.io/Logging_2523/kartor/A 12224-2024 karta.png", "A 12224-2024")</f>
        <v/>
      </c>
      <c r="V825">
        <f>HYPERLINK("https://klasma.github.io/Logging_2523/klagomål/A 12224-2024 FSC-klagomål.docx", "A 12224-2024")</f>
        <v/>
      </c>
      <c r="W825">
        <f>HYPERLINK("https://klasma.github.io/Logging_2523/klagomålsmail/A 12224-2024 FSC-klagomål mail.docx", "A 12224-2024")</f>
        <v/>
      </c>
      <c r="X825">
        <f>HYPERLINK("https://klasma.github.io/Logging_2523/tillsyn/A 12224-2024 tillsynsbegäran.docx", "A 12224-2024")</f>
        <v/>
      </c>
      <c r="Y825">
        <f>HYPERLINK("https://klasma.github.io/Logging_2523/tillsynsmail/A 12224-2024 tillsynsbegäran mail.docx", "A 12224-2024")</f>
        <v/>
      </c>
    </row>
    <row r="826" ht="15" customHeight="1">
      <c r="A826" t="inlineStr">
        <is>
          <t>A 12462-2024</t>
        </is>
      </c>
      <c r="B826" s="1" t="n">
        <v>45378</v>
      </c>
      <c r="C826" s="1" t="n">
        <v>45662</v>
      </c>
      <c r="D826" t="inlineStr">
        <is>
          <t>NORRBOTTENS LÄN</t>
        </is>
      </c>
      <c r="E826" t="inlineStr">
        <is>
          <t>LULEÅ</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HYPERLINK("https://klasma.github.io/Logging_2580/artfynd/A 12462-2024 artfynd.xlsx", "A 12462-2024")</f>
        <v/>
      </c>
      <c r="T826">
        <f>HYPERLINK("https://klasma.github.io/Logging_2580/kartor/A 12462-2024 karta.png", "A 12462-2024")</f>
        <v/>
      </c>
      <c r="V826">
        <f>HYPERLINK("https://klasma.github.io/Logging_2580/klagomål/A 12462-2024 FSC-klagomål.docx", "A 12462-2024")</f>
        <v/>
      </c>
      <c r="W826">
        <f>HYPERLINK("https://klasma.github.io/Logging_2580/klagomålsmail/A 12462-2024 FSC-klagomål mail.docx", "A 12462-2024")</f>
        <v/>
      </c>
      <c r="X826">
        <f>HYPERLINK("https://klasma.github.io/Logging_2580/tillsyn/A 12462-2024 tillsynsbegäran.docx", "A 12462-2024")</f>
        <v/>
      </c>
      <c r="Y826">
        <f>HYPERLINK("https://klasma.github.io/Logging_2580/tillsynsmail/A 12462-2024 tillsynsbegäran mail.docx", "A 12462-2024")</f>
        <v/>
      </c>
    </row>
    <row r="827" ht="15" customHeight="1">
      <c r="A827" t="inlineStr">
        <is>
          <t>A 12522-2024</t>
        </is>
      </c>
      <c r="B827" s="1" t="n">
        <v>45379</v>
      </c>
      <c r="C827" s="1" t="n">
        <v>45662</v>
      </c>
      <c r="D827" t="inlineStr">
        <is>
          <t>NORRBOTTENS LÄN</t>
        </is>
      </c>
      <c r="E827" t="inlineStr">
        <is>
          <t>GÄLLIVARE</t>
        </is>
      </c>
      <c r="F827" t="inlineStr">
        <is>
          <t>Sveaskog</t>
        </is>
      </c>
      <c r="G827" t="n">
        <v>27.8</v>
      </c>
      <c r="H827" t="n">
        <v>1</v>
      </c>
      <c r="I827" t="n">
        <v>0</v>
      </c>
      <c r="J827" t="n">
        <v>0</v>
      </c>
      <c r="K827" t="n">
        <v>1</v>
      </c>
      <c r="L827" t="n">
        <v>0</v>
      </c>
      <c r="M827" t="n">
        <v>0</v>
      </c>
      <c r="N827" t="n">
        <v>0</v>
      </c>
      <c r="O827" t="n">
        <v>1</v>
      </c>
      <c r="P827" t="n">
        <v>1</v>
      </c>
      <c r="Q827" t="n">
        <v>1</v>
      </c>
      <c r="R827" s="2" t="inlineStr">
        <is>
          <t>Doftticka</t>
        </is>
      </c>
      <c r="S827">
        <f>HYPERLINK("https://klasma.github.io/Logging_2523/artfynd/A 12522-2024 artfynd.xlsx", "A 12522-2024")</f>
        <v/>
      </c>
      <c r="T827">
        <f>HYPERLINK("https://klasma.github.io/Logging_2523/kartor/A 12522-2024 karta.png", "A 12522-2024")</f>
        <v/>
      </c>
      <c r="V827">
        <f>HYPERLINK("https://klasma.github.io/Logging_2523/klagomål/A 12522-2024 FSC-klagomål.docx", "A 12522-2024")</f>
        <v/>
      </c>
      <c r="W827">
        <f>HYPERLINK("https://klasma.github.io/Logging_2523/klagomålsmail/A 12522-2024 FSC-klagomål mail.docx", "A 12522-2024")</f>
        <v/>
      </c>
      <c r="X827">
        <f>HYPERLINK("https://klasma.github.io/Logging_2523/tillsyn/A 12522-2024 tillsynsbegäran.docx", "A 12522-2024")</f>
        <v/>
      </c>
      <c r="Y827">
        <f>HYPERLINK("https://klasma.github.io/Logging_2523/tillsynsmail/A 12522-2024 tillsynsbegäran mail.docx", "A 12522-2024")</f>
        <v/>
      </c>
    </row>
    <row r="828" ht="15" customHeight="1">
      <c r="A828" t="inlineStr">
        <is>
          <t>A 16008-2024</t>
        </is>
      </c>
      <c r="B828" s="1" t="n">
        <v>45405</v>
      </c>
      <c r="C828" s="1" t="n">
        <v>45662</v>
      </c>
      <c r="D828" t="inlineStr">
        <is>
          <t>NORRBOTTENS LÄN</t>
        </is>
      </c>
      <c r="E828" t="inlineStr">
        <is>
          <t>PAJALA</t>
        </is>
      </c>
      <c r="G828" t="n">
        <v>39.9</v>
      </c>
      <c r="H828" t="n">
        <v>0</v>
      </c>
      <c r="I828" t="n">
        <v>1</v>
      </c>
      <c r="J828" t="n">
        <v>0</v>
      </c>
      <c r="K828" t="n">
        <v>0</v>
      </c>
      <c r="L828" t="n">
        <v>0</v>
      </c>
      <c r="M828" t="n">
        <v>0</v>
      </c>
      <c r="N828" t="n">
        <v>0</v>
      </c>
      <c r="O828" t="n">
        <v>0</v>
      </c>
      <c r="P828" t="n">
        <v>0</v>
      </c>
      <c r="Q828" t="n">
        <v>1</v>
      </c>
      <c r="R828" s="2" t="inlineStr">
        <is>
          <t>Grönpyrola</t>
        </is>
      </c>
      <c r="S828">
        <f>HYPERLINK("https://klasma.github.io/Logging_2521/artfynd/A 16008-2024 artfynd.xlsx", "A 16008-2024")</f>
        <v/>
      </c>
      <c r="T828">
        <f>HYPERLINK("https://klasma.github.io/Logging_2521/kartor/A 16008-2024 karta.png", "A 16008-2024")</f>
        <v/>
      </c>
      <c r="V828">
        <f>HYPERLINK("https://klasma.github.io/Logging_2521/klagomål/A 16008-2024 FSC-klagomål.docx", "A 16008-2024")</f>
        <v/>
      </c>
      <c r="W828">
        <f>HYPERLINK("https://klasma.github.io/Logging_2521/klagomålsmail/A 16008-2024 FSC-klagomål mail.docx", "A 16008-2024")</f>
        <v/>
      </c>
      <c r="X828">
        <f>HYPERLINK("https://klasma.github.io/Logging_2521/tillsyn/A 16008-2024 tillsynsbegäran.docx", "A 16008-2024")</f>
        <v/>
      </c>
      <c r="Y828">
        <f>HYPERLINK("https://klasma.github.io/Logging_2521/tillsynsmail/A 16008-2024 tillsynsbegäran mail.docx", "A 16008-2024")</f>
        <v/>
      </c>
    </row>
    <row r="829" ht="15" customHeight="1">
      <c r="A829" t="inlineStr">
        <is>
          <t>A 16457-2024</t>
        </is>
      </c>
      <c r="B829" s="1" t="n">
        <v>45408</v>
      </c>
      <c r="C829" s="1" t="n">
        <v>45662</v>
      </c>
      <c r="D829" t="inlineStr">
        <is>
          <t>NORRBOTTENS LÄN</t>
        </is>
      </c>
      <c r="E829" t="inlineStr">
        <is>
          <t>ÖVERTORNEÅ</t>
        </is>
      </c>
      <c r="G829" t="n">
        <v>4.7</v>
      </c>
      <c r="H829" t="n">
        <v>1</v>
      </c>
      <c r="I829" t="n">
        <v>0</v>
      </c>
      <c r="J829" t="n">
        <v>0</v>
      </c>
      <c r="K829" t="n">
        <v>0</v>
      </c>
      <c r="L829" t="n">
        <v>0</v>
      </c>
      <c r="M829" t="n">
        <v>0</v>
      </c>
      <c r="N829" t="n">
        <v>0</v>
      </c>
      <c r="O829" t="n">
        <v>0</v>
      </c>
      <c r="P829" t="n">
        <v>0</v>
      </c>
      <c r="Q829" t="n">
        <v>1</v>
      </c>
      <c r="R829" s="2" t="inlineStr">
        <is>
          <t>Orre</t>
        </is>
      </c>
      <c r="S829">
        <f>HYPERLINK("https://klasma.github.io/Logging_2518/artfynd/A 16457-2024 artfynd.xlsx", "A 16457-2024")</f>
        <v/>
      </c>
      <c r="T829">
        <f>HYPERLINK("https://klasma.github.io/Logging_2518/kartor/A 16457-2024 karta.png", "A 16457-2024")</f>
        <v/>
      </c>
      <c r="V829">
        <f>HYPERLINK("https://klasma.github.io/Logging_2518/klagomål/A 16457-2024 FSC-klagomål.docx", "A 16457-2024")</f>
        <v/>
      </c>
      <c r="W829">
        <f>HYPERLINK("https://klasma.github.io/Logging_2518/klagomålsmail/A 16457-2024 FSC-klagomål mail.docx", "A 16457-2024")</f>
        <v/>
      </c>
      <c r="X829">
        <f>HYPERLINK("https://klasma.github.io/Logging_2518/tillsyn/A 16457-2024 tillsynsbegäran.docx", "A 16457-2024")</f>
        <v/>
      </c>
      <c r="Y829">
        <f>HYPERLINK("https://klasma.github.io/Logging_2518/tillsynsmail/A 16457-2024 tillsynsbegäran mail.docx", "A 16457-2024")</f>
        <v/>
      </c>
      <c r="Z829">
        <f>HYPERLINK("https://klasma.github.io/Logging_2518/fåglar/A 16457-2024 prioriterade fågelarter.docx", "A 16457-2024")</f>
        <v/>
      </c>
    </row>
    <row r="830" ht="15" customHeight="1">
      <c r="A830" t="inlineStr">
        <is>
          <t>A 18043-2024</t>
        </is>
      </c>
      <c r="B830" s="1" t="n">
        <v>45420</v>
      </c>
      <c r="C830" s="1" t="n">
        <v>45662</v>
      </c>
      <c r="D830" t="inlineStr">
        <is>
          <t>NORRBOTTENS LÄN</t>
        </is>
      </c>
      <c r="E830" t="inlineStr">
        <is>
          <t>GÄLLIVARE</t>
        </is>
      </c>
      <c r="G830" t="n">
        <v>35.5</v>
      </c>
      <c r="H830" t="n">
        <v>0</v>
      </c>
      <c r="I830" t="n">
        <v>0</v>
      </c>
      <c r="J830" t="n">
        <v>1</v>
      </c>
      <c r="K830" t="n">
        <v>0</v>
      </c>
      <c r="L830" t="n">
        <v>0</v>
      </c>
      <c r="M830" t="n">
        <v>0</v>
      </c>
      <c r="N830" t="n">
        <v>0</v>
      </c>
      <c r="O830" t="n">
        <v>1</v>
      </c>
      <c r="P830" t="n">
        <v>0</v>
      </c>
      <c r="Q830" t="n">
        <v>1</v>
      </c>
      <c r="R830" s="2" t="inlineStr">
        <is>
          <t>Garnlav</t>
        </is>
      </c>
      <c r="S830">
        <f>HYPERLINK("https://klasma.github.io/Logging_2523/artfynd/A 18043-2024 artfynd.xlsx", "A 18043-2024")</f>
        <v/>
      </c>
      <c r="T830">
        <f>HYPERLINK("https://klasma.github.io/Logging_2523/kartor/A 18043-2024 karta.png", "A 18043-2024")</f>
        <v/>
      </c>
      <c r="V830">
        <f>HYPERLINK("https://klasma.github.io/Logging_2523/klagomål/A 18043-2024 FSC-klagomål.docx", "A 18043-2024")</f>
        <v/>
      </c>
      <c r="W830">
        <f>HYPERLINK("https://klasma.github.io/Logging_2523/klagomålsmail/A 18043-2024 FSC-klagomål mail.docx", "A 18043-2024")</f>
        <v/>
      </c>
      <c r="X830">
        <f>HYPERLINK("https://klasma.github.io/Logging_2523/tillsyn/A 18043-2024 tillsynsbegäran.docx", "A 18043-2024")</f>
        <v/>
      </c>
      <c r="Y830">
        <f>HYPERLINK("https://klasma.github.io/Logging_2523/tillsynsmail/A 18043-2024 tillsynsbegäran mail.docx", "A 18043-2024")</f>
        <v/>
      </c>
    </row>
    <row r="831" ht="15" customHeight="1">
      <c r="A831" t="inlineStr">
        <is>
          <t>A 18671-2024</t>
        </is>
      </c>
      <c r="B831" s="1" t="n">
        <v>45426</v>
      </c>
      <c r="C831" s="1" t="n">
        <v>45662</v>
      </c>
      <c r="D831" t="inlineStr">
        <is>
          <t>NORRBOTTENS LÄN</t>
        </is>
      </c>
      <c r="E831" t="inlineStr">
        <is>
          <t>ÖVERTORNEÅ</t>
        </is>
      </c>
      <c r="F831" t="inlineStr">
        <is>
          <t>Sveaskog</t>
        </is>
      </c>
      <c r="G831" t="n">
        <v>33.8</v>
      </c>
      <c r="H831" t="n">
        <v>0</v>
      </c>
      <c r="I831" t="n">
        <v>0</v>
      </c>
      <c r="J831" t="n">
        <v>1</v>
      </c>
      <c r="K831" t="n">
        <v>0</v>
      </c>
      <c r="L831" t="n">
        <v>0</v>
      </c>
      <c r="M831" t="n">
        <v>0</v>
      </c>
      <c r="N831" t="n">
        <v>0</v>
      </c>
      <c r="O831" t="n">
        <v>1</v>
      </c>
      <c r="P831" t="n">
        <v>0</v>
      </c>
      <c r="Q831" t="n">
        <v>1</v>
      </c>
      <c r="R831" s="2" t="inlineStr">
        <is>
          <t>Röd trolldruva</t>
        </is>
      </c>
      <c r="S831">
        <f>HYPERLINK("https://klasma.github.io/Logging_2518/artfynd/A 18671-2024 artfynd.xlsx", "A 18671-2024")</f>
        <v/>
      </c>
      <c r="T831">
        <f>HYPERLINK("https://klasma.github.io/Logging_2518/kartor/A 18671-2024 karta.png", "A 18671-2024")</f>
        <v/>
      </c>
      <c r="V831">
        <f>HYPERLINK("https://klasma.github.io/Logging_2518/klagomål/A 18671-2024 FSC-klagomål.docx", "A 18671-2024")</f>
        <v/>
      </c>
      <c r="W831">
        <f>HYPERLINK("https://klasma.github.io/Logging_2518/klagomålsmail/A 18671-2024 FSC-klagomål mail.docx", "A 18671-2024")</f>
        <v/>
      </c>
      <c r="X831">
        <f>HYPERLINK("https://klasma.github.io/Logging_2518/tillsyn/A 18671-2024 tillsynsbegäran.docx", "A 18671-2024")</f>
        <v/>
      </c>
      <c r="Y831">
        <f>HYPERLINK("https://klasma.github.io/Logging_2518/tillsynsmail/A 18671-2024 tillsynsbegäran mail.docx", "A 18671-2024")</f>
        <v/>
      </c>
    </row>
    <row r="832" ht="15" customHeight="1">
      <c r="A832" t="inlineStr">
        <is>
          <t>A 19552-2024</t>
        </is>
      </c>
      <c r="B832" s="1" t="n">
        <v>45429</v>
      </c>
      <c r="C832" s="1" t="n">
        <v>45662</v>
      </c>
      <c r="D832" t="inlineStr">
        <is>
          <t>NORRBOTTENS LÄN</t>
        </is>
      </c>
      <c r="E832" t="inlineStr">
        <is>
          <t>LULEÅ</t>
        </is>
      </c>
      <c r="G832" t="n">
        <v>0.7</v>
      </c>
      <c r="H832" t="n">
        <v>0</v>
      </c>
      <c r="I832" t="n">
        <v>0</v>
      </c>
      <c r="J832" t="n">
        <v>0</v>
      </c>
      <c r="K832" t="n">
        <v>1</v>
      </c>
      <c r="L832" t="n">
        <v>0</v>
      </c>
      <c r="M832" t="n">
        <v>0</v>
      </c>
      <c r="N832" t="n">
        <v>0</v>
      </c>
      <c r="O832" t="n">
        <v>1</v>
      </c>
      <c r="P832" t="n">
        <v>1</v>
      </c>
      <c r="Q832" t="n">
        <v>1</v>
      </c>
      <c r="R832" s="2" t="inlineStr">
        <is>
          <t>Smalfotad taggsvamp</t>
        </is>
      </c>
      <c r="S832">
        <f>HYPERLINK("https://klasma.github.io/Logging_2580/artfynd/A 19552-2024 artfynd.xlsx", "A 19552-2024")</f>
        <v/>
      </c>
      <c r="T832">
        <f>HYPERLINK("https://klasma.github.io/Logging_2580/kartor/A 19552-2024 karta.png", "A 19552-2024")</f>
        <v/>
      </c>
      <c r="V832">
        <f>HYPERLINK("https://klasma.github.io/Logging_2580/klagomål/A 19552-2024 FSC-klagomål.docx", "A 19552-2024")</f>
        <v/>
      </c>
      <c r="W832">
        <f>HYPERLINK("https://klasma.github.io/Logging_2580/klagomålsmail/A 19552-2024 FSC-klagomål mail.docx", "A 19552-2024")</f>
        <v/>
      </c>
      <c r="X832">
        <f>HYPERLINK("https://klasma.github.io/Logging_2580/tillsyn/A 19552-2024 tillsynsbegäran.docx", "A 19552-2024")</f>
        <v/>
      </c>
      <c r="Y832">
        <f>HYPERLINK("https://klasma.github.io/Logging_2580/tillsynsmail/A 19552-2024 tillsynsbegäran mail.docx", "A 19552-2024")</f>
        <v/>
      </c>
    </row>
    <row r="833" ht="15" customHeight="1">
      <c r="A833" t="inlineStr">
        <is>
          <t>A 20087-2024</t>
        </is>
      </c>
      <c r="B833" s="1" t="n">
        <v>45434</v>
      </c>
      <c r="C833" s="1" t="n">
        <v>45662</v>
      </c>
      <c r="D833" t="inlineStr">
        <is>
          <t>NORRBOTTENS LÄN</t>
        </is>
      </c>
      <c r="E833" t="inlineStr">
        <is>
          <t>PITEÅ</t>
        </is>
      </c>
      <c r="G833" t="n">
        <v>4.3</v>
      </c>
      <c r="H833" t="n">
        <v>0</v>
      </c>
      <c r="I833" t="n">
        <v>0</v>
      </c>
      <c r="J833" t="n">
        <v>1</v>
      </c>
      <c r="K833" t="n">
        <v>0</v>
      </c>
      <c r="L833" t="n">
        <v>0</v>
      </c>
      <c r="M833" t="n">
        <v>0</v>
      </c>
      <c r="N833" t="n">
        <v>0</v>
      </c>
      <c r="O833" t="n">
        <v>1</v>
      </c>
      <c r="P833" t="n">
        <v>0</v>
      </c>
      <c r="Q833" t="n">
        <v>1</v>
      </c>
      <c r="R833" s="2" t="inlineStr">
        <is>
          <t>Gammelgransskål</t>
        </is>
      </c>
      <c r="S833">
        <f>HYPERLINK("https://klasma.github.io/Logging_2581/artfynd/A 20087-2024 artfynd.xlsx", "A 20087-2024")</f>
        <v/>
      </c>
      <c r="T833">
        <f>HYPERLINK("https://klasma.github.io/Logging_2581/kartor/A 20087-2024 karta.png", "A 20087-2024")</f>
        <v/>
      </c>
      <c r="V833">
        <f>HYPERLINK("https://klasma.github.io/Logging_2581/klagomål/A 20087-2024 FSC-klagomål.docx", "A 20087-2024")</f>
        <v/>
      </c>
      <c r="W833">
        <f>HYPERLINK("https://klasma.github.io/Logging_2581/klagomålsmail/A 20087-2024 FSC-klagomål mail.docx", "A 20087-2024")</f>
        <v/>
      </c>
      <c r="X833">
        <f>HYPERLINK("https://klasma.github.io/Logging_2581/tillsyn/A 20087-2024 tillsynsbegäran.docx", "A 20087-2024")</f>
        <v/>
      </c>
      <c r="Y833">
        <f>HYPERLINK("https://klasma.github.io/Logging_2581/tillsynsmail/A 20087-2024 tillsynsbegäran mail.docx", "A 20087-2024")</f>
        <v/>
      </c>
    </row>
    <row r="834" ht="15" customHeight="1">
      <c r="A834" t="inlineStr">
        <is>
          <t>A 21102-2024</t>
        </is>
      </c>
      <c r="B834" s="1" t="n">
        <v>45440</v>
      </c>
      <c r="C834" s="1" t="n">
        <v>45662</v>
      </c>
      <c r="D834" t="inlineStr">
        <is>
          <t>NORRBOTTENS LÄN</t>
        </is>
      </c>
      <c r="E834" t="inlineStr">
        <is>
          <t>PITEÅ</t>
        </is>
      </c>
      <c r="F834" t="inlineStr">
        <is>
          <t>SCA</t>
        </is>
      </c>
      <c r="G834" t="n">
        <v>1.4</v>
      </c>
      <c r="H834" t="n">
        <v>0</v>
      </c>
      <c r="I834" t="n">
        <v>1</v>
      </c>
      <c r="J834" t="n">
        <v>0</v>
      </c>
      <c r="K834" t="n">
        <v>0</v>
      </c>
      <c r="L834" t="n">
        <v>0</v>
      </c>
      <c r="M834" t="n">
        <v>0</v>
      </c>
      <c r="N834" t="n">
        <v>0</v>
      </c>
      <c r="O834" t="n">
        <v>0</v>
      </c>
      <c r="P834" t="n">
        <v>0</v>
      </c>
      <c r="Q834" t="n">
        <v>1</v>
      </c>
      <c r="R834" s="2" t="inlineStr">
        <is>
          <t>Tibast</t>
        </is>
      </c>
      <c r="S834">
        <f>HYPERLINK("https://klasma.github.io/Logging_2581/artfynd/A 21102-2024 artfynd.xlsx", "A 21102-2024")</f>
        <v/>
      </c>
      <c r="T834">
        <f>HYPERLINK("https://klasma.github.io/Logging_2581/kartor/A 21102-2024 karta.png", "A 21102-2024")</f>
        <v/>
      </c>
      <c r="V834">
        <f>HYPERLINK("https://klasma.github.io/Logging_2581/klagomål/A 21102-2024 FSC-klagomål.docx", "A 21102-2024")</f>
        <v/>
      </c>
      <c r="W834">
        <f>HYPERLINK("https://klasma.github.io/Logging_2581/klagomålsmail/A 21102-2024 FSC-klagomål mail.docx", "A 21102-2024")</f>
        <v/>
      </c>
      <c r="X834">
        <f>HYPERLINK("https://klasma.github.io/Logging_2581/tillsyn/A 21102-2024 tillsynsbegäran.docx", "A 21102-2024")</f>
        <v/>
      </c>
      <c r="Y834">
        <f>HYPERLINK("https://klasma.github.io/Logging_2581/tillsynsmail/A 21102-2024 tillsynsbegäran mail.docx", "A 21102-2024")</f>
        <v/>
      </c>
    </row>
    <row r="835" ht="15" customHeight="1">
      <c r="A835" t="inlineStr">
        <is>
          <t>A 21400-2024</t>
        </is>
      </c>
      <c r="B835" s="1" t="n">
        <v>45441</v>
      </c>
      <c r="C835" s="1" t="n">
        <v>45662</v>
      </c>
      <c r="D835" t="inlineStr">
        <is>
          <t>NORRBOTTENS LÄN</t>
        </is>
      </c>
      <c r="E835" t="inlineStr">
        <is>
          <t>BODEN</t>
        </is>
      </c>
      <c r="F835" t="inlineStr">
        <is>
          <t>Sveaskog</t>
        </is>
      </c>
      <c r="G835" t="n">
        <v>13.6</v>
      </c>
      <c r="H835" t="n">
        <v>0</v>
      </c>
      <c r="I835" t="n">
        <v>0</v>
      </c>
      <c r="J835" t="n">
        <v>1</v>
      </c>
      <c r="K835" t="n">
        <v>0</v>
      </c>
      <c r="L835" t="n">
        <v>0</v>
      </c>
      <c r="M835" t="n">
        <v>0</v>
      </c>
      <c r="N835" t="n">
        <v>0</v>
      </c>
      <c r="O835" t="n">
        <v>1</v>
      </c>
      <c r="P835" t="n">
        <v>0</v>
      </c>
      <c r="Q835" t="n">
        <v>1</v>
      </c>
      <c r="R835" s="2" t="inlineStr">
        <is>
          <t>Lunglav</t>
        </is>
      </c>
      <c r="S835">
        <f>HYPERLINK("https://klasma.github.io/Logging_2582/artfynd/A 21400-2024 artfynd.xlsx", "A 21400-2024")</f>
        <v/>
      </c>
      <c r="T835">
        <f>HYPERLINK("https://klasma.github.io/Logging_2582/kartor/A 21400-2024 karta.png", "A 21400-2024")</f>
        <v/>
      </c>
      <c r="V835">
        <f>HYPERLINK("https://klasma.github.io/Logging_2582/klagomål/A 21400-2024 FSC-klagomål.docx", "A 21400-2024")</f>
        <v/>
      </c>
      <c r="W835">
        <f>HYPERLINK("https://klasma.github.io/Logging_2582/klagomålsmail/A 21400-2024 FSC-klagomål mail.docx", "A 21400-2024")</f>
        <v/>
      </c>
      <c r="X835">
        <f>HYPERLINK("https://klasma.github.io/Logging_2582/tillsyn/A 21400-2024 tillsynsbegäran.docx", "A 21400-2024")</f>
        <v/>
      </c>
      <c r="Y835">
        <f>HYPERLINK("https://klasma.github.io/Logging_2582/tillsynsmail/A 21400-2024 tillsynsbegäran mail.docx", "A 21400-2024")</f>
        <v/>
      </c>
    </row>
    <row r="836" ht="15" customHeight="1">
      <c r="A836" t="inlineStr">
        <is>
          <t>A 22076-2024</t>
        </is>
      </c>
      <c r="B836" s="1" t="n">
        <v>45443</v>
      </c>
      <c r="C836" s="1" t="n">
        <v>45662</v>
      </c>
      <c r="D836" t="inlineStr">
        <is>
          <t>NORRBOTTENS LÄN</t>
        </is>
      </c>
      <c r="E836" t="inlineStr">
        <is>
          <t>ÖVERKALIX</t>
        </is>
      </c>
      <c r="F836" t="inlineStr">
        <is>
          <t>Sveaskog</t>
        </is>
      </c>
      <c r="G836" t="n">
        <v>7.1</v>
      </c>
      <c r="H836" t="n">
        <v>0</v>
      </c>
      <c r="I836" t="n">
        <v>1</v>
      </c>
      <c r="J836" t="n">
        <v>0</v>
      </c>
      <c r="K836" t="n">
        <v>0</v>
      </c>
      <c r="L836" t="n">
        <v>0</v>
      </c>
      <c r="M836" t="n">
        <v>0</v>
      </c>
      <c r="N836" t="n">
        <v>0</v>
      </c>
      <c r="O836" t="n">
        <v>0</v>
      </c>
      <c r="P836" t="n">
        <v>0</v>
      </c>
      <c r="Q836" t="n">
        <v>1</v>
      </c>
      <c r="R836" s="2" t="inlineStr">
        <is>
          <t>Dropptaggsvamp</t>
        </is>
      </c>
      <c r="S836">
        <f>HYPERLINK("https://klasma.github.io/Logging_2513/artfynd/A 22076-2024 artfynd.xlsx", "A 22076-2024")</f>
        <v/>
      </c>
      <c r="T836">
        <f>HYPERLINK("https://klasma.github.io/Logging_2513/kartor/A 22076-2024 karta.png", "A 22076-2024")</f>
        <v/>
      </c>
      <c r="V836">
        <f>HYPERLINK("https://klasma.github.io/Logging_2513/klagomål/A 22076-2024 FSC-klagomål.docx", "A 22076-2024")</f>
        <v/>
      </c>
      <c r="W836">
        <f>HYPERLINK("https://klasma.github.io/Logging_2513/klagomålsmail/A 22076-2024 FSC-klagomål mail.docx", "A 22076-2024")</f>
        <v/>
      </c>
      <c r="X836">
        <f>HYPERLINK("https://klasma.github.io/Logging_2513/tillsyn/A 22076-2024 tillsynsbegäran.docx", "A 22076-2024")</f>
        <v/>
      </c>
      <c r="Y836">
        <f>HYPERLINK("https://klasma.github.io/Logging_2513/tillsynsmail/A 22076-2024 tillsynsbegäran mail.docx", "A 22076-2024")</f>
        <v/>
      </c>
    </row>
    <row r="837" ht="15" customHeight="1">
      <c r="A837" t="inlineStr">
        <is>
          <t>A 21974-2024</t>
        </is>
      </c>
      <c r="B837" s="1" t="n">
        <v>45443</v>
      </c>
      <c r="C837" s="1" t="n">
        <v>45662</v>
      </c>
      <c r="D837" t="inlineStr">
        <is>
          <t>NORRBOTTENS LÄN</t>
        </is>
      </c>
      <c r="E837" t="inlineStr">
        <is>
          <t>ÄLVSBYN</t>
        </is>
      </c>
      <c r="F837" t="inlineStr">
        <is>
          <t>Sveaskog</t>
        </is>
      </c>
      <c r="G837" t="n">
        <v>13.1</v>
      </c>
      <c r="H837" t="n">
        <v>0</v>
      </c>
      <c r="I837" t="n">
        <v>1</v>
      </c>
      <c r="J837" t="n">
        <v>0</v>
      </c>
      <c r="K837" t="n">
        <v>0</v>
      </c>
      <c r="L837" t="n">
        <v>0</v>
      </c>
      <c r="M837" t="n">
        <v>0</v>
      </c>
      <c r="N837" t="n">
        <v>0</v>
      </c>
      <c r="O837" t="n">
        <v>0</v>
      </c>
      <c r="P837" t="n">
        <v>0</v>
      </c>
      <c r="Q837" t="n">
        <v>1</v>
      </c>
      <c r="R837" s="2" t="inlineStr">
        <is>
          <t>Stuplav</t>
        </is>
      </c>
      <c r="S837">
        <f>HYPERLINK("https://klasma.github.io/Logging_2560/artfynd/A 21974-2024 artfynd.xlsx", "A 21974-2024")</f>
        <v/>
      </c>
      <c r="T837">
        <f>HYPERLINK("https://klasma.github.io/Logging_2560/kartor/A 21974-2024 karta.png", "A 21974-2024")</f>
        <v/>
      </c>
      <c r="V837">
        <f>HYPERLINK("https://klasma.github.io/Logging_2560/klagomål/A 21974-2024 FSC-klagomål.docx", "A 21974-2024")</f>
        <v/>
      </c>
      <c r="W837">
        <f>HYPERLINK("https://klasma.github.io/Logging_2560/klagomålsmail/A 21974-2024 FSC-klagomål mail.docx", "A 21974-2024")</f>
        <v/>
      </c>
      <c r="X837">
        <f>HYPERLINK("https://klasma.github.io/Logging_2560/tillsyn/A 21974-2024 tillsynsbegäran.docx", "A 21974-2024")</f>
        <v/>
      </c>
      <c r="Y837">
        <f>HYPERLINK("https://klasma.github.io/Logging_2560/tillsynsmail/A 21974-2024 tillsynsbegäran mail.docx", "A 21974-2024")</f>
        <v/>
      </c>
    </row>
    <row r="838" ht="15" customHeight="1">
      <c r="A838" t="inlineStr">
        <is>
          <t>A 21907-2024</t>
        </is>
      </c>
      <c r="B838" s="1" t="n">
        <v>45443</v>
      </c>
      <c r="C838" s="1" t="n">
        <v>45662</v>
      </c>
      <c r="D838" t="inlineStr">
        <is>
          <t>NORRBOTTENS LÄN</t>
        </is>
      </c>
      <c r="E838" t="inlineStr">
        <is>
          <t>BODEN</t>
        </is>
      </c>
      <c r="F838" t="inlineStr">
        <is>
          <t>Sveaskog</t>
        </is>
      </c>
      <c r="G838" t="n">
        <v>6</v>
      </c>
      <c r="H838" t="n">
        <v>0</v>
      </c>
      <c r="I838" t="n">
        <v>0</v>
      </c>
      <c r="J838" t="n">
        <v>1</v>
      </c>
      <c r="K838" t="n">
        <v>0</v>
      </c>
      <c r="L838" t="n">
        <v>0</v>
      </c>
      <c r="M838" t="n">
        <v>0</v>
      </c>
      <c r="N838" t="n">
        <v>0</v>
      </c>
      <c r="O838" t="n">
        <v>1</v>
      </c>
      <c r="P838" t="n">
        <v>0</v>
      </c>
      <c r="Q838" t="n">
        <v>1</v>
      </c>
      <c r="R838" s="2" t="inlineStr">
        <is>
          <t>Orange taggsvamp</t>
        </is>
      </c>
      <c r="S838">
        <f>HYPERLINK("https://klasma.github.io/Logging_2582/artfynd/A 21907-2024 artfynd.xlsx", "A 21907-2024")</f>
        <v/>
      </c>
      <c r="T838">
        <f>HYPERLINK("https://klasma.github.io/Logging_2582/kartor/A 21907-2024 karta.png", "A 21907-2024")</f>
        <v/>
      </c>
      <c r="V838">
        <f>HYPERLINK("https://klasma.github.io/Logging_2582/klagomål/A 21907-2024 FSC-klagomål.docx", "A 21907-2024")</f>
        <v/>
      </c>
      <c r="W838">
        <f>HYPERLINK("https://klasma.github.io/Logging_2582/klagomålsmail/A 21907-2024 FSC-klagomål mail.docx", "A 21907-2024")</f>
        <v/>
      </c>
      <c r="X838">
        <f>HYPERLINK("https://klasma.github.io/Logging_2582/tillsyn/A 21907-2024 tillsynsbegäran.docx", "A 21907-2024")</f>
        <v/>
      </c>
      <c r="Y838">
        <f>HYPERLINK("https://klasma.github.io/Logging_2582/tillsynsmail/A 21907-2024 tillsynsbegäran mail.docx", "A 21907-2024")</f>
        <v/>
      </c>
    </row>
    <row r="839" ht="15" customHeight="1">
      <c r="A839" t="inlineStr">
        <is>
          <t>A 21858-2024</t>
        </is>
      </c>
      <c r="B839" s="1" t="n">
        <v>45443</v>
      </c>
      <c r="C839" s="1" t="n">
        <v>45662</v>
      </c>
      <c r="D839" t="inlineStr">
        <is>
          <t>NORRBOTTENS LÄN</t>
        </is>
      </c>
      <c r="E839" t="inlineStr">
        <is>
          <t>ÄLVSBYN</t>
        </is>
      </c>
      <c r="F839" t="inlineStr">
        <is>
          <t>Sveaskog</t>
        </is>
      </c>
      <c r="G839" t="n">
        <v>16.2</v>
      </c>
      <c r="H839" t="n">
        <v>0</v>
      </c>
      <c r="I839" t="n">
        <v>1</v>
      </c>
      <c r="J839" t="n">
        <v>0</v>
      </c>
      <c r="K839" t="n">
        <v>0</v>
      </c>
      <c r="L839" t="n">
        <v>0</v>
      </c>
      <c r="M839" t="n">
        <v>0</v>
      </c>
      <c r="N839" t="n">
        <v>0</v>
      </c>
      <c r="O839" t="n">
        <v>0</v>
      </c>
      <c r="P839" t="n">
        <v>0</v>
      </c>
      <c r="Q839" t="n">
        <v>1</v>
      </c>
      <c r="R839" s="2" t="inlineStr">
        <is>
          <t>Stuplav</t>
        </is>
      </c>
      <c r="S839">
        <f>HYPERLINK("https://klasma.github.io/Logging_2560/artfynd/A 21858-2024 artfynd.xlsx", "A 21858-2024")</f>
        <v/>
      </c>
      <c r="T839">
        <f>HYPERLINK("https://klasma.github.io/Logging_2560/kartor/A 21858-2024 karta.png", "A 21858-2024")</f>
        <v/>
      </c>
      <c r="V839">
        <f>HYPERLINK("https://klasma.github.io/Logging_2560/klagomål/A 21858-2024 FSC-klagomål.docx", "A 21858-2024")</f>
        <v/>
      </c>
      <c r="W839">
        <f>HYPERLINK("https://klasma.github.io/Logging_2560/klagomålsmail/A 21858-2024 FSC-klagomål mail.docx", "A 21858-2024")</f>
        <v/>
      </c>
      <c r="X839">
        <f>HYPERLINK("https://klasma.github.io/Logging_2560/tillsyn/A 21858-2024 tillsynsbegäran.docx", "A 21858-2024")</f>
        <v/>
      </c>
      <c r="Y839">
        <f>HYPERLINK("https://klasma.github.io/Logging_2560/tillsynsmail/A 21858-2024 tillsynsbegäran mail.docx", "A 21858-2024")</f>
        <v/>
      </c>
    </row>
    <row r="840" ht="15" customHeight="1">
      <c r="A840" t="inlineStr">
        <is>
          <t>A 22264-2024</t>
        </is>
      </c>
      <c r="B840" s="1" t="n">
        <v>45446</v>
      </c>
      <c r="C840" s="1" t="n">
        <v>45662</v>
      </c>
      <c r="D840" t="inlineStr">
        <is>
          <t>NORRBOTTENS LÄN</t>
        </is>
      </c>
      <c r="E840" t="inlineStr">
        <is>
          <t>BODEN</t>
        </is>
      </c>
      <c r="F840" t="inlineStr">
        <is>
          <t>Sveaskog</t>
        </is>
      </c>
      <c r="G840" t="n">
        <v>16.7</v>
      </c>
      <c r="H840" t="n">
        <v>0</v>
      </c>
      <c r="I840" t="n">
        <v>1</v>
      </c>
      <c r="J840" t="n">
        <v>0</v>
      </c>
      <c r="K840" t="n">
        <v>0</v>
      </c>
      <c r="L840" t="n">
        <v>0</v>
      </c>
      <c r="M840" t="n">
        <v>0</v>
      </c>
      <c r="N840" t="n">
        <v>0</v>
      </c>
      <c r="O840" t="n">
        <v>0</v>
      </c>
      <c r="P840" t="n">
        <v>0</v>
      </c>
      <c r="Q840" t="n">
        <v>1</v>
      </c>
      <c r="R840" s="2" t="inlineStr">
        <is>
          <t>Tibast</t>
        </is>
      </c>
      <c r="S840">
        <f>HYPERLINK("https://klasma.github.io/Logging_2582/artfynd/A 22264-2024 artfynd.xlsx", "A 22264-2024")</f>
        <v/>
      </c>
      <c r="T840">
        <f>HYPERLINK("https://klasma.github.io/Logging_2582/kartor/A 22264-2024 karta.png", "A 22264-2024")</f>
        <v/>
      </c>
      <c r="V840">
        <f>HYPERLINK("https://klasma.github.io/Logging_2582/klagomål/A 22264-2024 FSC-klagomål.docx", "A 22264-2024")</f>
        <v/>
      </c>
      <c r="W840">
        <f>HYPERLINK("https://klasma.github.io/Logging_2582/klagomålsmail/A 22264-2024 FSC-klagomål mail.docx", "A 22264-2024")</f>
        <v/>
      </c>
      <c r="X840">
        <f>HYPERLINK("https://klasma.github.io/Logging_2582/tillsyn/A 22264-2024 tillsynsbegäran.docx", "A 22264-2024")</f>
        <v/>
      </c>
      <c r="Y840">
        <f>HYPERLINK("https://klasma.github.io/Logging_2582/tillsynsmail/A 22264-2024 tillsynsbegäran mail.docx", "A 22264-2024")</f>
        <v/>
      </c>
    </row>
    <row r="841" ht="15" customHeight="1">
      <c r="A841" t="inlineStr">
        <is>
          <t>A 22495-2024</t>
        </is>
      </c>
      <c r="B841" s="1" t="n">
        <v>45447</v>
      </c>
      <c r="C841" s="1" t="n">
        <v>45662</v>
      </c>
      <c r="D841" t="inlineStr">
        <is>
          <t>NORRBOTTENS LÄN</t>
        </is>
      </c>
      <c r="E841" t="inlineStr">
        <is>
          <t>KIRUNA</t>
        </is>
      </c>
      <c r="G841" t="n">
        <v>7.1</v>
      </c>
      <c r="H841" t="n">
        <v>0</v>
      </c>
      <c r="I841" t="n">
        <v>0</v>
      </c>
      <c r="J841" t="n">
        <v>0</v>
      </c>
      <c r="K841" t="n">
        <v>1</v>
      </c>
      <c r="L841" t="n">
        <v>0</v>
      </c>
      <c r="M841" t="n">
        <v>0</v>
      </c>
      <c r="N841" t="n">
        <v>0</v>
      </c>
      <c r="O841" t="n">
        <v>1</v>
      </c>
      <c r="P841" t="n">
        <v>1</v>
      </c>
      <c r="Q841" t="n">
        <v>1</v>
      </c>
      <c r="R841" s="2" t="inlineStr">
        <is>
          <t>Tajgafältmätare</t>
        </is>
      </c>
      <c r="S841">
        <f>HYPERLINK("https://klasma.github.io/Logging_2584/artfynd/A 22495-2024 artfynd.xlsx", "A 22495-2024")</f>
        <v/>
      </c>
      <c r="T841">
        <f>HYPERLINK("https://klasma.github.io/Logging_2584/kartor/A 22495-2024 karta.png", "A 22495-2024")</f>
        <v/>
      </c>
      <c r="V841">
        <f>HYPERLINK("https://klasma.github.io/Logging_2584/klagomål/A 22495-2024 FSC-klagomål.docx", "A 22495-2024")</f>
        <v/>
      </c>
      <c r="W841">
        <f>HYPERLINK("https://klasma.github.io/Logging_2584/klagomålsmail/A 22495-2024 FSC-klagomål mail.docx", "A 22495-2024")</f>
        <v/>
      </c>
      <c r="X841">
        <f>HYPERLINK("https://klasma.github.io/Logging_2584/tillsyn/A 22495-2024 tillsynsbegäran.docx", "A 22495-2024")</f>
        <v/>
      </c>
      <c r="Y841">
        <f>HYPERLINK("https://klasma.github.io/Logging_2584/tillsynsmail/A 22495-2024 tillsynsbegäran mail.docx", "A 22495-2024")</f>
        <v/>
      </c>
    </row>
    <row r="842" ht="15" customHeight="1">
      <c r="A842" t="inlineStr">
        <is>
          <t>A 22865-2024</t>
        </is>
      </c>
      <c r="B842" s="1" t="n">
        <v>45448</v>
      </c>
      <c r="C842" s="1" t="n">
        <v>45662</v>
      </c>
      <c r="D842" t="inlineStr">
        <is>
          <t>NORRBOTTENS LÄN</t>
        </is>
      </c>
      <c r="E842" t="inlineStr">
        <is>
          <t>BODEN</t>
        </is>
      </c>
      <c r="F842" t="inlineStr">
        <is>
          <t>Sveaskog</t>
        </is>
      </c>
      <c r="G842" t="n">
        <v>7.2</v>
      </c>
      <c r="H842" t="n">
        <v>0</v>
      </c>
      <c r="I842" t="n">
        <v>0</v>
      </c>
      <c r="J842" t="n">
        <v>1</v>
      </c>
      <c r="K842" t="n">
        <v>0</v>
      </c>
      <c r="L842" t="n">
        <v>0</v>
      </c>
      <c r="M842" t="n">
        <v>0</v>
      </c>
      <c r="N842" t="n">
        <v>0</v>
      </c>
      <c r="O842" t="n">
        <v>1</v>
      </c>
      <c r="P842" t="n">
        <v>0</v>
      </c>
      <c r="Q842" t="n">
        <v>1</v>
      </c>
      <c r="R842" s="2" t="inlineStr">
        <is>
          <t>Lunglav</t>
        </is>
      </c>
      <c r="S842">
        <f>HYPERLINK("https://klasma.github.io/Logging_2582/artfynd/A 22865-2024 artfynd.xlsx", "A 22865-2024")</f>
        <v/>
      </c>
      <c r="T842">
        <f>HYPERLINK("https://klasma.github.io/Logging_2582/kartor/A 22865-2024 karta.png", "A 22865-2024")</f>
        <v/>
      </c>
      <c r="V842">
        <f>HYPERLINK("https://klasma.github.io/Logging_2582/klagomål/A 22865-2024 FSC-klagomål.docx", "A 22865-2024")</f>
        <v/>
      </c>
      <c r="W842">
        <f>HYPERLINK("https://klasma.github.io/Logging_2582/klagomålsmail/A 22865-2024 FSC-klagomål mail.docx", "A 22865-2024")</f>
        <v/>
      </c>
      <c r="X842">
        <f>HYPERLINK("https://klasma.github.io/Logging_2582/tillsyn/A 22865-2024 tillsynsbegäran.docx", "A 22865-2024")</f>
        <v/>
      </c>
      <c r="Y842">
        <f>HYPERLINK("https://klasma.github.io/Logging_2582/tillsynsmail/A 22865-2024 tillsynsbegäran mail.docx", "A 22865-2024")</f>
        <v/>
      </c>
    </row>
    <row r="843" ht="15" customHeight="1">
      <c r="A843" t="inlineStr">
        <is>
          <t>A 23056-2024</t>
        </is>
      </c>
      <c r="B843" s="1" t="n">
        <v>45449</v>
      </c>
      <c r="C843" s="1" t="n">
        <v>45662</v>
      </c>
      <c r="D843" t="inlineStr">
        <is>
          <t>NORRBOTTENS LÄN</t>
        </is>
      </c>
      <c r="E843" t="inlineStr">
        <is>
          <t>ÖVERTORNEÅ</t>
        </is>
      </c>
      <c r="G843" t="n">
        <v>1.4</v>
      </c>
      <c r="H843" t="n">
        <v>1</v>
      </c>
      <c r="I843" t="n">
        <v>0</v>
      </c>
      <c r="J843" t="n">
        <v>0</v>
      </c>
      <c r="K843" t="n">
        <v>0</v>
      </c>
      <c r="L843" t="n">
        <v>0</v>
      </c>
      <c r="M843" t="n">
        <v>0</v>
      </c>
      <c r="N843" t="n">
        <v>0</v>
      </c>
      <c r="O843" t="n">
        <v>0</v>
      </c>
      <c r="P843" t="n">
        <v>0</v>
      </c>
      <c r="Q843" t="n">
        <v>1</v>
      </c>
      <c r="R843" s="2" t="inlineStr">
        <is>
          <t>Revlummer</t>
        </is>
      </c>
      <c r="S843">
        <f>HYPERLINK("https://klasma.github.io/Logging_2518/artfynd/A 23056-2024 artfynd.xlsx", "A 23056-2024")</f>
        <v/>
      </c>
      <c r="T843">
        <f>HYPERLINK("https://klasma.github.io/Logging_2518/kartor/A 23056-2024 karta.png", "A 23056-2024")</f>
        <v/>
      </c>
      <c r="V843">
        <f>HYPERLINK("https://klasma.github.io/Logging_2518/klagomål/A 23056-2024 FSC-klagomål.docx", "A 23056-2024")</f>
        <v/>
      </c>
      <c r="W843">
        <f>HYPERLINK("https://klasma.github.io/Logging_2518/klagomålsmail/A 23056-2024 FSC-klagomål mail.docx", "A 23056-2024")</f>
        <v/>
      </c>
      <c r="X843">
        <f>HYPERLINK("https://klasma.github.io/Logging_2518/tillsyn/A 23056-2024 tillsynsbegäran.docx", "A 23056-2024")</f>
        <v/>
      </c>
      <c r="Y843">
        <f>HYPERLINK("https://klasma.github.io/Logging_2518/tillsynsmail/A 23056-2024 tillsynsbegäran mail.docx", "A 23056-2024")</f>
        <v/>
      </c>
    </row>
    <row r="844" ht="15" customHeight="1">
      <c r="A844" t="inlineStr">
        <is>
          <t>A 23075-2024</t>
        </is>
      </c>
      <c r="B844" s="1" t="n">
        <v>45450</v>
      </c>
      <c r="C844" s="1" t="n">
        <v>45662</v>
      </c>
      <c r="D844" t="inlineStr">
        <is>
          <t>NORRBOTTENS LÄN</t>
        </is>
      </c>
      <c r="E844" t="inlineStr">
        <is>
          <t>PITEÅ</t>
        </is>
      </c>
      <c r="F844" t="inlineStr">
        <is>
          <t>Sveaskog</t>
        </is>
      </c>
      <c r="G844" t="n">
        <v>21.7</v>
      </c>
      <c r="H844" t="n">
        <v>0</v>
      </c>
      <c r="I844" t="n">
        <v>0</v>
      </c>
      <c r="J844" t="n">
        <v>1</v>
      </c>
      <c r="K844" t="n">
        <v>0</v>
      </c>
      <c r="L844" t="n">
        <v>0</v>
      </c>
      <c r="M844" t="n">
        <v>0</v>
      </c>
      <c r="N844" t="n">
        <v>0</v>
      </c>
      <c r="O844" t="n">
        <v>1</v>
      </c>
      <c r="P844" t="n">
        <v>0</v>
      </c>
      <c r="Q844" t="n">
        <v>1</v>
      </c>
      <c r="R844" s="2" t="inlineStr">
        <is>
          <t>Violmussling</t>
        </is>
      </c>
      <c r="S844">
        <f>HYPERLINK("https://klasma.github.io/Logging_2581/artfynd/A 23075-2024 artfynd.xlsx", "A 23075-2024")</f>
        <v/>
      </c>
      <c r="T844">
        <f>HYPERLINK("https://klasma.github.io/Logging_2581/kartor/A 23075-2024 karta.png", "A 23075-2024")</f>
        <v/>
      </c>
      <c r="V844">
        <f>HYPERLINK("https://klasma.github.io/Logging_2581/klagomål/A 23075-2024 FSC-klagomål.docx", "A 23075-2024")</f>
        <v/>
      </c>
      <c r="W844">
        <f>HYPERLINK("https://klasma.github.io/Logging_2581/klagomålsmail/A 23075-2024 FSC-klagomål mail.docx", "A 23075-2024")</f>
        <v/>
      </c>
      <c r="X844">
        <f>HYPERLINK("https://klasma.github.io/Logging_2581/tillsyn/A 23075-2024 tillsynsbegäran.docx", "A 23075-2024")</f>
        <v/>
      </c>
      <c r="Y844">
        <f>HYPERLINK("https://klasma.github.io/Logging_2581/tillsynsmail/A 23075-2024 tillsynsbegäran mail.docx", "A 23075-2024")</f>
        <v/>
      </c>
    </row>
    <row r="845" ht="15" customHeight="1">
      <c r="A845" t="inlineStr">
        <is>
          <t>A 23096-2024</t>
        </is>
      </c>
      <c r="B845" s="1" t="n">
        <v>45450</v>
      </c>
      <c r="C845" s="1" t="n">
        <v>45662</v>
      </c>
      <c r="D845" t="inlineStr">
        <is>
          <t>NORRBOTTENS LÄN</t>
        </is>
      </c>
      <c r="E845" t="inlineStr">
        <is>
          <t>BODEN</t>
        </is>
      </c>
      <c r="F845" t="inlineStr">
        <is>
          <t>Sveaskog</t>
        </is>
      </c>
      <c r="G845" t="n">
        <v>13.5</v>
      </c>
      <c r="H845" t="n">
        <v>0</v>
      </c>
      <c r="I845" t="n">
        <v>0</v>
      </c>
      <c r="J845" t="n">
        <v>1</v>
      </c>
      <c r="K845" t="n">
        <v>0</v>
      </c>
      <c r="L845" t="n">
        <v>0</v>
      </c>
      <c r="M845" t="n">
        <v>0</v>
      </c>
      <c r="N845" t="n">
        <v>0</v>
      </c>
      <c r="O845" t="n">
        <v>1</v>
      </c>
      <c r="P845" t="n">
        <v>0</v>
      </c>
      <c r="Q845" t="n">
        <v>1</v>
      </c>
      <c r="R845" s="2" t="inlineStr">
        <is>
          <t>Lunglav</t>
        </is>
      </c>
      <c r="S845">
        <f>HYPERLINK("https://klasma.github.io/Logging_2582/artfynd/A 23096-2024 artfynd.xlsx", "A 23096-2024")</f>
        <v/>
      </c>
      <c r="T845">
        <f>HYPERLINK("https://klasma.github.io/Logging_2582/kartor/A 23096-2024 karta.png", "A 23096-2024")</f>
        <v/>
      </c>
      <c r="V845">
        <f>HYPERLINK("https://klasma.github.io/Logging_2582/klagomål/A 23096-2024 FSC-klagomål.docx", "A 23096-2024")</f>
        <v/>
      </c>
      <c r="W845">
        <f>HYPERLINK("https://klasma.github.io/Logging_2582/klagomålsmail/A 23096-2024 FSC-klagomål mail.docx", "A 23096-2024")</f>
        <v/>
      </c>
      <c r="X845">
        <f>HYPERLINK("https://klasma.github.io/Logging_2582/tillsyn/A 23096-2024 tillsynsbegäran.docx", "A 23096-2024")</f>
        <v/>
      </c>
      <c r="Y845">
        <f>HYPERLINK("https://klasma.github.io/Logging_2582/tillsynsmail/A 23096-2024 tillsynsbegäran mail.docx", "A 23096-2024")</f>
        <v/>
      </c>
    </row>
    <row r="846" ht="15" customHeight="1">
      <c r="A846" t="inlineStr">
        <is>
          <t>A 23132-2024</t>
        </is>
      </c>
      <c r="B846" s="1" t="n">
        <v>45450</v>
      </c>
      <c r="C846" s="1" t="n">
        <v>45662</v>
      </c>
      <c r="D846" t="inlineStr">
        <is>
          <t>NORRBOTTENS LÄN</t>
        </is>
      </c>
      <c r="E846" t="inlineStr">
        <is>
          <t>ÄLVSBYN</t>
        </is>
      </c>
      <c r="F846" t="inlineStr">
        <is>
          <t>Sveaskog</t>
        </is>
      </c>
      <c r="G846" t="n">
        <v>5.8</v>
      </c>
      <c r="H846" t="n">
        <v>0</v>
      </c>
      <c r="I846" t="n">
        <v>0</v>
      </c>
      <c r="J846" t="n">
        <v>1</v>
      </c>
      <c r="K846" t="n">
        <v>0</v>
      </c>
      <c r="L846" t="n">
        <v>0</v>
      </c>
      <c r="M846" t="n">
        <v>0</v>
      </c>
      <c r="N846" t="n">
        <v>0</v>
      </c>
      <c r="O846" t="n">
        <v>1</v>
      </c>
      <c r="P846" t="n">
        <v>0</v>
      </c>
      <c r="Q846" t="n">
        <v>1</v>
      </c>
      <c r="R846" s="2" t="inlineStr">
        <is>
          <t>Lunglav</t>
        </is>
      </c>
      <c r="S846">
        <f>HYPERLINK("https://klasma.github.io/Logging_2560/artfynd/A 23132-2024 artfynd.xlsx", "A 23132-2024")</f>
        <v/>
      </c>
      <c r="T846">
        <f>HYPERLINK("https://klasma.github.io/Logging_2560/kartor/A 23132-2024 karta.png", "A 23132-2024")</f>
        <v/>
      </c>
      <c r="V846">
        <f>HYPERLINK("https://klasma.github.io/Logging_2560/klagomål/A 23132-2024 FSC-klagomål.docx", "A 23132-2024")</f>
        <v/>
      </c>
      <c r="W846">
        <f>HYPERLINK("https://klasma.github.io/Logging_2560/klagomålsmail/A 23132-2024 FSC-klagomål mail.docx", "A 23132-2024")</f>
        <v/>
      </c>
      <c r="X846">
        <f>HYPERLINK("https://klasma.github.io/Logging_2560/tillsyn/A 23132-2024 tillsynsbegäran.docx", "A 23132-2024")</f>
        <v/>
      </c>
      <c r="Y846">
        <f>HYPERLINK("https://klasma.github.io/Logging_2560/tillsynsmail/A 23132-2024 tillsynsbegäran mail.docx", "A 23132-2024")</f>
        <v/>
      </c>
    </row>
    <row r="847" ht="15" customHeight="1">
      <c r="A847" t="inlineStr">
        <is>
          <t>A 23157-2024</t>
        </is>
      </c>
      <c r="B847" s="1" t="n">
        <v>45450</v>
      </c>
      <c r="C847" s="1" t="n">
        <v>45662</v>
      </c>
      <c r="D847" t="inlineStr">
        <is>
          <t>NORRBOTTENS LÄN</t>
        </is>
      </c>
      <c r="E847" t="inlineStr">
        <is>
          <t>ÖVERKALIX</t>
        </is>
      </c>
      <c r="F847" t="inlineStr">
        <is>
          <t>Sveaskog</t>
        </is>
      </c>
      <c r="G847" t="n">
        <v>5.9</v>
      </c>
      <c r="H847" t="n">
        <v>0</v>
      </c>
      <c r="I847" t="n">
        <v>1</v>
      </c>
      <c r="J847" t="n">
        <v>0</v>
      </c>
      <c r="K847" t="n">
        <v>0</v>
      </c>
      <c r="L847" t="n">
        <v>0</v>
      </c>
      <c r="M847" t="n">
        <v>0</v>
      </c>
      <c r="N847" t="n">
        <v>0</v>
      </c>
      <c r="O847" t="n">
        <v>0</v>
      </c>
      <c r="P847" t="n">
        <v>0</v>
      </c>
      <c r="Q847" t="n">
        <v>1</v>
      </c>
      <c r="R847" s="2" t="inlineStr">
        <is>
          <t>Bollvitmossa</t>
        </is>
      </c>
      <c r="S847">
        <f>HYPERLINK("https://klasma.github.io/Logging_2513/artfynd/A 23157-2024 artfynd.xlsx", "A 23157-2024")</f>
        <v/>
      </c>
      <c r="T847">
        <f>HYPERLINK("https://klasma.github.io/Logging_2513/kartor/A 23157-2024 karta.png", "A 23157-2024")</f>
        <v/>
      </c>
      <c r="V847">
        <f>HYPERLINK("https://klasma.github.io/Logging_2513/klagomål/A 23157-2024 FSC-klagomål.docx", "A 23157-2024")</f>
        <v/>
      </c>
      <c r="W847">
        <f>HYPERLINK("https://klasma.github.io/Logging_2513/klagomålsmail/A 23157-2024 FSC-klagomål mail.docx", "A 23157-2024")</f>
        <v/>
      </c>
      <c r="X847">
        <f>HYPERLINK("https://klasma.github.io/Logging_2513/tillsyn/A 23157-2024 tillsynsbegäran.docx", "A 23157-2024")</f>
        <v/>
      </c>
      <c r="Y847">
        <f>HYPERLINK("https://klasma.github.io/Logging_2513/tillsynsmail/A 23157-2024 tillsynsbegäran mail.docx", "A 23157-2024")</f>
        <v/>
      </c>
    </row>
    <row r="848" ht="15" customHeight="1">
      <c r="A848" t="inlineStr">
        <is>
          <t>A 25609-2024</t>
        </is>
      </c>
      <c r="B848" s="1" t="n">
        <v>45463</v>
      </c>
      <c r="C848" s="1" t="n">
        <v>45662</v>
      </c>
      <c r="D848" t="inlineStr">
        <is>
          <t>NORRBOTTENS LÄN</t>
        </is>
      </c>
      <c r="E848" t="inlineStr">
        <is>
          <t>BODEN</t>
        </is>
      </c>
      <c r="F848" t="inlineStr">
        <is>
          <t>Sveaskog</t>
        </is>
      </c>
      <c r="G848" t="n">
        <v>13.4</v>
      </c>
      <c r="H848" t="n">
        <v>0</v>
      </c>
      <c r="I848" t="n">
        <v>0</v>
      </c>
      <c r="J848" t="n">
        <v>1</v>
      </c>
      <c r="K848" t="n">
        <v>0</v>
      </c>
      <c r="L848" t="n">
        <v>0</v>
      </c>
      <c r="M848" t="n">
        <v>0</v>
      </c>
      <c r="N848" t="n">
        <v>0</v>
      </c>
      <c r="O848" t="n">
        <v>1</v>
      </c>
      <c r="P848" t="n">
        <v>0</v>
      </c>
      <c r="Q848" t="n">
        <v>1</v>
      </c>
      <c r="R848" s="2" t="inlineStr">
        <is>
          <t>Lunglav</t>
        </is>
      </c>
      <c r="S848">
        <f>HYPERLINK("https://klasma.github.io/Logging_2582/artfynd/A 25609-2024 artfynd.xlsx", "A 25609-2024")</f>
        <v/>
      </c>
      <c r="T848">
        <f>HYPERLINK("https://klasma.github.io/Logging_2582/kartor/A 25609-2024 karta.png", "A 25609-2024")</f>
        <v/>
      </c>
      <c r="V848">
        <f>HYPERLINK("https://klasma.github.io/Logging_2582/klagomål/A 25609-2024 FSC-klagomål.docx", "A 25609-2024")</f>
        <v/>
      </c>
      <c r="W848">
        <f>HYPERLINK("https://klasma.github.io/Logging_2582/klagomålsmail/A 25609-2024 FSC-klagomål mail.docx", "A 25609-2024")</f>
        <v/>
      </c>
      <c r="X848">
        <f>HYPERLINK("https://klasma.github.io/Logging_2582/tillsyn/A 25609-2024 tillsynsbegäran.docx", "A 25609-2024")</f>
        <v/>
      </c>
      <c r="Y848">
        <f>HYPERLINK("https://klasma.github.io/Logging_2582/tillsynsmail/A 25609-2024 tillsynsbegäran mail.docx", "A 25609-2024")</f>
        <v/>
      </c>
    </row>
    <row r="849" ht="15" customHeight="1">
      <c r="A849" t="inlineStr">
        <is>
          <t>A 25484-2024</t>
        </is>
      </c>
      <c r="B849" s="1" t="n">
        <v>45463</v>
      </c>
      <c r="C849" s="1" t="n">
        <v>45662</v>
      </c>
      <c r="D849" t="inlineStr">
        <is>
          <t>NORRBOTTENS LÄN</t>
        </is>
      </c>
      <c r="E849" t="inlineStr">
        <is>
          <t>PAJALA</t>
        </is>
      </c>
      <c r="F849" t="inlineStr">
        <is>
          <t>Sveaskog</t>
        </is>
      </c>
      <c r="G849" t="n">
        <v>5.9</v>
      </c>
      <c r="H849" t="n">
        <v>0</v>
      </c>
      <c r="I849" t="n">
        <v>0</v>
      </c>
      <c r="J849" t="n">
        <v>1</v>
      </c>
      <c r="K849" t="n">
        <v>0</v>
      </c>
      <c r="L849" t="n">
        <v>0</v>
      </c>
      <c r="M849" t="n">
        <v>0</v>
      </c>
      <c r="N849" t="n">
        <v>0</v>
      </c>
      <c r="O849" t="n">
        <v>1</v>
      </c>
      <c r="P849" t="n">
        <v>0</v>
      </c>
      <c r="Q849" t="n">
        <v>1</v>
      </c>
      <c r="R849" s="2" t="inlineStr">
        <is>
          <t>Violmussling</t>
        </is>
      </c>
      <c r="S849">
        <f>HYPERLINK("https://klasma.github.io/Logging_2521/artfynd/A 25484-2024 artfynd.xlsx", "A 25484-2024")</f>
        <v/>
      </c>
      <c r="T849">
        <f>HYPERLINK("https://klasma.github.io/Logging_2521/kartor/A 25484-2024 karta.png", "A 25484-2024")</f>
        <v/>
      </c>
      <c r="V849">
        <f>HYPERLINK("https://klasma.github.io/Logging_2521/klagomål/A 25484-2024 FSC-klagomål.docx", "A 25484-2024")</f>
        <v/>
      </c>
      <c r="W849">
        <f>HYPERLINK("https://klasma.github.io/Logging_2521/klagomålsmail/A 25484-2024 FSC-klagomål mail.docx", "A 25484-2024")</f>
        <v/>
      </c>
      <c r="X849">
        <f>HYPERLINK("https://klasma.github.io/Logging_2521/tillsyn/A 25484-2024 tillsynsbegäran.docx", "A 25484-2024")</f>
        <v/>
      </c>
      <c r="Y849">
        <f>HYPERLINK("https://klasma.github.io/Logging_2521/tillsynsmail/A 25484-2024 tillsynsbegäran mail.docx", "A 25484-2024")</f>
        <v/>
      </c>
    </row>
    <row r="850" ht="15" customHeight="1">
      <c r="A850" t="inlineStr">
        <is>
          <t>A 25528-2024</t>
        </is>
      </c>
      <c r="B850" s="1" t="n">
        <v>45463</v>
      </c>
      <c r="C850" s="1" t="n">
        <v>45662</v>
      </c>
      <c r="D850" t="inlineStr">
        <is>
          <t>NORRBOTTENS LÄN</t>
        </is>
      </c>
      <c r="E850" t="inlineStr">
        <is>
          <t>LULEÅ</t>
        </is>
      </c>
      <c r="G850" t="n">
        <v>1.4</v>
      </c>
      <c r="H850" t="n">
        <v>0</v>
      </c>
      <c r="I850" t="n">
        <v>0</v>
      </c>
      <c r="J850" t="n">
        <v>1</v>
      </c>
      <c r="K850" t="n">
        <v>0</v>
      </c>
      <c r="L850" t="n">
        <v>0</v>
      </c>
      <c r="M850" t="n">
        <v>0</v>
      </c>
      <c r="N850" t="n">
        <v>0</v>
      </c>
      <c r="O850" t="n">
        <v>1</v>
      </c>
      <c r="P850" t="n">
        <v>0</v>
      </c>
      <c r="Q850" t="n">
        <v>1</v>
      </c>
      <c r="R850" s="2" t="inlineStr">
        <is>
          <t>Granticka</t>
        </is>
      </c>
      <c r="S850">
        <f>HYPERLINK("https://klasma.github.io/Logging_2580/artfynd/A 25528-2024 artfynd.xlsx", "A 25528-2024")</f>
        <v/>
      </c>
      <c r="T850">
        <f>HYPERLINK("https://klasma.github.io/Logging_2580/kartor/A 25528-2024 karta.png", "A 25528-2024")</f>
        <v/>
      </c>
      <c r="V850">
        <f>HYPERLINK("https://klasma.github.io/Logging_2580/klagomål/A 25528-2024 FSC-klagomål.docx", "A 25528-2024")</f>
        <v/>
      </c>
      <c r="W850">
        <f>HYPERLINK("https://klasma.github.io/Logging_2580/klagomålsmail/A 25528-2024 FSC-klagomål mail.docx", "A 25528-2024")</f>
        <v/>
      </c>
      <c r="X850">
        <f>HYPERLINK("https://klasma.github.io/Logging_2580/tillsyn/A 25528-2024 tillsynsbegäran.docx", "A 25528-2024")</f>
        <v/>
      </c>
      <c r="Y850">
        <f>HYPERLINK("https://klasma.github.io/Logging_2580/tillsynsmail/A 25528-2024 tillsynsbegäran mail.docx", "A 25528-2024")</f>
        <v/>
      </c>
    </row>
    <row r="851" ht="15" customHeight="1">
      <c r="A851" t="inlineStr">
        <is>
          <t>A 26255-2024</t>
        </is>
      </c>
      <c r="B851" s="1" t="n">
        <v>45468</v>
      </c>
      <c r="C851" s="1" t="n">
        <v>45662</v>
      </c>
      <c r="D851" t="inlineStr">
        <is>
          <t>NORRBOTTENS LÄN</t>
        </is>
      </c>
      <c r="E851" t="inlineStr">
        <is>
          <t>KALIX</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HYPERLINK("https://klasma.github.io/Logging_2514/artfynd/A 26255-2024 artfynd.xlsx", "A 26255-2024")</f>
        <v/>
      </c>
      <c r="T851">
        <f>HYPERLINK("https://klasma.github.io/Logging_2514/kartor/A 26255-2024 karta.png", "A 26255-2024")</f>
        <v/>
      </c>
      <c r="V851">
        <f>HYPERLINK("https://klasma.github.io/Logging_2514/klagomål/A 26255-2024 FSC-klagomål.docx", "A 26255-2024")</f>
        <v/>
      </c>
      <c r="W851">
        <f>HYPERLINK("https://klasma.github.io/Logging_2514/klagomålsmail/A 26255-2024 FSC-klagomål mail.docx", "A 26255-2024")</f>
        <v/>
      </c>
      <c r="X851">
        <f>HYPERLINK("https://klasma.github.io/Logging_2514/tillsyn/A 26255-2024 tillsynsbegäran.docx", "A 26255-2024")</f>
        <v/>
      </c>
      <c r="Y851">
        <f>HYPERLINK("https://klasma.github.io/Logging_2514/tillsynsmail/A 26255-2024 tillsynsbegäran mail.docx", "A 26255-2024")</f>
        <v/>
      </c>
    </row>
    <row r="852" ht="15" customHeight="1">
      <c r="A852" t="inlineStr">
        <is>
          <t>A 26551-2024</t>
        </is>
      </c>
      <c r="B852" s="1" t="n">
        <v>45469</v>
      </c>
      <c r="C852" s="1" t="n">
        <v>45662</v>
      </c>
      <c r="D852" t="inlineStr">
        <is>
          <t>NORRBOTTENS LÄN</t>
        </is>
      </c>
      <c r="E852" t="inlineStr">
        <is>
          <t>GÄLLIVARE</t>
        </is>
      </c>
      <c r="F852" t="inlineStr">
        <is>
          <t>Sveaskog</t>
        </is>
      </c>
      <c r="G852" t="n">
        <v>8.699999999999999</v>
      </c>
      <c r="H852" t="n">
        <v>0</v>
      </c>
      <c r="I852" t="n">
        <v>0</v>
      </c>
      <c r="J852" t="n">
        <v>1</v>
      </c>
      <c r="K852" t="n">
        <v>0</v>
      </c>
      <c r="L852" t="n">
        <v>0</v>
      </c>
      <c r="M852" t="n">
        <v>0</v>
      </c>
      <c r="N852" t="n">
        <v>0</v>
      </c>
      <c r="O852" t="n">
        <v>1</v>
      </c>
      <c r="P852" t="n">
        <v>0</v>
      </c>
      <c r="Q852" t="n">
        <v>1</v>
      </c>
      <c r="R852" s="2" t="inlineStr">
        <is>
          <t>Lunglav</t>
        </is>
      </c>
      <c r="S852">
        <f>HYPERLINK("https://klasma.github.io/Logging_2523/artfynd/A 26551-2024 artfynd.xlsx", "A 26551-2024")</f>
        <v/>
      </c>
      <c r="T852">
        <f>HYPERLINK("https://klasma.github.io/Logging_2523/kartor/A 26551-2024 karta.png", "A 26551-2024")</f>
        <v/>
      </c>
      <c r="V852">
        <f>HYPERLINK("https://klasma.github.io/Logging_2523/klagomål/A 26551-2024 FSC-klagomål.docx", "A 26551-2024")</f>
        <v/>
      </c>
      <c r="W852">
        <f>HYPERLINK("https://klasma.github.io/Logging_2523/klagomålsmail/A 26551-2024 FSC-klagomål mail.docx", "A 26551-2024")</f>
        <v/>
      </c>
      <c r="X852">
        <f>HYPERLINK("https://klasma.github.io/Logging_2523/tillsyn/A 26551-2024 tillsynsbegäran.docx", "A 26551-2024")</f>
        <v/>
      </c>
      <c r="Y852">
        <f>HYPERLINK("https://klasma.github.io/Logging_2523/tillsynsmail/A 26551-2024 tillsynsbegäran mail.docx", "A 26551-2024")</f>
        <v/>
      </c>
    </row>
    <row r="853" ht="15" customHeight="1">
      <c r="A853" t="inlineStr">
        <is>
          <t>A 26595-2024</t>
        </is>
      </c>
      <c r="B853" s="1" t="n">
        <v>45469</v>
      </c>
      <c r="C853" s="1" t="n">
        <v>45662</v>
      </c>
      <c r="D853" t="inlineStr">
        <is>
          <t>NORRBOTTENS LÄN</t>
        </is>
      </c>
      <c r="E853" t="inlineStr">
        <is>
          <t>BODEN</t>
        </is>
      </c>
      <c r="F853" t="inlineStr">
        <is>
          <t>Sveaskog</t>
        </is>
      </c>
      <c r="G853" t="n">
        <v>32.7</v>
      </c>
      <c r="H853" t="n">
        <v>0</v>
      </c>
      <c r="I853" t="n">
        <v>0</v>
      </c>
      <c r="J853" t="n">
        <v>1</v>
      </c>
      <c r="K853" t="n">
        <v>0</v>
      </c>
      <c r="L853" t="n">
        <v>0</v>
      </c>
      <c r="M853" t="n">
        <v>0</v>
      </c>
      <c r="N853" t="n">
        <v>0</v>
      </c>
      <c r="O853" t="n">
        <v>1</v>
      </c>
      <c r="P853" t="n">
        <v>0</v>
      </c>
      <c r="Q853" t="n">
        <v>1</v>
      </c>
      <c r="R853" s="2" t="inlineStr">
        <is>
          <t>Lunglav</t>
        </is>
      </c>
      <c r="S853">
        <f>HYPERLINK("https://klasma.github.io/Logging_2582/artfynd/A 26595-2024 artfynd.xlsx", "A 26595-2024")</f>
        <v/>
      </c>
      <c r="T853">
        <f>HYPERLINK("https://klasma.github.io/Logging_2582/kartor/A 26595-2024 karta.png", "A 26595-2024")</f>
        <v/>
      </c>
      <c r="V853">
        <f>HYPERLINK("https://klasma.github.io/Logging_2582/klagomål/A 26595-2024 FSC-klagomål.docx", "A 26595-2024")</f>
        <v/>
      </c>
      <c r="W853">
        <f>HYPERLINK("https://klasma.github.io/Logging_2582/klagomålsmail/A 26595-2024 FSC-klagomål mail.docx", "A 26595-2024")</f>
        <v/>
      </c>
      <c r="X853">
        <f>HYPERLINK("https://klasma.github.io/Logging_2582/tillsyn/A 26595-2024 tillsynsbegäran.docx", "A 26595-2024")</f>
        <v/>
      </c>
      <c r="Y853">
        <f>HYPERLINK("https://klasma.github.io/Logging_2582/tillsynsmail/A 26595-2024 tillsynsbegäran mail.docx", "A 26595-2024")</f>
        <v/>
      </c>
    </row>
    <row r="854" ht="15" customHeight="1">
      <c r="A854" t="inlineStr">
        <is>
          <t>A 26552-2024</t>
        </is>
      </c>
      <c r="B854" s="1" t="n">
        <v>45469</v>
      </c>
      <c r="C854" s="1" t="n">
        <v>45662</v>
      </c>
      <c r="D854" t="inlineStr">
        <is>
          <t>NORRBOTTENS LÄN</t>
        </is>
      </c>
      <c r="E854" t="inlineStr">
        <is>
          <t>GÄLLIVARE</t>
        </is>
      </c>
      <c r="F854" t="inlineStr">
        <is>
          <t>Sveaskog</t>
        </is>
      </c>
      <c r="G854" t="n">
        <v>5.1</v>
      </c>
      <c r="H854" t="n">
        <v>0</v>
      </c>
      <c r="I854" t="n">
        <v>0</v>
      </c>
      <c r="J854" t="n">
        <v>1</v>
      </c>
      <c r="K854" t="n">
        <v>0</v>
      </c>
      <c r="L854" t="n">
        <v>0</v>
      </c>
      <c r="M854" t="n">
        <v>0</v>
      </c>
      <c r="N854" t="n">
        <v>0</v>
      </c>
      <c r="O854" t="n">
        <v>1</v>
      </c>
      <c r="P854" t="n">
        <v>0</v>
      </c>
      <c r="Q854" t="n">
        <v>1</v>
      </c>
      <c r="R854" s="2" t="inlineStr">
        <is>
          <t>Garnlav</t>
        </is>
      </c>
      <c r="S854">
        <f>HYPERLINK("https://klasma.github.io/Logging_2523/artfynd/A 26552-2024 artfynd.xlsx", "A 26552-2024")</f>
        <v/>
      </c>
      <c r="T854">
        <f>HYPERLINK("https://klasma.github.io/Logging_2523/kartor/A 26552-2024 karta.png", "A 26552-2024")</f>
        <v/>
      </c>
      <c r="V854">
        <f>HYPERLINK("https://klasma.github.io/Logging_2523/klagomål/A 26552-2024 FSC-klagomål.docx", "A 26552-2024")</f>
        <v/>
      </c>
      <c r="W854">
        <f>HYPERLINK("https://klasma.github.io/Logging_2523/klagomålsmail/A 26552-2024 FSC-klagomål mail.docx", "A 26552-2024")</f>
        <v/>
      </c>
      <c r="X854">
        <f>HYPERLINK("https://klasma.github.io/Logging_2523/tillsyn/A 26552-2024 tillsynsbegäran.docx", "A 26552-2024")</f>
        <v/>
      </c>
      <c r="Y854">
        <f>HYPERLINK("https://klasma.github.io/Logging_2523/tillsynsmail/A 26552-2024 tillsynsbegäran mail.docx", "A 26552-2024")</f>
        <v/>
      </c>
    </row>
    <row r="855" ht="15" customHeight="1">
      <c r="A855" t="inlineStr">
        <is>
          <t>A 28106-2024</t>
        </is>
      </c>
      <c r="B855" s="1" t="n">
        <v>45476</v>
      </c>
      <c r="C855" s="1" t="n">
        <v>45662</v>
      </c>
      <c r="D855" t="inlineStr">
        <is>
          <t>NORRBOTTENS LÄN</t>
        </is>
      </c>
      <c r="E855" t="inlineStr">
        <is>
          <t>GÄLLIVARE</t>
        </is>
      </c>
      <c r="F855" t="inlineStr">
        <is>
          <t>Sveaskog</t>
        </is>
      </c>
      <c r="G855" t="n">
        <v>1.1</v>
      </c>
      <c r="H855" t="n">
        <v>1</v>
      </c>
      <c r="I855" t="n">
        <v>0</v>
      </c>
      <c r="J855" t="n">
        <v>0</v>
      </c>
      <c r="K855" t="n">
        <v>1</v>
      </c>
      <c r="L855" t="n">
        <v>0</v>
      </c>
      <c r="M855" t="n">
        <v>0</v>
      </c>
      <c r="N855" t="n">
        <v>0</v>
      </c>
      <c r="O855" t="n">
        <v>1</v>
      </c>
      <c r="P855" t="n">
        <v>1</v>
      </c>
      <c r="Q855" t="n">
        <v>1</v>
      </c>
      <c r="R855" s="2" t="inlineStr">
        <is>
          <t>Doftticka</t>
        </is>
      </c>
      <c r="S855">
        <f>HYPERLINK("https://klasma.github.io/Logging_2523/artfynd/A 28106-2024 artfynd.xlsx", "A 28106-2024")</f>
        <v/>
      </c>
      <c r="T855">
        <f>HYPERLINK("https://klasma.github.io/Logging_2523/kartor/A 28106-2024 karta.png", "A 28106-2024")</f>
        <v/>
      </c>
      <c r="V855">
        <f>HYPERLINK("https://klasma.github.io/Logging_2523/klagomål/A 28106-2024 FSC-klagomål.docx", "A 28106-2024")</f>
        <v/>
      </c>
      <c r="W855">
        <f>HYPERLINK("https://klasma.github.io/Logging_2523/klagomålsmail/A 28106-2024 FSC-klagomål mail.docx", "A 28106-2024")</f>
        <v/>
      </c>
      <c r="X855">
        <f>HYPERLINK("https://klasma.github.io/Logging_2523/tillsyn/A 28106-2024 tillsynsbegäran.docx", "A 28106-2024")</f>
        <v/>
      </c>
      <c r="Y855">
        <f>HYPERLINK("https://klasma.github.io/Logging_2523/tillsynsmail/A 28106-2024 tillsynsbegäran mail.docx", "A 28106-2024")</f>
        <v/>
      </c>
    </row>
    <row r="856" ht="15" customHeight="1">
      <c r="A856" t="inlineStr">
        <is>
          <t>A 28428-2024</t>
        </is>
      </c>
      <c r="B856" s="1" t="n">
        <v>45477</v>
      </c>
      <c r="C856" s="1" t="n">
        <v>45662</v>
      </c>
      <c r="D856" t="inlineStr">
        <is>
          <t>NORRBOTTENS LÄN</t>
        </is>
      </c>
      <c r="E856" t="inlineStr">
        <is>
          <t>PAJALA</t>
        </is>
      </c>
      <c r="G856" t="n">
        <v>44.7</v>
      </c>
      <c r="H856" t="n">
        <v>0</v>
      </c>
      <c r="I856" t="n">
        <v>0</v>
      </c>
      <c r="J856" t="n">
        <v>0</v>
      </c>
      <c r="K856" t="n">
        <v>1</v>
      </c>
      <c r="L856" t="n">
        <v>0</v>
      </c>
      <c r="M856" t="n">
        <v>0</v>
      </c>
      <c r="N856" t="n">
        <v>0</v>
      </c>
      <c r="O856" t="n">
        <v>1</v>
      </c>
      <c r="P856" t="n">
        <v>1</v>
      </c>
      <c r="Q856" t="n">
        <v>1</v>
      </c>
      <c r="R856" s="2" t="inlineStr">
        <is>
          <t>Gräddporing</t>
        </is>
      </c>
      <c r="S856">
        <f>HYPERLINK("https://klasma.github.io/Logging_2521/artfynd/A 28428-2024 artfynd.xlsx", "A 28428-2024")</f>
        <v/>
      </c>
      <c r="T856">
        <f>HYPERLINK("https://klasma.github.io/Logging_2521/kartor/A 28428-2024 karta.png", "A 28428-2024")</f>
        <v/>
      </c>
      <c r="V856">
        <f>HYPERLINK("https://klasma.github.io/Logging_2521/klagomål/A 28428-2024 FSC-klagomål.docx", "A 28428-2024")</f>
        <v/>
      </c>
      <c r="W856">
        <f>HYPERLINK("https://klasma.github.io/Logging_2521/klagomålsmail/A 28428-2024 FSC-klagomål mail.docx", "A 28428-2024")</f>
        <v/>
      </c>
      <c r="X856">
        <f>HYPERLINK("https://klasma.github.io/Logging_2521/tillsyn/A 28428-2024 tillsynsbegäran.docx", "A 28428-2024")</f>
        <v/>
      </c>
      <c r="Y856">
        <f>HYPERLINK("https://klasma.github.io/Logging_2521/tillsynsmail/A 28428-2024 tillsynsbegäran mail.docx", "A 28428-2024")</f>
        <v/>
      </c>
    </row>
    <row r="857" ht="15" customHeight="1">
      <c r="A857" t="inlineStr">
        <is>
          <t>A 29679-2024</t>
        </is>
      </c>
      <c r="B857" s="1" t="n">
        <v>45485</v>
      </c>
      <c r="C857" s="1" t="n">
        <v>45662</v>
      </c>
      <c r="D857" t="inlineStr">
        <is>
          <t>NORRBOTTENS LÄN</t>
        </is>
      </c>
      <c r="E857" t="inlineStr">
        <is>
          <t>JOKKMOKK</t>
        </is>
      </c>
      <c r="F857" t="inlineStr">
        <is>
          <t>SCA</t>
        </is>
      </c>
      <c r="G857" t="n">
        <v>16.1</v>
      </c>
      <c r="H857" t="n">
        <v>0</v>
      </c>
      <c r="I857" t="n">
        <v>0</v>
      </c>
      <c r="J857" t="n">
        <v>1</v>
      </c>
      <c r="K857" t="n">
        <v>0</v>
      </c>
      <c r="L857" t="n">
        <v>0</v>
      </c>
      <c r="M857" t="n">
        <v>0</v>
      </c>
      <c r="N857" t="n">
        <v>0</v>
      </c>
      <c r="O857" t="n">
        <v>1</v>
      </c>
      <c r="P857" t="n">
        <v>0</v>
      </c>
      <c r="Q857" t="n">
        <v>1</v>
      </c>
      <c r="R857" s="2" t="inlineStr">
        <is>
          <t>Kolflarnlav</t>
        </is>
      </c>
      <c r="S857">
        <f>HYPERLINK("https://klasma.github.io/Logging_2510/artfynd/A 29679-2024 artfynd.xlsx", "A 29679-2024")</f>
        <v/>
      </c>
      <c r="T857">
        <f>HYPERLINK("https://klasma.github.io/Logging_2510/kartor/A 29679-2024 karta.png", "A 29679-2024")</f>
        <v/>
      </c>
      <c r="V857">
        <f>HYPERLINK("https://klasma.github.io/Logging_2510/klagomål/A 29679-2024 FSC-klagomål.docx", "A 29679-2024")</f>
        <v/>
      </c>
      <c r="W857">
        <f>HYPERLINK("https://klasma.github.io/Logging_2510/klagomålsmail/A 29679-2024 FSC-klagomål mail.docx", "A 29679-2024")</f>
        <v/>
      </c>
      <c r="X857">
        <f>HYPERLINK("https://klasma.github.io/Logging_2510/tillsyn/A 29679-2024 tillsynsbegäran.docx", "A 29679-2024")</f>
        <v/>
      </c>
      <c r="Y857">
        <f>HYPERLINK("https://klasma.github.io/Logging_2510/tillsynsmail/A 29679-2024 tillsynsbegäran mail.docx", "A 29679-2024")</f>
        <v/>
      </c>
    </row>
    <row r="858" ht="15" customHeight="1">
      <c r="A858" t="inlineStr">
        <is>
          <t>A 30225-2024</t>
        </is>
      </c>
      <c r="B858" s="1" t="n">
        <v>45490</v>
      </c>
      <c r="C858" s="1" t="n">
        <v>45662</v>
      </c>
      <c r="D858" t="inlineStr">
        <is>
          <t>NORRBOTTENS LÄN</t>
        </is>
      </c>
      <c r="E858" t="inlineStr">
        <is>
          <t>PITEÅ</t>
        </is>
      </c>
      <c r="G858" t="n">
        <v>2.9</v>
      </c>
      <c r="H858" t="n">
        <v>0</v>
      </c>
      <c r="I858" t="n">
        <v>0</v>
      </c>
      <c r="J858" t="n">
        <v>1</v>
      </c>
      <c r="K858" t="n">
        <v>0</v>
      </c>
      <c r="L858" t="n">
        <v>0</v>
      </c>
      <c r="M858" t="n">
        <v>0</v>
      </c>
      <c r="N858" t="n">
        <v>0</v>
      </c>
      <c r="O858" t="n">
        <v>1</v>
      </c>
      <c r="P858" t="n">
        <v>0</v>
      </c>
      <c r="Q858" t="n">
        <v>1</v>
      </c>
      <c r="R858" s="2" t="inlineStr">
        <is>
          <t>Garnlav</t>
        </is>
      </c>
      <c r="S858">
        <f>HYPERLINK("https://klasma.github.io/Logging_2581/artfynd/A 30225-2024 artfynd.xlsx", "A 30225-2024")</f>
        <v/>
      </c>
      <c r="T858">
        <f>HYPERLINK("https://klasma.github.io/Logging_2581/kartor/A 30225-2024 karta.png", "A 30225-2024")</f>
        <v/>
      </c>
      <c r="V858">
        <f>HYPERLINK("https://klasma.github.io/Logging_2581/klagomål/A 30225-2024 FSC-klagomål.docx", "A 30225-2024")</f>
        <v/>
      </c>
      <c r="W858">
        <f>HYPERLINK("https://klasma.github.io/Logging_2581/klagomålsmail/A 30225-2024 FSC-klagomål mail.docx", "A 30225-2024")</f>
        <v/>
      </c>
      <c r="X858">
        <f>HYPERLINK("https://klasma.github.io/Logging_2581/tillsyn/A 30225-2024 tillsynsbegäran.docx", "A 30225-2024")</f>
        <v/>
      </c>
      <c r="Y858">
        <f>HYPERLINK("https://klasma.github.io/Logging_2581/tillsynsmail/A 30225-2024 tillsynsbegäran mail.docx", "A 30225-2024")</f>
        <v/>
      </c>
    </row>
    <row r="859" ht="15" customHeight="1">
      <c r="A859" t="inlineStr">
        <is>
          <t>A 31272-2024</t>
        </is>
      </c>
      <c r="B859" s="1" t="n">
        <v>45504</v>
      </c>
      <c r="C859" s="1" t="n">
        <v>45662</v>
      </c>
      <c r="D859" t="inlineStr">
        <is>
          <t>NORRBOTTENS LÄN</t>
        </is>
      </c>
      <c r="E859" t="inlineStr">
        <is>
          <t>BODEN</t>
        </is>
      </c>
      <c r="F859" t="inlineStr">
        <is>
          <t>Sveaskog</t>
        </is>
      </c>
      <c r="G859" t="n">
        <v>24.2</v>
      </c>
      <c r="H859" t="n">
        <v>0</v>
      </c>
      <c r="I859" t="n">
        <v>1</v>
      </c>
      <c r="J859" t="n">
        <v>0</v>
      </c>
      <c r="K859" t="n">
        <v>0</v>
      </c>
      <c r="L859" t="n">
        <v>0</v>
      </c>
      <c r="M859" t="n">
        <v>0</v>
      </c>
      <c r="N859" t="n">
        <v>0</v>
      </c>
      <c r="O859" t="n">
        <v>0</v>
      </c>
      <c r="P859" t="n">
        <v>0</v>
      </c>
      <c r="Q859" t="n">
        <v>1</v>
      </c>
      <c r="R859" s="2" t="inlineStr">
        <is>
          <t>Skarp dropptaggsvamp</t>
        </is>
      </c>
      <c r="S859">
        <f>HYPERLINK("https://klasma.github.io/Logging_2582/artfynd/A 31272-2024 artfynd.xlsx", "A 31272-2024")</f>
        <v/>
      </c>
      <c r="T859">
        <f>HYPERLINK("https://klasma.github.io/Logging_2582/kartor/A 31272-2024 karta.png", "A 31272-2024")</f>
        <v/>
      </c>
      <c r="V859">
        <f>HYPERLINK("https://klasma.github.io/Logging_2582/klagomål/A 31272-2024 FSC-klagomål.docx", "A 31272-2024")</f>
        <v/>
      </c>
      <c r="W859">
        <f>HYPERLINK("https://klasma.github.io/Logging_2582/klagomålsmail/A 31272-2024 FSC-klagomål mail.docx", "A 31272-2024")</f>
        <v/>
      </c>
      <c r="X859">
        <f>HYPERLINK("https://klasma.github.io/Logging_2582/tillsyn/A 31272-2024 tillsynsbegäran.docx", "A 31272-2024")</f>
        <v/>
      </c>
      <c r="Y859">
        <f>HYPERLINK("https://klasma.github.io/Logging_2582/tillsynsmail/A 31272-2024 tillsynsbegäran mail.docx", "A 31272-2024")</f>
        <v/>
      </c>
    </row>
    <row r="860" ht="15" customHeight="1">
      <c r="A860" t="inlineStr">
        <is>
          <t>A 32599-2024</t>
        </is>
      </c>
      <c r="B860" s="1" t="n">
        <v>45513</v>
      </c>
      <c r="C860" s="1" t="n">
        <v>45662</v>
      </c>
      <c r="D860" t="inlineStr">
        <is>
          <t>NORRBOTTENS LÄN</t>
        </is>
      </c>
      <c r="E860" t="inlineStr">
        <is>
          <t>ARVIDSJAUR</t>
        </is>
      </c>
      <c r="F860" t="inlineStr">
        <is>
          <t>Sveaskog</t>
        </is>
      </c>
      <c r="G860" t="n">
        <v>12.2</v>
      </c>
      <c r="H860" t="n">
        <v>0</v>
      </c>
      <c r="I860" t="n">
        <v>0</v>
      </c>
      <c r="J860" t="n">
        <v>1</v>
      </c>
      <c r="K860" t="n">
        <v>0</v>
      </c>
      <c r="L860" t="n">
        <v>0</v>
      </c>
      <c r="M860" t="n">
        <v>0</v>
      </c>
      <c r="N860" t="n">
        <v>0</v>
      </c>
      <c r="O860" t="n">
        <v>1</v>
      </c>
      <c r="P860" t="n">
        <v>0</v>
      </c>
      <c r="Q860" t="n">
        <v>1</v>
      </c>
      <c r="R860" s="2" t="inlineStr">
        <is>
          <t>Lunglav</t>
        </is>
      </c>
      <c r="S860">
        <f>HYPERLINK("https://klasma.github.io/Logging_2505/artfynd/A 32599-2024 artfynd.xlsx", "A 32599-2024")</f>
        <v/>
      </c>
      <c r="T860">
        <f>HYPERLINK("https://klasma.github.io/Logging_2505/kartor/A 32599-2024 karta.png", "A 32599-2024")</f>
        <v/>
      </c>
      <c r="V860">
        <f>HYPERLINK("https://klasma.github.io/Logging_2505/klagomål/A 32599-2024 FSC-klagomål.docx", "A 32599-2024")</f>
        <v/>
      </c>
      <c r="W860">
        <f>HYPERLINK("https://klasma.github.io/Logging_2505/klagomålsmail/A 32599-2024 FSC-klagomål mail.docx", "A 32599-2024")</f>
        <v/>
      </c>
      <c r="X860">
        <f>HYPERLINK("https://klasma.github.io/Logging_2505/tillsyn/A 32599-2024 tillsynsbegäran.docx", "A 32599-2024")</f>
        <v/>
      </c>
      <c r="Y860">
        <f>HYPERLINK("https://klasma.github.io/Logging_2505/tillsynsmail/A 32599-2024 tillsynsbegäran mail.docx", "A 32599-2024")</f>
        <v/>
      </c>
    </row>
    <row r="861" ht="15" customHeight="1">
      <c r="A861" t="inlineStr">
        <is>
          <t>A 32600-2024</t>
        </is>
      </c>
      <c r="B861" s="1" t="n">
        <v>45513</v>
      </c>
      <c r="C861" s="1" t="n">
        <v>45662</v>
      </c>
      <c r="D861" t="inlineStr">
        <is>
          <t>NORRBOTTENS LÄN</t>
        </is>
      </c>
      <c r="E861" t="inlineStr">
        <is>
          <t>BODEN</t>
        </is>
      </c>
      <c r="G861" t="n">
        <v>2.5</v>
      </c>
      <c r="H861" t="n">
        <v>0</v>
      </c>
      <c r="I861" t="n">
        <v>0</v>
      </c>
      <c r="J861" t="n">
        <v>1</v>
      </c>
      <c r="K861" t="n">
        <v>0</v>
      </c>
      <c r="L861" t="n">
        <v>0</v>
      </c>
      <c r="M861" t="n">
        <v>0</v>
      </c>
      <c r="N861" t="n">
        <v>0</v>
      </c>
      <c r="O861" t="n">
        <v>1</v>
      </c>
      <c r="P861" t="n">
        <v>0</v>
      </c>
      <c r="Q861" t="n">
        <v>1</v>
      </c>
      <c r="R861" s="2" t="inlineStr">
        <is>
          <t>Lunglav</t>
        </is>
      </c>
      <c r="S861">
        <f>HYPERLINK("https://klasma.github.io/Logging_2582/artfynd/A 32600-2024 artfynd.xlsx", "A 32600-2024")</f>
        <v/>
      </c>
      <c r="T861">
        <f>HYPERLINK("https://klasma.github.io/Logging_2582/kartor/A 32600-2024 karta.png", "A 32600-2024")</f>
        <v/>
      </c>
      <c r="V861">
        <f>HYPERLINK("https://klasma.github.io/Logging_2582/klagomål/A 32600-2024 FSC-klagomål.docx", "A 32600-2024")</f>
        <v/>
      </c>
      <c r="W861">
        <f>HYPERLINK("https://klasma.github.io/Logging_2582/klagomålsmail/A 32600-2024 FSC-klagomål mail.docx", "A 32600-2024")</f>
        <v/>
      </c>
      <c r="X861">
        <f>HYPERLINK("https://klasma.github.io/Logging_2582/tillsyn/A 32600-2024 tillsynsbegäran.docx", "A 32600-2024")</f>
        <v/>
      </c>
      <c r="Y861">
        <f>HYPERLINK("https://klasma.github.io/Logging_2582/tillsynsmail/A 32600-2024 tillsynsbegäran mail.docx", "A 32600-2024")</f>
        <v/>
      </c>
    </row>
    <row r="862" ht="15" customHeight="1">
      <c r="A862" t="inlineStr">
        <is>
          <t>A 32902-2024</t>
        </is>
      </c>
      <c r="B862" s="1" t="n">
        <v>45517</v>
      </c>
      <c r="C862" s="1" t="n">
        <v>45662</v>
      </c>
      <c r="D862" t="inlineStr">
        <is>
          <t>NORRBOTTENS LÄN</t>
        </is>
      </c>
      <c r="E862" t="inlineStr">
        <is>
          <t>PITEÅ</t>
        </is>
      </c>
      <c r="F862" t="inlineStr">
        <is>
          <t>SCA</t>
        </is>
      </c>
      <c r="G862" t="n">
        <v>6.2</v>
      </c>
      <c r="H862" t="n">
        <v>0</v>
      </c>
      <c r="I862" t="n">
        <v>1</v>
      </c>
      <c r="J862" t="n">
        <v>0</v>
      </c>
      <c r="K862" t="n">
        <v>0</v>
      </c>
      <c r="L862" t="n">
        <v>0</v>
      </c>
      <c r="M862" t="n">
        <v>0</v>
      </c>
      <c r="N862" t="n">
        <v>0</v>
      </c>
      <c r="O862" t="n">
        <v>0</v>
      </c>
      <c r="P862" t="n">
        <v>0</v>
      </c>
      <c r="Q862" t="n">
        <v>1</v>
      </c>
      <c r="R862" s="2" t="inlineStr">
        <is>
          <t>Stuplav</t>
        </is>
      </c>
      <c r="S862">
        <f>HYPERLINK("https://klasma.github.io/Logging_2581/artfynd/A 32902-2024 artfynd.xlsx", "A 32902-2024")</f>
        <v/>
      </c>
      <c r="T862">
        <f>HYPERLINK("https://klasma.github.io/Logging_2581/kartor/A 32902-2024 karta.png", "A 32902-2024")</f>
        <v/>
      </c>
      <c r="V862">
        <f>HYPERLINK("https://klasma.github.io/Logging_2581/klagomål/A 32902-2024 FSC-klagomål.docx", "A 32902-2024")</f>
        <v/>
      </c>
      <c r="W862">
        <f>HYPERLINK("https://klasma.github.io/Logging_2581/klagomålsmail/A 32902-2024 FSC-klagomål mail.docx", "A 32902-2024")</f>
        <v/>
      </c>
      <c r="X862">
        <f>HYPERLINK("https://klasma.github.io/Logging_2581/tillsyn/A 32902-2024 tillsynsbegäran.docx", "A 32902-2024")</f>
        <v/>
      </c>
      <c r="Y862">
        <f>HYPERLINK("https://klasma.github.io/Logging_2581/tillsynsmail/A 32902-2024 tillsynsbegäran mail.docx", "A 32902-2024")</f>
        <v/>
      </c>
    </row>
    <row r="863" ht="15" customHeight="1">
      <c r="A863" t="inlineStr">
        <is>
          <t>A 32828-2024</t>
        </is>
      </c>
      <c r="B863" s="1" t="n">
        <v>45516</v>
      </c>
      <c r="C863" s="1" t="n">
        <v>45662</v>
      </c>
      <c r="D863" t="inlineStr">
        <is>
          <t>NORRBOTTENS LÄN</t>
        </is>
      </c>
      <c r="E863" t="inlineStr">
        <is>
          <t>GÄLLIVARE</t>
        </is>
      </c>
      <c r="F863" t="inlineStr">
        <is>
          <t>Sveaskog</t>
        </is>
      </c>
      <c r="G863" t="n">
        <v>27.1</v>
      </c>
      <c r="H863" t="n">
        <v>1</v>
      </c>
      <c r="I863" t="n">
        <v>0</v>
      </c>
      <c r="J863" t="n">
        <v>0</v>
      </c>
      <c r="K863" t="n">
        <v>1</v>
      </c>
      <c r="L863" t="n">
        <v>0</v>
      </c>
      <c r="M863" t="n">
        <v>0</v>
      </c>
      <c r="N863" t="n">
        <v>0</v>
      </c>
      <c r="O863" t="n">
        <v>1</v>
      </c>
      <c r="P863" t="n">
        <v>1</v>
      </c>
      <c r="Q863" t="n">
        <v>1</v>
      </c>
      <c r="R863" s="2" t="inlineStr">
        <is>
          <t>Doftticka</t>
        </is>
      </c>
      <c r="S863">
        <f>HYPERLINK("https://klasma.github.io/Logging_2523/artfynd/A 32828-2024 artfynd.xlsx", "A 32828-2024")</f>
        <v/>
      </c>
      <c r="T863">
        <f>HYPERLINK("https://klasma.github.io/Logging_2523/kartor/A 32828-2024 karta.png", "A 32828-2024")</f>
        <v/>
      </c>
      <c r="V863">
        <f>HYPERLINK("https://klasma.github.io/Logging_2523/klagomål/A 32828-2024 FSC-klagomål.docx", "A 32828-2024")</f>
        <v/>
      </c>
      <c r="W863">
        <f>HYPERLINK("https://klasma.github.io/Logging_2523/klagomålsmail/A 32828-2024 FSC-klagomål mail.docx", "A 32828-2024")</f>
        <v/>
      </c>
      <c r="X863">
        <f>HYPERLINK("https://klasma.github.io/Logging_2523/tillsyn/A 32828-2024 tillsynsbegäran.docx", "A 32828-2024")</f>
        <v/>
      </c>
      <c r="Y863">
        <f>HYPERLINK("https://klasma.github.io/Logging_2523/tillsynsmail/A 32828-2024 tillsynsbegäran mail.docx", "A 32828-2024")</f>
        <v/>
      </c>
    </row>
    <row r="864" ht="15" customHeight="1">
      <c r="A864" t="inlineStr">
        <is>
          <t>A 33834-2024</t>
        </is>
      </c>
      <c r="B864" s="1" t="n">
        <v>45520</v>
      </c>
      <c r="C864" s="1" t="n">
        <v>45662</v>
      </c>
      <c r="D864" t="inlineStr">
        <is>
          <t>NORRBOTTENS LÄN</t>
        </is>
      </c>
      <c r="E864" t="inlineStr">
        <is>
          <t>ÖVERKALIX</t>
        </is>
      </c>
      <c r="F864" t="inlineStr">
        <is>
          <t>Sveaskog</t>
        </is>
      </c>
      <c r="G864" t="n">
        <v>8.300000000000001</v>
      </c>
      <c r="H864" t="n">
        <v>0</v>
      </c>
      <c r="I864" t="n">
        <v>1</v>
      </c>
      <c r="J864" t="n">
        <v>0</v>
      </c>
      <c r="K864" t="n">
        <v>0</v>
      </c>
      <c r="L864" t="n">
        <v>0</v>
      </c>
      <c r="M864" t="n">
        <v>0</v>
      </c>
      <c r="N864" t="n">
        <v>0</v>
      </c>
      <c r="O864" t="n">
        <v>0</v>
      </c>
      <c r="P864" t="n">
        <v>0</v>
      </c>
      <c r="Q864" t="n">
        <v>1</v>
      </c>
      <c r="R864" s="2" t="inlineStr">
        <is>
          <t>Dropptaggsvamp</t>
        </is>
      </c>
      <c r="S864">
        <f>HYPERLINK("https://klasma.github.io/Logging_2513/artfynd/A 33834-2024 artfynd.xlsx", "A 33834-2024")</f>
        <v/>
      </c>
      <c r="T864">
        <f>HYPERLINK("https://klasma.github.io/Logging_2513/kartor/A 33834-2024 karta.png", "A 33834-2024")</f>
        <v/>
      </c>
      <c r="V864">
        <f>HYPERLINK("https://klasma.github.io/Logging_2513/klagomål/A 33834-2024 FSC-klagomål.docx", "A 33834-2024")</f>
        <v/>
      </c>
      <c r="W864">
        <f>HYPERLINK("https://klasma.github.io/Logging_2513/klagomålsmail/A 33834-2024 FSC-klagomål mail.docx", "A 33834-2024")</f>
        <v/>
      </c>
      <c r="X864">
        <f>HYPERLINK("https://klasma.github.io/Logging_2513/tillsyn/A 33834-2024 tillsynsbegäran.docx", "A 33834-2024")</f>
        <v/>
      </c>
      <c r="Y864">
        <f>HYPERLINK("https://klasma.github.io/Logging_2513/tillsynsmail/A 33834-2024 tillsynsbegäran mail.docx", "A 33834-2024")</f>
        <v/>
      </c>
    </row>
    <row r="865" ht="15" customHeight="1">
      <c r="A865" t="inlineStr">
        <is>
          <t>A 33674-2024</t>
        </is>
      </c>
      <c r="B865" s="1" t="n">
        <v>45520</v>
      </c>
      <c r="C865" s="1" t="n">
        <v>45662</v>
      </c>
      <c r="D865" t="inlineStr">
        <is>
          <t>NORRBOTTENS LÄN</t>
        </is>
      </c>
      <c r="E865" t="inlineStr">
        <is>
          <t>BODEN</t>
        </is>
      </c>
      <c r="F865" t="inlineStr">
        <is>
          <t>Sveaskog</t>
        </is>
      </c>
      <c r="G865" t="n">
        <v>6.6</v>
      </c>
      <c r="H865" t="n">
        <v>0</v>
      </c>
      <c r="I865" t="n">
        <v>0</v>
      </c>
      <c r="J865" t="n">
        <v>1</v>
      </c>
      <c r="K865" t="n">
        <v>0</v>
      </c>
      <c r="L865" t="n">
        <v>0</v>
      </c>
      <c r="M865" t="n">
        <v>0</v>
      </c>
      <c r="N865" t="n">
        <v>0</v>
      </c>
      <c r="O865" t="n">
        <v>1</v>
      </c>
      <c r="P865" t="n">
        <v>0</v>
      </c>
      <c r="Q865" t="n">
        <v>1</v>
      </c>
      <c r="R865" s="2" t="inlineStr">
        <is>
          <t>Blå taggsvamp</t>
        </is>
      </c>
      <c r="S865">
        <f>HYPERLINK("https://klasma.github.io/Logging_2582/artfynd/A 33674-2024 artfynd.xlsx", "A 33674-2024")</f>
        <v/>
      </c>
      <c r="T865">
        <f>HYPERLINK("https://klasma.github.io/Logging_2582/kartor/A 33674-2024 karta.png", "A 33674-2024")</f>
        <v/>
      </c>
      <c r="V865">
        <f>HYPERLINK("https://klasma.github.io/Logging_2582/klagomål/A 33674-2024 FSC-klagomål.docx", "A 33674-2024")</f>
        <v/>
      </c>
      <c r="W865">
        <f>HYPERLINK("https://klasma.github.io/Logging_2582/klagomålsmail/A 33674-2024 FSC-klagomål mail.docx", "A 33674-2024")</f>
        <v/>
      </c>
      <c r="X865">
        <f>HYPERLINK("https://klasma.github.io/Logging_2582/tillsyn/A 33674-2024 tillsynsbegäran.docx", "A 33674-2024")</f>
        <v/>
      </c>
      <c r="Y865">
        <f>HYPERLINK("https://klasma.github.io/Logging_2582/tillsynsmail/A 33674-2024 tillsynsbegäran mail.docx", "A 33674-2024")</f>
        <v/>
      </c>
    </row>
    <row r="866" ht="15" customHeight="1">
      <c r="A866" t="inlineStr">
        <is>
          <t>A 34618-2024</t>
        </is>
      </c>
      <c r="B866" s="1" t="n">
        <v>45526</v>
      </c>
      <c r="C866" s="1" t="n">
        <v>45662</v>
      </c>
      <c r="D866" t="inlineStr">
        <is>
          <t>NORRBOTTENS LÄN</t>
        </is>
      </c>
      <c r="E866" t="inlineStr">
        <is>
          <t>GÄLLIVARE</t>
        </is>
      </c>
      <c r="F866" t="inlineStr">
        <is>
          <t>Sveaskog</t>
        </is>
      </c>
      <c r="G866" t="n">
        <v>11.2</v>
      </c>
      <c r="H866" t="n">
        <v>1</v>
      </c>
      <c r="I866" t="n">
        <v>0</v>
      </c>
      <c r="J866" t="n">
        <v>0</v>
      </c>
      <c r="K866" t="n">
        <v>1</v>
      </c>
      <c r="L866" t="n">
        <v>0</v>
      </c>
      <c r="M866" t="n">
        <v>0</v>
      </c>
      <c r="N866" t="n">
        <v>0</v>
      </c>
      <c r="O866" t="n">
        <v>1</v>
      </c>
      <c r="P866" t="n">
        <v>1</v>
      </c>
      <c r="Q866" t="n">
        <v>1</v>
      </c>
      <c r="R866" s="2" t="inlineStr">
        <is>
          <t>Doftticka</t>
        </is>
      </c>
      <c r="S866">
        <f>HYPERLINK("https://klasma.github.io/Logging_2523/artfynd/A 34618-2024 artfynd.xlsx", "A 34618-2024")</f>
        <v/>
      </c>
      <c r="T866">
        <f>HYPERLINK("https://klasma.github.io/Logging_2523/kartor/A 34618-2024 karta.png", "A 34618-2024")</f>
        <v/>
      </c>
      <c r="V866">
        <f>HYPERLINK("https://klasma.github.io/Logging_2523/klagomål/A 34618-2024 FSC-klagomål.docx", "A 34618-2024")</f>
        <v/>
      </c>
      <c r="W866">
        <f>HYPERLINK("https://klasma.github.io/Logging_2523/klagomålsmail/A 34618-2024 FSC-klagomål mail.docx", "A 34618-2024")</f>
        <v/>
      </c>
      <c r="X866">
        <f>HYPERLINK("https://klasma.github.io/Logging_2523/tillsyn/A 34618-2024 tillsynsbegäran.docx", "A 34618-2024")</f>
        <v/>
      </c>
      <c r="Y866">
        <f>HYPERLINK("https://klasma.github.io/Logging_2523/tillsynsmail/A 34618-2024 tillsynsbegäran mail.docx", "A 34618-2024")</f>
        <v/>
      </c>
    </row>
    <row r="867" ht="15" customHeight="1">
      <c r="A867" t="inlineStr">
        <is>
          <t>A 34591-2024</t>
        </is>
      </c>
      <c r="B867" s="1" t="n">
        <v>45526</v>
      </c>
      <c r="C867" s="1" t="n">
        <v>45662</v>
      </c>
      <c r="D867" t="inlineStr">
        <is>
          <t>NORRBOTTENS LÄN</t>
        </is>
      </c>
      <c r="E867" t="inlineStr">
        <is>
          <t>GÄLLIVARE</t>
        </is>
      </c>
      <c r="F867" t="inlineStr">
        <is>
          <t>Sveaskog</t>
        </is>
      </c>
      <c r="G867" t="n">
        <v>1.1</v>
      </c>
      <c r="H867" t="n">
        <v>0</v>
      </c>
      <c r="I867" t="n">
        <v>1</v>
      </c>
      <c r="J867" t="n">
        <v>0</v>
      </c>
      <c r="K867" t="n">
        <v>0</v>
      </c>
      <c r="L867" t="n">
        <v>0</v>
      </c>
      <c r="M867" t="n">
        <v>0</v>
      </c>
      <c r="N867" t="n">
        <v>0</v>
      </c>
      <c r="O867" t="n">
        <v>0</v>
      </c>
      <c r="P867" t="n">
        <v>0</v>
      </c>
      <c r="Q867" t="n">
        <v>1</v>
      </c>
      <c r="R867" s="2" t="inlineStr">
        <is>
          <t>Dropptaggsvamp</t>
        </is>
      </c>
      <c r="S867">
        <f>HYPERLINK("https://klasma.github.io/Logging_2523/artfynd/A 34591-2024 artfynd.xlsx", "A 34591-2024")</f>
        <v/>
      </c>
      <c r="T867">
        <f>HYPERLINK("https://klasma.github.io/Logging_2523/kartor/A 34591-2024 karta.png", "A 34591-2024")</f>
        <v/>
      </c>
      <c r="V867">
        <f>HYPERLINK("https://klasma.github.io/Logging_2523/klagomål/A 34591-2024 FSC-klagomål.docx", "A 34591-2024")</f>
        <v/>
      </c>
      <c r="W867">
        <f>HYPERLINK("https://klasma.github.io/Logging_2523/klagomålsmail/A 34591-2024 FSC-klagomål mail.docx", "A 34591-2024")</f>
        <v/>
      </c>
      <c r="X867">
        <f>HYPERLINK("https://klasma.github.io/Logging_2523/tillsyn/A 34591-2024 tillsynsbegäran.docx", "A 34591-2024")</f>
        <v/>
      </c>
      <c r="Y867">
        <f>HYPERLINK("https://klasma.github.io/Logging_2523/tillsynsmail/A 34591-2024 tillsynsbegäran mail.docx", "A 34591-2024")</f>
        <v/>
      </c>
    </row>
    <row r="868" ht="15" customHeight="1">
      <c r="A868" t="inlineStr">
        <is>
          <t>A 34879-2024</t>
        </is>
      </c>
      <c r="B868" s="1" t="n">
        <v>45527</v>
      </c>
      <c r="C868" s="1" t="n">
        <v>45662</v>
      </c>
      <c r="D868" t="inlineStr">
        <is>
          <t>NORRBOTTENS LÄN</t>
        </is>
      </c>
      <c r="E868" t="inlineStr">
        <is>
          <t>GÄLLIVARE</t>
        </is>
      </c>
      <c r="F868" t="inlineStr">
        <is>
          <t>SCA</t>
        </is>
      </c>
      <c r="G868" t="n">
        <v>4.3</v>
      </c>
      <c r="H868" t="n">
        <v>1</v>
      </c>
      <c r="I868" t="n">
        <v>0</v>
      </c>
      <c r="J868" t="n">
        <v>0</v>
      </c>
      <c r="K868" t="n">
        <v>0</v>
      </c>
      <c r="L868" t="n">
        <v>0</v>
      </c>
      <c r="M868" t="n">
        <v>0</v>
      </c>
      <c r="N868" t="n">
        <v>0</v>
      </c>
      <c r="O868" t="n">
        <v>0</v>
      </c>
      <c r="P868" t="n">
        <v>0</v>
      </c>
      <c r="Q868" t="n">
        <v>1</v>
      </c>
      <c r="R868" s="2" t="inlineStr">
        <is>
          <t>Huggorm</t>
        </is>
      </c>
      <c r="S868">
        <f>HYPERLINK("https://klasma.github.io/Logging_2523/artfynd/A 34879-2024 artfynd.xlsx", "A 34879-2024")</f>
        <v/>
      </c>
      <c r="T868">
        <f>HYPERLINK("https://klasma.github.io/Logging_2523/kartor/A 34879-2024 karta.png", "A 34879-2024")</f>
        <v/>
      </c>
      <c r="V868">
        <f>HYPERLINK("https://klasma.github.io/Logging_2523/klagomål/A 34879-2024 FSC-klagomål.docx", "A 34879-2024")</f>
        <v/>
      </c>
      <c r="W868">
        <f>HYPERLINK("https://klasma.github.io/Logging_2523/klagomålsmail/A 34879-2024 FSC-klagomål mail.docx", "A 34879-2024")</f>
        <v/>
      </c>
      <c r="X868">
        <f>HYPERLINK("https://klasma.github.io/Logging_2523/tillsyn/A 34879-2024 tillsynsbegäran.docx", "A 34879-2024")</f>
        <v/>
      </c>
      <c r="Y868">
        <f>HYPERLINK("https://klasma.github.io/Logging_2523/tillsynsmail/A 34879-2024 tillsynsbegäran mail.docx", "A 34879-2024")</f>
        <v/>
      </c>
    </row>
    <row r="869" ht="15" customHeight="1">
      <c r="A869" t="inlineStr">
        <is>
          <t>A 35545-2024</t>
        </is>
      </c>
      <c r="B869" s="1" t="n">
        <v>45531</v>
      </c>
      <c r="C869" s="1" t="n">
        <v>45662</v>
      </c>
      <c r="D869" t="inlineStr">
        <is>
          <t>NORRBOTTENS LÄN</t>
        </is>
      </c>
      <c r="E869" t="inlineStr">
        <is>
          <t>LULEÅ</t>
        </is>
      </c>
      <c r="G869" t="n">
        <v>19.7</v>
      </c>
      <c r="H869" t="n">
        <v>0</v>
      </c>
      <c r="I869" t="n">
        <v>0</v>
      </c>
      <c r="J869" t="n">
        <v>0</v>
      </c>
      <c r="K869" t="n">
        <v>1</v>
      </c>
      <c r="L869" t="n">
        <v>0</v>
      </c>
      <c r="M869" t="n">
        <v>0</v>
      </c>
      <c r="N869" t="n">
        <v>0</v>
      </c>
      <c r="O869" t="n">
        <v>1</v>
      </c>
      <c r="P869" t="n">
        <v>1</v>
      </c>
      <c r="Q869" t="n">
        <v>1</v>
      </c>
      <c r="R869" s="2" t="inlineStr">
        <is>
          <t>Liten aspgelélav</t>
        </is>
      </c>
      <c r="S869">
        <f>HYPERLINK("https://klasma.github.io/Logging_2580/artfynd/A 35545-2024 artfynd.xlsx", "A 35545-2024")</f>
        <v/>
      </c>
      <c r="T869">
        <f>HYPERLINK("https://klasma.github.io/Logging_2580/kartor/A 35545-2024 karta.png", "A 35545-2024")</f>
        <v/>
      </c>
      <c r="V869">
        <f>HYPERLINK("https://klasma.github.io/Logging_2580/klagomål/A 35545-2024 FSC-klagomål.docx", "A 35545-2024")</f>
        <v/>
      </c>
      <c r="W869">
        <f>HYPERLINK("https://klasma.github.io/Logging_2580/klagomålsmail/A 35545-2024 FSC-klagomål mail.docx", "A 35545-2024")</f>
        <v/>
      </c>
      <c r="X869">
        <f>HYPERLINK("https://klasma.github.io/Logging_2580/tillsyn/A 35545-2024 tillsynsbegäran.docx", "A 35545-2024")</f>
        <v/>
      </c>
      <c r="Y869">
        <f>HYPERLINK("https://klasma.github.io/Logging_2580/tillsynsmail/A 35545-2024 tillsynsbegäran mail.docx", "A 35545-2024")</f>
        <v/>
      </c>
    </row>
    <row r="870" ht="15" customHeight="1">
      <c r="A870" t="inlineStr">
        <is>
          <t>A 36111-2024</t>
        </is>
      </c>
      <c r="B870" s="1" t="n">
        <v>45534</v>
      </c>
      <c r="C870" s="1" t="n">
        <v>45662</v>
      </c>
      <c r="D870" t="inlineStr">
        <is>
          <t>NORRBOTTENS LÄN</t>
        </is>
      </c>
      <c r="E870" t="inlineStr">
        <is>
          <t>JOKKMOKK</t>
        </is>
      </c>
      <c r="F870" t="inlineStr">
        <is>
          <t>Sveaskog</t>
        </is>
      </c>
      <c r="G870" t="n">
        <v>1.7</v>
      </c>
      <c r="H870" t="n">
        <v>0</v>
      </c>
      <c r="I870" t="n">
        <v>1</v>
      </c>
      <c r="J870" t="n">
        <v>0</v>
      </c>
      <c r="K870" t="n">
        <v>0</v>
      </c>
      <c r="L870" t="n">
        <v>0</v>
      </c>
      <c r="M870" t="n">
        <v>0</v>
      </c>
      <c r="N870" t="n">
        <v>0</v>
      </c>
      <c r="O870" t="n">
        <v>0</v>
      </c>
      <c r="P870" t="n">
        <v>0</v>
      </c>
      <c r="Q870" t="n">
        <v>1</v>
      </c>
      <c r="R870" s="2" t="inlineStr">
        <is>
          <t>Skarp dropptaggsvamp</t>
        </is>
      </c>
      <c r="S870">
        <f>HYPERLINK("https://klasma.github.io/Logging_2510/artfynd/A 36111-2024 artfynd.xlsx", "A 36111-2024")</f>
        <v/>
      </c>
      <c r="T870">
        <f>HYPERLINK("https://klasma.github.io/Logging_2510/kartor/A 36111-2024 karta.png", "A 36111-2024")</f>
        <v/>
      </c>
      <c r="V870">
        <f>HYPERLINK("https://klasma.github.io/Logging_2510/klagomål/A 36111-2024 FSC-klagomål.docx", "A 36111-2024")</f>
        <v/>
      </c>
      <c r="W870">
        <f>HYPERLINK("https://klasma.github.io/Logging_2510/klagomålsmail/A 36111-2024 FSC-klagomål mail.docx", "A 36111-2024")</f>
        <v/>
      </c>
      <c r="X870">
        <f>HYPERLINK("https://klasma.github.io/Logging_2510/tillsyn/A 36111-2024 tillsynsbegäran.docx", "A 36111-2024")</f>
        <v/>
      </c>
      <c r="Y870">
        <f>HYPERLINK("https://klasma.github.io/Logging_2510/tillsynsmail/A 36111-2024 tillsynsbegäran mail.docx", "A 36111-2024")</f>
        <v/>
      </c>
    </row>
    <row r="871" ht="15" customHeight="1">
      <c r="A871" t="inlineStr">
        <is>
          <t>A 36112-2024</t>
        </is>
      </c>
      <c r="B871" s="1" t="n">
        <v>45534</v>
      </c>
      <c r="C871" s="1" t="n">
        <v>45662</v>
      </c>
      <c r="D871" t="inlineStr">
        <is>
          <t>NORRBOTTENS LÄN</t>
        </is>
      </c>
      <c r="E871" t="inlineStr">
        <is>
          <t>JOKKMOKK</t>
        </is>
      </c>
      <c r="F871" t="inlineStr">
        <is>
          <t>Sveaskog</t>
        </is>
      </c>
      <c r="G871" t="n">
        <v>2.7</v>
      </c>
      <c r="H871" t="n">
        <v>0</v>
      </c>
      <c r="I871" t="n">
        <v>0</v>
      </c>
      <c r="J871" t="n">
        <v>1</v>
      </c>
      <c r="K871" t="n">
        <v>0</v>
      </c>
      <c r="L871" t="n">
        <v>0</v>
      </c>
      <c r="M871" t="n">
        <v>0</v>
      </c>
      <c r="N871" t="n">
        <v>0</v>
      </c>
      <c r="O871" t="n">
        <v>1</v>
      </c>
      <c r="P871" t="n">
        <v>0</v>
      </c>
      <c r="Q871" t="n">
        <v>1</v>
      </c>
      <c r="R871" s="2" t="inlineStr">
        <is>
          <t>Tallriska</t>
        </is>
      </c>
      <c r="S871">
        <f>HYPERLINK("https://klasma.github.io/Logging_2510/artfynd/A 36112-2024 artfynd.xlsx", "A 36112-2024")</f>
        <v/>
      </c>
      <c r="T871">
        <f>HYPERLINK("https://klasma.github.io/Logging_2510/kartor/A 36112-2024 karta.png", "A 36112-2024")</f>
        <v/>
      </c>
      <c r="V871">
        <f>HYPERLINK("https://klasma.github.io/Logging_2510/klagomål/A 36112-2024 FSC-klagomål.docx", "A 36112-2024")</f>
        <v/>
      </c>
      <c r="W871">
        <f>HYPERLINK("https://klasma.github.io/Logging_2510/klagomålsmail/A 36112-2024 FSC-klagomål mail.docx", "A 36112-2024")</f>
        <v/>
      </c>
      <c r="X871">
        <f>HYPERLINK("https://klasma.github.io/Logging_2510/tillsyn/A 36112-2024 tillsynsbegäran.docx", "A 36112-2024")</f>
        <v/>
      </c>
      <c r="Y871">
        <f>HYPERLINK("https://klasma.github.io/Logging_2510/tillsynsmail/A 36112-2024 tillsynsbegäran mail.docx", "A 36112-2024")</f>
        <v/>
      </c>
    </row>
    <row r="872" ht="15" customHeight="1">
      <c r="A872" t="inlineStr">
        <is>
          <t>A 36743-2024</t>
        </is>
      </c>
      <c r="B872" s="1" t="n">
        <v>45538</v>
      </c>
      <c r="C872" s="1" t="n">
        <v>45662</v>
      </c>
      <c r="D872" t="inlineStr">
        <is>
          <t>NORRBOTTENS LÄN</t>
        </is>
      </c>
      <c r="E872" t="inlineStr">
        <is>
          <t>BODEN</t>
        </is>
      </c>
      <c r="F872" t="inlineStr">
        <is>
          <t>Sveaskog</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HYPERLINK("https://klasma.github.io/Logging_2582/artfynd/A 36743-2024 artfynd.xlsx", "A 36743-2024")</f>
        <v/>
      </c>
      <c r="T872">
        <f>HYPERLINK("https://klasma.github.io/Logging_2582/kartor/A 36743-2024 karta.png", "A 36743-2024")</f>
        <v/>
      </c>
      <c r="V872">
        <f>HYPERLINK("https://klasma.github.io/Logging_2582/klagomål/A 36743-2024 FSC-klagomål.docx", "A 36743-2024")</f>
        <v/>
      </c>
      <c r="W872">
        <f>HYPERLINK("https://klasma.github.io/Logging_2582/klagomålsmail/A 36743-2024 FSC-klagomål mail.docx", "A 36743-2024")</f>
        <v/>
      </c>
      <c r="X872">
        <f>HYPERLINK("https://klasma.github.io/Logging_2582/tillsyn/A 36743-2024 tillsynsbegäran.docx", "A 36743-2024")</f>
        <v/>
      </c>
      <c r="Y872">
        <f>HYPERLINK("https://klasma.github.io/Logging_2582/tillsynsmail/A 36743-2024 tillsynsbegäran mail.docx", "A 36743-2024")</f>
        <v/>
      </c>
    </row>
    <row r="873" ht="15" customHeight="1">
      <c r="A873" t="inlineStr">
        <is>
          <t>A 37314-2024</t>
        </is>
      </c>
      <c r="B873" s="1" t="n">
        <v>45540</v>
      </c>
      <c r="C873" s="1" t="n">
        <v>45662</v>
      </c>
      <c r="D873" t="inlineStr">
        <is>
          <t>NORRBOTTENS LÄN</t>
        </is>
      </c>
      <c r="E873" t="inlineStr">
        <is>
          <t>ÖVERKALIX</t>
        </is>
      </c>
      <c r="F873" t="inlineStr">
        <is>
          <t>Sveaskog</t>
        </is>
      </c>
      <c r="G873" t="n">
        <v>7</v>
      </c>
      <c r="H873" t="n">
        <v>0</v>
      </c>
      <c r="I873" t="n">
        <v>0</v>
      </c>
      <c r="J873" t="n">
        <v>1</v>
      </c>
      <c r="K873" t="n">
        <v>0</v>
      </c>
      <c r="L873" t="n">
        <v>0</v>
      </c>
      <c r="M873" t="n">
        <v>0</v>
      </c>
      <c r="N873" t="n">
        <v>0</v>
      </c>
      <c r="O873" t="n">
        <v>1</v>
      </c>
      <c r="P873" t="n">
        <v>0</v>
      </c>
      <c r="Q873" t="n">
        <v>1</v>
      </c>
      <c r="R873" s="2" t="inlineStr">
        <is>
          <t>Garnlav</t>
        </is>
      </c>
      <c r="S873">
        <f>HYPERLINK("https://klasma.github.io/Logging_2513/artfynd/A 37314-2024 artfynd.xlsx", "A 37314-2024")</f>
        <v/>
      </c>
      <c r="T873">
        <f>HYPERLINK("https://klasma.github.io/Logging_2513/kartor/A 37314-2024 karta.png", "A 37314-2024")</f>
        <v/>
      </c>
      <c r="V873">
        <f>HYPERLINK("https://klasma.github.io/Logging_2513/klagomål/A 37314-2024 FSC-klagomål.docx", "A 37314-2024")</f>
        <v/>
      </c>
      <c r="W873">
        <f>HYPERLINK("https://klasma.github.io/Logging_2513/klagomålsmail/A 37314-2024 FSC-klagomål mail.docx", "A 37314-2024")</f>
        <v/>
      </c>
      <c r="X873">
        <f>HYPERLINK("https://klasma.github.io/Logging_2513/tillsyn/A 37314-2024 tillsynsbegäran.docx", "A 37314-2024")</f>
        <v/>
      </c>
      <c r="Y873">
        <f>HYPERLINK("https://klasma.github.io/Logging_2513/tillsynsmail/A 37314-2024 tillsynsbegäran mail.docx", "A 37314-2024")</f>
        <v/>
      </c>
    </row>
    <row r="874" ht="15" customHeight="1">
      <c r="A874" t="inlineStr">
        <is>
          <t>A 37309-2024</t>
        </is>
      </c>
      <c r="B874" s="1" t="n">
        <v>45540</v>
      </c>
      <c r="C874" s="1" t="n">
        <v>45662</v>
      </c>
      <c r="D874" t="inlineStr">
        <is>
          <t>NORRBOTTENS LÄN</t>
        </is>
      </c>
      <c r="E874" t="inlineStr">
        <is>
          <t>ÖVERKALIX</t>
        </is>
      </c>
      <c r="F874" t="inlineStr">
        <is>
          <t>Sveaskog</t>
        </is>
      </c>
      <c r="G874" t="n">
        <v>10.4</v>
      </c>
      <c r="H874" t="n">
        <v>0</v>
      </c>
      <c r="I874" t="n">
        <v>0</v>
      </c>
      <c r="J874" t="n">
        <v>1</v>
      </c>
      <c r="K874" t="n">
        <v>0</v>
      </c>
      <c r="L874" t="n">
        <v>0</v>
      </c>
      <c r="M874" t="n">
        <v>0</v>
      </c>
      <c r="N874" t="n">
        <v>0</v>
      </c>
      <c r="O874" t="n">
        <v>1</v>
      </c>
      <c r="P874" t="n">
        <v>0</v>
      </c>
      <c r="Q874" t="n">
        <v>1</v>
      </c>
      <c r="R874" s="2" t="inlineStr">
        <is>
          <t>Lunglav</t>
        </is>
      </c>
      <c r="S874">
        <f>HYPERLINK("https://klasma.github.io/Logging_2513/artfynd/A 37309-2024 artfynd.xlsx", "A 37309-2024")</f>
        <v/>
      </c>
      <c r="T874">
        <f>HYPERLINK("https://klasma.github.io/Logging_2513/kartor/A 37309-2024 karta.png", "A 37309-2024")</f>
        <v/>
      </c>
      <c r="U874">
        <f>HYPERLINK("https://klasma.github.io/Logging_2513/knärot/A 37309-2024 karta knärot.png", "A 37309-2024")</f>
        <v/>
      </c>
      <c r="V874">
        <f>HYPERLINK("https://klasma.github.io/Logging_2513/klagomål/A 37309-2024 FSC-klagomål.docx", "A 37309-2024")</f>
        <v/>
      </c>
      <c r="W874">
        <f>HYPERLINK("https://klasma.github.io/Logging_2513/klagomålsmail/A 37309-2024 FSC-klagomål mail.docx", "A 37309-2024")</f>
        <v/>
      </c>
      <c r="X874">
        <f>HYPERLINK("https://klasma.github.io/Logging_2513/tillsyn/A 37309-2024 tillsynsbegäran.docx", "A 37309-2024")</f>
        <v/>
      </c>
      <c r="Y874">
        <f>HYPERLINK("https://klasma.github.io/Logging_2513/tillsynsmail/A 37309-2024 tillsynsbegäran mail.docx", "A 37309-2024")</f>
        <v/>
      </c>
    </row>
    <row r="875" ht="15" customHeight="1">
      <c r="A875" t="inlineStr">
        <is>
          <t>A 37905-2024</t>
        </is>
      </c>
      <c r="B875" s="1" t="n">
        <v>45544</v>
      </c>
      <c r="C875" s="1" t="n">
        <v>45662</v>
      </c>
      <c r="D875" t="inlineStr">
        <is>
          <t>NORRBOTTENS LÄN</t>
        </is>
      </c>
      <c r="E875" t="inlineStr">
        <is>
          <t>ÖVERKALIX</t>
        </is>
      </c>
      <c r="G875" t="n">
        <v>25</v>
      </c>
      <c r="H875" t="n">
        <v>1</v>
      </c>
      <c r="I875" t="n">
        <v>1</v>
      </c>
      <c r="J875" t="n">
        <v>0</v>
      </c>
      <c r="K875" t="n">
        <v>0</v>
      </c>
      <c r="L875" t="n">
        <v>0</v>
      </c>
      <c r="M875" t="n">
        <v>0</v>
      </c>
      <c r="N875" t="n">
        <v>0</v>
      </c>
      <c r="O875" t="n">
        <v>0</v>
      </c>
      <c r="P875" t="n">
        <v>0</v>
      </c>
      <c r="Q875" t="n">
        <v>1</v>
      </c>
      <c r="R875" s="2" t="inlineStr">
        <is>
          <t>Plattlummer</t>
        </is>
      </c>
      <c r="S875">
        <f>HYPERLINK("https://klasma.github.io/Logging_2513/artfynd/A 37905-2024 artfynd.xlsx", "A 37905-2024")</f>
        <v/>
      </c>
      <c r="T875">
        <f>HYPERLINK("https://klasma.github.io/Logging_2513/kartor/A 37905-2024 karta.png", "A 37905-2024")</f>
        <v/>
      </c>
      <c r="V875">
        <f>HYPERLINK("https://klasma.github.io/Logging_2513/klagomål/A 37905-2024 FSC-klagomål.docx", "A 37905-2024")</f>
        <v/>
      </c>
      <c r="W875">
        <f>HYPERLINK("https://klasma.github.io/Logging_2513/klagomålsmail/A 37905-2024 FSC-klagomål mail.docx", "A 37905-2024")</f>
        <v/>
      </c>
      <c r="X875">
        <f>HYPERLINK("https://klasma.github.io/Logging_2513/tillsyn/A 37905-2024 tillsynsbegäran.docx", "A 37905-2024")</f>
        <v/>
      </c>
      <c r="Y875">
        <f>HYPERLINK("https://klasma.github.io/Logging_2513/tillsynsmail/A 37905-2024 tillsynsbegäran mail.docx", "A 37905-2024")</f>
        <v/>
      </c>
    </row>
    <row r="876" ht="15" customHeight="1">
      <c r="A876" t="inlineStr">
        <is>
          <t>A 37997-2024</t>
        </is>
      </c>
      <c r="B876" s="1" t="n">
        <v>45544</v>
      </c>
      <c r="C876" s="1" t="n">
        <v>45662</v>
      </c>
      <c r="D876" t="inlineStr">
        <is>
          <t>NORRBOTTENS LÄN</t>
        </is>
      </c>
      <c r="E876" t="inlineStr">
        <is>
          <t>ÖVERKALIX</t>
        </is>
      </c>
      <c r="F876" t="inlineStr">
        <is>
          <t>Sveaskog</t>
        </is>
      </c>
      <c r="G876" t="n">
        <v>1.9</v>
      </c>
      <c r="H876" t="n">
        <v>0</v>
      </c>
      <c r="I876" t="n">
        <v>0</v>
      </c>
      <c r="J876" t="n">
        <v>1</v>
      </c>
      <c r="K876" t="n">
        <v>0</v>
      </c>
      <c r="L876" t="n">
        <v>0</v>
      </c>
      <c r="M876" t="n">
        <v>0</v>
      </c>
      <c r="N876" t="n">
        <v>0</v>
      </c>
      <c r="O876" t="n">
        <v>1</v>
      </c>
      <c r="P876" t="n">
        <v>0</v>
      </c>
      <c r="Q876" t="n">
        <v>1</v>
      </c>
      <c r="R876" s="2" t="inlineStr">
        <is>
          <t>Lunglav</t>
        </is>
      </c>
      <c r="S876">
        <f>HYPERLINK("https://klasma.github.io/Logging_2513/artfynd/A 37997-2024 artfynd.xlsx", "A 37997-2024")</f>
        <v/>
      </c>
      <c r="T876">
        <f>HYPERLINK("https://klasma.github.io/Logging_2513/kartor/A 37997-2024 karta.png", "A 37997-2024")</f>
        <v/>
      </c>
      <c r="V876">
        <f>HYPERLINK("https://klasma.github.io/Logging_2513/klagomål/A 37997-2024 FSC-klagomål.docx", "A 37997-2024")</f>
        <v/>
      </c>
      <c r="W876">
        <f>HYPERLINK("https://klasma.github.io/Logging_2513/klagomålsmail/A 37997-2024 FSC-klagomål mail.docx", "A 37997-2024")</f>
        <v/>
      </c>
      <c r="X876">
        <f>HYPERLINK("https://klasma.github.io/Logging_2513/tillsyn/A 37997-2024 tillsynsbegäran.docx", "A 37997-2024")</f>
        <v/>
      </c>
      <c r="Y876">
        <f>HYPERLINK("https://klasma.github.io/Logging_2513/tillsynsmail/A 37997-2024 tillsynsbegäran mail.docx", "A 37997-2024")</f>
        <v/>
      </c>
    </row>
    <row r="877" ht="15" customHeight="1">
      <c r="A877" t="inlineStr">
        <is>
          <t>A 37818-2024</t>
        </is>
      </c>
      <c r="B877" s="1" t="n">
        <v>45544</v>
      </c>
      <c r="C877" s="1" t="n">
        <v>45662</v>
      </c>
      <c r="D877" t="inlineStr">
        <is>
          <t>NORRBOTTENS LÄN</t>
        </is>
      </c>
      <c r="E877" t="inlineStr">
        <is>
          <t>PITEÅ</t>
        </is>
      </c>
      <c r="G877" t="n">
        <v>3.1</v>
      </c>
      <c r="H877" t="n">
        <v>0</v>
      </c>
      <c r="I877" t="n">
        <v>0</v>
      </c>
      <c r="J877" t="n">
        <v>1</v>
      </c>
      <c r="K877" t="n">
        <v>0</v>
      </c>
      <c r="L877" t="n">
        <v>0</v>
      </c>
      <c r="M877" t="n">
        <v>0</v>
      </c>
      <c r="N877" t="n">
        <v>0</v>
      </c>
      <c r="O877" t="n">
        <v>1</v>
      </c>
      <c r="P877" t="n">
        <v>0</v>
      </c>
      <c r="Q877" t="n">
        <v>1</v>
      </c>
      <c r="R877" s="2" t="inlineStr">
        <is>
          <t>Kolflarnlav</t>
        </is>
      </c>
      <c r="S877">
        <f>HYPERLINK("https://klasma.github.io/Logging_2581/artfynd/A 37818-2024 artfynd.xlsx", "A 37818-2024")</f>
        <v/>
      </c>
      <c r="T877">
        <f>HYPERLINK("https://klasma.github.io/Logging_2581/kartor/A 37818-2024 karta.png", "A 37818-2024")</f>
        <v/>
      </c>
      <c r="V877">
        <f>HYPERLINK("https://klasma.github.io/Logging_2581/klagomål/A 37818-2024 FSC-klagomål.docx", "A 37818-2024")</f>
        <v/>
      </c>
      <c r="W877">
        <f>HYPERLINK("https://klasma.github.io/Logging_2581/klagomålsmail/A 37818-2024 FSC-klagomål mail.docx", "A 37818-2024")</f>
        <v/>
      </c>
      <c r="X877">
        <f>HYPERLINK("https://klasma.github.io/Logging_2581/tillsyn/A 37818-2024 tillsynsbegäran.docx", "A 37818-2024")</f>
        <v/>
      </c>
      <c r="Y877">
        <f>HYPERLINK("https://klasma.github.io/Logging_2581/tillsynsmail/A 37818-2024 tillsynsbegäran mail.docx", "A 37818-2024")</f>
        <v/>
      </c>
    </row>
    <row r="878" ht="15" customHeight="1">
      <c r="A878" t="inlineStr">
        <is>
          <t>A 38158-2024</t>
        </is>
      </c>
      <c r="B878" s="1" t="n">
        <v>45545</v>
      </c>
      <c r="C878" s="1" t="n">
        <v>45662</v>
      </c>
      <c r="D878" t="inlineStr">
        <is>
          <t>NORRBOTTENS LÄN</t>
        </is>
      </c>
      <c r="E878" t="inlineStr">
        <is>
          <t>ÖVERTORNEÅ</t>
        </is>
      </c>
      <c r="F878" t="inlineStr">
        <is>
          <t>Sveaskog</t>
        </is>
      </c>
      <c r="G878" t="n">
        <v>3.2</v>
      </c>
      <c r="H878" t="n">
        <v>0</v>
      </c>
      <c r="I878" t="n">
        <v>0</v>
      </c>
      <c r="J878" t="n">
        <v>0</v>
      </c>
      <c r="K878" t="n">
        <v>1</v>
      </c>
      <c r="L878" t="n">
        <v>0</v>
      </c>
      <c r="M878" t="n">
        <v>0</v>
      </c>
      <c r="N878" t="n">
        <v>0</v>
      </c>
      <c r="O878" t="n">
        <v>1</v>
      </c>
      <c r="P878" t="n">
        <v>1</v>
      </c>
      <c r="Q878" t="n">
        <v>1</v>
      </c>
      <c r="R878" s="2" t="inlineStr">
        <is>
          <t>Lappticka</t>
        </is>
      </c>
      <c r="S878">
        <f>HYPERLINK("https://klasma.github.io/Logging_2518/artfynd/A 38158-2024 artfynd.xlsx", "A 38158-2024")</f>
        <v/>
      </c>
      <c r="T878">
        <f>HYPERLINK("https://klasma.github.io/Logging_2518/kartor/A 38158-2024 karta.png", "A 38158-2024")</f>
        <v/>
      </c>
      <c r="V878">
        <f>HYPERLINK("https://klasma.github.io/Logging_2518/klagomål/A 38158-2024 FSC-klagomål.docx", "A 38158-2024")</f>
        <v/>
      </c>
      <c r="W878">
        <f>HYPERLINK("https://klasma.github.io/Logging_2518/klagomålsmail/A 38158-2024 FSC-klagomål mail.docx", "A 38158-2024")</f>
        <v/>
      </c>
      <c r="X878">
        <f>HYPERLINK("https://klasma.github.io/Logging_2518/tillsyn/A 38158-2024 tillsynsbegäran.docx", "A 38158-2024")</f>
        <v/>
      </c>
      <c r="Y878">
        <f>HYPERLINK("https://klasma.github.io/Logging_2518/tillsynsmail/A 38158-2024 tillsynsbegäran mail.docx", "A 38158-2024")</f>
        <v/>
      </c>
    </row>
    <row r="879" ht="15" customHeight="1">
      <c r="A879" t="inlineStr">
        <is>
          <t>A 38333-2024</t>
        </is>
      </c>
      <c r="B879" s="1" t="n">
        <v>45545</v>
      </c>
      <c r="C879" s="1" t="n">
        <v>45662</v>
      </c>
      <c r="D879" t="inlineStr">
        <is>
          <t>NORRBOTTENS LÄN</t>
        </is>
      </c>
      <c r="E879" t="inlineStr">
        <is>
          <t>LULEÅ</t>
        </is>
      </c>
      <c r="F879" t="inlineStr">
        <is>
          <t>Sveaskog</t>
        </is>
      </c>
      <c r="G879" t="n">
        <v>2.9</v>
      </c>
      <c r="H879" t="n">
        <v>1</v>
      </c>
      <c r="I879" t="n">
        <v>0</v>
      </c>
      <c r="J879" t="n">
        <v>0</v>
      </c>
      <c r="K879" t="n">
        <v>1</v>
      </c>
      <c r="L879" t="n">
        <v>0</v>
      </c>
      <c r="M879" t="n">
        <v>0</v>
      </c>
      <c r="N879" t="n">
        <v>0</v>
      </c>
      <c r="O879" t="n">
        <v>1</v>
      </c>
      <c r="P879" t="n">
        <v>1</v>
      </c>
      <c r="Q879" t="n">
        <v>1</v>
      </c>
      <c r="R879" s="2" t="inlineStr">
        <is>
          <t>Knärot</t>
        </is>
      </c>
      <c r="S879">
        <f>HYPERLINK("https://klasma.github.io/Logging_2580/artfynd/A 38333-2024 artfynd.xlsx", "A 38333-2024")</f>
        <v/>
      </c>
      <c r="T879">
        <f>HYPERLINK("https://klasma.github.io/Logging_2580/kartor/A 38333-2024 karta.png", "A 38333-2024")</f>
        <v/>
      </c>
      <c r="U879">
        <f>HYPERLINK("https://klasma.github.io/Logging_2580/knärot/A 38333-2024 karta knärot.png", "A 38333-2024")</f>
        <v/>
      </c>
      <c r="V879">
        <f>HYPERLINK("https://klasma.github.io/Logging_2580/klagomål/A 38333-2024 FSC-klagomål.docx", "A 38333-2024")</f>
        <v/>
      </c>
      <c r="W879">
        <f>HYPERLINK("https://klasma.github.io/Logging_2580/klagomålsmail/A 38333-2024 FSC-klagomål mail.docx", "A 38333-2024")</f>
        <v/>
      </c>
      <c r="X879">
        <f>HYPERLINK("https://klasma.github.io/Logging_2580/tillsyn/A 38333-2024 tillsynsbegäran.docx", "A 38333-2024")</f>
        <v/>
      </c>
      <c r="Y879">
        <f>HYPERLINK("https://klasma.github.io/Logging_2580/tillsynsmail/A 38333-2024 tillsynsbegäran mail.docx", "A 38333-2024")</f>
        <v/>
      </c>
    </row>
    <row r="880" ht="15" customHeight="1">
      <c r="A880" t="inlineStr">
        <is>
          <t>A 39106-2024</t>
        </is>
      </c>
      <c r="B880" s="1" t="n">
        <v>45548</v>
      </c>
      <c r="C880" s="1" t="n">
        <v>45662</v>
      </c>
      <c r="D880" t="inlineStr">
        <is>
          <t>NORRBOTTENS LÄN</t>
        </is>
      </c>
      <c r="E880" t="inlineStr">
        <is>
          <t>KALIX</t>
        </is>
      </c>
      <c r="F880" t="inlineStr">
        <is>
          <t>Sveaskog</t>
        </is>
      </c>
      <c r="G880" t="n">
        <v>38.6</v>
      </c>
      <c r="H880" t="n">
        <v>0</v>
      </c>
      <c r="I880" t="n">
        <v>0</v>
      </c>
      <c r="J880" t="n">
        <v>1</v>
      </c>
      <c r="K880" t="n">
        <v>0</v>
      </c>
      <c r="L880" t="n">
        <v>0</v>
      </c>
      <c r="M880" t="n">
        <v>0</v>
      </c>
      <c r="N880" t="n">
        <v>0</v>
      </c>
      <c r="O880" t="n">
        <v>1</v>
      </c>
      <c r="P880" t="n">
        <v>0</v>
      </c>
      <c r="Q880" t="n">
        <v>1</v>
      </c>
      <c r="R880" s="2" t="inlineStr">
        <is>
          <t>Orange taggsvamp</t>
        </is>
      </c>
      <c r="S880">
        <f>HYPERLINK("https://klasma.github.io/Logging_2514/artfynd/A 39106-2024 artfynd.xlsx", "A 39106-2024")</f>
        <v/>
      </c>
      <c r="T880">
        <f>HYPERLINK("https://klasma.github.io/Logging_2514/kartor/A 39106-2024 karta.png", "A 39106-2024")</f>
        <v/>
      </c>
      <c r="V880">
        <f>HYPERLINK("https://klasma.github.io/Logging_2514/klagomål/A 39106-2024 FSC-klagomål.docx", "A 39106-2024")</f>
        <v/>
      </c>
      <c r="W880">
        <f>HYPERLINK("https://klasma.github.io/Logging_2514/klagomålsmail/A 39106-2024 FSC-klagomål mail.docx", "A 39106-2024")</f>
        <v/>
      </c>
      <c r="X880">
        <f>HYPERLINK("https://klasma.github.io/Logging_2514/tillsyn/A 39106-2024 tillsynsbegäran.docx", "A 39106-2024")</f>
        <v/>
      </c>
      <c r="Y880">
        <f>HYPERLINK("https://klasma.github.io/Logging_2514/tillsynsmail/A 39106-2024 tillsynsbegäran mail.docx", "A 39106-2024")</f>
        <v/>
      </c>
    </row>
    <row r="881" ht="15" customHeight="1">
      <c r="A881" t="inlineStr">
        <is>
          <t>A 39866-2024</t>
        </is>
      </c>
      <c r="B881" s="1" t="n">
        <v>45553</v>
      </c>
      <c r="C881" s="1" t="n">
        <v>45662</v>
      </c>
      <c r="D881" t="inlineStr">
        <is>
          <t>NORRBOTTENS LÄN</t>
        </is>
      </c>
      <c r="E881" t="inlineStr">
        <is>
          <t>PITEÅ</t>
        </is>
      </c>
      <c r="G881" t="n">
        <v>2.7</v>
      </c>
      <c r="H881" t="n">
        <v>0</v>
      </c>
      <c r="I881" t="n">
        <v>0</v>
      </c>
      <c r="J881" t="n">
        <v>1</v>
      </c>
      <c r="K881" t="n">
        <v>0</v>
      </c>
      <c r="L881" t="n">
        <v>0</v>
      </c>
      <c r="M881" t="n">
        <v>0</v>
      </c>
      <c r="N881" t="n">
        <v>0</v>
      </c>
      <c r="O881" t="n">
        <v>1</v>
      </c>
      <c r="P881" t="n">
        <v>0</v>
      </c>
      <c r="Q881" t="n">
        <v>1</v>
      </c>
      <c r="R881" s="2" t="inlineStr">
        <is>
          <t>Tallticka</t>
        </is>
      </c>
      <c r="S881">
        <f>HYPERLINK("https://klasma.github.io/Logging_2581/artfynd/A 39866-2024 artfynd.xlsx", "A 39866-2024")</f>
        <v/>
      </c>
      <c r="T881">
        <f>HYPERLINK("https://klasma.github.io/Logging_2581/kartor/A 39866-2024 karta.png", "A 39866-2024")</f>
        <v/>
      </c>
      <c r="V881">
        <f>HYPERLINK("https://klasma.github.io/Logging_2581/klagomål/A 39866-2024 FSC-klagomål.docx", "A 39866-2024")</f>
        <v/>
      </c>
      <c r="W881">
        <f>HYPERLINK("https://klasma.github.io/Logging_2581/klagomålsmail/A 39866-2024 FSC-klagomål mail.docx", "A 39866-2024")</f>
        <v/>
      </c>
      <c r="X881">
        <f>HYPERLINK("https://klasma.github.io/Logging_2581/tillsyn/A 39866-2024 tillsynsbegäran.docx", "A 39866-2024")</f>
        <v/>
      </c>
      <c r="Y881">
        <f>HYPERLINK("https://klasma.github.io/Logging_2581/tillsynsmail/A 39866-2024 tillsynsbegäran mail.docx", "A 39866-2024")</f>
        <v/>
      </c>
    </row>
    <row r="882" ht="15" customHeight="1">
      <c r="A882" t="inlineStr">
        <is>
          <t>A 40019-2024</t>
        </is>
      </c>
      <c r="B882" s="1" t="n">
        <v>45553</v>
      </c>
      <c r="C882" s="1" t="n">
        <v>45662</v>
      </c>
      <c r="D882" t="inlineStr">
        <is>
          <t>NORRBOTTENS LÄN</t>
        </is>
      </c>
      <c r="E882" t="inlineStr">
        <is>
          <t>GÄLLIVARE</t>
        </is>
      </c>
      <c r="F882" t="inlineStr">
        <is>
          <t>Sveaskog</t>
        </is>
      </c>
      <c r="G882" t="n">
        <v>7.7</v>
      </c>
      <c r="H882" t="n">
        <v>0</v>
      </c>
      <c r="I882" t="n">
        <v>0</v>
      </c>
      <c r="J882" t="n">
        <v>1</v>
      </c>
      <c r="K882" t="n">
        <v>0</v>
      </c>
      <c r="L882" t="n">
        <v>0</v>
      </c>
      <c r="M882" t="n">
        <v>0</v>
      </c>
      <c r="N882" t="n">
        <v>0</v>
      </c>
      <c r="O882" t="n">
        <v>1</v>
      </c>
      <c r="P882" t="n">
        <v>0</v>
      </c>
      <c r="Q882" t="n">
        <v>1</v>
      </c>
      <c r="R882" s="2" t="inlineStr">
        <is>
          <t>Blå taggsvamp</t>
        </is>
      </c>
      <c r="S882">
        <f>HYPERLINK("https://klasma.github.io/Logging_2523/artfynd/A 40019-2024 artfynd.xlsx", "A 40019-2024")</f>
        <v/>
      </c>
      <c r="T882">
        <f>HYPERLINK("https://klasma.github.io/Logging_2523/kartor/A 40019-2024 karta.png", "A 40019-2024")</f>
        <v/>
      </c>
      <c r="V882">
        <f>HYPERLINK("https://klasma.github.io/Logging_2523/klagomål/A 40019-2024 FSC-klagomål.docx", "A 40019-2024")</f>
        <v/>
      </c>
      <c r="W882">
        <f>HYPERLINK("https://klasma.github.io/Logging_2523/klagomålsmail/A 40019-2024 FSC-klagomål mail.docx", "A 40019-2024")</f>
        <v/>
      </c>
      <c r="X882">
        <f>HYPERLINK("https://klasma.github.io/Logging_2523/tillsyn/A 40019-2024 tillsynsbegäran.docx", "A 40019-2024")</f>
        <v/>
      </c>
      <c r="Y882">
        <f>HYPERLINK("https://klasma.github.io/Logging_2523/tillsynsmail/A 40019-2024 tillsynsbegäran mail.docx", "A 40019-2024")</f>
        <v/>
      </c>
    </row>
    <row r="883" ht="15" customHeight="1">
      <c r="A883" t="inlineStr">
        <is>
          <t>A 40197-2024</t>
        </is>
      </c>
      <c r="B883" s="1" t="n">
        <v>45554</v>
      </c>
      <c r="C883" s="1" t="n">
        <v>45662</v>
      </c>
      <c r="D883" t="inlineStr">
        <is>
          <t>NORRBOTTENS LÄN</t>
        </is>
      </c>
      <c r="E883" t="inlineStr">
        <is>
          <t>GÄLLIVARE</t>
        </is>
      </c>
      <c r="F883" t="inlineStr">
        <is>
          <t>Sveaskog</t>
        </is>
      </c>
      <c r="G883" t="n">
        <v>16.3</v>
      </c>
      <c r="H883" t="n">
        <v>0</v>
      </c>
      <c r="I883" t="n">
        <v>1</v>
      </c>
      <c r="J883" t="n">
        <v>0</v>
      </c>
      <c r="K883" t="n">
        <v>0</v>
      </c>
      <c r="L883" t="n">
        <v>0</v>
      </c>
      <c r="M883" t="n">
        <v>0</v>
      </c>
      <c r="N883" t="n">
        <v>0</v>
      </c>
      <c r="O883" t="n">
        <v>0</v>
      </c>
      <c r="P883" t="n">
        <v>0</v>
      </c>
      <c r="Q883" t="n">
        <v>1</v>
      </c>
      <c r="R883" s="2" t="inlineStr">
        <is>
          <t>Dropptaggsvamp</t>
        </is>
      </c>
      <c r="S883">
        <f>HYPERLINK("https://klasma.github.io/Logging_2523/artfynd/A 40197-2024 artfynd.xlsx", "A 40197-2024")</f>
        <v/>
      </c>
      <c r="T883">
        <f>HYPERLINK("https://klasma.github.io/Logging_2523/kartor/A 40197-2024 karta.png", "A 40197-2024")</f>
        <v/>
      </c>
      <c r="V883">
        <f>HYPERLINK("https://klasma.github.io/Logging_2523/klagomål/A 40197-2024 FSC-klagomål.docx", "A 40197-2024")</f>
        <v/>
      </c>
      <c r="W883">
        <f>HYPERLINK("https://klasma.github.io/Logging_2523/klagomålsmail/A 40197-2024 FSC-klagomål mail.docx", "A 40197-2024")</f>
        <v/>
      </c>
      <c r="X883">
        <f>HYPERLINK("https://klasma.github.io/Logging_2523/tillsyn/A 40197-2024 tillsynsbegäran.docx", "A 40197-2024")</f>
        <v/>
      </c>
      <c r="Y883">
        <f>HYPERLINK("https://klasma.github.io/Logging_2523/tillsynsmail/A 40197-2024 tillsynsbegäran mail.docx", "A 40197-2024")</f>
        <v/>
      </c>
    </row>
    <row r="884" ht="15" customHeight="1">
      <c r="A884" t="inlineStr">
        <is>
          <t>A 40126-2024</t>
        </is>
      </c>
      <c r="B884" s="1" t="n">
        <v>45554</v>
      </c>
      <c r="C884" s="1" t="n">
        <v>45662</v>
      </c>
      <c r="D884" t="inlineStr">
        <is>
          <t>NORRBOTTENS LÄN</t>
        </is>
      </c>
      <c r="E884" t="inlineStr">
        <is>
          <t>JOKKMOKK</t>
        </is>
      </c>
      <c r="F884" t="inlineStr">
        <is>
          <t>Sveaskog</t>
        </is>
      </c>
      <c r="G884" t="n">
        <v>4.1</v>
      </c>
      <c r="H884" t="n">
        <v>1</v>
      </c>
      <c r="I884" t="n">
        <v>0</v>
      </c>
      <c r="J884" t="n">
        <v>0</v>
      </c>
      <c r="K884" t="n">
        <v>1</v>
      </c>
      <c r="L884" t="n">
        <v>0</v>
      </c>
      <c r="M884" t="n">
        <v>0</v>
      </c>
      <c r="N884" t="n">
        <v>0</v>
      </c>
      <c r="O884" t="n">
        <v>1</v>
      </c>
      <c r="P884" t="n">
        <v>1</v>
      </c>
      <c r="Q884" t="n">
        <v>1</v>
      </c>
      <c r="R884" s="2" t="inlineStr">
        <is>
          <t>Doftticka</t>
        </is>
      </c>
      <c r="S884">
        <f>HYPERLINK("https://klasma.github.io/Logging_2510/artfynd/A 40126-2024 artfynd.xlsx", "A 40126-2024")</f>
        <v/>
      </c>
      <c r="T884">
        <f>HYPERLINK("https://klasma.github.io/Logging_2510/kartor/A 40126-2024 karta.png", "A 40126-2024")</f>
        <v/>
      </c>
      <c r="V884">
        <f>HYPERLINK("https://klasma.github.io/Logging_2510/klagomål/A 40126-2024 FSC-klagomål.docx", "A 40126-2024")</f>
        <v/>
      </c>
      <c r="W884">
        <f>HYPERLINK("https://klasma.github.io/Logging_2510/klagomålsmail/A 40126-2024 FSC-klagomål mail.docx", "A 40126-2024")</f>
        <v/>
      </c>
      <c r="X884">
        <f>HYPERLINK("https://klasma.github.io/Logging_2510/tillsyn/A 40126-2024 tillsynsbegäran.docx", "A 40126-2024")</f>
        <v/>
      </c>
      <c r="Y884">
        <f>HYPERLINK("https://klasma.github.io/Logging_2510/tillsynsmail/A 40126-2024 tillsynsbegäran mail.docx", "A 40126-2024")</f>
        <v/>
      </c>
    </row>
    <row r="885" ht="15" customHeight="1">
      <c r="A885" t="inlineStr">
        <is>
          <t>A 40533-2024</t>
        </is>
      </c>
      <c r="B885" s="1" t="n">
        <v>45555</v>
      </c>
      <c r="C885" s="1" t="n">
        <v>45662</v>
      </c>
      <c r="D885" t="inlineStr">
        <is>
          <t>NORRBOTTENS LÄN</t>
        </is>
      </c>
      <c r="E885" t="inlineStr">
        <is>
          <t>BODEN</t>
        </is>
      </c>
      <c r="F885" t="inlineStr">
        <is>
          <t>Sveaskog</t>
        </is>
      </c>
      <c r="G885" t="n">
        <v>32</v>
      </c>
      <c r="H885" t="n">
        <v>0</v>
      </c>
      <c r="I885" t="n">
        <v>0</v>
      </c>
      <c r="J885" t="n">
        <v>1</v>
      </c>
      <c r="K885" t="n">
        <v>0</v>
      </c>
      <c r="L885" t="n">
        <v>0</v>
      </c>
      <c r="M885" t="n">
        <v>0</v>
      </c>
      <c r="N885" t="n">
        <v>0</v>
      </c>
      <c r="O885" t="n">
        <v>1</v>
      </c>
      <c r="P885" t="n">
        <v>0</v>
      </c>
      <c r="Q885" t="n">
        <v>1</v>
      </c>
      <c r="R885" s="2" t="inlineStr">
        <is>
          <t>Lunglav</t>
        </is>
      </c>
      <c r="S885">
        <f>HYPERLINK("https://klasma.github.io/Logging_2582/artfynd/A 40533-2024 artfynd.xlsx", "A 40533-2024")</f>
        <v/>
      </c>
      <c r="T885">
        <f>HYPERLINK("https://klasma.github.io/Logging_2582/kartor/A 40533-2024 karta.png", "A 40533-2024")</f>
        <v/>
      </c>
      <c r="V885">
        <f>HYPERLINK("https://klasma.github.io/Logging_2582/klagomål/A 40533-2024 FSC-klagomål.docx", "A 40533-2024")</f>
        <v/>
      </c>
      <c r="W885">
        <f>HYPERLINK("https://klasma.github.io/Logging_2582/klagomålsmail/A 40533-2024 FSC-klagomål mail.docx", "A 40533-2024")</f>
        <v/>
      </c>
      <c r="X885">
        <f>HYPERLINK("https://klasma.github.io/Logging_2582/tillsyn/A 40533-2024 tillsynsbegäran.docx", "A 40533-2024")</f>
        <v/>
      </c>
      <c r="Y885">
        <f>HYPERLINK("https://klasma.github.io/Logging_2582/tillsynsmail/A 40533-2024 tillsynsbegäran mail.docx", "A 40533-2024")</f>
        <v/>
      </c>
    </row>
    <row r="886" ht="15" customHeight="1">
      <c r="A886" t="inlineStr">
        <is>
          <t>A 41151-2024</t>
        </is>
      </c>
      <c r="B886" s="1" t="n">
        <v>45559</v>
      </c>
      <c r="C886" s="1" t="n">
        <v>45662</v>
      </c>
      <c r="D886" t="inlineStr">
        <is>
          <t>NORRBOTTENS LÄN</t>
        </is>
      </c>
      <c r="E886" t="inlineStr">
        <is>
          <t>GÄLLIVARE</t>
        </is>
      </c>
      <c r="F886" t="inlineStr">
        <is>
          <t>Sveaskog</t>
        </is>
      </c>
      <c r="G886" t="n">
        <v>12.5</v>
      </c>
      <c r="H886" t="n">
        <v>0</v>
      </c>
      <c r="I886" t="n">
        <v>0</v>
      </c>
      <c r="J886" t="n">
        <v>1</v>
      </c>
      <c r="K886" t="n">
        <v>0</v>
      </c>
      <c r="L886" t="n">
        <v>0</v>
      </c>
      <c r="M886" t="n">
        <v>0</v>
      </c>
      <c r="N886" t="n">
        <v>0</v>
      </c>
      <c r="O886" t="n">
        <v>1</v>
      </c>
      <c r="P886" t="n">
        <v>0</v>
      </c>
      <c r="Q886" t="n">
        <v>1</v>
      </c>
      <c r="R886" s="2" t="inlineStr">
        <is>
          <t>Tallticka</t>
        </is>
      </c>
      <c r="S886">
        <f>HYPERLINK("https://klasma.github.io/Logging_2523/artfynd/A 41151-2024 artfynd.xlsx", "A 41151-2024")</f>
        <v/>
      </c>
      <c r="T886">
        <f>HYPERLINK("https://klasma.github.io/Logging_2523/kartor/A 41151-2024 karta.png", "A 41151-2024")</f>
        <v/>
      </c>
      <c r="V886">
        <f>HYPERLINK("https://klasma.github.io/Logging_2523/klagomål/A 41151-2024 FSC-klagomål.docx", "A 41151-2024")</f>
        <v/>
      </c>
      <c r="W886">
        <f>HYPERLINK("https://klasma.github.io/Logging_2523/klagomålsmail/A 41151-2024 FSC-klagomål mail.docx", "A 41151-2024")</f>
        <v/>
      </c>
      <c r="X886">
        <f>HYPERLINK("https://klasma.github.io/Logging_2523/tillsyn/A 41151-2024 tillsynsbegäran.docx", "A 41151-2024")</f>
        <v/>
      </c>
      <c r="Y886">
        <f>HYPERLINK("https://klasma.github.io/Logging_2523/tillsynsmail/A 41151-2024 tillsynsbegäran mail.docx", "A 41151-2024")</f>
        <v/>
      </c>
    </row>
    <row r="887" ht="15" customHeight="1">
      <c r="A887" t="inlineStr">
        <is>
          <t>A 41375-2024</t>
        </is>
      </c>
      <c r="B887" s="1" t="n">
        <v>45559</v>
      </c>
      <c r="C887" s="1" t="n">
        <v>45662</v>
      </c>
      <c r="D887" t="inlineStr">
        <is>
          <t>NORRBOTTENS LÄN</t>
        </is>
      </c>
      <c r="E887" t="inlineStr">
        <is>
          <t>ARJEPLOG</t>
        </is>
      </c>
      <c r="F887" t="inlineStr">
        <is>
          <t>Övriga statliga verk och myndigheter</t>
        </is>
      </c>
      <c r="G887" t="n">
        <v>5.9</v>
      </c>
      <c r="H887" t="n">
        <v>1</v>
      </c>
      <c r="I887" t="n">
        <v>1</v>
      </c>
      <c r="J887" t="n">
        <v>0</v>
      </c>
      <c r="K887" t="n">
        <v>0</v>
      </c>
      <c r="L887" t="n">
        <v>0</v>
      </c>
      <c r="M887" t="n">
        <v>0</v>
      </c>
      <c r="N887" t="n">
        <v>0</v>
      </c>
      <c r="O887" t="n">
        <v>0</v>
      </c>
      <c r="P887" t="n">
        <v>0</v>
      </c>
      <c r="Q887" t="n">
        <v>1</v>
      </c>
      <c r="R887" s="2" t="inlineStr">
        <is>
          <t>Korallrot</t>
        </is>
      </c>
      <c r="S887">
        <f>HYPERLINK("https://klasma.github.io/Logging_2506/artfynd/A 41375-2024 artfynd.xlsx", "A 41375-2024")</f>
        <v/>
      </c>
      <c r="T887">
        <f>HYPERLINK("https://klasma.github.io/Logging_2506/kartor/A 41375-2024 karta.png", "A 41375-2024")</f>
        <v/>
      </c>
      <c r="V887">
        <f>HYPERLINK("https://klasma.github.io/Logging_2506/klagomål/A 41375-2024 FSC-klagomål.docx", "A 41375-2024")</f>
        <v/>
      </c>
      <c r="W887">
        <f>HYPERLINK("https://klasma.github.io/Logging_2506/klagomålsmail/A 41375-2024 FSC-klagomål mail.docx", "A 41375-2024")</f>
        <v/>
      </c>
      <c r="X887">
        <f>HYPERLINK("https://klasma.github.io/Logging_2506/tillsyn/A 41375-2024 tillsynsbegäran.docx", "A 41375-2024")</f>
        <v/>
      </c>
      <c r="Y887">
        <f>HYPERLINK("https://klasma.github.io/Logging_2506/tillsynsmail/A 41375-2024 tillsynsbegäran mail.docx", "A 41375-2024")</f>
        <v/>
      </c>
    </row>
    <row r="888" ht="15" customHeight="1">
      <c r="A888" t="inlineStr">
        <is>
          <t>A 42554-2024</t>
        </is>
      </c>
      <c r="B888" s="1" t="n">
        <v>45565</v>
      </c>
      <c r="C888" s="1" t="n">
        <v>45662</v>
      </c>
      <c r="D888" t="inlineStr">
        <is>
          <t>NORRBOTTENS LÄN</t>
        </is>
      </c>
      <c r="E888" t="inlineStr">
        <is>
          <t>ÄLVSBYN</t>
        </is>
      </c>
      <c r="F888" t="inlineStr">
        <is>
          <t>Sveaskog</t>
        </is>
      </c>
      <c r="G888" t="n">
        <v>4.8</v>
      </c>
      <c r="H888" t="n">
        <v>1</v>
      </c>
      <c r="I888" t="n">
        <v>0</v>
      </c>
      <c r="J888" t="n">
        <v>0</v>
      </c>
      <c r="K888" t="n">
        <v>0</v>
      </c>
      <c r="L888" t="n">
        <v>0</v>
      </c>
      <c r="M888" t="n">
        <v>0</v>
      </c>
      <c r="N888" t="n">
        <v>0</v>
      </c>
      <c r="O888" t="n">
        <v>0</v>
      </c>
      <c r="P888" t="n">
        <v>0</v>
      </c>
      <c r="Q888" t="n">
        <v>1</v>
      </c>
      <c r="R888" s="2" t="inlineStr">
        <is>
          <t>Nattviol</t>
        </is>
      </c>
      <c r="S888">
        <f>HYPERLINK("https://klasma.github.io/Logging_2560/artfynd/A 42554-2024 artfynd.xlsx", "A 42554-2024")</f>
        <v/>
      </c>
      <c r="T888">
        <f>HYPERLINK("https://klasma.github.io/Logging_2560/kartor/A 42554-2024 karta.png", "A 42554-2024")</f>
        <v/>
      </c>
      <c r="V888">
        <f>HYPERLINK("https://klasma.github.io/Logging_2560/klagomål/A 42554-2024 FSC-klagomål.docx", "A 42554-2024")</f>
        <v/>
      </c>
      <c r="W888">
        <f>HYPERLINK("https://klasma.github.io/Logging_2560/klagomålsmail/A 42554-2024 FSC-klagomål mail.docx", "A 42554-2024")</f>
        <v/>
      </c>
      <c r="X888">
        <f>HYPERLINK("https://klasma.github.io/Logging_2560/tillsyn/A 42554-2024 tillsynsbegäran.docx", "A 42554-2024")</f>
        <v/>
      </c>
      <c r="Y888">
        <f>HYPERLINK("https://klasma.github.io/Logging_2560/tillsynsmail/A 42554-2024 tillsynsbegäran mail.docx", "A 42554-2024")</f>
        <v/>
      </c>
    </row>
    <row r="889" ht="15" customHeight="1">
      <c r="A889" t="inlineStr">
        <is>
          <t>A 43039-2024</t>
        </is>
      </c>
      <c r="B889" s="1" t="n">
        <v>45567</v>
      </c>
      <c r="C889" s="1" t="n">
        <v>45662</v>
      </c>
      <c r="D889" t="inlineStr">
        <is>
          <t>NORRBOTTENS LÄN</t>
        </is>
      </c>
      <c r="E889" t="inlineStr">
        <is>
          <t>JOKKMOKK</t>
        </is>
      </c>
      <c r="F889" t="inlineStr">
        <is>
          <t>Sveaskog</t>
        </is>
      </c>
      <c r="G889" t="n">
        <v>8.199999999999999</v>
      </c>
      <c r="H889" t="n">
        <v>1</v>
      </c>
      <c r="I889" t="n">
        <v>0</v>
      </c>
      <c r="J889" t="n">
        <v>0</v>
      </c>
      <c r="K889" t="n">
        <v>1</v>
      </c>
      <c r="L889" t="n">
        <v>0</v>
      </c>
      <c r="M889" t="n">
        <v>0</v>
      </c>
      <c r="N889" t="n">
        <v>0</v>
      </c>
      <c r="O889" t="n">
        <v>1</v>
      </c>
      <c r="P889" t="n">
        <v>1</v>
      </c>
      <c r="Q889" t="n">
        <v>1</v>
      </c>
      <c r="R889" s="2" t="inlineStr">
        <is>
          <t>Doftticka</t>
        </is>
      </c>
      <c r="S889">
        <f>HYPERLINK("https://klasma.github.io/Logging_2510/artfynd/A 43039-2024 artfynd.xlsx", "A 43039-2024")</f>
        <v/>
      </c>
      <c r="T889">
        <f>HYPERLINK("https://klasma.github.io/Logging_2510/kartor/A 43039-2024 karta.png", "A 43039-2024")</f>
        <v/>
      </c>
      <c r="V889">
        <f>HYPERLINK("https://klasma.github.io/Logging_2510/klagomål/A 43039-2024 FSC-klagomål.docx", "A 43039-2024")</f>
        <v/>
      </c>
      <c r="W889">
        <f>HYPERLINK("https://klasma.github.io/Logging_2510/klagomålsmail/A 43039-2024 FSC-klagomål mail.docx", "A 43039-2024")</f>
        <v/>
      </c>
      <c r="X889">
        <f>HYPERLINK("https://klasma.github.io/Logging_2510/tillsyn/A 43039-2024 tillsynsbegäran.docx", "A 43039-2024")</f>
        <v/>
      </c>
      <c r="Y889">
        <f>HYPERLINK("https://klasma.github.io/Logging_2510/tillsynsmail/A 43039-2024 tillsynsbegäran mail.docx", "A 43039-2024")</f>
        <v/>
      </c>
    </row>
    <row r="890" ht="15" customHeight="1">
      <c r="A890" t="inlineStr">
        <is>
          <t>A 43023-2024</t>
        </is>
      </c>
      <c r="B890" s="1" t="n">
        <v>45567</v>
      </c>
      <c r="C890" s="1" t="n">
        <v>45662</v>
      </c>
      <c r="D890" t="inlineStr">
        <is>
          <t>NORRBOTTENS LÄN</t>
        </is>
      </c>
      <c r="E890" t="inlineStr">
        <is>
          <t>JOKKMOKK</t>
        </is>
      </c>
      <c r="F890" t="inlineStr">
        <is>
          <t>Sveaskog</t>
        </is>
      </c>
      <c r="G890" t="n">
        <v>11.1</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43023-2024 artfynd.xlsx", "A 43023-2024")</f>
        <v/>
      </c>
      <c r="T890">
        <f>HYPERLINK("https://klasma.github.io/Logging_2510/kartor/A 43023-2024 karta.png", "A 43023-2024")</f>
        <v/>
      </c>
      <c r="V890">
        <f>HYPERLINK("https://klasma.github.io/Logging_2510/klagomål/A 43023-2024 FSC-klagomål.docx", "A 43023-2024")</f>
        <v/>
      </c>
      <c r="W890">
        <f>HYPERLINK("https://klasma.github.io/Logging_2510/klagomålsmail/A 43023-2024 FSC-klagomål mail.docx", "A 43023-2024")</f>
        <v/>
      </c>
      <c r="X890">
        <f>HYPERLINK("https://klasma.github.io/Logging_2510/tillsyn/A 43023-2024 tillsynsbegäran.docx", "A 43023-2024")</f>
        <v/>
      </c>
      <c r="Y890">
        <f>HYPERLINK("https://klasma.github.io/Logging_2510/tillsynsmail/A 43023-2024 tillsynsbegäran mail.docx", "A 43023-2024")</f>
        <v/>
      </c>
    </row>
    <row r="891" ht="15" customHeight="1">
      <c r="A891" t="inlineStr">
        <is>
          <t>A 43774-2024</t>
        </is>
      </c>
      <c r="B891" s="1" t="n">
        <v>45570</v>
      </c>
      <c r="C891" s="1" t="n">
        <v>45662</v>
      </c>
      <c r="D891" t="inlineStr">
        <is>
          <t>NORRBOTTENS LÄN</t>
        </is>
      </c>
      <c r="E891" t="inlineStr">
        <is>
          <t>ÄLVSBYN</t>
        </is>
      </c>
      <c r="F891" t="inlineStr">
        <is>
          <t>SCA</t>
        </is>
      </c>
      <c r="G891" t="n">
        <v>2</v>
      </c>
      <c r="H891" t="n">
        <v>0</v>
      </c>
      <c r="I891" t="n">
        <v>0</v>
      </c>
      <c r="J891" t="n">
        <v>1</v>
      </c>
      <c r="K891" t="n">
        <v>0</v>
      </c>
      <c r="L891" t="n">
        <v>0</v>
      </c>
      <c r="M891" t="n">
        <v>0</v>
      </c>
      <c r="N891" t="n">
        <v>0</v>
      </c>
      <c r="O891" t="n">
        <v>1</v>
      </c>
      <c r="P891" t="n">
        <v>0</v>
      </c>
      <c r="Q891" t="n">
        <v>1</v>
      </c>
      <c r="R891" s="2" t="inlineStr">
        <is>
          <t>Gammelgransskål</t>
        </is>
      </c>
      <c r="S891">
        <f>HYPERLINK("https://klasma.github.io/Logging_2560/artfynd/A 43774-2024 artfynd.xlsx", "A 43774-2024")</f>
        <v/>
      </c>
      <c r="T891">
        <f>HYPERLINK("https://klasma.github.io/Logging_2560/kartor/A 43774-2024 karta.png", "A 43774-2024")</f>
        <v/>
      </c>
      <c r="V891">
        <f>HYPERLINK("https://klasma.github.io/Logging_2560/klagomål/A 43774-2024 FSC-klagomål.docx", "A 43774-2024")</f>
        <v/>
      </c>
      <c r="W891">
        <f>HYPERLINK("https://klasma.github.io/Logging_2560/klagomålsmail/A 43774-2024 FSC-klagomål mail.docx", "A 43774-2024")</f>
        <v/>
      </c>
      <c r="X891">
        <f>HYPERLINK("https://klasma.github.io/Logging_2560/tillsyn/A 43774-2024 tillsynsbegäran.docx", "A 43774-2024")</f>
        <v/>
      </c>
      <c r="Y891">
        <f>HYPERLINK("https://klasma.github.io/Logging_2560/tillsynsmail/A 43774-2024 tillsynsbegäran mail.docx", "A 43774-2024")</f>
        <v/>
      </c>
    </row>
    <row r="892" ht="15" customHeight="1">
      <c r="A892" t="inlineStr">
        <is>
          <t>A 44481-2024</t>
        </is>
      </c>
      <c r="B892" s="1" t="n">
        <v>45574</v>
      </c>
      <c r="C892" s="1" t="n">
        <v>45662</v>
      </c>
      <c r="D892" t="inlineStr">
        <is>
          <t>NORRBOTTENS LÄN</t>
        </is>
      </c>
      <c r="E892" t="inlineStr">
        <is>
          <t>GÄLLIVARE</t>
        </is>
      </c>
      <c r="F892" t="inlineStr">
        <is>
          <t>Sveaskog</t>
        </is>
      </c>
      <c r="G892" t="n">
        <v>10.8</v>
      </c>
      <c r="H892" t="n">
        <v>0</v>
      </c>
      <c r="I892" t="n">
        <v>0</v>
      </c>
      <c r="J892" t="n">
        <v>1</v>
      </c>
      <c r="K892" t="n">
        <v>0</v>
      </c>
      <c r="L892" t="n">
        <v>0</v>
      </c>
      <c r="M892" t="n">
        <v>0</v>
      </c>
      <c r="N892" t="n">
        <v>0</v>
      </c>
      <c r="O892" t="n">
        <v>1</v>
      </c>
      <c r="P892" t="n">
        <v>0</v>
      </c>
      <c r="Q892" t="n">
        <v>1</v>
      </c>
      <c r="R892" s="2" t="inlineStr">
        <is>
          <t>Motaggsvamp</t>
        </is>
      </c>
      <c r="S892">
        <f>HYPERLINK("https://klasma.github.io/Logging_2523/artfynd/A 44481-2024 artfynd.xlsx", "A 44481-2024")</f>
        <v/>
      </c>
      <c r="T892">
        <f>HYPERLINK("https://klasma.github.io/Logging_2523/kartor/A 44481-2024 karta.png", "A 44481-2024")</f>
        <v/>
      </c>
      <c r="V892">
        <f>HYPERLINK("https://klasma.github.io/Logging_2523/klagomål/A 44481-2024 FSC-klagomål.docx", "A 44481-2024")</f>
        <v/>
      </c>
      <c r="W892">
        <f>HYPERLINK("https://klasma.github.io/Logging_2523/klagomålsmail/A 44481-2024 FSC-klagomål mail.docx", "A 44481-2024")</f>
        <v/>
      </c>
      <c r="X892">
        <f>HYPERLINK("https://klasma.github.io/Logging_2523/tillsyn/A 44481-2024 tillsynsbegäran.docx", "A 44481-2024")</f>
        <v/>
      </c>
      <c r="Y892">
        <f>HYPERLINK("https://klasma.github.io/Logging_2523/tillsynsmail/A 44481-2024 tillsynsbegäran mail.docx", "A 44481-2024")</f>
        <v/>
      </c>
    </row>
    <row r="893" ht="15" customHeight="1">
      <c r="A893" t="inlineStr">
        <is>
          <t>A 44648-2024</t>
        </is>
      </c>
      <c r="B893" s="1" t="n">
        <v>45574</v>
      </c>
      <c r="C893" s="1" t="n">
        <v>45662</v>
      </c>
      <c r="D893" t="inlineStr">
        <is>
          <t>NORRBOTTENS LÄN</t>
        </is>
      </c>
      <c r="E893" t="inlineStr">
        <is>
          <t>GÄLLIVARE</t>
        </is>
      </c>
      <c r="F893" t="inlineStr">
        <is>
          <t>Sveaskog</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44648-2024 artfynd.xlsx", "A 44648-2024")</f>
        <v/>
      </c>
      <c r="T893">
        <f>HYPERLINK("https://klasma.github.io/Logging_2523/kartor/A 44648-2024 karta.png", "A 44648-2024")</f>
        <v/>
      </c>
      <c r="V893">
        <f>HYPERLINK("https://klasma.github.io/Logging_2523/klagomål/A 44648-2024 FSC-klagomål.docx", "A 44648-2024")</f>
        <v/>
      </c>
      <c r="W893">
        <f>HYPERLINK("https://klasma.github.io/Logging_2523/klagomålsmail/A 44648-2024 FSC-klagomål mail.docx", "A 44648-2024")</f>
        <v/>
      </c>
      <c r="X893">
        <f>HYPERLINK("https://klasma.github.io/Logging_2523/tillsyn/A 44648-2024 tillsynsbegäran.docx", "A 44648-2024")</f>
        <v/>
      </c>
      <c r="Y893">
        <f>HYPERLINK("https://klasma.github.io/Logging_2523/tillsynsmail/A 44648-2024 tillsynsbegäran mail.docx", "A 44648-2024")</f>
        <v/>
      </c>
    </row>
    <row r="894" ht="15" customHeight="1">
      <c r="A894" t="inlineStr">
        <is>
          <t>A 44704-2024</t>
        </is>
      </c>
      <c r="B894" s="1" t="n">
        <v>45574</v>
      </c>
      <c r="C894" s="1" t="n">
        <v>45662</v>
      </c>
      <c r="D894" t="inlineStr">
        <is>
          <t>NORRBOTTENS LÄN</t>
        </is>
      </c>
      <c r="E894" t="inlineStr">
        <is>
          <t>PITEÅ</t>
        </is>
      </c>
      <c r="F894" t="inlineStr">
        <is>
          <t>Sveaskog</t>
        </is>
      </c>
      <c r="G894" t="n">
        <v>3.2</v>
      </c>
      <c r="H894" t="n">
        <v>0</v>
      </c>
      <c r="I894" t="n">
        <v>0</v>
      </c>
      <c r="J894" t="n">
        <v>1</v>
      </c>
      <c r="K894" t="n">
        <v>0</v>
      </c>
      <c r="L894" t="n">
        <v>0</v>
      </c>
      <c r="M894" t="n">
        <v>0</v>
      </c>
      <c r="N894" t="n">
        <v>0</v>
      </c>
      <c r="O894" t="n">
        <v>1</v>
      </c>
      <c r="P894" t="n">
        <v>0</v>
      </c>
      <c r="Q894" t="n">
        <v>1</v>
      </c>
      <c r="R894" s="2" t="inlineStr">
        <is>
          <t>Granticka</t>
        </is>
      </c>
      <c r="S894">
        <f>HYPERLINK("https://klasma.github.io/Logging_2581/artfynd/A 44704-2024 artfynd.xlsx", "A 44704-2024")</f>
        <v/>
      </c>
      <c r="T894">
        <f>HYPERLINK("https://klasma.github.io/Logging_2581/kartor/A 44704-2024 karta.png", "A 44704-2024")</f>
        <v/>
      </c>
      <c r="V894">
        <f>HYPERLINK("https://klasma.github.io/Logging_2581/klagomål/A 44704-2024 FSC-klagomål.docx", "A 44704-2024")</f>
        <v/>
      </c>
      <c r="W894">
        <f>HYPERLINK("https://klasma.github.io/Logging_2581/klagomålsmail/A 44704-2024 FSC-klagomål mail.docx", "A 44704-2024")</f>
        <v/>
      </c>
      <c r="X894">
        <f>HYPERLINK("https://klasma.github.io/Logging_2581/tillsyn/A 44704-2024 tillsynsbegäran.docx", "A 44704-2024")</f>
        <v/>
      </c>
      <c r="Y894">
        <f>HYPERLINK("https://klasma.github.io/Logging_2581/tillsynsmail/A 44704-2024 tillsynsbegäran mail.docx", "A 44704-2024")</f>
        <v/>
      </c>
    </row>
    <row r="895" ht="15" customHeight="1">
      <c r="A895" t="inlineStr">
        <is>
          <t>A 44777-2024</t>
        </is>
      </c>
      <c r="B895" s="1" t="n">
        <v>45574</v>
      </c>
      <c r="C895" s="1" t="n">
        <v>45662</v>
      </c>
      <c r="D895" t="inlineStr">
        <is>
          <t>NORRBOTTENS LÄN</t>
        </is>
      </c>
      <c r="E895" t="inlineStr">
        <is>
          <t>PAJALA</t>
        </is>
      </c>
      <c r="F895" t="inlineStr">
        <is>
          <t>Sveaskog</t>
        </is>
      </c>
      <c r="G895" t="n">
        <v>6.3</v>
      </c>
      <c r="H895" t="n">
        <v>0</v>
      </c>
      <c r="I895" t="n">
        <v>0</v>
      </c>
      <c r="J895" t="n">
        <v>1</v>
      </c>
      <c r="K895" t="n">
        <v>0</v>
      </c>
      <c r="L895" t="n">
        <v>0</v>
      </c>
      <c r="M895" t="n">
        <v>0</v>
      </c>
      <c r="N895" t="n">
        <v>0</v>
      </c>
      <c r="O895" t="n">
        <v>1</v>
      </c>
      <c r="P895" t="n">
        <v>0</v>
      </c>
      <c r="Q895" t="n">
        <v>1</v>
      </c>
      <c r="R895" s="2" t="inlineStr">
        <is>
          <t>Garnlav</t>
        </is>
      </c>
      <c r="S895">
        <f>HYPERLINK("https://klasma.github.io/Logging_2521/artfynd/A 44777-2024 artfynd.xlsx", "A 44777-2024")</f>
        <v/>
      </c>
      <c r="T895">
        <f>HYPERLINK("https://klasma.github.io/Logging_2521/kartor/A 44777-2024 karta.png", "A 44777-2024")</f>
        <v/>
      </c>
      <c r="V895">
        <f>HYPERLINK("https://klasma.github.io/Logging_2521/klagomål/A 44777-2024 FSC-klagomål.docx", "A 44777-2024")</f>
        <v/>
      </c>
      <c r="W895">
        <f>HYPERLINK("https://klasma.github.io/Logging_2521/klagomålsmail/A 44777-2024 FSC-klagomål mail.docx", "A 44777-2024")</f>
        <v/>
      </c>
      <c r="X895">
        <f>HYPERLINK("https://klasma.github.io/Logging_2521/tillsyn/A 44777-2024 tillsynsbegäran.docx", "A 44777-2024")</f>
        <v/>
      </c>
      <c r="Y895">
        <f>HYPERLINK("https://klasma.github.io/Logging_2521/tillsynsmail/A 44777-2024 tillsynsbegäran mail.docx", "A 44777-2024")</f>
        <v/>
      </c>
    </row>
    <row r="896" ht="15" customHeight="1">
      <c r="A896" t="inlineStr">
        <is>
          <t>A 45386-2024</t>
        </is>
      </c>
      <c r="B896" s="1" t="n">
        <v>45576</v>
      </c>
      <c r="C896" s="1" t="n">
        <v>45662</v>
      </c>
      <c r="D896" t="inlineStr">
        <is>
          <t>NORRBOTTENS LÄN</t>
        </is>
      </c>
      <c r="E896" t="inlineStr">
        <is>
          <t>ARVIDSJAUR</t>
        </is>
      </c>
      <c r="F896" t="inlineStr">
        <is>
          <t>Sveaskog</t>
        </is>
      </c>
      <c r="G896" t="n">
        <v>11.9</v>
      </c>
      <c r="H896" t="n">
        <v>0</v>
      </c>
      <c r="I896" t="n">
        <v>1</v>
      </c>
      <c r="J896" t="n">
        <v>0</v>
      </c>
      <c r="K896" t="n">
        <v>0</v>
      </c>
      <c r="L896" t="n">
        <v>0</v>
      </c>
      <c r="M896" t="n">
        <v>0</v>
      </c>
      <c r="N896" t="n">
        <v>0</v>
      </c>
      <c r="O896" t="n">
        <v>0</v>
      </c>
      <c r="P896" t="n">
        <v>0</v>
      </c>
      <c r="Q896" t="n">
        <v>1</v>
      </c>
      <c r="R896" s="2" t="inlineStr">
        <is>
          <t>Dropptaggsvamp</t>
        </is>
      </c>
      <c r="S896">
        <f>HYPERLINK("https://klasma.github.io/Logging_2505/artfynd/A 45386-2024 artfynd.xlsx", "A 45386-2024")</f>
        <v/>
      </c>
      <c r="T896">
        <f>HYPERLINK("https://klasma.github.io/Logging_2505/kartor/A 45386-2024 karta.png", "A 45386-2024")</f>
        <v/>
      </c>
      <c r="V896">
        <f>HYPERLINK("https://klasma.github.io/Logging_2505/klagomål/A 45386-2024 FSC-klagomål.docx", "A 45386-2024")</f>
        <v/>
      </c>
      <c r="W896">
        <f>HYPERLINK("https://klasma.github.io/Logging_2505/klagomålsmail/A 45386-2024 FSC-klagomål mail.docx", "A 45386-2024")</f>
        <v/>
      </c>
      <c r="X896">
        <f>HYPERLINK("https://klasma.github.io/Logging_2505/tillsyn/A 45386-2024 tillsynsbegäran.docx", "A 45386-2024")</f>
        <v/>
      </c>
      <c r="Y896">
        <f>HYPERLINK("https://klasma.github.io/Logging_2505/tillsynsmail/A 45386-2024 tillsynsbegäran mail.docx", "A 45386-2024")</f>
        <v/>
      </c>
    </row>
    <row r="897" ht="15" customHeight="1">
      <c r="A897" t="inlineStr">
        <is>
          <t>A 46280-2024</t>
        </is>
      </c>
      <c r="B897" s="1" t="n">
        <v>45581</v>
      </c>
      <c r="C897" s="1" t="n">
        <v>45662</v>
      </c>
      <c r="D897" t="inlineStr">
        <is>
          <t>NORRBOTTENS LÄN</t>
        </is>
      </c>
      <c r="E897" t="inlineStr">
        <is>
          <t>ÖVERKALIX</t>
        </is>
      </c>
      <c r="F897" t="inlineStr">
        <is>
          <t>SCA</t>
        </is>
      </c>
      <c r="G897" t="n">
        <v>6</v>
      </c>
      <c r="H897" t="n">
        <v>1</v>
      </c>
      <c r="I897" t="n">
        <v>0</v>
      </c>
      <c r="J897" t="n">
        <v>1</v>
      </c>
      <c r="K897" t="n">
        <v>0</v>
      </c>
      <c r="L897" t="n">
        <v>0</v>
      </c>
      <c r="M897" t="n">
        <v>0</v>
      </c>
      <c r="N897" t="n">
        <v>0</v>
      </c>
      <c r="O897" t="n">
        <v>1</v>
      </c>
      <c r="P897" t="n">
        <v>0</v>
      </c>
      <c r="Q897" t="n">
        <v>1</v>
      </c>
      <c r="R897" s="2" t="inlineStr">
        <is>
          <t>Spillkråka</t>
        </is>
      </c>
      <c r="S897">
        <f>HYPERLINK("https://klasma.github.io/Logging_2513/artfynd/A 46280-2024 artfynd.xlsx", "A 46280-2024")</f>
        <v/>
      </c>
      <c r="T897">
        <f>HYPERLINK("https://klasma.github.io/Logging_2513/kartor/A 46280-2024 karta.png", "A 46280-2024")</f>
        <v/>
      </c>
      <c r="V897">
        <f>HYPERLINK("https://klasma.github.io/Logging_2513/klagomål/A 46280-2024 FSC-klagomål.docx", "A 46280-2024")</f>
        <v/>
      </c>
      <c r="W897">
        <f>HYPERLINK("https://klasma.github.io/Logging_2513/klagomålsmail/A 46280-2024 FSC-klagomål mail.docx", "A 46280-2024")</f>
        <v/>
      </c>
      <c r="X897">
        <f>HYPERLINK("https://klasma.github.io/Logging_2513/tillsyn/A 46280-2024 tillsynsbegäran.docx", "A 46280-2024")</f>
        <v/>
      </c>
      <c r="Y897">
        <f>HYPERLINK("https://klasma.github.io/Logging_2513/tillsynsmail/A 46280-2024 tillsynsbegäran mail.docx", "A 46280-2024")</f>
        <v/>
      </c>
      <c r="Z897">
        <f>HYPERLINK("https://klasma.github.io/Logging_2513/fåglar/A 46280-2024 prioriterade fågelarter.docx", "A 46280-2024")</f>
        <v/>
      </c>
    </row>
    <row r="898" ht="15" customHeight="1">
      <c r="A898" t="inlineStr">
        <is>
          <t>A 46281-2024</t>
        </is>
      </c>
      <c r="B898" s="1" t="n">
        <v>45581</v>
      </c>
      <c r="C898" s="1" t="n">
        <v>45662</v>
      </c>
      <c r="D898" t="inlineStr">
        <is>
          <t>NORRBOTTENS LÄN</t>
        </is>
      </c>
      <c r="E898" t="inlineStr">
        <is>
          <t>ÖVERKALIX</t>
        </is>
      </c>
      <c r="F898" t="inlineStr">
        <is>
          <t>SCA</t>
        </is>
      </c>
      <c r="G898" t="n">
        <v>1.2</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46281-2024 artfynd.xlsx", "A 46281-2024")</f>
        <v/>
      </c>
      <c r="T898">
        <f>HYPERLINK("https://klasma.github.io/Logging_2513/kartor/A 46281-2024 karta.png", "A 46281-2024")</f>
        <v/>
      </c>
      <c r="V898">
        <f>HYPERLINK("https://klasma.github.io/Logging_2513/klagomål/A 46281-2024 FSC-klagomål.docx", "A 46281-2024")</f>
        <v/>
      </c>
      <c r="W898">
        <f>HYPERLINK("https://klasma.github.io/Logging_2513/klagomålsmail/A 46281-2024 FSC-klagomål mail.docx", "A 46281-2024")</f>
        <v/>
      </c>
      <c r="X898">
        <f>HYPERLINK("https://klasma.github.io/Logging_2513/tillsyn/A 46281-2024 tillsynsbegäran.docx", "A 46281-2024")</f>
        <v/>
      </c>
      <c r="Y898">
        <f>HYPERLINK("https://klasma.github.io/Logging_2513/tillsynsmail/A 46281-2024 tillsynsbegäran mail.docx", "A 46281-2024")</f>
        <v/>
      </c>
    </row>
    <row r="899" ht="15" customHeight="1">
      <c r="A899" t="inlineStr">
        <is>
          <t>A 46388-2024</t>
        </is>
      </c>
      <c r="B899" s="1" t="n">
        <v>45582</v>
      </c>
      <c r="C899" s="1" t="n">
        <v>45662</v>
      </c>
      <c r="D899" t="inlineStr">
        <is>
          <t>NORRBOTTENS LÄN</t>
        </is>
      </c>
      <c r="E899" t="inlineStr">
        <is>
          <t>JOKKMOKK</t>
        </is>
      </c>
      <c r="F899" t="inlineStr">
        <is>
          <t>Sveaskog</t>
        </is>
      </c>
      <c r="G899" t="n">
        <v>1.3</v>
      </c>
      <c r="H899" t="n">
        <v>0</v>
      </c>
      <c r="I899" t="n">
        <v>0</v>
      </c>
      <c r="J899" t="n">
        <v>1</v>
      </c>
      <c r="K899" t="n">
        <v>0</v>
      </c>
      <c r="L899" t="n">
        <v>0</v>
      </c>
      <c r="M899" t="n">
        <v>0</v>
      </c>
      <c r="N899" t="n">
        <v>0</v>
      </c>
      <c r="O899" t="n">
        <v>1</v>
      </c>
      <c r="P899" t="n">
        <v>0</v>
      </c>
      <c r="Q899" t="n">
        <v>1</v>
      </c>
      <c r="R899" s="2" t="inlineStr">
        <is>
          <t>Kolflarnlav</t>
        </is>
      </c>
      <c r="S899">
        <f>HYPERLINK("https://klasma.github.io/Logging_2510/artfynd/A 46388-2024 artfynd.xlsx", "A 46388-2024")</f>
        <v/>
      </c>
      <c r="T899">
        <f>HYPERLINK("https://klasma.github.io/Logging_2510/kartor/A 46388-2024 karta.png", "A 46388-2024")</f>
        <v/>
      </c>
      <c r="V899">
        <f>HYPERLINK("https://klasma.github.io/Logging_2510/klagomål/A 46388-2024 FSC-klagomål.docx", "A 46388-2024")</f>
        <v/>
      </c>
      <c r="W899">
        <f>HYPERLINK("https://klasma.github.io/Logging_2510/klagomålsmail/A 46388-2024 FSC-klagomål mail.docx", "A 46388-2024")</f>
        <v/>
      </c>
      <c r="X899">
        <f>HYPERLINK("https://klasma.github.io/Logging_2510/tillsyn/A 46388-2024 tillsynsbegäran.docx", "A 46388-2024")</f>
        <v/>
      </c>
      <c r="Y899">
        <f>HYPERLINK("https://klasma.github.io/Logging_2510/tillsynsmail/A 46388-2024 tillsynsbegäran mail.docx", "A 46388-2024")</f>
        <v/>
      </c>
    </row>
    <row r="900" ht="15" customHeight="1">
      <c r="A900" t="inlineStr">
        <is>
          <t>A 46652-2024</t>
        </is>
      </c>
      <c r="B900" s="1" t="n">
        <v>45583</v>
      </c>
      <c r="C900" s="1" t="n">
        <v>45662</v>
      </c>
      <c r="D900" t="inlineStr">
        <is>
          <t>NORRBOTTENS LÄN</t>
        </is>
      </c>
      <c r="E900" t="inlineStr">
        <is>
          <t>GÄLLIVARE</t>
        </is>
      </c>
      <c r="F900" t="inlineStr">
        <is>
          <t>Sveaskog</t>
        </is>
      </c>
      <c r="G900" t="n">
        <v>10.2</v>
      </c>
      <c r="H900" t="n">
        <v>0</v>
      </c>
      <c r="I900" t="n">
        <v>0</v>
      </c>
      <c r="J900" t="n">
        <v>1</v>
      </c>
      <c r="K900" t="n">
        <v>0</v>
      </c>
      <c r="L900" t="n">
        <v>0</v>
      </c>
      <c r="M900" t="n">
        <v>0</v>
      </c>
      <c r="N900" t="n">
        <v>0</v>
      </c>
      <c r="O900" t="n">
        <v>1</v>
      </c>
      <c r="P900" t="n">
        <v>0</v>
      </c>
      <c r="Q900" t="n">
        <v>1</v>
      </c>
      <c r="R900" s="2" t="inlineStr">
        <is>
          <t>Motaggsvamp</t>
        </is>
      </c>
      <c r="S900">
        <f>HYPERLINK("https://klasma.github.io/Logging_2523/artfynd/A 46652-2024 artfynd.xlsx", "A 46652-2024")</f>
        <v/>
      </c>
      <c r="T900">
        <f>HYPERLINK("https://klasma.github.io/Logging_2523/kartor/A 46652-2024 karta.png", "A 46652-2024")</f>
        <v/>
      </c>
      <c r="V900">
        <f>HYPERLINK("https://klasma.github.io/Logging_2523/klagomål/A 46652-2024 FSC-klagomål.docx", "A 46652-2024")</f>
        <v/>
      </c>
      <c r="W900">
        <f>HYPERLINK("https://klasma.github.io/Logging_2523/klagomålsmail/A 46652-2024 FSC-klagomål mail.docx", "A 46652-2024")</f>
        <v/>
      </c>
      <c r="X900">
        <f>HYPERLINK("https://klasma.github.io/Logging_2523/tillsyn/A 46652-2024 tillsynsbegäran.docx", "A 46652-2024")</f>
        <v/>
      </c>
      <c r="Y900">
        <f>HYPERLINK("https://klasma.github.io/Logging_2523/tillsynsmail/A 46652-2024 tillsynsbegäran mail.docx", "A 46652-2024")</f>
        <v/>
      </c>
    </row>
    <row r="901" ht="15" customHeight="1">
      <c r="A901" t="inlineStr">
        <is>
          <t>A 46952-2024</t>
        </is>
      </c>
      <c r="B901" s="1" t="n">
        <v>45585</v>
      </c>
      <c r="C901" s="1" t="n">
        <v>45662</v>
      </c>
      <c r="D901" t="inlineStr">
        <is>
          <t>NORRBOTTENS LÄN</t>
        </is>
      </c>
      <c r="E901" t="inlineStr">
        <is>
          <t>PAJALA</t>
        </is>
      </c>
      <c r="G901" t="n">
        <v>19.1</v>
      </c>
      <c r="H901" t="n">
        <v>1</v>
      </c>
      <c r="I901" t="n">
        <v>1</v>
      </c>
      <c r="J901" t="n">
        <v>0</v>
      </c>
      <c r="K901" t="n">
        <v>0</v>
      </c>
      <c r="L901" t="n">
        <v>0</v>
      </c>
      <c r="M901" t="n">
        <v>0</v>
      </c>
      <c r="N901" t="n">
        <v>0</v>
      </c>
      <c r="O901" t="n">
        <v>0</v>
      </c>
      <c r="P901" t="n">
        <v>0</v>
      </c>
      <c r="Q901" t="n">
        <v>1</v>
      </c>
      <c r="R901" s="2" t="inlineStr">
        <is>
          <t>Lappranunkel</t>
        </is>
      </c>
      <c r="S901">
        <f>HYPERLINK("https://klasma.github.io/Logging_2521/artfynd/A 46952-2024 artfynd.xlsx", "A 46952-2024")</f>
        <v/>
      </c>
      <c r="T901">
        <f>HYPERLINK("https://klasma.github.io/Logging_2521/kartor/A 46952-2024 karta.png", "A 46952-2024")</f>
        <v/>
      </c>
      <c r="V901">
        <f>HYPERLINK("https://klasma.github.io/Logging_2521/klagomål/A 46952-2024 FSC-klagomål.docx", "A 46952-2024")</f>
        <v/>
      </c>
      <c r="W901">
        <f>HYPERLINK("https://klasma.github.io/Logging_2521/klagomålsmail/A 46952-2024 FSC-klagomål mail.docx", "A 46952-2024")</f>
        <v/>
      </c>
      <c r="X901">
        <f>HYPERLINK("https://klasma.github.io/Logging_2521/tillsyn/A 46952-2024 tillsynsbegäran.docx", "A 46952-2024")</f>
        <v/>
      </c>
      <c r="Y901">
        <f>HYPERLINK("https://klasma.github.io/Logging_2521/tillsynsmail/A 46952-2024 tillsynsbegäran mail.docx", "A 46952-2024")</f>
        <v/>
      </c>
    </row>
    <row r="902" ht="15" customHeight="1">
      <c r="A902" t="inlineStr">
        <is>
          <t>A 47018-2024</t>
        </is>
      </c>
      <c r="B902" s="1" t="n">
        <v>45586</v>
      </c>
      <c r="C902" s="1" t="n">
        <v>45662</v>
      </c>
      <c r="D902" t="inlineStr">
        <is>
          <t>NORRBOTTENS LÄN</t>
        </is>
      </c>
      <c r="E902" t="inlineStr">
        <is>
          <t>BODEN</t>
        </is>
      </c>
      <c r="F902" t="inlineStr">
        <is>
          <t>Sveaskog</t>
        </is>
      </c>
      <c r="G902" t="n">
        <v>18.1</v>
      </c>
      <c r="H902" t="n">
        <v>0</v>
      </c>
      <c r="I902" t="n">
        <v>0</v>
      </c>
      <c r="J902" t="n">
        <v>1</v>
      </c>
      <c r="K902" t="n">
        <v>0</v>
      </c>
      <c r="L902" t="n">
        <v>0</v>
      </c>
      <c r="M902" t="n">
        <v>0</v>
      </c>
      <c r="N902" t="n">
        <v>0</v>
      </c>
      <c r="O902" t="n">
        <v>1</v>
      </c>
      <c r="P902" t="n">
        <v>0</v>
      </c>
      <c r="Q902" t="n">
        <v>1</v>
      </c>
      <c r="R902" s="2" t="inlineStr">
        <is>
          <t>Blågrå svartspik</t>
        </is>
      </c>
      <c r="S902">
        <f>HYPERLINK("https://klasma.github.io/Logging_2582/artfynd/A 47018-2024 artfynd.xlsx", "A 47018-2024")</f>
        <v/>
      </c>
      <c r="T902">
        <f>HYPERLINK("https://klasma.github.io/Logging_2582/kartor/A 47018-2024 karta.png", "A 47018-2024")</f>
        <v/>
      </c>
      <c r="V902">
        <f>HYPERLINK("https://klasma.github.io/Logging_2582/klagomål/A 47018-2024 FSC-klagomål.docx", "A 47018-2024")</f>
        <v/>
      </c>
      <c r="W902">
        <f>HYPERLINK("https://klasma.github.io/Logging_2582/klagomålsmail/A 47018-2024 FSC-klagomål mail.docx", "A 47018-2024")</f>
        <v/>
      </c>
      <c r="X902">
        <f>HYPERLINK("https://klasma.github.io/Logging_2582/tillsyn/A 47018-2024 tillsynsbegäran.docx", "A 47018-2024")</f>
        <v/>
      </c>
      <c r="Y902">
        <f>HYPERLINK("https://klasma.github.io/Logging_2582/tillsynsmail/A 47018-2024 tillsynsbegäran mail.docx", "A 47018-2024")</f>
        <v/>
      </c>
    </row>
    <row r="903" ht="15" customHeight="1">
      <c r="A903" t="inlineStr">
        <is>
          <t>A 47680-2024</t>
        </is>
      </c>
      <c r="B903" s="1" t="n">
        <v>45588</v>
      </c>
      <c r="C903" s="1" t="n">
        <v>45662</v>
      </c>
      <c r="D903" t="inlineStr">
        <is>
          <t>NORRBOTTENS LÄN</t>
        </is>
      </c>
      <c r="E903" t="inlineStr">
        <is>
          <t>ÖVERKALIX</t>
        </is>
      </c>
      <c r="F903" t="inlineStr">
        <is>
          <t>Sveaskog</t>
        </is>
      </c>
      <c r="G903" t="n">
        <v>2.1</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47680-2024 artfynd.xlsx", "A 47680-2024")</f>
        <v/>
      </c>
      <c r="T903">
        <f>HYPERLINK("https://klasma.github.io/Logging_2513/kartor/A 47680-2024 karta.png", "A 47680-2024")</f>
        <v/>
      </c>
      <c r="V903">
        <f>HYPERLINK("https://klasma.github.io/Logging_2513/klagomål/A 47680-2024 FSC-klagomål.docx", "A 47680-2024")</f>
        <v/>
      </c>
      <c r="W903">
        <f>HYPERLINK("https://klasma.github.io/Logging_2513/klagomålsmail/A 47680-2024 FSC-klagomål mail.docx", "A 47680-2024")</f>
        <v/>
      </c>
      <c r="X903">
        <f>HYPERLINK("https://klasma.github.io/Logging_2513/tillsyn/A 47680-2024 tillsynsbegäran.docx", "A 47680-2024")</f>
        <v/>
      </c>
      <c r="Y903">
        <f>HYPERLINK("https://klasma.github.io/Logging_2513/tillsynsmail/A 47680-2024 tillsynsbegäran mail.docx", "A 47680-2024")</f>
        <v/>
      </c>
    </row>
    <row r="904" ht="15" customHeight="1">
      <c r="A904" t="inlineStr">
        <is>
          <t>A 48368-2024</t>
        </is>
      </c>
      <c r="B904" s="1" t="n">
        <v>45590</v>
      </c>
      <c r="C904" s="1" t="n">
        <v>45662</v>
      </c>
      <c r="D904" t="inlineStr">
        <is>
          <t>NORRBOTTENS LÄN</t>
        </is>
      </c>
      <c r="E904" t="inlineStr">
        <is>
          <t>ARVIDSJAUR</t>
        </is>
      </c>
      <c r="F904" t="inlineStr">
        <is>
          <t>Sveaskog</t>
        </is>
      </c>
      <c r="G904" t="n">
        <v>7.2</v>
      </c>
      <c r="H904" t="n">
        <v>0</v>
      </c>
      <c r="I904" t="n">
        <v>0</v>
      </c>
      <c r="J904" t="n">
        <v>1</v>
      </c>
      <c r="K904" t="n">
        <v>0</v>
      </c>
      <c r="L904" t="n">
        <v>0</v>
      </c>
      <c r="M904" t="n">
        <v>0</v>
      </c>
      <c r="N904" t="n">
        <v>0</v>
      </c>
      <c r="O904" t="n">
        <v>1</v>
      </c>
      <c r="P904" t="n">
        <v>0</v>
      </c>
      <c r="Q904" t="n">
        <v>1</v>
      </c>
      <c r="R904" s="2" t="inlineStr">
        <is>
          <t>Orange taggsvamp</t>
        </is>
      </c>
      <c r="S904">
        <f>HYPERLINK("https://klasma.github.io/Logging_2505/artfynd/A 48368-2024 artfynd.xlsx", "A 48368-2024")</f>
        <v/>
      </c>
      <c r="T904">
        <f>HYPERLINK("https://klasma.github.io/Logging_2505/kartor/A 48368-2024 karta.png", "A 48368-2024")</f>
        <v/>
      </c>
      <c r="V904">
        <f>HYPERLINK("https://klasma.github.io/Logging_2505/klagomål/A 48368-2024 FSC-klagomål.docx", "A 48368-2024")</f>
        <v/>
      </c>
      <c r="W904">
        <f>HYPERLINK("https://klasma.github.io/Logging_2505/klagomålsmail/A 48368-2024 FSC-klagomål mail.docx", "A 48368-2024")</f>
        <v/>
      </c>
      <c r="X904">
        <f>HYPERLINK("https://klasma.github.io/Logging_2505/tillsyn/A 48368-2024 tillsynsbegäran.docx", "A 48368-2024")</f>
        <v/>
      </c>
      <c r="Y904">
        <f>HYPERLINK("https://klasma.github.io/Logging_2505/tillsynsmail/A 48368-2024 tillsynsbegäran mail.docx", "A 48368-2024")</f>
        <v/>
      </c>
    </row>
    <row r="905" ht="15" customHeight="1">
      <c r="A905" t="inlineStr">
        <is>
          <t>A 48899-2024</t>
        </is>
      </c>
      <c r="B905" s="1" t="n">
        <v>45594</v>
      </c>
      <c r="C905" s="1" t="n">
        <v>45662</v>
      </c>
      <c r="D905" t="inlineStr">
        <is>
          <t>NORRBOTTENS LÄN</t>
        </is>
      </c>
      <c r="E905" t="inlineStr">
        <is>
          <t>BODEN</t>
        </is>
      </c>
      <c r="F905" t="inlineStr">
        <is>
          <t>SCA</t>
        </is>
      </c>
      <c r="G905" t="n">
        <v>18</v>
      </c>
      <c r="H905" t="n">
        <v>1</v>
      </c>
      <c r="I905" t="n">
        <v>0</v>
      </c>
      <c r="J905" t="n">
        <v>0</v>
      </c>
      <c r="K905" t="n">
        <v>0</v>
      </c>
      <c r="L905" t="n">
        <v>0</v>
      </c>
      <c r="M905" t="n">
        <v>0</v>
      </c>
      <c r="N905" t="n">
        <v>0</v>
      </c>
      <c r="O905" t="n">
        <v>0</v>
      </c>
      <c r="P905" t="n">
        <v>0</v>
      </c>
      <c r="Q905" t="n">
        <v>1</v>
      </c>
      <c r="R905" s="2" t="inlineStr">
        <is>
          <t>Fläcknycklar</t>
        </is>
      </c>
      <c r="S905">
        <f>HYPERLINK("https://klasma.github.io/Logging_2582/artfynd/A 48899-2024 artfynd.xlsx", "A 48899-2024")</f>
        <v/>
      </c>
      <c r="T905">
        <f>HYPERLINK("https://klasma.github.io/Logging_2582/kartor/A 48899-2024 karta.png", "A 48899-2024")</f>
        <v/>
      </c>
      <c r="V905">
        <f>HYPERLINK("https://klasma.github.io/Logging_2582/klagomål/A 48899-2024 FSC-klagomål.docx", "A 48899-2024")</f>
        <v/>
      </c>
      <c r="W905">
        <f>HYPERLINK("https://klasma.github.io/Logging_2582/klagomålsmail/A 48899-2024 FSC-klagomål mail.docx", "A 48899-2024")</f>
        <v/>
      </c>
      <c r="X905">
        <f>HYPERLINK("https://klasma.github.io/Logging_2582/tillsyn/A 48899-2024 tillsynsbegäran.docx", "A 48899-2024")</f>
        <v/>
      </c>
      <c r="Y905">
        <f>HYPERLINK("https://klasma.github.io/Logging_2582/tillsynsmail/A 48899-2024 tillsynsbegäran mail.docx", "A 48899-2024")</f>
        <v/>
      </c>
    </row>
    <row r="906" ht="15" customHeight="1">
      <c r="A906" t="inlineStr">
        <is>
          <t>A 49525-2024</t>
        </is>
      </c>
      <c r="B906" s="1" t="n">
        <v>45596</v>
      </c>
      <c r="C906" s="1" t="n">
        <v>45662</v>
      </c>
      <c r="D906" t="inlineStr">
        <is>
          <t>NORRBOTTENS LÄN</t>
        </is>
      </c>
      <c r="E906" t="inlineStr">
        <is>
          <t>JOKKMOKK</t>
        </is>
      </c>
      <c r="F906" t="inlineStr">
        <is>
          <t>SCA</t>
        </is>
      </c>
      <c r="G906" t="n">
        <v>2.5</v>
      </c>
      <c r="H906" t="n">
        <v>0</v>
      </c>
      <c r="I906" t="n">
        <v>0</v>
      </c>
      <c r="J906" t="n">
        <v>0</v>
      </c>
      <c r="K906" t="n">
        <v>1</v>
      </c>
      <c r="L906" t="n">
        <v>0</v>
      </c>
      <c r="M906" t="n">
        <v>0</v>
      </c>
      <c r="N906" t="n">
        <v>0</v>
      </c>
      <c r="O906" t="n">
        <v>1</v>
      </c>
      <c r="P906" t="n">
        <v>1</v>
      </c>
      <c r="Q906" t="n">
        <v>1</v>
      </c>
      <c r="R906" s="2" t="inlineStr">
        <is>
          <t>Ringlav</t>
        </is>
      </c>
      <c r="S906">
        <f>HYPERLINK("https://klasma.github.io/Logging_2510/artfynd/A 49525-2024 artfynd.xlsx", "A 49525-2024")</f>
        <v/>
      </c>
      <c r="T906">
        <f>HYPERLINK("https://klasma.github.io/Logging_2510/kartor/A 49525-2024 karta.png", "A 49525-2024")</f>
        <v/>
      </c>
      <c r="V906">
        <f>HYPERLINK("https://klasma.github.io/Logging_2510/klagomål/A 49525-2024 FSC-klagomål.docx", "A 49525-2024")</f>
        <v/>
      </c>
      <c r="W906">
        <f>HYPERLINK("https://klasma.github.io/Logging_2510/klagomålsmail/A 49525-2024 FSC-klagomål mail.docx", "A 49525-2024")</f>
        <v/>
      </c>
      <c r="X906">
        <f>HYPERLINK("https://klasma.github.io/Logging_2510/tillsyn/A 49525-2024 tillsynsbegäran.docx", "A 49525-2024")</f>
        <v/>
      </c>
      <c r="Y906">
        <f>HYPERLINK("https://klasma.github.io/Logging_2510/tillsynsmail/A 49525-2024 tillsynsbegäran mail.docx", "A 49525-2024")</f>
        <v/>
      </c>
    </row>
    <row r="907" ht="15" customHeight="1">
      <c r="A907" t="inlineStr">
        <is>
          <t>A 50121-2024</t>
        </is>
      </c>
      <c r="B907" s="1" t="n">
        <v>45600</v>
      </c>
      <c r="C907" s="1" t="n">
        <v>45662</v>
      </c>
      <c r="D907" t="inlineStr">
        <is>
          <t>NORRBOTTENS LÄN</t>
        </is>
      </c>
      <c r="E907" t="inlineStr">
        <is>
          <t>JOKKMOKK</t>
        </is>
      </c>
      <c r="G907" t="n">
        <v>2.3</v>
      </c>
      <c r="H907" t="n">
        <v>1</v>
      </c>
      <c r="I907" t="n">
        <v>0</v>
      </c>
      <c r="J907" t="n">
        <v>1</v>
      </c>
      <c r="K907" t="n">
        <v>0</v>
      </c>
      <c r="L907" t="n">
        <v>0</v>
      </c>
      <c r="M907" t="n">
        <v>0</v>
      </c>
      <c r="N907" t="n">
        <v>0</v>
      </c>
      <c r="O907" t="n">
        <v>1</v>
      </c>
      <c r="P907" t="n">
        <v>0</v>
      </c>
      <c r="Q907" t="n">
        <v>1</v>
      </c>
      <c r="R907" s="2" t="inlineStr">
        <is>
          <t>Buskskvätta</t>
        </is>
      </c>
      <c r="S907">
        <f>HYPERLINK("https://klasma.github.io/Logging_2510/artfynd/A 50121-2024 artfynd.xlsx", "A 50121-2024")</f>
        <v/>
      </c>
      <c r="T907">
        <f>HYPERLINK("https://klasma.github.io/Logging_2510/kartor/A 50121-2024 karta.png", "A 50121-2024")</f>
        <v/>
      </c>
      <c r="V907">
        <f>HYPERLINK("https://klasma.github.io/Logging_2510/klagomål/A 50121-2024 FSC-klagomål.docx", "A 50121-2024")</f>
        <v/>
      </c>
      <c r="W907">
        <f>HYPERLINK("https://klasma.github.io/Logging_2510/klagomålsmail/A 50121-2024 FSC-klagomål mail.docx", "A 50121-2024")</f>
        <v/>
      </c>
      <c r="X907">
        <f>HYPERLINK("https://klasma.github.io/Logging_2510/tillsyn/A 50121-2024 tillsynsbegäran.docx", "A 50121-2024")</f>
        <v/>
      </c>
      <c r="Y907">
        <f>HYPERLINK("https://klasma.github.io/Logging_2510/tillsynsmail/A 50121-2024 tillsynsbegäran mail.docx", "A 50121-2024")</f>
        <v/>
      </c>
      <c r="Z907">
        <f>HYPERLINK("https://klasma.github.io/Logging_2510/fåglar/A 50121-2024 prioriterade fågelarter.docx", "A 50121-2024")</f>
        <v/>
      </c>
    </row>
    <row r="908" ht="15" customHeight="1">
      <c r="A908" t="inlineStr">
        <is>
          <t>A 50912-2024</t>
        </is>
      </c>
      <c r="B908" s="1" t="n">
        <v>45602</v>
      </c>
      <c r="C908" s="1" t="n">
        <v>45662</v>
      </c>
      <c r="D908" t="inlineStr">
        <is>
          <t>NORRBOTTENS LÄN</t>
        </is>
      </c>
      <c r="E908" t="inlineStr">
        <is>
          <t>BODEN</t>
        </is>
      </c>
      <c r="G908" t="n">
        <v>3.5</v>
      </c>
      <c r="H908" t="n">
        <v>1</v>
      </c>
      <c r="I908" t="n">
        <v>0</v>
      </c>
      <c r="J908" t="n">
        <v>0</v>
      </c>
      <c r="K908" t="n">
        <v>0</v>
      </c>
      <c r="L908" t="n">
        <v>0</v>
      </c>
      <c r="M908" t="n">
        <v>0</v>
      </c>
      <c r="N908" t="n">
        <v>0</v>
      </c>
      <c r="O908" t="n">
        <v>0</v>
      </c>
      <c r="P908" t="n">
        <v>0</v>
      </c>
      <c r="Q908" t="n">
        <v>1</v>
      </c>
      <c r="R908" s="2" t="inlineStr">
        <is>
          <t>Revlummer</t>
        </is>
      </c>
      <c r="S908">
        <f>HYPERLINK("https://klasma.github.io/Logging_2582/artfynd/A 50912-2024 artfynd.xlsx", "A 50912-2024")</f>
        <v/>
      </c>
      <c r="T908">
        <f>HYPERLINK("https://klasma.github.io/Logging_2582/kartor/A 50912-2024 karta.png", "A 50912-2024")</f>
        <v/>
      </c>
      <c r="V908">
        <f>HYPERLINK("https://klasma.github.io/Logging_2582/klagomål/A 50912-2024 FSC-klagomål.docx", "A 50912-2024")</f>
        <v/>
      </c>
      <c r="W908">
        <f>HYPERLINK("https://klasma.github.io/Logging_2582/klagomålsmail/A 50912-2024 FSC-klagomål mail.docx", "A 50912-2024")</f>
        <v/>
      </c>
      <c r="X908">
        <f>HYPERLINK("https://klasma.github.io/Logging_2582/tillsyn/A 50912-2024 tillsynsbegäran.docx", "A 50912-2024")</f>
        <v/>
      </c>
      <c r="Y908">
        <f>HYPERLINK("https://klasma.github.io/Logging_2582/tillsynsmail/A 50912-2024 tillsynsbegäran mail.docx", "A 50912-2024")</f>
        <v/>
      </c>
    </row>
    <row r="909" ht="15" customHeight="1">
      <c r="A909" t="inlineStr">
        <is>
          <t>A 50866-2024</t>
        </is>
      </c>
      <c r="B909" s="1" t="n">
        <v>45602</v>
      </c>
      <c r="C909" s="1" t="n">
        <v>45662</v>
      </c>
      <c r="D909" t="inlineStr">
        <is>
          <t>NORRBOTTENS LÄN</t>
        </is>
      </c>
      <c r="E909" t="inlineStr">
        <is>
          <t>BODEN</t>
        </is>
      </c>
      <c r="F909" t="inlineStr">
        <is>
          <t>Sveaskog</t>
        </is>
      </c>
      <c r="G909" t="n">
        <v>2.7</v>
      </c>
      <c r="H909" t="n">
        <v>0</v>
      </c>
      <c r="I909" t="n">
        <v>0</v>
      </c>
      <c r="J909" t="n">
        <v>1</v>
      </c>
      <c r="K909" t="n">
        <v>0</v>
      </c>
      <c r="L909" t="n">
        <v>0</v>
      </c>
      <c r="M909" t="n">
        <v>0</v>
      </c>
      <c r="N909" t="n">
        <v>0</v>
      </c>
      <c r="O909" t="n">
        <v>1</v>
      </c>
      <c r="P909" t="n">
        <v>0</v>
      </c>
      <c r="Q909" t="n">
        <v>1</v>
      </c>
      <c r="R909" s="2" t="inlineStr">
        <is>
          <t>Garnlav</t>
        </is>
      </c>
      <c r="S909">
        <f>HYPERLINK("https://klasma.github.io/Logging_2582/artfynd/A 50866-2024 artfynd.xlsx", "A 50866-2024")</f>
        <v/>
      </c>
      <c r="T909">
        <f>HYPERLINK("https://klasma.github.io/Logging_2582/kartor/A 50866-2024 karta.png", "A 50866-2024")</f>
        <v/>
      </c>
      <c r="V909">
        <f>HYPERLINK("https://klasma.github.io/Logging_2582/klagomål/A 50866-2024 FSC-klagomål.docx", "A 50866-2024")</f>
        <v/>
      </c>
      <c r="W909">
        <f>HYPERLINK("https://klasma.github.io/Logging_2582/klagomålsmail/A 50866-2024 FSC-klagomål mail.docx", "A 50866-2024")</f>
        <v/>
      </c>
      <c r="X909">
        <f>HYPERLINK("https://klasma.github.io/Logging_2582/tillsyn/A 50866-2024 tillsynsbegäran.docx", "A 50866-2024")</f>
        <v/>
      </c>
      <c r="Y909">
        <f>HYPERLINK("https://klasma.github.io/Logging_2582/tillsynsmail/A 50866-2024 tillsynsbegäran mail.docx", "A 50866-2024")</f>
        <v/>
      </c>
    </row>
    <row r="910" ht="15" customHeight="1">
      <c r="A910" t="inlineStr">
        <is>
          <t>A 51497-2024</t>
        </is>
      </c>
      <c r="B910" s="1" t="n">
        <v>45604</v>
      </c>
      <c r="C910" s="1" t="n">
        <v>45662</v>
      </c>
      <c r="D910" t="inlineStr">
        <is>
          <t>NORRBOTTENS LÄN</t>
        </is>
      </c>
      <c r="E910" t="inlineStr">
        <is>
          <t>JOKKMOKK</t>
        </is>
      </c>
      <c r="G910" t="n">
        <v>16.6</v>
      </c>
      <c r="H910" t="n">
        <v>0</v>
      </c>
      <c r="I910" t="n">
        <v>0</v>
      </c>
      <c r="J910" t="n">
        <v>1</v>
      </c>
      <c r="K910" t="n">
        <v>0</v>
      </c>
      <c r="L910" t="n">
        <v>0</v>
      </c>
      <c r="M910" t="n">
        <v>0</v>
      </c>
      <c r="N910" t="n">
        <v>0</v>
      </c>
      <c r="O910" t="n">
        <v>1</v>
      </c>
      <c r="P910" t="n">
        <v>0</v>
      </c>
      <c r="Q910" t="n">
        <v>1</v>
      </c>
      <c r="R910" s="2" t="inlineStr">
        <is>
          <t>Tallticka</t>
        </is>
      </c>
      <c r="S910">
        <f>HYPERLINK("https://klasma.github.io/Logging_2510/artfynd/A 51497-2024 artfynd.xlsx", "A 51497-2024")</f>
        <v/>
      </c>
      <c r="T910">
        <f>HYPERLINK("https://klasma.github.io/Logging_2510/kartor/A 51497-2024 karta.png", "A 51497-2024")</f>
        <v/>
      </c>
      <c r="V910">
        <f>HYPERLINK("https://klasma.github.io/Logging_2510/klagomål/A 51497-2024 FSC-klagomål.docx", "A 51497-2024")</f>
        <v/>
      </c>
      <c r="W910">
        <f>HYPERLINK("https://klasma.github.io/Logging_2510/klagomålsmail/A 51497-2024 FSC-klagomål mail.docx", "A 51497-2024")</f>
        <v/>
      </c>
      <c r="X910">
        <f>HYPERLINK("https://klasma.github.io/Logging_2510/tillsyn/A 51497-2024 tillsynsbegäran.docx", "A 51497-2024")</f>
        <v/>
      </c>
      <c r="Y910">
        <f>HYPERLINK("https://klasma.github.io/Logging_2510/tillsynsmail/A 51497-2024 tillsynsbegäran mail.docx", "A 51497-2024")</f>
        <v/>
      </c>
    </row>
    <row r="911" ht="15" customHeight="1">
      <c r="A911" t="inlineStr">
        <is>
          <t>A 52260-2024</t>
        </is>
      </c>
      <c r="B911" s="1" t="n">
        <v>45608</v>
      </c>
      <c r="C911" s="1" t="n">
        <v>45662</v>
      </c>
      <c r="D911" t="inlineStr">
        <is>
          <t>NORRBOTTENS LÄN</t>
        </is>
      </c>
      <c r="E911" t="inlineStr">
        <is>
          <t>JOKKMOKK</t>
        </is>
      </c>
      <c r="F911" t="inlineStr">
        <is>
          <t>Allmännings- och besparingsskogar</t>
        </is>
      </c>
      <c r="G911" t="n">
        <v>11.6</v>
      </c>
      <c r="H911" t="n">
        <v>0</v>
      </c>
      <c r="I911" t="n">
        <v>0</v>
      </c>
      <c r="J911" t="n">
        <v>1</v>
      </c>
      <c r="K911" t="n">
        <v>0</v>
      </c>
      <c r="L911" t="n">
        <v>0</v>
      </c>
      <c r="M911" t="n">
        <v>0</v>
      </c>
      <c r="N911" t="n">
        <v>0</v>
      </c>
      <c r="O911" t="n">
        <v>1</v>
      </c>
      <c r="P911" t="n">
        <v>0</v>
      </c>
      <c r="Q911" t="n">
        <v>1</v>
      </c>
      <c r="R911" s="2" t="inlineStr">
        <is>
          <t>Tallticka</t>
        </is>
      </c>
      <c r="S911">
        <f>HYPERLINK("https://klasma.github.io/Logging_2510/artfynd/A 52260-2024 artfynd.xlsx", "A 52260-2024")</f>
        <v/>
      </c>
      <c r="T911">
        <f>HYPERLINK("https://klasma.github.io/Logging_2510/kartor/A 52260-2024 karta.png", "A 52260-2024")</f>
        <v/>
      </c>
      <c r="V911">
        <f>HYPERLINK("https://klasma.github.io/Logging_2510/klagomål/A 52260-2024 FSC-klagomål.docx", "A 52260-2024")</f>
        <v/>
      </c>
      <c r="W911">
        <f>HYPERLINK("https://klasma.github.io/Logging_2510/klagomålsmail/A 52260-2024 FSC-klagomål mail.docx", "A 52260-2024")</f>
        <v/>
      </c>
      <c r="X911">
        <f>HYPERLINK("https://klasma.github.io/Logging_2510/tillsyn/A 52260-2024 tillsynsbegäran.docx", "A 52260-2024")</f>
        <v/>
      </c>
      <c r="Y911">
        <f>HYPERLINK("https://klasma.github.io/Logging_2510/tillsynsmail/A 52260-2024 tillsynsbegäran mail.docx", "A 52260-2024")</f>
        <v/>
      </c>
    </row>
    <row r="912" ht="15" customHeight="1">
      <c r="A912" t="inlineStr">
        <is>
          <t>A 53142-2024</t>
        </is>
      </c>
      <c r="B912" s="1" t="n">
        <v>45611</v>
      </c>
      <c r="C912" s="1" t="n">
        <v>45662</v>
      </c>
      <c r="D912" t="inlineStr">
        <is>
          <t>NORRBOTTENS LÄN</t>
        </is>
      </c>
      <c r="E912" t="inlineStr">
        <is>
          <t>BODEN</t>
        </is>
      </c>
      <c r="F912" t="inlineStr">
        <is>
          <t>Sveaskog</t>
        </is>
      </c>
      <c r="G912" t="n">
        <v>6.6</v>
      </c>
      <c r="H912" t="n">
        <v>1</v>
      </c>
      <c r="I912" t="n">
        <v>0</v>
      </c>
      <c r="J912" t="n">
        <v>0</v>
      </c>
      <c r="K912" t="n">
        <v>1</v>
      </c>
      <c r="L912" t="n">
        <v>0</v>
      </c>
      <c r="M912" t="n">
        <v>0</v>
      </c>
      <c r="N912" t="n">
        <v>0</v>
      </c>
      <c r="O912" t="n">
        <v>1</v>
      </c>
      <c r="P912" t="n">
        <v>1</v>
      </c>
      <c r="Q912" t="n">
        <v>1</v>
      </c>
      <c r="R912" s="2" t="inlineStr">
        <is>
          <t>Doftticka</t>
        </is>
      </c>
      <c r="S912">
        <f>HYPERLINK("https://klasma.github.io/Logging_2582/artfynd/A 53142-2024 artfynd.xlsx", "A 53142-2024")</f>
        <v/>
      </c>
      <c r="T912">
        <f>HYPERLINK("https://klasma.github.io/Logging_2582/kartor/A 53142-2024 karta.png", "A 53142-2024")</f>
        <v/>
      </c>
      <c r="V912">
        <f>HYPERLINK("https://klasma.github.io/Logging_2582/klagomål/A 53142-2024 FSC-klagomål.docx", "A 53142-2024")</f>
        <v/>
      </c>
      <c r="W912">
        <f>HYPERLINK("https://klasma.github.io/Logging_2582/klagomålsmail/A 53142-2024 FSC-klagomål mail.docx", "A 53142-2024")</f>
        <v/>
      </c>
      <c r="X912">
        <f>HYPERLINK("https://klasma.github.io/Logging_2582/tillsyn/A 53142-2024 tillsynsbegäran.docx", "A 53142-2024")</f>
        <v/>
      </c>
      <c r="Y912">
        <f>HYPERLINK("https://klasma.github.io/Logging_2582/tillsynsmail/A 53142-2024 tillsynsbegäran mail.docx", "A 53142-2024")</f>
        <v/>
      </c>
    </row>
    <row r="913" ht="15" customHeight="1">
      <c r="A913" t="inlineStr">
        <is>
          <t>A 52994-2024</t>
        </is>
      </c>
      <c r="B913" s="1" t="n">
        <v>45611</v>
      </c>
      <c r="C913" s="1" t="n">
        <v>45662</v>
      </c>
      <c r="D913" t="inlineStr">
        <is>
          <t>NORRBOTTENS LÄN</t>
        </is>
      </c>
      <c r="E913" t="inlineStr">
        <is>
          <t>JOKKMOKK</t>
        </is>
      </c>
      <c r="F913" t="inlineStr">
        <is>
          <t>Sveaskog</t>
        </is>
      </c>
      <c r="G913" t="n">
        <v>17.1</v>
      </c>
      <c r="H913" t="n">
        <v>0</v>
      </c>
      <c r="I913" t="n">
        <v>0</v>
      </c>
      <c r="J913" t="n">
        <v>1</v>
      </c>
      <c r="K913" t="n">
        <v>0</v>
      </c>
      <c r="L913" t="n">
        <v>0</v>
      </c>
      <c r="M913" t="n">
        <v>0</v>
      </c>
      <c r="N913" t="n">
        <v>0</v>
      </c>
      <c r="O913" t="n">
        <v>1</v>
      </c>
      <c r="P913" t="n">
        <v>0</v>
      </c>
      <c r="Q913" t="n">
        <v>1</v>
      </c>
      <c r="R913" s="2" t="inlineStr">
        <is>
          <t>Blå taggsvamp</t>
        </is>
      </c>
      <c r="S913">
        <f>HYPERLINK("https://klasma.github.io/Logging_2510/artfynd/A 52994-2024 artfynd.xlsx", "A 52994-2024")</f>
        <v/>
      </c>
      <c r="T913">
        <f>HYPERLINK("https://klasma.github.io/Logging_2510/kartor/A 52994-2024 karta.png", "A 52994-2024")</f>
        <v/>
      </c>
      <c r="V913">
        <f>HYPERLINK("https://klasma.github.io/Logging_2510/klagomål/A 52994-2024 FSC-klagomål.docx", "A 52994-2024")</f>
        <v/>
      </c>
      <c r="W913">
        <f>HYPERLINK("https://klasma.github.io/Logging_2510/klagomålsmail/A 52994-2024 FSC-klagomål mail.docx", "A 52994-2024")</f>
        <v/>
      </c>
      <c r="X913">
        <f>HYPERLINK("https://klasma.github.io/Logging_2510/tillsyn/A 52994-2024 tillsynsbegäran.docx", "A 52994-2024")</f>
        <v/>
      </c>
      <c r="Y913">
        <f>HYPERLINK("https://klasma.github.io/Logging_2510/tillsynsmail/A 52994-2024 tillsynsbegäran mail.docx", "A 52994-2024")</f>
        <v/>
      </c>
    </row>
    <row r="914" ht="15" customHeight="1">
      <c r="A914" t="inlineStr">
        <is>
          <t>A 53651-2024</t>
        </is>
      </c>
      <c r="B914" s="1" t="n">
        <v>45615</v>
      </c>
      <c r="C914" s="1" t="n">
        <v>45662</v>
      </c>
      <c r="D914" t="inlineStr">
        <is>
          <t>NORRBOTTENS LÄN</t>
        </is>
      </c>
      <c r="E914" t="inlineStr">
        <is>
          <t>ARVIDSJAUR</t>
        </is>
      </c>
      <c r="F914" t="inlineStr">
        <is>
          <t>Sveaskog</t>
        </is>
      </c>
      <c r="G914" t="n">
        <v>2.7</v>
      </c>
      <c r="H914" t="n">
        <v>0</v>
      </c>
      <c r="I914" t="n">
        <v>1</v>
      </c>
      <c r="J914" t="n">
        <v>0</v>
      </c>
      <c r="K914" t="n">
        <v>0</v>
      </c>
      <c r="L914" t="n">
        <v>0</v>
      </c>
      <c r="M914" t="n">
        <v>0</v>
      </c>
      <c r="N914" t="n">
        <v>0</v>
      </c>
      <c r="O914" t="n">
        <v>0</v>
      </c>
      <c r="P914" t="n">
        <v>0</v>
      </c>
      <c r="Q914" t="n">
        <v>1</v>
      </c>
      <c r="R914" s="2" t="inlineStr">
        <is>
          <t>Dropptaggsvamp</t>
        </is>
      </c>
      <c r="S914">
        <f>HYPERLINK("https://klasma.github.io/Logging_2505/artfynd/A 53651-2024 artfynd.xlsx", "A 53651-2024")</f>
        <v/>
      </c>
      <c r="T914">
        <f>HYPERLINK("https://klasma.github.io/Logging_2505/kartor/A 53651-2024 karta.png", "A 53651-2024")</f>
        <v/>
      </c>
      <c r="V914">
        <f>HYPERLINK("https://klasma.github.io/Logging_2505/klagomål/A 53651-2024 FSC-klagomål.docx", "A 53651-2024")</f>
        <v/>
      </c>
      <c r="W914">
        <f>HYPERLINK("https://klasma.github.io/Logging_2505/klagomålsmail/A 53651-2024 FSC-klagomål mail.docx", "A 53651-2024")</f>
        <v/>
      </c>
      <c r="X914">
        <f>HYPERLINK("https://klasma.github.io/Logging_2505/tillsyn/A 53651-2024 tillsynsbegäran.docx", "A 53651-2024")</f>
        <v/>
      </c>
      <c r="Y914">
        <f>HYPERLINK("https://klasma.github.io/Logging_2505/tillsynsmail/A 53651-2024 tillsynsbegäran mail.docx", "A 53651-2024")</f>
        <v/>
      </c>
    </row>
    <row r="915" ht="15" customHeight="1">
      <c r="A915" t="inlineStr">
        <is>
          <t>A 55419-2024</t>
        </is>
      </c>
      <c r="B915" s="1" t="n">
        <v>45622</v>
      </c>
      <c r="C915" s="1" t="n">
        <v>45662</v>
      </c>
      <c r="D915" t="inlineStr">
        <is>
          <t>NORRBOTTENS LÄN</t>
        </is>
      </c>
      <c r="E915" t="inlineStr">
        <is>
          <t>ÖVERKALIX</t>
        </is>
      </c>
      <c r="F915" t="inlineStr">
        <is>
          <t>Sveaskog</t>
        </is>
      </c>
      <c r="G915" t="n">
        <v>15.8</v>
      </c>
      <c r="H915" t="n">
        <v>0</v>
      </c>
      <c r="I915" t="n">
        <v>0</v>
      </c>
      <c r="J915" t="n">
        <v>1</v>
      </c>
      <c r="K915" t="n">
        <v>0</v>
      </c>
      <c r="L915" t="n">
        <v>0</v>
      </c>
      <c r="M915" t="n">
        <v>0</v>
      </c>
      <c r="N915" t="n">
        <v>0</v>
      </c>
      <c r="O915" t="n">
        <v>1</v>
      </c>
      <c r="P915" t="n">
        <v>0</v>
      </c>
      <c r="Q915" t="n">
        <v>1</v>
      </c>
      <c r="R915" s="2" t="inlineStr">
        <is>
          <t>Lunglav</t>
        </is>
      </c>
      <c r="S915">
        <f>HYPERLINK("https://klasma.github.io/Logging_2513/artfynd/A 55419-2024 artfynd.xlsx", "A 55419-2024")</f>
        <v/>
      </c>
      <c r="T915">
        <f>HYPERLINK("https://klasma.github.io/Logging_2513/kartor/A 55419-2024 karta.png", "A 55419-2024")</f>
        <v/>
      </c>
      <c r="V915">
        <f>HYPERLINK("https://klasma.github.io/Logging_2513/klagomål/A 55419-2024 FSC-klagomål.docx", "A 55419-2024")</f>
        <v/>
      </c>
      <c r="W915">
        <f>HYPERLINK("https://klasma.github.io/Logging_2513/klagomålsmail/A 55419-2024 FSC-klagomål mail.docx", "A 55419-2024")</f>
        <v/>
      </c>
      <c r="X915">
        <f>HYPERLINK("https://klasma.github.io/Logging_2513/tillsyn/A 55419-2024 tillsynsbegäran.docx", "A 55419-2024")</f>
        <v/>
      </c>
      <c r="Y915">
        <f>HYPERLINK("https://klasma.github.io/Logging_2513/tillsynsmail/A 55419-2024 tillsynsbegäran mail.docx", "A 55419-2024")</f>
        <v/>
      </c>
    </row>
    <row r="916" ht="15" customHeight="1">
      <c r="A916" t="inlineStr">
        <is>
          <t>A 55788-2024</t>
        </is>
      </c>
      <c r="B916" s="1" t="n">
        <v>45623</v>
      </c>
      <c r="C916" s="1" t="n">
        <v>45662</v>
      </c>
      <c r="D916" t="inlineStr">
        <is>
          <t>NORRBOTTENS LÄN</t>
        </is>
      </c>
      <c r="E916" t="inlineStr">
        <is>
          <t>ÄLVSBYN</t>
        </is>
      </c>
      <c r="F916" t="inlineStr">
        <is>
          <t>Sveaskog</t>
        </is>
      </c>
      <c r="G916" t="n">
        <v>1.7</v>
      </c>
      <c r="H916" t="n">
        <v>0</v>
      </c>
      <c r="I916" t="n">
        <v>0</v>
      </c>
      <c r="J916" t="n">
        <v>1</v>
      </c>
      <c r="K916" t="n">
        <v>0</v>
      </c>
      <c r="L916" t="n">
        <v>0</v>
      </c>
      <c r="M916" t="n">
        <v>0</v>
      </c>
      <c r="N916" t="n">
        <v>0</v>
      </c>
      <c r="O916" t="n">
        <v>1</v>
      </c>
      <c r="P916" t="n">
        <v>0</v>
      </c>
      <c r="Q916" t="n">
        <v>1</v>
      </c>
      <c r="R916" s="2" t="inlineStr">
        <is>
          <t>Orange taggsvamp</t>
        </is>
      </c>
      <c r="S916">
        <f>HYPERLINK("https://klasma.github.io/Logging_2560/artfynd/A 55788-2024 artfynd.xlsx", "A 55788-2024")</f>
        <v/>
      </c>
      <c r="T916">
        <f>HYPERLINK("https://klasma.github.io/Logging_2560/kartor/A 55788-2024 karta.png", "A 55788-2024")</f>
        <v/>
      </c>
      <c r="V916">
        <f>HYPERLINK("https://klasma.github.io/Logging_2560/klagomål/A 55788-2024 FSC-klagomål.docx", "A 55788-2024")</f>
        <v/>
      </c>
      <c r="W916">
        <f>HYPERLINK("https://klasma.github.io/Logging_2560/klagomålsmail/A 55788-2024 FSC-klagomål mail.docx", "A 55788-2024")</f>
        <v/>
      </c>
      <c r="X916">
        <f>HYPERLINK("https://klasma.github.io/Logging_2560/tillsyn/A 55788-2024 tillsynsbegäran.docx", "A 55788-2024")</f>
        <v/>
      </c>
      <c r="Y916">
        <f>HYPERLINK("https://klasma.github.io/Logging_2560/tillsynsmail/A 55788-2024 tillsynsbegäran mail.docx", "A 55788-2024")</f>
        <v/>
      </c>
    </row>
    <row r="917" ht="15" customHeight="1">
      <c r="A917" t="inlineStr">
        <is>
          <t>A 56518-2024</t>
        </is>
      </c>
      <c r="B917" s="1" t="n">
        <v>45625</v>
      </c>
      <c r="C917" s="1" t="n">
        <v>45662</v>
      </c>
      <c r="D917" t="inlineStr">
        <is>
          <t>NORRBOTTENS LÄN</t>
        </is>
      </c>
      <c r="E917" t="inlineStr">
        <is>
          <t>PITEÅ</t>
        </is>
      </c>
      <c r="G917" t="n">
        <v>2.6</v>
      </c>
      <c r="H917" t="n">
        <v>1</v>
      </c>
      <c r="I917" t="n">
        <v>0</v>
      </c>
      <c r="J917" t="n">
        <v>0</v>
      </c>
      <c r="K917" t="n">
        <v>0</v>
      </c>
      <c r="L917" t="n">
        <v>0</v>
      </c>
      <c r="M917" t="n">
        <v>0</v>
      </c>
      <c r="N917" t="n">
        <v>0</v>
      </c>
      <c r="O917" t="n">
        <v>0</v>
      </c>
      <c r="P917" t="n">
        <v>0</v>
      </c>
      <c r="Q917" t="n">
        <v>1</v>
      </c>
      <c r="R917" s="2" t="inlineStr">
        <is>
          <t>Nattviol</t>
        </is>
      </c>
      <c r="S917">
        <f>HYPERLINK("https://klasma.github.io/Logging_2581/artfynd/A 56518-2024 artfynd.xlsx", "A 56518-2024")</f>
        <v/>
      </c>
      <c r="T917">
        <f>HYPERLINK("https://klasma.github.io/Logging_2581/kartor/A 56518-2024 karta.png", "A 56518-2024")</f>
        <v/>
      </c>
      <c r="V917">
        <f>HYPERLINK("https://klasma.github.io/Logging_2581/klagomål/A 56518-2024 FSC-klagomål.docx", "A 56518-2024")</f>
        <v/>
      </c>
      <c r="W917">
        <f>HYPERLINK("https://klasma.github.io/Logging_2581/klagomålsmail/A 56518-2024 FSC-klagomål mail.docx", "A 56518-2024")</f>
        <v/>
      </c>
      <c r="X917">
        <f>HYPERLINK("https://klasma.github.io/Logging_2581/tillsyn/A 56518-2024 tillsynsbegäran.docx", "A 56518-2024")</f>
        <v/>
      </c>
      <c r="Y917">
        <f>HYPERLINK("https://klasma.github.io/Logging_2581/tillsynsmail/A 56518-2024 tillsynsbegäran mail.docx", "A 56518-2024")</f>
        <v/>
      </c>
    </row>
    <row r="918" ht="15" customHeight="1">
      <c r="A918" t="inlineStr">
        <is>
          <t>A 57140-2024</t>
        </is>
      </c>
      <c r="B918" s="1" t="n">
        <v>45629</v>
      </c>
      <c r="C918" s="1" t="n">
        <v>45662</v>
      </c>
      <c r="D918" t="inlineStr">
        <is>
          <t>NORRBOTTENS LÄN</t>
        </is>
      </c>
      <c r="E918" t="inlineStr">
        <is>
          <t>ÄLVSBYN</t>
        </is>
      </c>
      <c r="G918" t="n">
        <v>2.6</v>
      </c>
      <c r="H918" t="n">
        <v>1</v>
      </c>
      <c r="I918" t="n">
        <v>0</v>
      </c>
      <c r="J918" t="n">
        <v>0</v>
      </c>
      <c r="K918" t="n">
        <v>0</v>
      </c>
      <c r="L918" t="n">
        <v>0</v>
      </c>
      <c r="M918" t="n">
        <v>0</v>
      </c>
      <c r="N918" t="n">
        <v>0</v>
      </c>
      <c r="O918" t="n">
        <v>0</v>
      </c>
      <c r="P918" t="n">
        <v>0</v>
      </c>
      <c r="Q918" t="n">
        <v>1</v>
      </c>
      <c r="R918" s="2" t="inlineStr">
        <is>
          <t>Fläcknycklar</t>
        </is>
      </c>
      <c r="S918">
        <f>HYPERLINK("https://klasma.github.io/Logging_2560/artfynd/A 57140-2024 artfynd.xlsx", "A 57140-2024")</f>
        <v/>
      </c>
      <c r="T918">
        <f>HYPERLINK("https://klasma.github.io/Logging_2560/kartor/A 57140-2024 karta.png", "A 57140-2024")</f>
        <v/>
      </c>
      <c r="V918">
        <f>HYPERLINK("https://klasma.github.io/Logging_2560/klagomål/A 57140-2024 FSC-klagomål.docx", "A 57140-2024")</f>
        <v/>
      </c>
      <c r="W918">
        <f>HYPERLINK("https://klasma.github.io/Logging_2560/klagomålsmail/A 57140-2024 FSC-klagomål mail.docx", "A 57140-2024")</f>
        <v/>
      </c>
      <c r="X918">
        <f>HYPERLINK("https://klasma.github.io/Logging_2560/tillsyn/A 57140-2024 tillsynsbegäran.docx", "A 57140-2024")</f>
        <v/>
      </c>
      <c r="Y918">
        <f>HYPERLINK("https://klasma.github.io/Logging_2560/tillsynsmail/A 57140-2024 tillsynsbegäran mail.docx", "A 57140-2024")</f>
        <v/>
      </c>
    </row>
    <row r="919" ht="15" customHeight="1">
      <c r="A919" t="inlineStr">
        <is>
          <t>A 57659-2024</t>
        </is>
      </c>
      <c r="B919" s="1" t="n">
        <v>45630</v>
      </c>
      <c r="C919" s="1" t="n">
        <v>45662</v>
      </c>
      <c r="D919" t="inlineStr">
        <is>
          <t>NORRBOTTENS LÄN</t>
        </is>
      </c>
      <c r="E919" t="inlineStr">
        <is>
          <t>PITEÅ</t>
        </is>
      </c>
      <c r="G919" t="n">
        <v>1.5</v>
      </c>
      <c r="H919" t="n">
        <v>0</v>
      </c>
      <c r="I919" t="n">
        <v>0</v>
      </c>
      <c r="J919" t="n">
        <v>1</v>
      </c>
      <c r="K919" t="n">
        <v>0</v>
      </c>
      <c r="L919" t="n">
        <v>0</v>
      </c>
      <c r="M919" t="n">
        <v>0</v>
      </c>
      <c r="N919" t="n">
        <v>0</v>
      </c>
      <c r="O919" t="n">
        <v>1</v>
      </c>
      <c r="P919" t="n">
        <v>0</v>
      </c>
      <c r="Q919" t="n">
        <v>1</v>
      </c>
      <c r="R919" s="2" t="inlineStr">
        <is>
          <t>Lunglav</t>
        </is>
      </c>
      <c r="S919">
        <f>HYPERLINK("https://klasma.github.io/Logging_2581/artfynd/A 57659-2024 artfynd.xlsx", "A 57659-2024")</f>
        <v/>
      </c>
      <c r="T919">
        <f>HYPERLINK("https://klasma.github.io/Logging_2581/kartor/A 57659-2024 karta.png", "A 57659-2024")</f>
        <v/>
      </c>
      <c r="V919">
        <f>HYPERLINK("https://klasma.github.io/Logging_2581/klagomål/A 57659-2024 FSC-klagomål.docx", "A 57659-2024")</f>
        <v/>
      </c>
      <c r="W919">
        <f>HYPERLINK("https://klasma.github.io/Logging_2581/klagomålsmail/A 57659-2024 FSC-klagomål mail.docx", "A 57659-2024")</f>
        <v/>
      </c>
      <c r="X919">
        <f>HYPERLINK("https://klasma.github.io/Logging_2581/tillsyn/A 57659-2024 tillsynsbegäran.docx", "A 57659-2024")</f>
        <v/>
      </c>
      <c r="Y919">
        <f>HYPERLINK("https://klasma.github.io/Logging_2581/tillsynsmail/A 57659-2024 tillsynsbegäran mail.docx", "A 57659-2024")</f>
        <v/>
      </c>
    </row>
    <row r="920" ht="15" customHeight="1">
      <c r="A920" t="inlineStr">
        <is>
          <t>A 58032-2024</t>
        </is>
      </c>
      <c r="B920" s="1" t="n">
        <v>45631</v>
      </c>
      <c r="C920" s="1" t="n">
        <v>45662</v>
      </c>
      <c r="D920" t="inlineStr">
        <is>
          <t>NORRBOTTENS LÄN</t>
        </is>
      </c>
      <c r="E920" t="inlineStr">
        <is>
          <t>PITEÅ</t>
        </is>
      </c>
      <c r="G920" t="n">
        <v>1.2</v>
      </c>
      <c r="H920" t="n">
        <v>0</v>
      </c>
      <c r="I920" t="n">
        <v>0</v>
      </c>
      <c r="J920" t="n">
        <v>1</v>
      </c>
      <c r="K920" t="n">
        <v>0</v>
      </c>
      <c r="L920" t="n">
        <v>0</v>
      </c>
      <c r="M920" t="n">
        <v>0</v>
      </c>
      <c r="N920" t="n">
        <v>0</v>
      </c>
      <c r="O920" t="n">
        <v>1</v>
      </c>
      <c r="P920" t="n">
        <v>0</v>
      </c>
      <c r="Q920" t="n">
        <v>1</v>
      </c>
      <c r="R920" s="2" t="inlineStr">
        <is>
          <t>Granticka</t>
        </is>
      </c>
      <c r="S920">
        <f>HYPERLINK("https://klasma.github.io/Logging_2581/artfynd/A 58032-2024 artfynd.xlsx", "A 58032-2024")</f>
        <v/>
      </c>
      <c r="T920">
        <f>HYPERLINK("https://klasma.github.io/Logging_2581/kartor/A 58032-2024 karta.png", "A 58032-2024")</f>
        <v/>
      </c>
      <c r="V920">
        <f>HYPERLINK("https://klasma.github.io/Logging_2581/klagomål/A 58032-2024 FSC-klagomål.docx", "A 58032-2024")</f>
        <v/>
      </c>
      <c r="W920">
        <f>HYPERLINK("https://klasma.github.io/Logging_2581/klagomålsmail/A 58032-2024 FSC-klagomål mail.docx", "A 58032-2024")</f>
        <v/>
      </c>
      <c r="X920">
        <f>HYPERLINK("https://klasma.github.io/Logging_2581/tillsyn/A 58032-2024 tillsynsbegäran.docx", "A 58032-2024")</f>
        <v/>
      </c>
      <c r="Y920">
        <f>HYPERLINK("https://klasma.github.io/Logging_2581/tillsynsmail/A 58032-2024 tillsynsbegäran mail.docx", "A 58032-2024")</f>
        <v/>
      </c>
    </row>
    <row r="921" ht="15" customHeight="1">
      <c r="A921" t="inlineStr">
        <is>
          <t>A 59395-2024</t>
        </is>
      </c>
      <c r="B921" s="1" t="n">
        <v>45638</v>
      </c>
      <c r="C921" s="1" t="n">
        <v>45662</v>
      </c>
      <c r="D921" t="inlineStr">
        <is>
          <t>NORRBOTTENS LÄN</t>
        </is>
      </c>
      <c r="E921" t="inlineStr">
        <is>
          <t>LULEÅ</t>
        </is>
      </c>
      <c r="F921" t="inlineStr">
        <is>
          <t>Sveaskog</t>
        </is>
      </c>
      <c r="G921" t="n">
        <v>18.3</v>
      </c>
      <c r="H921" t="n">
        <v>0</v>
      </c>
      <c r="I921" t="n">
        <v>1</v>
      </c>
      <c r="J921" t="n">
        <v>0</v>
      </c>
      <c r="K921" t="n">
        <v>0</v>
      </c>
      <c r="L921" t="n">
        <v>0</v>
      </c>
      <c r="M921" t="n">
        <v>0</v>
      </c>
      <c r="N921" t="n">
        <v>0</v>
      </c>
      <c r="O921" t="n">
        <v>0</v>
      </c>
      <c r="P921" t="n">
        <v>0</v>
      </c>
      <c r="Q921" t="n">
        <v>1</v>
      </c>
      <c r="R921" s="2" t="inlineStr">
        <is>
          <t>Stuplav</t>
        </is>
      </c>
      <c r="S921">
        <f>HYPERLINK("https://klasma.github.io/Logging_2580/artfynd/A 59395-2024 artfynd.xlsx", "A 59395-2024")</f>
        <v/>
      </c>
      <c r="T921">
        <f>HYPERLINK("https://klasma.github.io/Logging_2580/kartor/A 59395-2024 karta.png", "A 59395-2024")</f>
        <v/>
      </c>
      <c r="V921">
        <f>HYPERLINK("https://klasma.github.io/Logging_2580/klagomål/A 59395-2024 FSC-klagomål.docx", "A 59395-2024")</f>
        <v/>
      </c>
      <c r="W921">
        <f>HYPERLINK("https://klasma.github.io/Logging_2580/klagomålsmail/A 59395-2024 FSC-klagomål mail.docx", "A 59395-2024")</f>
        <v/>
      </c>
      <c r="X921">
        <f>HYPERLINK("https://klasma.github.io/Logging_2580/tillsyn/A 59395-2024 tillsynsbegäran.docx", "A 59395-2024")</f>
        <v/>
      </c>
      <c r="Y921">
        <f>HYPERLINK("https://klasma.github.io/Logging_2580/tillsynsmail/A 59395-2024 tillsynsbegäran mail.docx", "A 59395-2024")</f>
        <v/>
      </c>
    </row>
    <row r="922" ht="15" customHeight="1">
      <c r="A922" t="inlineStr">
        <is>
          <t>A 59847-2024</t>
        </is>
      </c>
      <c r="B922" s="1" t="n">
        <v>45639</v>
      </c>
      <c r="C922" s="1" t="n">
        <v>45662</v>
      </c>
      <c r="D922" t="inlineStr">
        <is>
          <t>NORRBOTTENS LÄN</t>
        </is>
      </c>
      <c r="E922" t="inlineStr">
        <is>
          <t>HAPARANDA</t>
        </is>
      </c>
      <c r="G922" t="n">
        <v>10.3</v>
      </c>
      <c r="H922" t="n">
        <v>0</v>
      </c>
      <c r="I922" t="n">
        <v>1</v>
      </c>
      <c r="J922" t="n">
        <v>0</v>
      </c>
      <c r="K922" t="n">
        <v>0</v>
      </c>
      <c r="L922" t="n">
        <v>0</v>
      </c>
      <c r="M922" t="n">
        <v>0</v>
      </c>
      <c r="N922" t="n">
        <v>0</v>
      </c>
      <c r="O922" t="n">
        <v>0</v>
      </c>
      <c r="P922" t="n">
        <v>0</v>
      </c>
      <c r="Q922" t="n">
        <v>1</v>
      </c>
      <c r="R922" s="2" t="inlineStr">
        <is>
          <t>Ögonpyrola</t>
        </is>
      </c>
      <c r="S922">
        <f>HYPERLINK("https://klasma.github.io/Logging_2583/artfynd/A 59847-2024 artfynd.xlsx", "A 59847-2024")</f>
        <v/>
      </c>
      <c r="T922">
        <f>HYPERLINK("https://klasma.github.io/Logging_2583/kartor/A 59847-2024 karta.png", "A 59847-2024")</f>
        <v/>
      </c>
      <c r="V922">
        <f>HYPERLINK("https://klasma.github.io/Logging_2583/klagomål/A 59847-2024 FSC-klagomål.docx", "A 59847-2024")</f>
        <v/>
      </c>
      <c r="W922">
        <f>HYPERLINK("https://klasma.github.io/Logging_2583/klagomålsmail/A 59847-2024 FSC-klagomål mail.docx", "A 59847-2024")</f>
        <v/>
      </c>
      <c r="X922">
        <f>HYPERLINK("https://klasma.github.io/Logging_2583/tillsyn/A 59847-2024 tillsynsbegäran.docx", "A 59847-2024")</f>
        <v/>
      </c>
      <c r="Y922">
        <f>HYPERLINK("https://klasma.github.io/Logging_2583/tillsynsmail/A 59847-2024 tillsynsbegäran mail.docx", "A 59847-2024")</f>
        <v/>
      </c>
    </row>
    <row r="923" ht="15" customHeight="1">
      <c r="A923" t="inlineStr">
        <is>
          <t>A 60002-2024</t>
        </is>
      </c>
      <c r="B923" s="1" t="n">
        <v>45642</v>
      </c>
      <c r="C923" s="1" t="n">
        <v>45662</v>
      </c>
      <c r="D923" t="inlineStr">
        <is>
          <t>NORRBOTTENS LÄN</t>
        </is>
      </c>
      <c r="E923" t="inlineStr">
        <is>
          <t>LULEÅ</t>
        </is>
      </c>
      <c r="G923" t="n">
        <v>5</v>
      </c>
      <c r="H923" t="n">
        <v>1</v>
      </c>
      <c r="I923" t="n">
        <v>0</v>
      </c>
      <c r="J923" t="n">
        <v>0</v>
      </c>
      <c r="K923" t="n">
        <v>0</v>
      </c>
      <c r="L923" t="n">
        <v>0</v>
      </c>
      <c r="M923" t="n">
        <v>0</v>
      </c>
      <c r="N923" t="n">
        <v>0</v>
      </c>
      <c r="O923" t="n">
        <v>0</v>
      </c>
      <c r="P923" t="n">
        <v>0</v>
      </c>
      <c r="Q923" t="n">
        <v>1</v>
      </c>
      <c r="R923" s="2" t="inlineStr">
        <is>
          <t>Fläcknycklar</t>
        </is>
      </c>
      <c r="S923">
        <f>HYPERLINK("https://klasma.github.io/Logging_2580/artfynd/A 60002-2024 artfynd.xlsx", "A 60002-2024")</f>
        <v/>
      </c>
      <c r="T923">
        <f>HYPERLINK("https://klasma.github.io/Logging_2580/kartor/A 60002-2024 karta.png", "A 60002-2024")</f>
        <v/>
      </c>
      <c r="V923">
        <f>HYPERLINK("https://klasma.github.io/Logging_2580/klagomål/A 60002-2024 FSC-klagomål.docx", "A 60002-2024")</f>
        <v/>
      </c>
      <c r="W923">
        <f>HYPERLINK("https://klasma.github.io/Logging_2580/klagomålsmail/A 60002-2024 FSC-klagomål mail.docx", "A 60002-2024")</f>
        <v/>
      </c>
      <c r="X923">
        <f>HYPERLINK("https://klasma.github.io/Logging_2580/tillsyn/A 60002-2024 tillsynsbegäran.docx", "A 60002-2024")</f>
        <v/>
      </c>
      <c r="Y923">
        <f>HYPERLINK("https://klasma.github.io/Logging_2580/tillsynsmail/A 60002-2024 tillsynsbegäran mail.docx", "A 60002-2024")</f>
        <v/>
      </c>
    </row>
    <row r="924" ht="15" customHeight="1">
      <c r="A924" t="inlineStr">
        <is>
          <t>A 60408-2024</t>
        </is>
      </c>
      <c r="B924" s="1" t="n">
        <v>45643</v>
      </c>
      <c r="C924" s="1" t="n">
        <v>45662</v>
      </c>
      <c r="D924" t="inlineStr">
        <is>
          <t>NORRBOTTENS LÄN</t>
        </is>
      </c>
      <c r="E924" t="inlineStr">
        <is>
          <t>PAJALA</t>
        </is>
      </c>
      <c r="G924" t="n">
        <v>20</v>
      </c>
      <c r="H924" t="n">
        <v>1</v>
      </c>
      <c r="I924" t="n">
        <v>0</v>
      </c>
      <c r="J924" t="n">
        <v>1</v>
      </c>
      <c r="K924" t="n">
        <v>0</v>
      </c>
      <c r="L924" t="n">
        <v>0</v>
      </c>
      <c r="M924" t="n">
        <v>0</v>
      </c>
      <c r="N924" t="n">
        <v>0</v>
      </c>
      <c r="O924" t="n">
        <v>1</v>
      </c>
      <c r="P924" t="n">
        <v>0</v>
      </c>
      <c r="Q924" t="n">
        <v>1</v>
      </c>
      <c r="R924" s="2" t="inlineStr">
        <is>
          <t>Järpe</t>
        </is>
      </c>
      <c r="S924">
        <f>HYPERLINK("https://klasma.github.io/Logging_2521/artfynd/A 60408-2024 artfynd.xlsx", "A 60408-2024")</f>
        <v/>
      </c>
      <c r="T924">
        <f>HYPERLINK("https://klasma.github.io/Logging_2521/kartor/A 60408-2024 karta.png", "A 60408-2024")</f>
        <v/>
      </c>
      <c r="V924">
        <f>HYPERLINK("https://klasma.github.io/Logging_2521/klagomål/A 60408-2024 FSC-klagomål.docx", "A 60408-2024")</f>
        <v/>
      </c>
      <c r="W924">
        <f>HYPERLINK("https://klasma.github.io/Logging_2521/klagomålsmail/A 60408-2024 FSC-klagomål mail.docx", "A 60408-2024")</f>
        <v/>
      </c>
      <c r="X924">
        <f>HYPERLINK("https://klasma.github.io/Logging_2521/tillsyn/A 60408-2024 tillsynsbegäran.docx", "A 60408-2024")</f>
        <v/>
      </c>
      <c r="Y924">
        <f>HYPERLINK("https://klasma.github.io/Logging_2521/tillsynsmail/A 60408-2024 tillsynsbegäran mail.docx", "A 60408-2024")</f>
        <v/>
      </c>
      <c r="Z924">
        <f>HYPERLINK("https://klasma.github.io/Logging_2521/fåglar/A 60408-2024 prioriterade fågelarter.docx", "A 60408-2024")</f>
        <v/>
      </c>
    </row>
    <row r="925" ht="15" customHeight="1">
      <c r="A925" t="inlineStr">
        <is>
          <t>A 60686-2024</t>
        </is>
      </c>
      <c r="B925" s="1" t="n">
        <v>45644</v>
      </c>
      <c r="C925" s="1" t="n">
        <v>45662</v>
      </c>
      <c r="D925" t="inlineStr">
        <is>
          <t>NORRBOTTENS LÄN</t>
        </is>
      </c>
      <c r="E925" t="inlineStr">
        <is>
          <t>PITEÅ</t>
        </is>
      </c>
      <c r="G925" t="n">
        <v>1.3</v>
      </c>
      <c r="H925" t="n">
        <v>0</v>
      </c>
      <c r="I925" t="n">
        <v>1</v>
      </c>
      <c r="J925" t="n">
        <v>0</v>
      </c>
      <c r="K925" t="n">
        <v>0</v>
      </c>
      <c r="L925" t="n">
        <v>0</v>
      </c>
      <c r="M925" t="n">
        <v>0</v>
      </c>
      <c r="N925" t="n">
        <v>0</v>
      </c>
      <c r="O925" t="n">
        <v>0</v>
      </c>
      <c r="P925" t="n">
        <v>0</v>
      </c>
      <c r="Q925" t="n">
        <v>1</v>
      </c>
      <c r="R925" s="2" t="inlineStr">
        <is>
          <t>Norrlandslav</t>
        </is>
      </c>
      <c r="S925">
        <f>HYPERLINK("https://klasma.github.io/Logging_2581/artfynd/A 60686-2024 artfynd.xlsx", "A 60686-2024")</f>
        <v/>
      </c>
      <c r="T925">
        <f>HYPERLINK("https://klasma.github.io/Logging_2581/kartor/A 60686-2024 karta.png", "A 60686-2024")</f>
        <v/>
      </c>
      <c r="V925">
        <f>HYPERLINK("https://klasma.github.io/Logging_2581/klagomål/A 60686-2024 FSC-klagomål.docx", "A 60686-2024")</f>
        <v/>
      </c>
      <c r="W925">
        <f>HYPERLINK("https://klasma.github.io/Logging_2581/klagomålsmail/A 60686-2024 FSC-klagomål mail.docx", "A 60686-2024")</f>
        <v/>
      </c>
      <c r="X925">
        <f>HYPERLINK("https://klasma.github.io/Logging_2581/tillsyn/A 60686-2024 tillsynsbegäran.docx", "A 60686-2024")</f>
        <v/>
      </c>
      <c r="Y925">
        <f>HYPERLINK("https://klasma.github.io/Logging_2581/tillsynsmail/A 60686-2024 tillsynsbegäran mail.docx", "A 60686-2024")</f>
        <v/>
      </c>
    </row>
    <row r="926" ht="15" customHeight="1">
      <c r="A926" t="inlineStr">
        <is>
          <t>A 61219-2024</t>
        </is>
      </c>
      <c r="B926" s="1" t="n">
        <v>45645</v>
      </c>
      <c r="C926" s="1" t="n">
        <v>45662</v>
      </c>
      <c r="D926" t="inlineStr">
        <is>
          <t>NORRBOTTENS LÄN</t>
        </is>
      </c>
      <c r="E926" t="inlineStr">
        <is>
          <t>BODEN</t>
        </is>
      </c>
      <c r="F926" t="inlineStr">
        <is>
          <t>Sveaskog</t>
        </is>
      </c>
      <c r="G926" t="n">
        <v>1.5</v>
      </c>
      <c r="H926" t="n">
        <v>0</v>
      </c>
      <c r="I926" t="n">
        <v>0</v>
      </c>
      <c r="J926" t="n">
        <v>1</v>
      </c>
      <c r="K926" t="n">
        <v>0</v>
      </c>
      <c r="L926" t="n">
        <v>0</v>
      </c>
      <c r="M926" t="n">
        <v>0</v>
      </c>
      <c r="N926" t="n">
        <v>0</v>
      </c>
      <c r="O926" t="n">
        <v>1</v>
      </c>
      <c r="P926" t="n">
        <v>0</v>
      </c>
      <c r="Q926" t="n">
        <v>1</v>
      </c>
      <c r="R926" s="2" t="inlineStr">
        <is>
          <t>Tallticka</t>
        </is>
      </c>
      <c r="S926">
        <f>HYPERLINK("https://klasma.github.io/Logging_2582/artfynd/A 61219-2024 artfynd.xlsx", "A 61219-2024")</f>
        <v/>
      </c>
      <c r="T926">
        <f>HYPERLINK("https://klasma.github.io/Logging_2582/kartor/A 61219-2024 karta.png", "A 61219-2024")</f>
        <v/>
      </c>
      <c r="V926">
        <f>HYPERLINK("https://klasma.github.io/Logging_2582/klagomål/A 61219-2024 FSC-klagomål.docx", "A 61219-2024")</f>
        <v/>
      </c>
      <c r="W926">
        <f>HYPERLINK("https://klasma.github.io/Logging_2582/klagomålsmail/A 61219-2024 FSC-klagomål mail.docx", "A 61219-2024")</f>
        <v/>
      </c>
      <c r="X926">
        <f>HYPERLINK("https://klasma.github.io/Logging_2582/tillsyn/A 61219-2024 tillsynsbegäran.docx", "A 61219-2024")</f>
        <v/>
      </c>
      <c r="Y926">
        <f>HYPERLINK("https://klasma.github.io/Logging_2582/tillsynsmail/A 61219-2024 tillsynsbegäran mail.docx", "A 61219-2024")</f>
        <v/>
      </c>
    </row>
    <row r="927" ht="15" customHeight="1">
      <c r="A927" t="inlineStr">
        <is>
          <t>A 17849-2019</t>
        </is>
      </c>
      <c r="B927" s="1" t="n">
        <v>43556</v>
      </c>
      <c r="C927" s="1" t="n">
        <v>45662</v>
      </c>
      <c r="D927" t="inlineStr">
        <is>
          <t>NORRBOTTENS LÄN</t>
        </is>
      </c>
      <c r="E927" t="inlineStr">
        <is>
          <t>LULEÅ</t>
        </is>
      </c>
      <c r="G927" t="n">
        <v>0.4</v>
      </c>
      <c r="H927" t="n">
        <v>0</v>
      </c>
      <c r="I927" t="n">
        <v>0</v>
      </c>
      <c r="J927" t="n">
        <v>0</v>
      </c>
      <c r="K927" t="n">
        <v>0</v>
      </c>
      <c r="L927" t="n">
        <v>0</v>
      </c>
      <c r="M927" t="n">
        <v>0</v>
      </c>
      <c r="N927" t="n">
        <v>0</v>
      </c>
      <c r="O927" t="n">
        <v>0</v>
      </c>
      <c r="P927" t="n">
        <v>0</v>
      </c>
      <c r="Q927" t="n">
        <v>0</v>
      </c>
      <c r="R927" s="2" t="inlineStr"/>
    </row>
    <row r="928" ht="15" customHeight="1">
      <c r="A928" t="inlineStr">
        <is>
          <t>A 17850-2019</t>
        </is>
      </c>
      <c r="B928" s="1" t="n">
        <v>43556</v>
      </c>
      <c r="C928" s="1" t="n">
        <v>45662</v>
      </c>
      <c r="D928" t="inlineStr">
        <is>
          <t>NORRBOTTENS LÄN</t>
        </is>
      </c>
      <c r="E928" t="inlineStr">
        <is>
          <t>LULEÅ</t>
        </is>
      </c>
      <c r="G928" t="n">
        <v>4.2</v>
      </c>
      <c r="H928" t="n">
        <v>0</v>
      </c>
      <c r="I928" t="n">
        <v>0</v>
      </c>
      <c r="J928" t="n">
        <v>0</v>
      </c>
      <c r="K928" t="n">
        <v>0</v>
      </c>
      <c r="L928" t="n">
        <v>0</v>
      </c>
      <c r="M928" t="n">
        <v>0</v>
      </c>
      <c r="N928" t="n">
        <v>0</v>
      </c>
      <c r="O928" t="n">
        <v>0</v>
      </c>
      <c r="P928" t="n">
        <v>0</v>
      </c>
      <c r="Q928" t="n">
        <v>0</v>
      </c>
      <c r="R928" s="2" t="inlineStr"/>
    </row>
    <row r="929" ht="15" customHeight="1">
      <c r="A929" t="inlineStr">
        <is>
          <t>A 18134-2019</t>
        </is>
      </c>
      <c r="B929" s="1" t="n">
        <v>43556</v>
      </c>
      <c r="C929" s="1" t="n">
        <v>45662</v>
      </c>
      <c r="D929" t="inlineStr">
        <is>
          <t>NORRBOTTENS LÄN</t>
        </is>
      </c>
      <c r="E929" t="inlineStr">
        <is>
          <t>PITEÅ</t>
        </is>
      </c>
      <c r="G929" t="n">
        <v>3</v>
      </c>
      <c r="H929" t="n">
        <v>0</v>
      </c>
      <c r="I929" t="n">
        <v>0</v>
      </c>
      <c r="J929" t="n">
        <v>0</v>
      </c>
      <c r="K929" t="n">
        <v>0</v>
      </c>
      <c r="L929" t="n">
        <v>0</v>
      </c>
      <c r="M929" t="n">
        <v>0</v>
      </c>
      <c r="N929" t="n">
        <v>0</v>
      </c>
      <c r="O929" t="n">
        <v>0</v>
      </c>
      <c r="P929" t="n">
        <v>0</v>
      </c>
      <c r="Q929" t="n">
        <v>0</v>
      </c>
      <c r="R929" s="2" t="inlineStr"/>
    </row>
    <row r="930" ht="15" customHeight="1">
      <c r="A930" t="inlineStr">
        <is>
          <t>A 17848-2019</t>
        </is>
      </c>
      <c r="B930" s="1" t="n">
        <v>43556</v>
      </c>
      <c r="C930" s="1" t="n">
        <v>45662</v>
      </c>
      <c r="D930" t="inlineStr">
        <is>
          <t>NORRBOTTENS LÄN</t>
        </is>
      </c>
      <c r="E930" t="inlineStr">
        <is>
          <t>LULEÅ</t>
        </is>
      </c>
      <c r="G930" t="n">
        <v>2.5</v>
      </c>
      <c r="H930" t="n">
        <v>0</v>
      </c>
      <c r="I930" t="n">
        <v>0</v>
      </c>
      <c r="J930" t="n">
        <v>0</v>
      </c>
      <c r="K930" t="n">
        <v>0</v>
      </c>
      <c r="L930" t="n">
        <v>0</v>
      </c>
      <c r="M930" t="n">
        <v>0</v>
      </c>
      <c r="N930" t="n">
        <v>0</v>
      </c>
      <c r="O930" t="n">
        <v>0</v>
      </c>
      <c r="P930" t="n">
        <v>0</v>
      </c>
      <c r="Q930" t="n">
        <v>0</v>
      </c>
      <c r="R930" s="2" t="inlineStr"/>
    </row>
    <row r="931" ht="15" customHeight="1">
      <c r="A931" t="inlineStr">
        <is>
          <t>A 17810-2019</t>
        </is>
      </c>
      <c r="B931" s="1" t="n">
        <v>43556</v>
      </c>
      <c r="C931" s="1" t="n">
        <v>45662</v>
      </c>
      <c r="D931" t="inlineStr">
        <is>
          <t>NORRBOTTENS LÄN</t>
        </is>
      </c>
      <c r="E931" t="inlineStr">
        <is>
          <t>LULEÅ</t>
        </is>
      </c>
      <c r="G931" t="n">
        <v>6.4</v>
      </c>
      <c r="H931" t="n">
        <v>0</v>
      </c>
      <c r="I931" t="n">
        <v>0</v>
      </c>
      <c r="J931" t="n">
        <v>0</v>
      </c>
      <c r="K931" t="n">
        <v>0</v>
      </c>
      <c r="L931" t="n">
        <v>0</v>
      </c>
      <c r="M931" t="n">
        <v>0</v>
      </c>
      <c r="N931" t="n">
        <v>0</v>
      </c>
      <c r="O931" t="n">
        <v>0</v>
      </c>
      <c r="P931" t="n">
        <v>0</v>
      </c>
      <c r="Q931" t="n">
        <v>0</v>
      </c>
      <c r="R931" s="2" t="inlineStr"/>
    </row>
    <row r="932" ht="15" customHeight="1">
      <c r="A932" t="inlineStr">
        <is>
          <t>A 17983-2019</t>
        </is>
      </c>
      <c r="B932" s="1" t="n">
        <v>43557</v>
      </c>
      <c r="C932" s="1" t="n">
        <v>45662</v>
      </c>
      <c r="D932" t="inlineStr">
        <is>
          <t>NORRBOTTENS LÄN</t>
        </is>
      </c>
      <c r="E932" t="inlineStr">
        <is>
          <t>ÖVERTORNEÅ</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18075-2019</t>
        </is>
      </c>
      <c r="B933" s="1" t="n">
        <v>43557</v>
      </c>
      <c r="C933" s="1" t="n">
        <v>45662</v>
      </c>
      <c r="D933" t="inlineStr">
        <is>
          <t>NORRBOTTENS LÄN</t>
        </is>
      </c>
      <c r="E933" t="inlineStr">
        <is>
          <t>PITEÅ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18061-2019</t>
        </is>
      </c>
      <c r="B934" s="1" t="n">
        <v>43557</v>
      </c>
      <c r="C934" s="1" t="n">
        <v>45662</v>
      </c>
      <c r="D934" t="inlineStr">
        <is>
          <t>NORRBOTTENS LÄN</t>
        </is>
      </c>
      <c r="E934" t="inlineStr">
        <is>
          <t>PITEÅ</t>
        </is>
      </c>
      <c r="G934" t="n">
        <v>0.6</v>
      </c>
      <c r="H934" t="n">
        <v>0</v>
      </c>
      <c r="I934" t="n">
        <v>0</v>
      </c>
      <c r="J934" t="n">
        <v>0</v>
      </c>
      <c r="K934" t="n">
        <v>0</v>
      </c>
      <c r="L934" t="n">
        <v>0</v>
      </c>
      <c r="M934" t="n">
        <v>0</v>
      </c>
      <c r="N934" t="n">
        <v>0</v>
      </c>
      <c r="O934" t="n">
        <v>0</v>
      </c>
      <c r="P934" t="n">
        <v>0</v>
      </c>
      <c r="Q934" t="n">
        <v>0</v>
      </c>
      <c r="R934" s="2" t="inlineStr"/>
    </row>
    <row r="935" ht="15" customHeight="1">
      <c r="A935" t="inlineStr">
        <is>
          <t>A 18038-2019</t>
        </is>
      </c>
      <c r="B935" s="1" t="n">
        <v>43557</v>
      </c>
      <c r="C935" s="1" t="n">
        <v>45662</v>
      </c>
      <c r="D935" t="inlineStr">
        <is>
          <t>NORRBOTTENS LÄN</t>
        </is>
      </c>
      <c r="E935" t="inlineStr">
        <is>
          <t>ÖVERTORNEÅ</t>
        </is>
      </c>
      <c r="G935" t="n">
        <v>1.1</v>
      </c>
      <c r="H935" t="n">
        <v>0</v>
      </c>
      <c r="I935" t="n">
        <v>0</v>
      </c>
      <c r="J935" t="n">
        <v>0</v>
      </c>
      <c r="K935" t="n">
        <v>0</v>
      </c>
      <c r="L935" t="n">
        <v>0</v>
      </c>
      <c r="M935" t="n">
        <v>0</v>
      </c>
      <c r="N935" t="n">
        <v>0</v>
      </c>
      <c r="O935" t="n">
        <v>0</v>
      </c>
      <c r="P935" t="n">
        <v>0</v>
      </c>
      <c r="Q935" t="n">
        <v>0</v>
      </c>
      <c r="R935" s="2" t="inlineStr"/>
    </row>
    <row r="936" ht="15" customHeight="1">
      <c r="A936" t="inlineStr">
        <is>
          <t>A 18045-2019</t>
        </is>
      </c>
      <c r="B936" s="1" t="n">
        <v>43557</v>
      </c>
      <c r="C936" s="1" t="n">
        <v>45662</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18065-2019</t>
        </is>
      </c>
      <c r="B937" s="1" t="n">
        <v>43557</v>
      </c>
      <c r="C937" s="1" t="n">
        <v>45662</v>
      </c>
      <c r="D937" t="inlineStr">
        <is>
          <t>NORRBOTTENS LÄN</t>
        </is>
      </c>
      <c r="E937" t="inlineStr">
        <is>
          <t>PITEÅ</t>
        </is>
      </c>
      <c r="G937" t="n">
        <v>0.3</v>
      </c>
      <c r="H937" t="n">
        <v>0</v>
      </c>
      <c r="I937" t="n">
        <v>0</v>
      </c>
      <c r="J937" t="n">
        <v>0</v>
      </c>
      <c r="K937" t="n">
        <v>0</v>
      </c>
      <c r="L937" t="n">
        <v>0</v>
      </c>
      <c r="M937" t="n">
        <v>0</v>
      </c>
      <c r="N937" t="n">
        <v>0</v>
      </c>
      <c r="O937" t="n">
        <v>0</v>
      </c>
      <c r="P937" t="n">
        <v>0</v>
      </c>
      <c r="Q937" t="n">
        <v>0</v>
      </c>
      <c r="R937" s="2" t="inlineStr"/>
    </row>
    <row r="938" ht="15" customHeight="1">
      <c r="A938" t="inlineStr">
        <is>
          <t>A 18074-2019</t>
        </is>
      </c>
      <c r="B938" s="1" t="n">
        <v>43557</v>
      </c>
      <c r="C938" s="1" t="n">
        <v>45662</v>
      </c>
      <c r="D938" t="inlineStr">
        <is>
          <t>NORRBOTTENS LÄN</t>
        </is>
      </c>
      <c r="E938" t="inlineStr">
        <is>
          <t>PITEÅ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18173-2019</t>
        </is>
      </c>
      <c r="B939" s="1" t="n">
        <v>43558</v>
      </c>
      <c r="C939" s="1" t="n">
        <v>45662</v>
      </c>
      <c r="D939" t="inlineStr">
        <is>
          <t>NORRBOTTENS LÄN</t>
        </is>
      </c>
      <c r="E939" t="inlineStr">
        <is>
          <t>ÖVERKALIX</t>
        </is>
      </c>
      <c r="F939" t="inlineStr">
        <is>
          <t>Sveaskog</t>
        </is>
      </c>
      <c r="G939" t="n">
        <v>10.2</v>
      </c>
      <c r="H939" t="n">
        <v>0</v>
      </c>
      <c r="I939" t="n">
        <v>0</v>
      </c>
      <c r="J939" t="n">
        <v>0</v>
      </c>
      <c r="K939" t="n">
        <v>0</v>
      </c>
      <c r="L939" t="n">
        <v>0</v>
      </c>
      <c r="M939" t="n">
        <v>0</v>
      </c>
      <c r="N939" t="n">
        <v>0</v>
      </c>
      <c r="O939" t="n">
        <v>0</v>
      </c>
      <c r="P939" t="n">
        <v>0</v>
      </c>
      <c r="Q939" t="n">
        <v>0</v>
      </c>
      <c r="R939" s="2" t="inlineStr"/>
    </row>
    <row r="940" ht="15" customHeight="1">
      <c r="A940" t="inlineStr">
        <is>
          <t>A 18176-2019</t>
        </is>
      </c>
      <c r="B940" s="1" t="n">
        <v>43558</v>
      </c>
      <c r="C940" s="1" t="n">
        <v>45662</v>
      </c>
      <c r="D940" t="inlineStr">
        <is>
          <t>NORRBOTTENS LÄN</t>
        </is>
      </c>
      <c r="E940" t="inlineStr">
        <is>
          <t>BODEN</t>
        </is>
      </c>
      <c r="F940" t="inlineStr">
        <is>
          <t>Sveaskog</t>
        </is>
      </c>
      <c r="G940" t="n">
        <v>27.5</v>
      </c>
      <c r="H940" t="n">
        <v>0</v>
      </c>
      <c r="I940" t="n">
        <v>0</v>
      </c>
      <c r="J940" t="n">
        <v>0</v>
      </c>
      <c r="K940" t="n">
        <v>0</v>
      </c>
      <c r="L940" t="n">
        <v>0</v>
      </c>
      <c r="M940" t="n">
        <v>0</v>
      </c>
      <c r="N940" t="n">
        <v>0</v>
      </c>
      <c r="O940" t="n">
        <v>0</v>
      </c>
      <c r="P940" t="n">
        <v>0</v>
      </c>
      <c r="Q940" t="n">
        <v>0</v>
      </c>
      <c r="R940" s="2" t="inlineStr"/>
    </row>
    <row r="941" ht="15" customHeight="1">
      <c r="A941" t="inlineStr">
        <is>
          <t>A 18258-2019</t>
        </is>
      </c>
      <c r="B941" s="1" t="n">
        <v>43558</v>
      </c>
      <c r="C941" s="1" t="n">
        <v>45662</v>
      </c>
      <c r="D941" t="inlineStr">
        <is>
          <t>NORRBOTTENS LÄN</t>
        </is>
      </c>
      <c r="E941" t="inlineStr">
        <is>
          <t>PAJALA</t>
        </is>
      </c>
      <c r="G941" t="n">
        <v>2.4</v>
      </c>
      <c r="H941" t="n">
        <v>0</v>
      </c>
      <c r="I941" t="n">
        <v>0</v>
      </c>
      <c r="J941" t="n">
        <v>0</v>
      </c>
      <c r="K941" t="n">
        <v>0</v>
      </c>
      <c r="L941" t="n">
        <v>0</v>
      </c>
      <c r="M941" t="n">
        <v>0</v>
      </c>
      <c r="N941" t="n">
        <v>0</v>
      </c>
      <c r="O941" t="n">
        <v>0</v>
      </c>
      <c r="P941" t="n">
        <v>0</v>
      </c>
      <c r="Q941" t="n">
        <v>0</v>
      </c>
      <c r="R941" s="2" t="inlineStr"/>
    </row>
    <row r="942" ht="15" customHeight="1">
      <c r="A942" t="inlineStr">
        <is>
          <t>A 18282-2019</t>
        </is>
      </c>
      <c r="B942" s="1" t="n">
        <v>43558</v>
      </c>
      <c r="C942" s="1" t="n">
        <v>45662</v>
      </c>
      <c r="D942" t="inlineStr">
        <is>
          <t>NORRBOTTENS LÄN</t>
        </is>
      </c>
      <c r="E942" t="inlineStr">
        <is>
          <t>JOKKMOKK</t>
        </is>
      </c>
      <c r="G942" t="n">
        <v>1.3</v>
      </c>
      <c r="H942" t="n">
        <v>0</v>
      </c>
      <c r="I942" t="n">
        <v>0</v>
      </c>
      <c r="J942" t="n">
        <v>0</v>
      </c>
      <c r="K942" t="n">
        <v>0</v>
      </c>
      <c r="L942" t="n">
        <v>0</v>
      </c>
      <c r="M942" t="n">
        <v>0</v>
      </c>
      <c r="N942" t="n">
        <v>0</v>
      </c>
      <c r="O942" t="n">
        <v>0</v>
      </c>
      <c r="P942" t="n">
        <v>0</v>
      </c>
      <c r="Q942" t="n">
        <v>0</v>
      </c>
      <c r="R942" s="2" t="inlineStr"/>
    </row>
    <row r="943" ht="15" customHeight="1">
      <c r="A943" t="inlineStr">
        <is>
          <t>A 18939-2019</t>
        </is>
      </c>
      <c r="B943" s="1" t="n">
        <v>43563</v>
      </c>
      <c r="C943" s="1" t="n">
        <v>45662</v>
      </c>
      <c r="D943" t="inlineStr">
        <is>
          <t>NORRBOTTENS LÄN</t>
        </is>
      </c>
      <c r="E943" t="inlineStr">
        <is>
          <t>BODEN</t>
        </is>
      </c>
      <c r="G943" t="n">
        <v>0.9</v>
      </c>
      <c r="H943" t="n">
        <v>0</v>
      </c>
      <c r="I943" t="n">
        <v>0</v>
      </c>
      <c r="J943" t="n">
        <v>0</v>
      </c>
      <c r="K943" t="n">
        <v>0</v>
      </c>
      <c r="L943" t="n">
        <v>0</v>
      </c>
      <c r="M943" t="n">
        <v>0</v>
      </c>
      <c r="N943" t="n">
        <v>0</v>
      </c>
      <c r="O943" t="n">
        <v>0</v>
      </c>
      <c r="P943" t="n">
        <v>0</v>
      </c>
      <c r="Q943" t="n">
        <v>0</v>
      </c>
      <c r="R943" s="2" t="inlineStr"/>
    </row>
    <row r="944" ht="15" customHeight="1">
      <c r="A944" t="inlineStr">
        <is>
          <t>A 19262-2019</t>
        </is>
      </c>
      <c r="B944" s="1" t="n">
        <v>43564</v>
      </c>
      <c r="C944" s="1" t="n">
        <v>45662</v>
      </c>
      <c r="D944" t="inlineStr">
        <is>
          <t>NORRBOTTENS LÄN</t>
        </is>
      </c>
      <c r="E944" t="inlineStr">
        <is>
          <t>LULEÅ</t>
        </is>
      </c>
      <c r="G944" t="n">
        <v>1.7</v>
      </c>
      <c r="H944" t="n">
        <v>0</v>
      </c>
      <c r="I944" t="n">
        <v>0</v>
      </c>
      <c r="J944" t="n">
        <v>0</v>
      </c>
      <c r="K944" t="n">
        <v>0</v>
      </c>
      <c r="L944" t="n">
        <v>0</v>
      </c>
      <c r="M944" t="n">
        <v>0</v>
      </c>
      <c r="N944" t="n">
        <v>0</v>
      </c>
      <c r="O944" t="n">
        <v>0</v>
      </c>
      <c r="P944" t="n">
        <v>0</v>
      </c>
      <c r="Q944" t="n">
        <v>0</v>
      </c>
      <c r="R944" s="2" t="inlineStr"/>
    </row>
    <row r="945" ht="15" customHeight="1">
      <c r="A945" t="inlineStr">
        <is>
          <t>A 19290-2019</t>
        </is>
      </c>
      <c r="B945" s="1" t="n">
        <v>43564</v>
      </c>
      <c r="C945" s="1" t="n">
        <v>45662</v>
      </c>
      <c r="D945" t="inlineStr">
        <is>
          <t>NORRBOTTENS LÄN</t>
        </is>
      </c>
      <c r="E945" t="inlineStr">
        <is>
          <t>PITEÅ</t>
        </is>
      </c>
      <c r="G945" t="n">
        <v>5</v>
      </c>
      <c r="H945" t="n">
        <v>0</v>
      </c>
      <c r="I945" t="n">
        <v>0</v>
      </c>
      <c r="J945" t="n">
        <v>0</v>
      </c>
      <c r="K945" t="n">
        <v>0</v>
      </c>
      <c r="L945" t="n">
        <v>0</v>
      </c>
      <c r="M945" t="n">
        <v>0</v>
      </c>
      <c r="N945" t="n">
        <v>0</v>
      </c>
      <c r="O945" t="n">
        <v>0</v>
      </c>
      <c r="P945" t="n">
        <v>0</v>
      </c>
      <c r="Q945" t="n">
        <v>0</v>
      </c>
      <c r="R945" s="2" t="inlineStr"/>
    </row>
    <row r="946" ht="15" customHeight="1">
      <c r="A946" t="inlineStr">
        <is>
          <t>A 19328-2019</t>
        </is>
      </c>
      <c r="B946" s="1" t="n">
        <v>43564</v>
      </c>
      <c r="C946" s="1" t="n">
        <v>45662</v>
      </c>
      <c r="D946" t="inlineStr">
        <is>
          <t>NORRBOTTENS LÄN</t>
        </is>
      </c>
      <c r="E946" t="inlineStr">
        <is>
          <t>PITEÅ</t>
        </is>
      </c>
      <c r="G946" t="n">
        <v>6.2</v>
      </c>
      <c r="H946" t="n">
        <v>0</v>
      </c>
      <c r="I946" t="n">
        <v>0</v>
      </c>
      <c r="J946" t="n">
        <v>0</v>
      </c>
      <c r="K946" t="n">
        <v>0</v>
      </c>
      <c r="L946" t="n">
        <v>0</v>
      </c>
      <c r="M946" t="n">
        <v>0</v>
      </c>
      <c r="N946" t="n">
        <v>0</v>
      </c>
      <c r="O946" t="n">
        <v>0</v>
      </c>
      <c r="P946" t="n">
        <v>0</v>
      </c>
      <c r="Q946" t="n">
        <v>0</v>
      </c>
      <c r="R946" s="2" t="inlineStr"/>
    </row>
    <row r="947" ht="15" customHeight="1">
      <c r="A947" t="inlineStr">
        <is>
          <t>A 19558-2019</t>
        </is>
      </c>
      <c r="B947" s="1" t="n">
        <v>43565</v>
      </c>
      <c r="C947" s="1" t="n">
        <v>45662</v>
      </c>
      <c r="D947" t="inlineStr">
        <is>
          <t>NORRBOTTENS LÄN</t>
        </is>
      </c>
      <c r="E947" t="inlineStr">
        <is>
          <t>BODEN</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19599-2019</t>
        </is>
      </c>
      <c r="B948" s="1" t="n">
        <v>43566</v>
      </c>
      <c r="C948" s="1" t="n">
        <v>45662</v>
      </c>
      <c r="D948" t="inlineStr">
        <is>
          <t>NORRBOTTENS LÄN</t>
        </is>
      </c>
      <c r="E948" t="inlineStr">
        <is>
          <t>KALIX</t>
        </is>
      </c>
      <c r="G948" t="n">
        <v>1.2</v>
      </c>
      <c r="H948" t="n">
        <v>0</v>
      </c>
      <c r="I948" t="n">
        <v>0</v>
      </c>
      <c r="J948" t="n">
        <v>0</v>
      </c>
      <c r="K948" t="n">
        <v>0</v>
      </c>
      <c r="L948" t="n">
        <v>0</v>
      </c>
      <c r="M948" t="n">
        <v>0</v>
      </c>
      <c r="N948" t="n">
        <v>0</v>
      </c>
      <c r="O948" t="n">
        <v>0</v>
      </c>
      <c r="P948" t="n">
        <v>0</v>
      </c>
      <c r="Q948" t="n">
        <v>0</v>
      </c>
      <c r="R948" s="2" t="inlineStr"/>
    </row>
    <row r="949" ht="15" customHeight="1">
      <c r="A949" t="inlineStr">
        <is>
          <t>A 20148-2019</t>
        </is>
      </c>
      <c r="B949" s="1" t="n">
        <v>43567</v>
      </c>
      <c r="C949" s="1" t="n">
        <v>45662</v>
      </c>
      <c r="D949" t="inlineStr">
        <is>
          <t>NORRBOTTENS LÄN</t>
        </is>
      </c>
      <c r="E949" t="inlineStr">
        <is>
          <t>PAJALA</t>
        </is>
      </c>
      <c r="G949" t="n">
        <v>4.7</v>
      </c>
      <c r="H949" t="n">
        <v>0</v>
      </c>
      <c r="I949" t="n">
        <v>0</v>
      </c>
      <c r="J949" t="n">
        <v>0</v>
      </c>
      <c r="K949" t="n">
        <v>0</v>
      </c>
      <c r="L949" t="n">
        <v>0</v>
      </c>
      <c r="M949" t="n">
        <v>0</v>
      </c>
      <c r="N949" t="n">
        <v>0</v>
      </c>
      <c r="O949" t="n">
        <v>0</v>
      </c>
      <c r="P949" t="n">
        <v>0</v>
      </c>
      <c r="Q949" t="n">
        <v>0</v>
      </c>
      <c r="R949" s="2" t="inlineStr"/>
    </row>
    <row r="950" ht="15" customHeight="1">
      <c r="A950" t="inlineStr">
        <is>
          <t>A 20295-2019</t>
        </is>
      </c>
      <c r="B950" s="1" t="n">
        <v>43567</v>
      </c>
      <c r="C950" s="1" t="n">
        <v>45662</v>
      </c>
      <c r="D950" t="inlineStr">
        <is>
          <t>NORRBOTTENS LÄN</t>
        </is>
      </c>
      <c r="E950" t="inlineStr">
        <is>
          <t>BODEN</t>
        </is>
      </c>
      <c r="G950" t="n">
        <v>1.6</v>
      </c>
      <c r="H950" t="n">
        <v>0</v>
      </c>
      <c r="I950" t="n">
        <v>0</v>
      </c>
      <c r="J950" t="n">
        <v>0</v>
      </c>
      <c r="K950" t="n">
        <v>0</v>
      </c>
      <c r="L950" t="n">
        <v>0</v>
      </c>
      <c r="M950" t="n">
        <v>0</v>
      </c>
      <c r="N950" t="n">
        <v>0</v>
      </c>
      <c r="O950" t="n">
        <v>0</v>
      </c>
      <c r="P950" t="n">
        <v>0</v>
      </c>
      <c r="Q950" t="n">
        <v>0</v>
      </c>
      <c r="R950" s="2" t="inlineStr"/>
    </row>
    <row r="951" ht="15" customHeight="1">
      <c r="A951" t="inlineStr">
        <is>
          <t>A 19831-2019</t>
        </is>
      </c>
      <c r="B951" s="1" t="n">
        <v>43567</v>
      </c>
      <c r="C951" s="1" t="n">
        <v>45662</v>
      </c>
      <c r="D951" t="inlineStr">
        <is>
          <t>NORRBOTTENS LÄN</t>
        </is>
      </c>
      <c r="E951" t="inlineStr">
        <is>
          <t>KALIX</t>
        </is>
      </c>
      <c r="G951" t="n">
        <v>3.3</v>
      </c>
      <c r="H951" t="n">
        <v>0</v>
      </c>
      <c r="I951" t="n">
        <v>0</v>
      </c>
      <c r="J951" t="n">
        <v>0</v>
      </c>
      <c r="K951" t="n">
        <v>0</v>
      </c>
      <c r="L951" t="n">
        <v>0</v>
      </c>
      <c r="M951" t="n">
        <v>0</v>
      </c>
      <c r="N951" t="n">
        <v>0</v>
      </c>
      <c r="O951" t="n">
        <v>0</v>
      </c>
      <c r="P951" t="n">
        <v>0</v>
      </c>
      <c r="Q951" t="n">
        <v>0</v>
      </c>
      <c r="R951" s="2" t="inlineStr"/>
    </row>
    <row r="952" ht="15" customHeight="1">
      <c r="A952" t="inlineStr">
        <is>
          <t>A 20234-2019</t>
        </is>
      </c>
      <c r="B952" s="1" t="n">
        <v>43567</v>
      </c>
      <c r="C952" s="1" t="n">
        <v>45662</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19827-2019</t>
        </is>
      </c>
      <c r="B953" s="1" t="n">
        <v>43567</v>
      </c>
      <c r="C953" s="1" t="n">
        <v>45662</v>
      </c>
      <c r="D953" t="inlineStr">
        <is>
          <t>NORRBOTTENS LÄN</t>
        </is>
      </c>
      <c r="E953" t="inlineStr">
        <is>
          <t>KALIX</t>
        </is>
      </c>
      <c r="G953" t="n">
        <v>2.4</v>
      </c>
      <c r="H953" t="n">
        <v>0</v>
      </c>
      <c r="I953" t="n">
        <v>0</v>
      </c>
      <c r="J953" t="n">
        <v>0</v>
      </c>
      <c r="K953" t="n">
        <v>0</v>
      </c>
      <c r="L953" t="n">
        <v>0</v>
      </c>
      <c r="M953" t="n">
        <v>0</v>
      </c>
      <c r="N953" t="n">
        <v>0</v>
      </c>
      <c r="O953" t="n">
        <v>0</v>
      </c>
      <c r="P953" t="n">
        <v>0</v>
      </c>
      <c r="Q953" t="n">
        <v>0</v>
      </c>
      <c r="R953" s="2" t="inlineStr"/>
    </row>
    <row r="954" ht="15" customHeight="1">
      <c r="A954" t="inlineStr">
        <is>
          <t>A 19954-2019</t>
        </is>
      </c>
      <c r="B954" s="1" t="n">
        <v>43569</v>
      </c>
      <c r="C954" s="1" t="n">
        <v>45662</v>
      </c>
      <c r="D954" t="inlineStr">
        <is>
          <t>NORRBOTTENS LÄN</t>
        </is>
      </c>
      <c r="E954" t="inlineStr">
        <is>
          <t>GÄLLIVARE</t>
        </is>
      </c>
      <c r="G954" t="n">
        <v>1.9</v>
      </c>
      <c r="H954" t="n">
        <v>0</v>
      </c>
      <c r="I954" t="n">
        <v>0</v>
      </c>
      <c r="J954" t="n">
        <v>0</v>
      </c>
      <c r="K954" t="n">
        <v>0</v>
      </c>
      <c r="L954" t="n">
        <v>0</v>
      </c>
      <c r="M954" t="n">
        <v>0</v>
      </c>
      <c r="N954" t="n">
        <v>0</v>
      </c>
      <c r="O954" t="n">
        <v>0</v>
      </c>
      <c r="P954" t="n">
        <v>0</v>
      </c>
      <c r="Q954" t="n">
        <v>0</v>
      </c>
      <c r="R954" s="2" t="inlineStr"/>
    </row>
    <row r="955" ht="15" customHeight="1">
      <c r="A955" t="inlineStr">
        <is>
          <t>A 20053-2019</t>
        </is>
      </c>
      <c r="B955" s="1" t="n">
        <v>43570</v>
      </c>
      <c r="C955" s="1" t="n">
        <v>45662</v>
      </c>
      <c r="D955" t="inlineStr">
        <is>
          <t>NORRBOTTENS LÄN</t>
        </is>
      </c>
      <c r="E955" t="inlineStr">
        <is>
          <t>PAJALA</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20349-2019</t>
        </is>
      </c>
      <c r="B956" s="1" t="n">
        <v>43570</v>
      </c>
      <c r="C956" s="1" t="n">
        <v>45662</v>
      </c>
      <c r="D956" t="inlineStr">
        <is>
          <t>NORRBOTTENS LÄN</t>
        </is>
      </c>
      <c r="E956" t="inlineStr">
        <is>
          <t>PAJALA</t>
        </is>
      </c>
      <c r="G956" t="n">
        <v>3.6</v>
      </c>
      <c r="H956" t="n">
        <v>0</v>
      </c>
      <c r="I956" t="n">
        <v>0</v>
      </c>
      <c r="J956" t="n">
        <v>0</v>
      </c>
      <c r="K956" t="n">
        <v>0</v>
      </c>
      <c r="L956" t="n">
        <v>0</v>
      </c>
      <c r="M956" t="n">
        <v>0</v>
      </c>
      <c r="N956" t="n">
        <v>0</v>
      </c>
      <c r="O956" t="n">
        <v>0</v>
      </c>
      <c r="P956" t="n">
        <v>0</v>
      </c>
      <c r="Q956" t="n">
        <v>0</v>
      </c>
      <c r="R956" s="2" t="inlineStr"/>
    </row>
    <row r="957" ht="15" customHeight="1">
      <c r="A957" t="inlineStr">
        <is>
          <t>A 20350-2019</t>
        </is>
      </c>
      <c r="B957" s="1" t="n">
        <v>43570</v>
      </c>
      <c r="C957" s="1" t="n">
        <v>45662</v>
      </c>
      <c r="D957" t="inlineStr">
        <is>
          <t>NORRBOTTENS LÄN</t>
        </is>
      </c>
      <c r="E957" t="inlineStr">
        <is>
          <t>PITEÅ</t>
        </is>
      </c>
      <c r="G957" t="n">
        <v>0.4</v>
      </c>
      <c r="H957" t="n">
        <v>0</v>
      </c>
      <c r="I957" t="n">
        <v>0</v>
      </c>
      <c r="J957" t="n">
        <v>0</v>
      </c>
      <c r="K957" t="n">
        <v>0</v>
      </c>
      <c r="L957" t="n">
        <v>0</v>
      </c>
      <c r="M957" t="n">
        <v>0</v>
      </c>
      <c r="N957" t="n">
        <v>0</v>
      </c>
      <c r="O957" t="n">
        <v>0</v>
      </c>
      <c r="P957" t="n">
        <v>0</v>
      </c>
      <c r="Q957" t="n">
        <v>0</v>
      </c>
      <c r="R957" s="2" t="inlineStr"/>
    </row>
    <row r="958" ht="15" customHeight="1">
      <c r="A958" t="inlineStr">
        <is>
          <t>A 20310-2019</t>
        </is>
      </c>
      <c r="B958" s="1" t="n">
        <v>43570</v>
      </c>
      <c r="C958" s="1" t="n">
        <v>45662</v>
      </c>
      <c r="D958" t="inlineStr">
        <is>
          <t>NORRBOTTENS LÄN</t>
        </is>
      </c>
      <c r="E958" t="inlineStr">
        <is>
          <t>ÖVERKALIX</t>
        </is>
      </c>
      <c r="G958" t="n">
        <v>4.6</v>
      </c>
      <c r="H958" t="n">
        <v>0</v>
      </c>
      <c r="I958" t="n">
        <v>0</v>
      </c>
      <c r="J958" t="n">
        <v>0</v>
      </c>
      <c r="K958" t="n">
        <v>0</v>
      </c>
      <c r="L958" t="n">
        <v>0</v>
      </c>
      <c r="M958" t="n">
        <v>0</v>
      </c>
      <c r="N958" t="n">
        <v>0</v>
      </c>
      <c r="O958" t="n">
        <v>0</v>
      </c>
      <c r="P958" t="n">
        <v>0</v>
      </c>
      <c r="Q958" t="n">
        <v>0</v>
      </c>
      <c r="R958" s="2" t="inlineStr"/>
    </row>
    <row r="959" ht="15" customHeight="1">
      <c r="A959" t="inlineStr">
        <is>
          <t>A 20345-2019</t>
        </is>
      </c>
      <c r="B959" s="1" t="n">
        <v>43570</v>
      </c>
      <c r="C959" s="1" t="n">
        <v>45662</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20354-2019</t>
        </is>
      </c>
      <c r="B960" s="1" t="n">
        <v>43570</v>
      </c>
      <c r="C960" s="1" t="n">
        <v>45662</v>
      </c>
      <c r="D960" t="inlineStr">
        <is>
          <t>NORRBOTTENS LÄN</t>
        </is>
      </c>
      <c r="E960" t="inlineStr">
        <is>
          <t>PITEÅ</t>
        </is>
      </c>
      <c r="G960" t="n">
        <v>2.5</v>
      </c>
      <c r="H960" t="n">
        <v>0</v>
      </c>
      <c r="I960" t="n">
        <v>0</v>
      </c>
      <c r="J960" t="n">
        <v>0</v>
      </c>
      <c r="K960" t="n">
        <v>0</v>
      </c>
      <c r="L960" t="n">
        <v>0</v>
      </c>
      <c r="M960" t="n">
        <v>0</v>
      </c>
      <c r="N960" t="n">
        <v>0</v>
      </c>
      <c r="O960" t="n">
        <v>0</v>
      </c>
      <c r="P960" t="n">
        <v>0</v>
      </c>
      <c r="Q960" t="n">
        <v>0</v>
      </c>
      <c r="R960" s="2" t="inlineStr"/>
    </row>
    <row r="961" ht="15" customHeight="1">
      <c r="A961" t="inlineStr">
        <is>
          <t>A 20382-2019</t>
        </is>
      </c>
      <c r="B961" s="1" t="n">
        <v>43571</v>
      </c>
      <c r="C961" s="1" t="n">
        <v>45662</v>
      </c>
      <c r="D961" t="inlineStr">
        <is>
          <t>NORRBOTTENS LÄN</t>
        </is>
      </c>
      <c r="E961" t="inlineStr">
        <is>
          <t>PAJALA</t>
        </is>
      </c>
      <c r="G961" t="n">
        <v>3.5</v>
      </c>
      <c r="H961" t="n">
        <v>0</v>
      </c>
      <c r="I961" t="n">
        <v>0</v>
      </c>
      <c r="J961" t="n">
        <v>0</v>
      </c>
      <c r="K961" t="n">
        <v>0</v>
      </c>
      <c r="L961" t="n">
        <v>0</v>
      </c>
      <c r="M961" t="n">
        <v>0</v>
      </c>
      <c r="N961" t="n">
        <v>0</v>
      </c>
      <c r="O961" t="n">
        <v>0</v>
      </c>
      <c r="P961" t="n">
        <v>0</v>
      </c>
      <c r="Q961" t="n">
        <v>0</v>
      </c>
      <c r="R961" s="2" t="inlineStr"/>
    </row>
    <row r="962" ht="15" customHeight="1">
      <c r="A962" t="inlineStr">
        <is>
          <t>A 20410-2019</t>
        </is>
      </c>
      <c r="B962" s="1" t="n">
        <v>43571</v>
      </c>
      <c r="C962" s="1" t="n">
        <v>45662</v>
      </c>
      <c r="D962" t="inlineStr">
        <is>
          <t>NORRBOTTENS LÄN</t>
        </is>
      </c>
      <c r="E962" t="inlineStr">
        <is>
          <t>PAJALA</t>
        </is>
      </c>
      <c r="F962" t="inlineStr">
        <is>
          <t>Kyrkan</t>
        </is>
      </c>
      <c r="G962" t="n">
        <v>3.2</v>
      </c>
      <c r="H962" t="n">
        <v>0</v>
      </c>
      <c r="I962" t="n">
        <v>0</v>
      </c>
      <c r="J962" t="n">
        <v>0</v>
      </c>
      <c r="K962" t="n">
        <v>0</v>
      </c>
      <c r="L962" t="n">
        <v>0</v>
      </c>
      <c r="M962" t="n">
        <v>0</v>
      </c>
      <c r="N962" t="n">
        <v>0</v>
      </c>
      <c r="O962" t="n">
        <v>0</v>
      </c>
      <c r="P962" t="n">
        <v>0</v>
      </c>
      <c r="Q962" t="n">
        <v>0</v>
      </c>
      <c r="R962" s="2" t="inlineStr"/>
    </row>
    <row r="963" ht="15" customHeight="1">
      <c r="A963" t="inlineStr">
        <is>
          <t>A 20537-2019</t>
        </is>
      </c>
      <c r="B963" s="1" t="n">
        <v>43572</v>
      </c>
      <c r="C963" s="1" t="n">
        <v>45662</v>
      </c>
      <c r="D963" t="inlineStr">
        <is>
          <t>NORRBOTTENS LÄN</t>
        </is>
      </c>
      <c r="E963" t="inlineStr">
        <is>
          <t>PAJALA</t>
        </is>
      </c>
      <c r="G963" t="n">
        <v>7.2</v>
      </c>
      <c r="H963" t="n">
        <v>0</v>
      </c>
      <c r="I963" t="n">
        <v>0</v>
      </c>
      <c r="J963" t="n">
        <v>0</v>
      </c>
      <c r="K963" t="n">
        <v>0</v>
      </c>
      <c r="L963" t="n">
        <v>0</v>
      </c>
      <c r="M963" t="n">
        <v>0</v>
      </c>
      <c r="N963" t="n">
        <v>0</v>
      </c>
      <c r="O963" t="n">
        <v>0</v>
      </c>
      <c r="P963" t="n">
        <v>0</v>
      </c>
      <c r="Q963" t="n">
        <v>0</v>
      </c>
      <c r="R963" s="2" t="inlineStr"/>
    </row>
    <row r="964" ht="15" customHeight="1">
      <c r="A964" t="inlineStr">
        <is>
          <t>A 20581-2019</t>
        </is>
      </c>
      <c r="B964" s="1" t="n">
        <v>43572</v>
      </c>
      <c r="C964" s="1" t="n">
        <v>45662</v>
      </c>
      <c r="D964" t="inlineStr">
        <is>
          <t>NORRBOTTENS LÄN</t>
        </is>
      </c>
      <c r="E964" t="inlineStr">
        <is>
          <t>ARVIDSJAUR</t>
        </is>
      </c>
      <c r="G964" t="n">
        <v>1</v>
      </c>
      <c r="H964" t="n">
        <v>0</v>
      </c>
      <c r="I964" t="n">
        <v>0</v>
      </c>
      <c r="J964" t="n">
        <v>0</v>
      </c>
      <c r="K964" t="n">
        <v>0</v>
      </c>
      <c r="L964" t="n">
        <v>0</v>
      </c>
      <c r="M964" t="n">
        <v>0</v>
      </c>
      <c r="N964" t="n">
        <v>0</v>
      </c>
      <c r="O964" t="n">
        <v>0</v>
      </c>
      <c r="P964" t="n">
        <v>0</v>
      </c>
      <c r="Q964" t="n">
        <v>0</v>
      </c>
      <c r="R964" s="2" t="inlineStr"/>
    </row>
    <row r="965" ht="15" customHeight="1">
      <c r="A965" t="inlineStr">
        <is>
          <t>A 20903-2019</t>
        </is>
      </c>
      <c r="B965" s="1" t="n">
        <v>43573</v>
      </c>
      <c r="C965" s="1" t="n">
        <v>45662</v>
      </c>
      <c r="D965" t="inlineStr">
        <is>
          <t>NORRBOTTENS LÄN</t>
        </is>
      </c>
      <c r="E965" t="inlineStr">
        <is>
          <t>BODEN</t>
        </is>
      </c>
      <c r="G965" t="n">
        <v>0.7</v>
      </c>
      <c r="H965" t="n">
        <v>0</v>
      </c>
      <c r="I965" t="n">
        <v>0</v>
      </c>
      <c r="J965" t="n">
        <v>0</v>
      </c>
      <c r="K965" t="n">
        <v>0</v>
      </c>
      <c r="L965" t="n">
        <v>0</v>
      </c>
      <c r="M965" t="n">
        <v>0</v>
      </c>
      <c r="N965" t="n">
        <v>0</v>
      </c>
      <c r="O965" t="n">
        <v>0</v>
      </c>
      <c r="P965" t="n">
        <v>0</v>
      </c>
      <c r="Q965" t="n">
        <v>0</v>
      </c>
      <c r="R965" s="2" t="inlineStr"/>
    </row>
    <row r="966" ht="15" customHeight="1">
      <c r="A966" t="inlineStr">
        <is>
          <t>A 20916-2019</t>
        </is>
      </c>
      <c r="B966" s="1" t="n">
        <v>43573</v>
      </c>
      <c r="C966" s="1" t="n">
        <v>45662</v>
      </c>
      <c r="D966" t="inlineStr">
        <is>
          <t>NORRBOTTENS LÄN</t>
        </is>
      </c>
      <c r="E966" t="inlineStr">
        <is>
          <t>BODEN</t>
        </is>
      </c>
      <c r="G966" t="n">
        <v>2.2</v>
      </c>
      <c r="H966" t="n">
        <v>0</v>
      </c>
      <c r="I966" t="n">
        <v>0</v>
      </c>
      <c r="J966" t="n">
        <v>0</v>
      </c>
      <c r="K966" t="n">
        <v>0</v>
      </c>
      <c r="L966" t="n">
        <v>0</v>
      </c>
      <c r="M966" t="n">
        <v>0</v>
      </c>
      <c r="N966" t="n">
        <v>0</v>
      </c>
      <c r="O966" t="n">
        <v>0</v>
      </c>
      <c r="P966" t="n">
        <v>0</v>
      </c>
      <c r="Q966" t="n">
        <v>0</v>
      </c>
      <c r="R966" s="2" t="inlineStr"/>
    </row>
    <row r="967" ht="15" customHeight="1">
      <c r="A967" t="inlineStr">
        <is>
          <t>A 21088-2019</t>
        </is>
      </c>
      <c r="B967" s="1" t="n">
        <v>43574</v>
      </c>
      <c r="C967" s="1" t="n">
        <v>45662</v>
      </c>
      <c r="D967" t="inlineStr">
        <is>
          <t>NORRBOTTENS LÄN</t>
        </is>
      </c>
      <c r="E967" t="inlineStr">
        <is>
          <t>PAJALA</t>
        </is>
      </c>
      <c r="G967" t="n">
        <v>0.6</v>
      </c>
      <c r="H967" t="n">
        <v>0</v>
      </c>
      <c r="I967" t="n">
        <v>0</v>
      </c>
      <c r="J967" t="n">
        <v>0</v>
      </c>
      <c r="K967" t="n">
        <v>0</v>
      </c>
      <c r="L967" t="n">
        <v>0</v>
      </c>
      <c r="M967" t="n">
        <v>0</v>
      </c>
      <c r="N967" t="n">
        <v>0</v>
      </c>
      <c r="O967" t="n">
        <v>0</v>
      </c>
      <c r="P967" t="n">
        <v>0</v>
      </c>
      <c r="Q967" t="n">
        <v>0</v>
      </c>
      <c r="R967" s="2" t="inlineStr"/>
    </row>
    <row r="968" ht="15" customHeight="1">
      <c r="A968" t="inlineStr">
        <is>
          <t>A 21079-2019</t>
        </is>
      </c>
      <c r="B968" s="1" t="n">
        <v>43578</v>
      </c>
      <c r="C968" s="1" t="n">
        <v>45662</v>
      </c>
      <c r="D968" t="inlineStr">
        <is>
          <t>NORRBOTTENS LÄN</t>
        </is>
      </c>
      <c r="E968" t="inlineStr">
        <is>
          <t>LULEÅ</t>
        </is>
      </c>
      <c r="G968" t="n">
        <v>0.5</v>
      </c>
      <c r="H968" t="n">
        <v>0</v>
      </c>
      <c r="I968" t="n">
        <v>0</v>
      </c>
      <c r="J968" t="n">
        <v>0</v>
      </c>
      <c r="K968" t="n">
        <v>0</v>
      </c>
      <c r="L968" t="n">
        <v>0</v>
      </c>
      <c r="M968" t="n">
        <v>0</v>
      </c>
      <c r="N968" t="n">
        <v>0</v>
      </c>
      <c r="O968" t="n">
        <v>0</v>
      </c>
      <c r="P968" t="n">
        <v>0</v>
      </c>
      <c r="Q968" t="n">
        <v>0</v>
      </c>
      <c r="R968" s="2" t="inlineStr"/>
    </row>
    <row r="969" ht="15" customHeight="1">
      <c r="A969" t="inlineStr">
        <is>
          <t>A 21118-2019</t>
        </is>
      </c>
      <c r="B969" s="1" t="n">
        <v>43578</v>
      </c>
      <c r="C969" s="1" t="n">
        <v>45662</v>
      </c>
      <c r="D969" t="inlineStr">
        <is>
          <t>NORRBOTTENS LÄN</t>
        </is>
      </c>
      <c r="E969" t="inlineStr">
        <is>
          <t>GÄLLIVARE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21129-2019</t>
        </is>
      </c>
      <c r="B970" s="1" t="n">
        <v>43579</v>
      </c>
      <c r="C970" s="1" t="n">
        <v>45662</v>
      </c>
      <c r="D970" t="inlineStr">
        <is>
          <t>NORRBOTTENS LÄN</t>
        </is>
      </c>
      <c r="E970" t="inlineStr">
        <is>
          <t>BODEN</t>
        </is>
      </c>
      <c r="F970" t="inlineStr">
        <is>
          <t>Sveaskog</t>
        </is>
      </c>
      <c r="G970" t="n">
        <v>10.5</v>
      </c>
      <c r="H970" t="n">
        <v>0</v>
      </c>
      <c r="I970" t="n">
        <v>0</v>
      </c>
      <c r="J970" t="n">
        <v>0</v>
      </c>
      <c r="K970" t="n">
        <v>0</v>
      </c>
      <c r="L970" t="n">
        <v>0</v>
      </c>
      <c r="M970" t="n">
        <v>0</v>
      </c>
      <c r="N970" t="n">
        <v>0</v>
      </c>
      <c r="O970" t="n">
        <v>0</v>
      </c>
      <c r="P970" t="n">
        <v>0</v>
      </c>
      <c r="Q970" t="n">
        <v>0</v>
      </c>
      <c r="R970" s="2" t="inlineStr"/>
    </row>
    <row r="971" ht="15" customHeight="1">
      <c r="A971" t="inlineStr">
        <is>
          <t>A 21344-2019</t>
        </is>
      </c>
      <c r="B971" s="1" t="n">
        <v>43579</v>
      </c>
      <c r="C971" s="1" t="n">
        <v>45662</v>
      </c>
      <c r="D971" t="inlineStr">
        <is>
          <t>NORRBOTTENS LÄN</t>
        </is>
      </c>
      <c r="E971" t="inlineStr">
        <is>
          <t>ARJEPLOG</t>
        </is>
      </c>
      <c r="G971" t="n">
        <v>6.7</v>
      </c>
      <c r="H971" t="n">
        <v>0</v>
      </c>
      <c r="I971" t="n">
        <v>0</v>
      </c>
      <c r="J971" t="n">
        <v>0</v>
      </c>
      <c r="K971" t="n">
        <v>0</v>
      </c>
      <c r="L971" t="n">
        <v>0</v>
      </c>
      <c r="M971" t="n">
        <v>0</v>
      </c>
      <c r="N971" t="n">
        <v>0</v>
      </c>
      <c r="O971" t="n">
        <v>0</v>
      </c>
      <c r="P971" t="n">
        <v>0</v>
      </c>
      <c r="Q971" t="n">
        <v>0</v>
      </c>
      <c r="R971" s="2" t="inlineStr"/>
    </row>
    <row r="972" ht="15" customHeight="1">
      <c r="A972" t="inlineStr">
        <is>
          <t>A 21556-2019</t>
        </is>
      </c>
      <c r="B972" s="1" t="n">
        <v>43579</v>
      </c>
      <c r="C972" s="1" t="n">
        <v>45662</v>
      </c>
      <c r="D972" t="inlineStr">
        <is>
          <t>NORRBOTTENS LÄN</t>
        </is>
      </c>
      <c r="E972" t="inlineStr">
        <is>
          <t>GÄLLIVARE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21547-2019</t>
        </is>
      </c>
      <c r="B973" s="1" t="n">
        <v>43580</v>
      </c>
      <c r="C973" s="1" t="n">
        <v>45662</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21548-2019</t>
        </is>
      </c>
      <c r="B974" s="1" t="n">
        <v>43580</v>
      </c>
      <c r="C974" s="1" t="n">
        <v>45662</v>
      </c>
      <c r="D974" t="inlineStr">
        <is>
          <t>NORRBOTTENS LÄN</t>
        </is>
      </c>
      <c r="E974" t="inlineStr">
        <is>
          <t>LULEÅ</t>
        </is>
      </c>
      <c r="G974" t="n">
        <v>2.9</v>
      </c>
      <c r="H974" t="n">
        <v>0</v>
      </c>
      <c r="I974" t="n">
        <v>0</v>
      </c>
      <c r="J974" t="n">
        <v>0</v>
      </c>
      <c r="K974" t="n">
        <v>0</v>
      </c>
      <c r="L974" t="n">
        <v>0</v>
      </c>
      <c r="M974" t="n">
        <v>0</v>
      </c>
      <c r="N974" t="n">
        <v>0</v>
      </c>
      <c r="O974" t="n">
        <v>0</v>
      </c>
      <c r="P974" t="n">
        <v>0</v>
      </c>
      <c r="Q974" t="n">
        <v>0</v>
      </c>
      <c r="R974" s="2" t="inlineStr"/>
    </row>
    <row r="975" ht="15" customHeight="1">
      <c r="A975" t="inlineStr">
        <is>
          <t>A 21435-2019</t>
        </is>
      </c>
      <c r="B975" s="1" t="n">
        <v>43580</v>
      </c>
      <c r="C975" s="1" t="n">
        <v>45662</v>
      </c>
      <c r="D975" t="inlineStr">
        <is>
          <t>NORRBOTTENS LÄN</t>
        </is>
      </c>
      <c r="E975" t="inlineStr">
        <is>
          <t>KALIX</t>
        </is>
      </c>
      <c r="G975" t="n">
        <v>0.5</v>
      </c>
      <c r="H975" t="n">
        <v>0</v>
      </c>
      <c r="I975" t="n">
        <v>0</v>
      </c>
      <c r="J975" t="n">
        <v>0</v>
      </c>
      <c r="K975" t="n">
        <v>0</v>
      </c>
      <c r="L975" t="n">
        <v>0</v>
      </c>
      <c r="M975" t="n">
        <v>0</v>
      </c>
      <c r="N975" t="n">
        <v>0</v>
      </c>
      <c r="O975" t="n">
        <v>0</v>
      </c>
      <c r="P975" t="n">
        <v>0</v>
      </c>
      <c r="Q975" t="n">
        <v>0</v>
      </c>
      <c r="R975" s="2" t="inlineStr"/>
    </row>
    <row r="976" ht="15" customHeight="1">
      <c r="A976" t="inlineStr">
        <is>
          <t>A 21546-2019</t>
        </is>
      </c>
      <c r="B976" s="1" t="n">
        <v>43580</v>
      </c>
      <c r="C976" s="1" t="n">
        <v>45662</v>
      </c>
      <c r="D976" t="inlineStr">
        <is>
          <t>NORRBOTTENS LÄN</t>
        </is>
      </c>
      <c r="E976" t="inlineStr">
        <is>
          <t>LULEÅ</t>
        </is>
      </c>
      <c r="G976" t="n">
        <v>5.1</v>
      </c>
      <c r="H976" t="n">
        <v>0</v>
      </c>
      <c r="I976" t="n">
        <v>0</v>
      </c>
      <c r="J976" t="n">
        <v>0</v>
      </c>
      <c r="K976" t="n">
        <v>0</v>
      </c>
      <c r="L976" t="n">
        <v>0</v>
      </c>
      <c r="M976" t="n">
        <v>0</v>
      </c>
      <c r="N976" t="n">
        <v>0</v>
      </c>
      <c r="O976" t="n">
        <v>0</v>
      </c>
      <c r="P976" t="n">
        <v>0</v>
      </c>
      <c r="Q976" t="n">
        <v>0</v>
      </c>
      <c r="R976" s="2" t="inlineStr"/>
    </row>
    <row r="977" ht="15" customHeight="1">
      <c r="A977" t="inlineStr">
        <is>
          <t>A 21550-2019</t>
        </is>
      </c>
      <c r="B977" s="1" t="n">
        <v>43580</v>
      </c>
      <c r="C977" s="1" t="n">
        <v>45662</v>
      </c>
      <c r="D977" t="inlineStr">
        <is>
          <t>NORRBOTTENS LÄN</t>
        </is>
      </c>
      <c r="E977" t="inlineStr">
        <is>
          <t>LULEÅ</t>
        </is>
      </c>
      <c r="G977" t="n">
        <v>3.3</v>
      </c>
      <c r="H977" t="n">
        <v>0</v>
      </c>
      <c r="I977" t="n">
        <v>0</v>
      </c>
      <c r="J977" t="n">
        <v>0</v>
      </c>
      <c r="K977" t="n">
        <v>0</v>
      </c>
      <c r="L977" t="n">
        <v>0</v>
      </c>
      <c r="M977" t="n">
        <v>0</v>
      </c>
      <c r="N977" t="n">
        <v>0</v>
      </c>
      <c r="O977" t="n">
        <v>0</v>
      </c>
      <c r="P977" t="n">
        <v>0</v>
      </c>
      <c r="Q977" t="n">
        <v>0</v>
      </c>
      <c r="R977" s="2" t="inlineStr"/>
    </row>
    <row r="978" ht="15" customHeight="1">
      <c r="A978" t="inlineStr">
        <is>
          <t>A 21517-2019</t>
        </is>
      </c>
      <c r="B978" s="1" t="n">
        <v>43580</v>
      </c>
      <c r="C978" s="1" t="n">
        <v>45662</v>
      </c>
      <c r="D978" t="inlineStr">
        <is>
          <t>NORRBOTTENS LÄN</t>
        </is>
      </c>
      <c r="E978" t="inlineStr">
        <is>
          <t>PAJALA</t>
        </is>
      </c>
      <c r="G978" t="n">
        <v>3.7</v>
      </c>
      <c r="H978" t="n">
        <v>0</v>
      </c>
      <c r="I978" t="n">
        <v>0</v>
      </c>
      <c r="J978" t="n">
        <v>0</v>
      </c>
      <c r="K978" t="n">
        <v>0</v>
      </c>
      <c r="L978" t="n">
        <v>0</v>
      </c>
      <c r="M978" t="n">
        <v>0</v>
      </c>
      <c r="N978" t="n">
        <v>0</v>
      </c>
      <c r="O978" t="n">
        <v>0</v>
      </c>
      <c r="P978" t="n">
        <v>0</v>
      </c>
      <c r="Q978" t="n">
        <v>0</v>
      </c>
      <c r="R978" s="2" t="inlineStr"/>
    </row>
    <row r="979" ht="15" customHeight="1">
      <c r="A979" t="inlineStr">
        <is>
          <t>A 21510-2019</t>
        </is>
      </c>
      <c r="B979" s="1" t="n">
        <v>43580</v>
      </c>
      <c r="C979" s="1" t="n">
        <v>45662</v>
      </c>
      <c r="D979" t="inlineStr">
        <is>
          <t>NORRBOTTENS LÄN</t>
        </is>
      </c>
      <c r="E979" t="inlineStr">
        <is>
          <t>PAJALA</t>
        </is>
      </c>
      <c r="G979" t="n">
        <v>3.6</v>
      </c>
      <c r="H979" t="n">
        <v>0</v>
      </c>
      <c r="I979" t="n">
        <v>0</v>
      </c>
      <c r="J979" t="n">
        <v>0</v>
      </c>
      <c r="K979" t="n">
        <v>0</v>
      </c>
      <c r="L979" t="n">
        <v>0</v>
      </c>
      <c r="M979" t="n">
        <v>0</v>
      </c>
      <c r="N979" t="n">
        <v>0</v>
      </c>
      <c r="O979" t="n">
        <v>0</v>
      </c>
      <c r="P979" t="n">
        <v>0</v>
      </c>
      <c r="Q979" t="n">
        <v>0</v>
      </c>
      <c r="R979" s="2" t="inlineStr"/>
    </row>
    <row r="980" ht="15" customHeight="1">
      <c r="A980" t="inlineStr">
        <is>
          <t>A 21953-2019</t>
        </is>
      </c>
      <c r="B980" s="1" t="n">
        <v>43584</v>
      </c>
      <c r="C980" s="1" t="n">
        <v>45662</v>
      </c>
      <c r="D980" t="inlineStr">
        <is>
          <t>NORRBOTTENS LÄN</t>
        </is>
      </c>
      <c r="E980" t="inlineStr">
        <is>
          <t>BODEN</t>
        </is>
      </c>
      <c r="G980" t="n">
        <v>1.2</v>
      </c>
      <c r="H980" t="n">
        <v>0</v>
      </c>
      <c r="I980" t="n">
        <v>0</v>
      </c>
      <c r="J980" t="n">
        <v>0</v>
      </c>
      <c r="K980" t="n">
        <v>0</v>
      </c>
      <c r="L980" t="n">
        <v>0</v>
      </c>
      <c r="M980" t="n">
        <v>0</v>
      </c>
      <c r="N980" t="n">
        <v>0</v>
      </c>
      <c r="O980" t="n">
        <v>0</v>
      </c>
      <c r="P980" t="n">
        <v>0</v>
      </c>
      <c r="Q980" t="n">
        <v>0</v>
      </c>
      <c r="R980" s="2" t="inlineStr"/>
    </row>
    <row r="981" ht="15" customHeight="1">
      <c r="A981" t="inlineStr">
        <is>
          <t>A 21916-2019</t>
        </is>
      </c>
      <c r="B981" s="1" t="n">
        <v>43584</v>
      </c>
      <c r="C981" s="1" t="n">
        <v>45662</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22021-2019</t>
        </is>
      </c>
      <c r="B982" s="1" t="n">
        <v>43584</v>
      </c>
      <c r="C982" s="1" t="n">
        <v>45662</v>
      </c>
      <c r="D982" t="inlineStr">
        <is>
          <t>NORRBOTTENS LÄN</t>
        </is>
      </c>
      <c r="E982" t="inlineStr">
        <is>
          <t>PITEÅ</t>
        </is>
      </c>
      <c r="G982" t="n">
        <v>3.4</v>
      </c>
      <c r="H982" t="n">
        <v>0</v>
      </c>
      <c r="I982" t="n">
        <v>0</v>
      </c>
      <c r="J982" t="n">
        <v>0</v>
      </c>
      <c r="K982" t="n">
        <v>0</v>
      </c>
      <c r="L982" t="n">
        <v>0</v>
      </c>
      <c r="M982" t="n">
        <v>0</v>
      </c>
      <c r="N982" t="n">
        <v>0</v>
      </c>
      <c r="O982" t="n">
        <v>0</v>
      </c>
      <c r="P982" t="n">
        <v>0</v>
      </c>
      <c r="Q982" t="n">
        <v>0</v>
      </c>
      <c r="R982" s="2" t="inlineStr"/>
    </row>
    <row r="983" ht="15" customHeight="1">
      <c r="A983" t="inlineStr">
        <is>
          <t>A 22098-2019</t>
        </is>
      </c>
      <c r="B983" s="1" t="n">
        <v>43584</v>
      </c>
      <c r="C983" s="1" t="n">
        <v>45662</v>
      </c>
      <c r="D983" t="inlineStr">
        <is>
          <t>NORRBOTTENS LÄN</t>
        </is>
      </c>
      <c r="E983" t="inlineStr">
        <is>
          <t>LULEÅ</t>
        </is>
      </c>
      <c r="G983" t="n">
        <v>2.2</v>
      </c>
      <c r="H983" t="n">
        <v>0</v>
      </c>
      <c r="I983" t="n">
        <v>0</v>
      </c>
      <c r="J983" t="n">
        <v>0</v>
      </c>
      <c r="K983" t="n">
        <v>0</v>
      </c>
      <c r="L983" t="n">
        <v>0</v>
      </c>
      <c r="M983" t="n">
        <v>0</v>
      </c>
      <c r="N983" t="n">
        <v>0</v>
      </c>
      <c r="O983" t="n">
        <v>0</v>
      </c>
      <c r="P983" t="n">
        <v>0</v>
      </c>
      <c r="Q983" t="n">
        <v>0</v>
      </c>
      <c r="R983" s="2" t="inlineStr"/>
    </row>
    <row r="984" ht="15" customHeight="1">
      <c r="A984" t="inlineStr">
        <is>
          <t>A 22294-2019</t>
        </is>
      </c>
      <c r="B984" s="1" t="n">
        <v>43585</v>
      </c>
      <c r="C984" s="1" t="n">
        <v>45662</v>
      </c>
      <c r="D984" t="inlineStr">
        <is>
          <t>NORRBOTTENS LÄN</t>
        </is>
      </c>
      <c r="E984" t="inlineStr">
        <is>
          <t>ÖVERTORNEÅ</t>
        </is>
      </c>
      <c r="G984" t="n">
        <v>6.7</v>
      </c>
      <c r="H984" t="n">
        <v>0</v>
      </c>
      <c r="I984" t="n">
        <v>0</v>
      </c>
      <c r="J984" t="n">
        <v>0</v>
      </c>
      <c r="K984" t="n">
        <v>0</v>
      </c>
      <c r="L984" t="n">
        <v>0</v>
      </c>
      <c r="M984" t="n">
        <v>0</v>
      </c>
      <c r="N984" t="n">
        <v>0</v>
      </c>
      <c r="O984" t="n">
        <v>0</v>
      </c>
      <c r="P984" t="n">
        <v>0</v>
      </c>
      <c r="Q984" t="n">
        <v>0</v>
      </c>
      <c r="R984" s="2" t="inlineStr"/>
    </row>
    <row r="985" ht="15" customHeight="1">
      <c r="A985" t="inlineStr">
        <is>
          <t>A 22330-2019</t>
        </is>
      </c>
      <c r="B985" s="1" t="n">
        <v>43586</v>
      </c>
      <c r="C985" s="1" t="n">
        <v>45662</v>
      </c>
      <c r="D985" t="inlineStr">
        <is>
          <t>NORRBOTTENS LÄN</t>
        </is>
      </c>
      <c r="E985" t="inlineStr">
        <is>
          <t>BODEN</t>
        </is>
      </c>
      <c r="G985" t="n">
        <v>7.4</v>
      </c>
      <c r="H985" t="n">
        <v>0</v>
      </c>
      <c r="I985" t="n">
        <v>0</v>
      </c>
      <c r="J985" t="n">
        <v>0</v>
      </c>
      <c r="K985" t="n">
        <v>0</v>
      </c>
      <c r="L985" t="n">
        <v>0</v>
      </c>
      <c r="M985" t="n">
        <v>0</v>
      </c>
      <c r="N985" t="n">
        <v>0</v>
      </c>
      <c r="O985" t="n">
        <v>0</v>
      </c>
      <c r="P985" t="n">
        <v>0</v>
      </c>
      <c r="Q985" t="n">
        <v>0</v>
      </c>
      <c r="R985" s="2" t="inlineStr"/>
    </row>
    <row r="986" ht="15" customHeight="1">
      <c r="A986" t="inlineStr">
        <is>
          <t>A 22311-2019</t>
        </is>
      </c>
      <c r="B986" s="1" t="n">
        <v>43586</v>
      </c>
      <c r="C986" s="1" t="n">
        <v>45662</v>
      </c>
      <c r="D986" t="inlineStr">
        <is>
          <t>NORRBOTTENS LÄN</t>
        </is>
      </c>
      <c r="E986" t="inlineStr">
        <is>
          <t>KALIX</t>
        </is>
      </c>
      <c r="G986" t="n">
        <v>2.2</v>
      </c>
      <c r="H986" t="n">
        <v>0</v>
      </c>
      <c r="I986" t="n">
        <v>0</v>
      </c>
      <c r="J986" t="n">
        <v>0</v>
      </c>
      <c r="K986" t="n">
        <v>0</v>
      </c>
      <c r="L986" t="n">
        <v>0</v>
      </c>
      <c r="M986" t="n">
        <v>0</v>
      </c>
      <c r="N986" t="n">
        <v>0</v>
      </c>
      <c r="O986" t="n">
        <v>0</v>
      </c>
      <c r="P986" t="n">
        <v>0</v>
      </c>
      <c r="Q986" t="n">
        <v>0</v>
      </c>
      <c r="R986" s="2" t="inlineStr"/>
    </row>
    <row r="987" ht="15" customHeight="1">
      <c r="A987" t="inlineStr">
        <is>
          <t>A 22481-2019</t>
        </is>
      </c>
      <c r="B987" s="1" t="n">
        <v>43587</v>
      </c>
      <c r="C987" s="1" t="n">
        <v>45662</v>
      </c>
      <c r="D987" t="inlineStr">
        <is>
          <t>NORRBOTTENS LÄN</t>
        </is>
      </c>
      <c r="E987" t="inlineStr">
        <is>
          <t>GÄLLIVARE</t>
        </is>
      </c>
      <c r="F987" t="inlineStr">
        <is>
          <t>Sveaskog</t>
        </is>
      </c>
      <c r="G987" t="n">
        <v>5.3</v>
      </c>
      <c r="H987" t="n">
        <v>0</v>
      </c>
      <c r="I987" t="n">
        <v>0</v>
      </c>
      <c r="J987" t="n">
        <v>0</v>
      </c>
      <c r="K987" t="n">
        <v>0</v>
      </c>
      <c r="L987" t="n">
        <v>0</v>
      </c>
      <c r="M987" t="n">
        <v>0</v>
      </c>
      <c r="N987" t="n">
        <v>0</v>
      </c>
      <c r="O987" t="n">
        <v>0</v>
      </c>
      <c r="P987" t="n">
        <v>0</v>
      </c>
      <c r="Q987" t="n">
        <v>0</v>
      </c>
      <c r="R987" s="2" t="inlineStr"/>
    </row>
    <row r="988" ht="15" customHeight="1">
      <c r="A988" t="inlineStr">
        <is>
          <t>A 22655-2019</t>
        </is>
      </c>
      <c r="B988" s="1" t="n">
        <v>43587</v>
      </c>
      <c r="C988" s="1" t="n">
        <v>45662</v>
      </c>
      <c r="D988" t="inlineStr">
        <is>
          <t>NORRBOTTENS LÄN</t>
        </is>
      </c>
      <c r="E988" t="inlineStr">
        <is>
          <t>KALIX</t>
        </is>
      </c>
      <c r="G988" t="n">
        <v>6</v>
      </c>
      <c r="H988" t="n">
        <v>0</v>
      </c>
      <c r="I988" t="n">
        <v>0</v>
      </c>
      <c r="J988" t="n">
        <v>0</v>
      </c>
      <c r="K988" t="n">
        <v>0</v>
      </c>
      <c r="L988" t="n">
        <v>0</v>
      </c>
      <c r="M988" t="n">
        <v>0</v>
      </c>
      <c r="N988" t="n">
        <v>0</v>
      </c>
      <c r="O988" t="n">
        <v>0</v>
      </c>
      <c r="P988" t="n">
        <v>0</v>
      </c>
      <c r="Q988" t="n">
        <v>0</v>
      </c>
      <c r="R988" s="2" t="inlineStr"/>
    </row>
    <row r="989" ht="15" customHeight="1">
      <c r="A989" t="inlineStr">
        <is>
          <t>A 22900-2019</t>
        </is>
      </c>
      <c r="B989" s="1" t="n">
        <v>43587</v>
      </c>
      <c r="C989" s="1" t="n">
        <v>45662</v>
      </c>
      <c r="D989" t="inlineStr">
        <is>
          <t>NORRBOTTENS LÄN</t>
        </is>
      </c>
      <c r="E989" t="inlineStr">
        <is>
          <t>ÖVERTORNEÅ</t>
        </is>
      </c>
      <c r="G989" t="n">
        <v>0.3</v>
      </c>
      <c r="H989" t="n">
        <v>0</v>
      </c>
      <c r="I989" t="n">
        <v>0</v>
      </c>
      <c r="J989" t="n">
        <v>0</v>
      </c>
      <c r="K989" t="n">
        <v>0</v>
      </c>
      <c r="L989" t="n">
        <v>0</v>
      </c>
      <c r="M989" t="n">
        <v>0</v>
      </c>
      <c r="N989" t="n">
        <v>0</v>
      </c>
      <c r="O989" t="n">
        <v>0</v>
      </c>
      <c r="P989" t="n">
        <v>0</v>
      </c>
      <c r="Q989" t="n">
        <v>0</v>
      </c>
      <c r="R989" s="2" t="inlineStr"/>
    </row>
    <row r="990" ht="15" customHeight="1">
      <c r="A990" t="inlineStr">
        <is>
          <t>A 22564-2019</t>
        </is>
      </c>
      <c r="B990" s="1" t="n">
        <v>43587</v>
      </c>
      <c r="C990" s="1" t="n">
        <v>45662</v>
      </c>
      <c r="D990" t="inlineStr">
        <is>
          <t>NORRBOTTENS LÄN</t>
        </is>
      </c>
      <c r="E990" t="inlineStr">
        <is>
          <t>PAJALA</t>
        </is>
      </c>
      <c r="G990" t="n">
        <v>1.7</v>
      </c>
      <c r="H990" t="n">
        <v>0</v>
      </c>
      <c r="I990" t="n">
        <v>0</v>
      </c>
      <c r="J990" t="n">
        <v>0</v>
      </c>
      <c r="K990" t="n">
        <v>0</v>
      </c>
      <c r="L990" t="n">
        <v>0</v>
      </c>
      <c r="M990" t="n">
        <v>0</v>
      </c>
      <c r="N990" t="n">
        <v>0</v>
      </c>
      <c r="O990" t="n">
        <v>0</v>
      </c>
      <c r="P990" t="n">
        <v>0</v>
      </c>
      <c r="Q990" t="n">
        <v>0</v>
      </c>
      <c r="R990" s="2" t="inlineStr"/>
    </row>
    <row r="991" ht="15" customHeight="1">
      <c r="A991" t="inlineStr">
        <is>
          <t>A 22861-2019</t>
        </is>
      </c>
      <c r="B991" s="1" t="n">
        <v>43591</v>
      </c>
      <c r="C991" s="1" t="n">
        <v>45662</v>
      </c>
      <c r="D991" t="inlineStr">
        <is>
          <t>NORRBOTTENS LÄN</t>
        </is>
      </c>
      <c r="E991" t="inlineStr">
        <is>
          <t>PAJALA</t>
        </is>
      </c>
      <c r="G991" t="n">
        <v>2.2</v>
      </c>
      <c r="H991" t="n">
        <v>0</v>
      </c>
      <c r="I991" t="n">
        <v>0</v>
      </c>
      <c r="J991" t="n">
        <v>0</v>
      </c>
      <c r="K991" t="n">
        <v>0</v>
      </c>
      <c r="L991" t="n">
        <v>0</v>
      </c>
      <c r="M991" t="n">
        <v>0</v>
      </c>
      <c r="N991" t="n">
        <v>0</v>
      </c>
      <c r="O991" t="n">
        <v>0</v>
      </c>
      <c r="P991" t="n">
        <v>0</v>
      </c>
      <c r="Q991" t="n">
        <v>0</v>
      </c>
      <c r="R991" s="2" t="inlineStr"/>
    </row>
    <row r="992" ht="15" customHeight="1">
      <c r="A992" t="inlineStr">
        <is>
          <t>A 22886-2019</t>
        </is>
      </c>
      <c r="B992" s="1" t="n">
        <v>43591</v>
      </c>
      <c r="C992" s="1" t="n">
        <v>45662</v>
      </c>
      <c r="D992" t="inlineStr">
        <is>
          <t>NORRBOTTENS LÄN</t>
        </is>
      </c>
      <c r="E992" t="inlineStr">
        <is>
          <t>KALIX</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22891-2019</t>
        </is>
      </c>
      <c r="B993" s="1" t="n">
        <v>43591</v>
      </c>
      <c r="C993" s="1" t="n">
        <v>45662</v>
      </c>
      <c r="D993" t="inlineStr">
        <is>
          <t>NORRBOTTENS LÄN</t>
        </is>
      </c>
      <c r="E993" t="inlineStr">
        <is>
          <t>KALIX</t>
        </is>
      </c>
      <c r="F993" t="inlineStr">
        <is>
          <t>Sveaskog</t>
        </is>
      </c>
      <c r="G993" t="n">
        <v>6</v>
      </c>
      <c r="H993" t="n">
        <v>0</v>
      </c>
      <c r="I993" t="n">
        <v>0</v>
      </c>
      <c r="J993" t="n">
        <v>0</v>
      </c>
      <c r="K993" t="n">
        <v>0</v>
      </c>
      <c r="L993" t="n">
        <v>0</v>
      </c>
      <c r="M993" t="n">
        <v>0</v>
      </c>
      <c r="N993" t="n">
        <v>0</v>
      </c>
      <c r="O993" t="n">
        <v>0</v>
      </c>
      <c r="P993" t="n">
        <v>0</v>
      </c>
      <c r="Q993" t="n">
        <v>0</v>
      </c>
      <c r="R993" s="2" t="inlineStr"/>
    </row>
    <row r="994" ht="15" customHeight="1">
      <c r="A994" t="inlineStr">
        <is>
          <t>A 22844-2019</t>
        </is>
      </c>
      <c r="B994" s="1" t="n">
        <v>43591</v>
      </c>
      <c r="C994" s="1" t="n">
        <v>45662</v>
      </c>
      <c r="D994" t="inlineStr">
        <is>
          <t>NORRBOTTENS LÄN</t>
        </is>
      </c>
      <c r="E994" t="inlineStr">
        <is>
          <t>HAPARANDA</t>
        </is>
      </c>
      <c r="G994" t="n">
        <v>10.6</v>
      </c>
      <c r="H994" t="n">
        <v>0</v>
      </c>
      <c r="I994" t="n">
        <v>0</v>
      </c>
      <c r="J994" t="n">
        <v>0</v>
      </c>
      <c r="K994" t="n">
        <v>0</v>
      </c>
      <c r="L994" t="n">
        <v>0</v>
      </c>
      <c r="M994" t="n">
        <v>0</v>
      </c>
      <c r="N994" t="n">
        <v>0</v>
      </c>
      <c r="O994" t="n">
        <v>0</v>
      </c>
      <c r="P994" t="n">
        <v>0</v>
      </c>
      <c r="Q994" t="n">
        <v>0</v>
      </c>
      <c r="R994" s="2" t="inlineStr"/>
    </row>
    <row r="995" ht="15" customHeight="1">
      <c r="A995" t="inlineStr">
        <is>
          <t>A 22885-2019</t>
        </is>
      </c>
      <c r="B995" s="1" t="n">
        <v>43591</v>
      </c>
      <c r="C995" s="1" t="n">
        <v>45662</v>
      </c>
      <c r="D995" t="inlineStr">
        <is>
          <t>NORRBOTTENS LÄN</t>
        </is>
      </c>
      <c r="E995" t="inlineStr">
        <is>
          <t>KALIX</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22907-2019</t>
        </is>
      </c>
      <c r="B996" s="1" t="n">
        <v>43591</v>
      </c>
      <c r="C996" s="1" t="n">
        <v>45662</v>
      </c>
      <c r="D996" t="inlineStr">
        <is>
          <t>NORRBOTTENS LÄN</t>
        </is>
      </c>
      <c r="E996" t="inlineStr">
        <is>
          <t>BODEN</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22859-2019</t>
        </is>
      </c>
      <c r="B997" s="1" t="n">
        <v>43591</v>
      </c>
      <c r="C997" s="1" t="n">
        <v>45662</v>
      </c>
      <c r="D997" t="inlineStr">
        <is>
          <t>NORRBOTTENS LÄN</t>
        </is>
      </c>
      <c r="E997" t="inlineStr">
        <is>
          <t>PAJALA</t>
        </is>
      </c>
      <c r="G997" t="n">
        <v>5.4</v>
      </c>
      <c r="H997" t="n">
        <v>0</v>
      </c>
      <c r="I997" t="n">
        <v>0</v>
      </c>
      <c r="J997" t="n">
        <v>0</v>
      </c>
      <c r="K997" t="n">
        <v>0</v>
      </c>
      <c r="L997" t="n">
        <v>0</v>
      </c>
      <c r="M997" t="n">
        <v>0</v>
      </c>
      <c r="N997" t="n">
        <v>0</v>
      </c>
      <c r="O997" t="n">
        <v>0</v>
      </c>
      <c r="P997" t="n">
        <v>0</v>
      </c>
      <c r="Q997" t="n">
        <v>0</v>
      </c>
      <c r="R997" s="2" t="inlineStr"/>
    </row>
    <row r="998" ht="15" customHeight="1">
      <c r="A998" t="inlineStr">
        <is>
          <t>A 22889-2019</t>
        </is>
      </c>
      <c r="B998" s="1" t="n">
        <v>43591</v>
      </c>
      <c r="C998" s="1" t="n">
        <v>45662</v>
      </c>
      <c r="D998" t="inlineStr">
        <is>
          <t>NORRBOTTENS LÄN</t>
        </is>
      </c>
      <c r="E998" t="inlineStr">
        <is>
          <t>KALIX</t>
        </is>
      </c>
      <c r="F998" t="inlineStr">
        <is>
          <t>Sveaskog</t>
        </is>
      </c>
      <c r="G998" t="n">
        <v>14.7</v>
      </c>
      <c r="H998" t="n">
        <v>0</v>
      </c>
      <c r="I998" t="n">
        <v>0</v>
      </c>
      <c r="J998" t="n">
        <v>0</v>
      </c>
      <c r="K998" t="n">
        <v>0</v>
      </c>
      <c r="L998" t="n">
        <v>0</v>
      </c>
      <c r="M998" t="n">
        <v>0</v>
      </c>
      <c r="N998" t="n">
        <v>0</v>
      </c>
      <c r="O998" t="n">
        <v>0</v>
      </c>
      <c r="P998" t="n">
        <v>0</v>
      </c>
      <c r="Q998" t="n">
        <v>0</v>
      </c>
      <c r="R998" s="2" t="inlineStr"/>
    </row>
    <row r="999" ht="15" customHeight="1">
      <c r="A999" t="inlineStr">
        <is>
          <t>A 23083-2019</t>
        </is>
      </c>
      <c r="B999" s="1" t="n">
        <v>43591</v>
      </c>
      <c r="C999" s="1" t="n">
        <v>45662</v>
      </c>
      <c r="D999" t="inlineStr">
        <is>
          <t>NORRBOTTENS LÄN</t>
        </is>
      </c>
      <c r="E999" t="inlineStr">
        <is>
          <t>KALIX</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22890-2019</t>
        </is>
      </c>
      <c r="B1000" s="1" t="n">
        <v>43591</v>
      </c>
      <c r="C1000" s="1" t="n">
        <v>45662</v>
      </c>
      <c r="D1000" t="inlineStr">
        <is>
          <t>NORRBOTTENS LÄN</t>
        </is>
      </c>
      <c r="E1000" t="inlineStr">
        <is>
          <t>KALIX</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23082-2019</t>
        </is>
      </c>
      <c r="B1001" s="1" t="n">
        <v>43591</v>
      </c>
      <c r="C1001" s="1" t="n">
        <v>45662</v>
      </c>
      <c r="D1001" t="inlineStr">
        <is>
          <t>NORRBOTTENS LÄN</t>
        </is>
      </c>
      <c r="E1001" t="inlineStr">
        <is>
          <t>BODEN</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22883-2019</t>
        </is>
      </c>
      <c r="B1002" s="1" t="n">
        <v>43591</v>
      </c>
      <c r="C1002" s="1" t="n">
        <v>45662</v>
      </c>
      <c r="D1002" t="inlineStr">
        <is>
          <t>NORRBOTTENS LÄN</t>
        </is>
      </c>
      <c r="E1002" t="inlineStr">
        <is>
          <t>KALIX</t>
        </is>
      </c>
      <c r="F1002" t="inlineStr">
        <is>
          <t>Sveaskog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23152-2019</t>
        </is>
      </c>
      <c r="B1003" s="1" t="n">
        <v>43591</v>
      </c>
      <c r="C1003" s="1" t="n">
        <v>45662</v>
      </c>
      <c r="D1003" t="inlineStr">
        <is>
          <t>NORRBOTTENS LÄN</t>
        </is>
      </c>
      <c r="E1003" t="inlineStr">
        <is>
          <t>BODEN</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22887-2019</t>
        </is>
      </c>
      <c r="B1004" s="1" t="n">
        <v>43591</v>
      </c>
      <c r="C1004" s="1" t="n">
        <v>45662</v>
      </c>
      <c r="D1004" t="inlineStr">
        <is>
          <t>NORRBOTTENS LÄN</t>
        </is>
      </c>
      <c r="E1004" t="inlineStr">
        <is>
          <t>KALIX</t>
        </is>
      </c>
      <c r="F1004" t="inlineStr">
        <is>
          <t>Sveaskog</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22850-2019</t>
        </is>
      </c>
      <c r="B1005" s="1" t="n">
        <v>43591</v>
      </c>
      <c r="C1005" s="1" t="n">
        <v>45662</v>
      </c>
      <c r="D1005" t="inlineStr">
        <is>
          <t>NORRBOTTENS LÄN</t>
        </is>
      </c>
      <c r="E1005" t="inlineStr">
        <is>
          <t>HAPARANDA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23382-2019</t>
        </is>
      </c>
      <c r="B1006" s="1" t="n">
        <v>43592</v>
      </c>
      <c r="C1006" s="1" t="n">
        <v>45662</v>
      </c>
      <c r="D1006" t="inlineStr">
        <is>
          <t>NORRBOTTENS LÄN</t>
        </is>
      </c>
      <c r="E1006" t="inlineStr">
        <is>
          <t>HAPARANDA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23162-2019</t>
        </is>
      </c>
      <c r="B1007" s="1" t="n">
        <v>43592</v>
      </c>
      <c r="C1007" s="1" t="n">
        <v>45662</v>
      </c>
      <c r="D1007" t="inlineStr">
        <is>
          <t>NORRBOTTENS LÄN</t>
        </is>
      </c>
      <c r="E1007" t="inlineStr">
        <is>
          <t>KALIX</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23334-2019</t>
        </is>
      </c>
      <c r="B1008" s="1" t="n">
        <v>43592</v>
      </c>
      <c r="C1008" s="1" t="n">
        <v>45662</v>
      </c>
      <c r="D1008" t="inlineStr">
        <is>
          <t>NORRBOTTENS LÄN</t>
        </is>
      </c>
      <c r="E1008" t="inlineStr">
        <is>
          <t>HAPARANDA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23356-2019</t>
        </is>
      </c>
      <c r="B1009" s="1" t="n">
        <v>43592</v>
      </c>
      <c r="C1009" s="1" t="n">
        <v>45662</v>
      </c>
      <c r="D1009" t="inlineStr">
        <is>
          <t>NORRBOTTENS LÄN</t>
        </is>
      </c>
      <c r="E1009" t="inlineStr">
        <is>
          <t>HAPARANDA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23449-2019</t>
        </is>
      </c>
      <c r="B1010" s="1" t="n">
        <v>43593</v>
      </c>
      <c r="C1010" s="1" t="n">
        <v>45662</v>
      </c>
      <c r="D1010" t="inlineStr">
        <is>
          <t>NORRBOTTENS LÄN</t>
        </is>
      </c>
      <c r="E1010" t="inlineStr">
        <is>
          <t>ÖVERTORNEÅ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23312-2019</t>
        </is>
      </c>
      <c r="B1011" s="1" t="n">
        <v>43593</v>
      </c>
      <c r="C1011" s="1" t="n">
        <v>45662</v>
      </c>
      <c r="D1011" t="inlineStr">
        <is>
          <t>NORRBOTTENS LÄN</t>
        </is>
      </c>
      <c r="E1011" t="inlineStr">
        <is>
          <t>BODEN</t>
        </is>
      </c>
      <c r="F1011" t="inlineStr">
        <is>
          <t>Övriga Aktiebolag</t>
        </is>
      </c>
      <c r="G1011" t="n">
        <v>2.7</v>
      </c>
      <c r="H1011" t="n">
        <v>0</v>
      </c>
      <c r="I1011" t="n">
        <v>0</v>
      </c>
      <c r="J1011" t="n">
        <v>0</v>
      </c>
      <c r="K1011" t="n">
        <v>0</v>
      </c>
      <c r="L1011" t="n">
        <v>0</v>
      </c>
      <c r="M1011" t="n">
        <v>0</v>
      </c>
      <c r="N1011" t="n">
        <v>0</v>
      </c>
      <c r="O1011" t="n">
        <v>0</v>
      </c>
      <c r="P1011" t="n">
        <v>0</v>
      </c>
      <c r="Q1011" t="n">
        <v>0</v>
      </c>
      <c r="R1011" s="2" t="inlineStr"/>
      <c r="U1011">
        <f>HYPERLINK("https://klasma.github.io/Logging_2582/knärot/A 23312-2019 karta knärot.png", "A 23312-2019")</f>
        <v/>
      </c>
      <c r="V1011">
        <f>HYPERLINK("https://klasma.github.io/Logging_2582/klagomål/A 23312-2019 FSC-klagomål.docx", "A 23312-2019")</f>
        <v/>
      </c>
      <c r="W1011">
        <f>HYPERLINK("https://klasma.github.io/Logging_2582/klagomålsmail/A 23312-2019 FSC-klagomål mail.docx", "A 23312-2019")</f>
        <v/>
      </c>
      <c r="X1011">
        <f>HYPERLINK("https://klasma.github.io/Logging_2582/tillsyn/A 23312-2019 tillsynsbegäran.docx", "A 23312-2019")</f>
        <v/>
      </c>
      <c r="Y1011">
        <f>HYPERLINK("https://klasma.github.io/Logging_2582/tillsynsmail/A 23312-2019 tillsynsbegäran mail.docx", "A 23312-2019")</f>
        <v/>
      </c>
    </row>
    <row r="1012" ht="15" customHeight="1">
      <c r="A1012" t="inlineStr">
        <is>
          <t>A 23610-2019</t>
        </is>
      </c>
      <c r="B1012" s="1" t="n">
        <v>43594</v>
      </c>
      <c r="C1012" s="1" t="n">
        <v>45662</v>
      </c>
      <c r="D1012" t="inlineStr">
        <is>
          <t>NORRBOTTENS LÄN</t>
        </is>
      </c>
      <c r="E1012" t="inlineStr">
        <is>
          <t>ÄLVSBYN</t>
        </is>
      </c>
      <c r="F1012" t="inlineStr">
        <is>
          <t>Kommuner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23647-2019</t>
        </is>
      </c>
      <c r="B1013" s="1" t="n">
        <v>43594</v>
      </c>
      <c r="C1013" s="1" t="n">
        <v>45662</v>
      </c>
      <c r="D1013" t="inlineStr">
        <is>
          <t>NORRBOTTENS LÄN</t>
        </is>
      </c>
      <c r="E1013" t="inlineStr">
        <is>
          <t>ÄLVSBYN</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23628-2019</t>
        </is>
      </c>
      <c r="B1014" s="1" t="n">
        <v>43594</v>
      </c>
      <c r="C1014" s="1" t="n">
        <v>45662</v>
      </c>
      <c r="D1014" t="inlineStr">
        <is>
          <t>NORRBOTTENS LÄN</t>
        </is>
      </c>
      <c r="E1014" t="inlineStr">
        <is>
          <t>PAJALA</t>
        </is>
      </c>
      <c r="G1014" t="n">
        <v>55.9</v>
      </c>
      <c r="H1014" t="n">
        <v>0</v>
      </c>
      <c r="I1014" t="n">
        <v>0</v>
      </c>
      <c r="J1014" t="n">
        <v>0</v>
      </c>
      <c r="K1014" t="n">
        <v>0</v>
      </c>
      <c r="L1014" t="n">
        <v>0</v>
      </c>
      <c r="M1014" t="n">
        <v>0</v>
      </c>
      <c r="N1014" t="n">
        <v>0</v>
      </c>
      <c r="O1014" t="n">
        <v>0</v>
      </c>
      <c r="P1014" t="n">
        <v>0</v>
      </c>
      <c r="Q1014" t="n">
        <v>0</v>
      </c>
      <c r="R1014" s="2" t="inlineStr"/>
    </row>
    <row r="1015" ht="15" customHeight="1">
      <c r="A1015" t="inlineStr">
        <is>
          <t>A 23642-2019</t>
        </is>
      </c>
      <c r="B1015" s="1" t="n">
        <v>43594</v>
      </c>
      <c r="C1015" s="1" t="n">
        <v>45662</v>
      </c>
      <c r="D1015" t="inlineStr">
        <is>
          <t>NORRBOTTENS LÄN</t>
        </is>
      </c>
      <c r="E1015" t="inlineStr">
        <is>
          <t>ÄLVSBYN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23806-2019</t>
        </is>
      </c>
      <c r="B1016" s="1" t="n">
        <v>43595</v>
      </c>
      <c r="C1016" s="1" t="n">
        <v>45662</v>
      </c>
      <c r="D1016" t="inlineStr">
        <is>
          <t>NORRBOTTENS LÄN</t>
        </is>
      </c>
      <c r="E1016" t="inlineStr">
        <is>
          <t>GÄLLIVARE</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23812-2019</t>
        </is>
      </c>
      <c r="B1017" s="1" t="n">
        <v>43595</v>
      </c>
      <c r="C1017" s="1" t="n">
        <v>45662</v>
      </c>
      <c r="D1017" t="inlineStr">
        <is>
          <t>NORRBOTTENS LÄN</t>
        </is>
      </c>
      <c r="E1017" t="inlineStr">
        <is>
          <t>GÄLLIVARE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23880-2019</t>
        </is>
      </c>
      <c r="B1018" s="1" t="n">
        <v>43595</v>
      </c>
      <c r="C1018" s="1" t="n">
        <v>45662</v>
      </c>
      <c r="D1018" t="inlineStr">
        <is>
          <t>NORRBOTTENS LÄN</t>
        </is>
      </c>
      <c r="E1018" t="inlineStr">
        <is>
          <t>GÄLLIVARE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24255-2019</t>
        </is>
      </c>
      <c r="B1019" s="1" t="n">
        <v>43597</v>
      </c>
      <c r="C1019" s="1" t="n">
        <v>45662</v>
      </c>
      <c r="D1019" t="inlineStr">
        <is>
          <t>NORRBOTTENS LÄN</t>
        </is>
      </c>
      <c r="E1019" t="inlineStr">
        <is>
          <t>ARVIDSJAUR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24129-2019</t>
        </is>
      </c>
      <c r="B1020" s="1" t="n">
        <v>43598</v>
      </c>
      <c r="C1020" s="1" t="n">
        <v>45662</v>
      </c>
      <c r="D1020" t="inlineStr">
        <is>
          <t>NORRBOTTENS LÄN</t>
        </is>
      </c>
      <c r="E1020" t="inlineStr">
        <is>
          <t>ÄLVSBYN</t>
        </is>
      </c>
      <c r="F1020" t="inlineStr">
        <is>
          <t>Sveaskog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24156-2019</t>
        </is>
      </c>
      <c r="B1021" s="1" t="n">
        <v>43598</v>
      </c>
      <c r="C1021" s="1" t="n">
        <v>45662</v>
      </c>
      <c r="D1021" t="inlineStr">
        <is>
          <t>NORRBOTTENS LÄN</t>
        </is>
      </c>
      <c r="E1021" t="inlineStr">
        <is>
          <t>BODEN</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24062-2019</t>
        </is>
      </c>
      <c r="B1022" s="1" t="n">
        <v>43598</v>
      </c>
      <c r="C1022" s="1" t="n">
        <v>45662</v>
      </c>
      <c r="D1022" t="inlineStr">
        <is>
          <t>NORRBOTTENS LÄN</t>
        </is>
      </c>
      <c r="E1022" t="inlineStr">
        <is>
          <t>KALIX</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24885-2019</t>
        </is>
      </c>
      <c r="B1023" s="1" t="n">
        <v>43599</v>
      </c>
      <c r="C1023" s="1" t="n">
        <v>45662</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24847-2019</t>
        </is>
      </c>
      <c r="B1024" s="1" t="n">
        <v>43599</v>
      </c>
      <c r="C1024" s="1" t="n">
        <v>45662</v>
      </c>
      <c r="D1024" t="inlineStr">
        <is>
          <t>NORRBOTTENS LÄN</t>
        </is>
      </c>
      <c r="E1024" t="inlineStr">
        <is>
          <t>PAJALA</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24474-2019</t>
        </is>
      </c>
      <c r="B1025" s="1" t="n">
        <v>43600</v>
      </c>
      <c r="C1025" s="1" t="n">
        <v>45662</v>
      </c>
      <c r="D1025" t="inlineStr">
        <is>
          <t>NORRBOTTENS LÄN</t>
        </is>
      </c>
      <c r="E1025" t="inlineStr">
        <is>
          <t>ÖVERTORNEÅ</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24564-2019</t>
        </is>
      </c>
      <c r="B1026" s="1" t="n">
        <v>43600</v>
      </c>
      <c r="C1026" s="1" t="n">
        <v>45662</v>
      </c>
      <c r="D1026" t="inlineStr">
        <is>
          <t>NORRBOTTENS LÄN</t>
        </is>
      </c>
      <c r="E1026" t="inlineStr">
        <is>
          <t>BODEN</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24996-2019</t>
        </is>
      </c>
      <c r="B1027" s="1" t="n">
        <v>43600</v>
      </c>
      <c r="C1027" s="1" t="n">
        <v>45662</v>
      </c>
      <c r="D1027" t="inlineStr">
        <is>
          <t>NORRBOTTENS LÄN</t>
        </is>
      </c>
      <c r="E1027" t="inlineStr">
        <is>
          <t>GÄLLIVARE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25214-2019</t>
        </is>
      </c>
      <c r="B1028" s="1" t="n">
        <v>43600</v>
      </c>
      <c r="C1028" s="1" t="n">
        <v>45662</v>
      </c>
      <c r="D1028" t="inlineStr">
        <is>
          <t>NORRBOTTENS LÄN</t>
        </is>
      </c>
      <c r="E1028" t="inlineStr">
        <is>
          <t>ÄLVSBYN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25107-2019</t>
        </is>
      </c>
      <c r="B1029" s="1" t="n">
        <v>43600</v>
      </c>
      <c r="C1029" s="1" t="n">
        <v>45662</v>
      </c>
      <c r="D1029" t="inlineStr">
        <is>
          <t>NORRBOTTENS LÄN</t>
        </is>
      </c>
      <c r="E1029" t="inlineStr">
        <is>
          <t>ARJEPLOG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25217-2019</t>
        </is>
      </c>
      <c r="B1030" s="1" t="n">
        <v>43601</v>
      </c>
      <c r="C1030" s="1" t="n">
        <v>45662</v>
      </c>
      <c r="D1030" t="inlineStr">
        <is>
          <t>NORRBOTTENS LÄN</t>
        </is>
      </c>
      <c r="E1030" t="inlineStr">
        <is>
          <t>ARVIDSJAUR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25240-2019</t>
        </is>
      </c>
      <c r="B1031" s="1" t="n">
        <v>43601</v>
      </c>
      <c r="C1031" s="1" t="n">
        <v>45662</v>
      </c>
      <c r="D1031" t="inlineStr">
        <is>
          <t>NORRBOTTENS LÄN</t>
        </is>
      </c>
      <c r="E1031" t="inlineStr">
        <is>
          <t>HAPARANDA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25269-2019</t>
        </is>
      </c>
      <c r="B1032" s="1" t="n">
        <v>43601</v>
      </c>
      <c r="C1032" s="1" t="n">
        <v>45662</v>
      </c>
      <c r="D1032" t="inlineStr">
        <is>
          <t>NORRBOTTENS LÄN</t>
        </is>
      </c>
      <c r="E1032" t="inlineStr">
        <is>
          <t>HAPARANDA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25264-2019</t>
        </is>
      </c>
      <c r="B1033" s="1" t="n">
        <v>43601</v>
      </c>
      <c r="C1033" s="1" t="n">
        <v>45662</v>
      </c>
      <c r="D1033" t="inlineStr">
        <is>
          <t>NORRBOTTENS LÄN</t>
        </is>
      </c>
      <c r="E1033" t="inlineStr">
        <is>
          <t>HAPARANDA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25244-2019</t>
        </is>
      </c>
      <c r="B1034" s="1" t="n">
        <v>43601</v>
      </c>
      <c r="C1034" s="1" t="n">
        <v>45662</v>
      </c>
      <c r="D1034" t="inlineStr">
        <is>
          <t>NORRBOTTENS LÄN</t>
        </is>
      </c>
      <c r="E1034" t="inlineStr">
        <is>
          <t>HAPARANDA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24920-2019</t>
        </is>
      </c>
      <c r="B1035" s="1" t="n">
        <v>43602</v>
      </c>
      <c r="C1035" s="1" t="n">
        <v>45662</v>
      </c>
      <c r="D1035" t="inlineStr">
        <is>
          <t>NORRBOTTENS LÄN</t>
        </is>
      </c>
      <c r="E1035" t="inlineStr">
        <is>
          <t>ARVIDSJAUR</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25606-2019</t>
        </is>
      </c>
      <c r="B1036" s="1" t="n">
        <v>43602</v>
      </c>
      <c r="C1036" s="1" t="n">
        <v>45662</v>
      </c>
      <c r="D1036" t="inlineStr">
        <is>
          <t>NORRBOTTENS LÄN</t>
        </is>
      </c>
      <c r="E1036" t="inlineStr">
        <is>
          <t>JOKKMOKK</t>
        </is>
      </c>
      <c r="F1036" t="inlineStr">
        <is>
          <t>Allmännings- och besparingsskogar</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24865-2019</t>
        </is>
      </c>
      <c r="B1037" s="1" t="n">
        <v>43602</v>
      </c>
      <c r="C1037" s="1" t="n">
        <v>45662</v>
      </c>
      <c r="D1037" t="inlineStr">
        <is>
          <t>NORRBOTTENS LÄN</t>
        </is>
      </c>
      <c r="E1037" t="inlineStr">
        <is>
          <t>ARVIDSJAUR</t>
        </is>
      </c>
      <c r="F1037" t="inlineStr">
        <is>
          <t>Sveaskog</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24943-2019</t>
        </is>
      </c>
      <c r="B1038" s="1" t="n">
        <v>43602</v>
      </c>
      <c r="C1038" s="1" t="n">
        <v>45662</v>
      </c>
      <c r="D1038" t="inlineStr">
        <is>
          <t>NORRBOTTENS LÄN</t>
        </is>
      </c>
      <c r="E1038" t="inlineStr">
        <is>
          <t>ARJEPLOG</t>
        </is>
      </c>
      <c r="F1038" t="inlineStr">
        <is>
          <t>Sveaskog</t>
        </is>
      </c>
      <c r="G1038" t="n">
        <v>19.5</v>
      </c>
      <c r="H1038" t="n">
        <v>0</v>
      </c>
      <c r="I1038" t="n">
        <v>0</v>
      </c>
      <c r="J1038" t="n">
        <v>0</v>
      </c>
      <c r="K1038" t="n">
        <v>0</v>
      </c>
      <c r="L1038" t="n">
        <v>0</v>
      </c>
      <c r="M1038" t="n">
        <v>0</v>
      </c>
      <c r="N1038" t="n">
        <v>0</v>
      </c>
      <c r="O1038" t="n">
        <v>0</v>
      </c>
      <c r="P1038" t="n">
        <v>0</v>
      </c>
      <c r="Q1038" t="n">
        <v>0</v>
      </c>
      <c r="R1038" s="2" t="inlineStr"/>
    </row>
    <row r="1039" ht="15" customHeight="1">
      <c r="A1039" t="inlineStr">
        <is>
          <t>A 24999-2019</t>
        </is>
      </c>
      <c r="B1039" s="1" t="n">
        <v>43602</v>
      </c>
      <c r="C1039" s="1" t="n">
        <v>45662</v>
      </c>
      <c r="D1039" t="inlineStr">
        <is>
          <t>NORRBOTTENS LÄN</t>
        </is>
      </c>
      <c r="E1039" t="inlineStr">
        <is>
          <t>ARVIDSJAUR</t>
        </is>
      </c>
      <c r="F1039" t="inlineStr">
        <is>
          <t>Sveaskog</t>
        </is>
      </c>
      <c r="G1039" t="n">
        <v>68.09999999999999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24945-2019</t>
        </is>
      </c>
      <c r="B1040" s="1" t="n">
        <v>43602</v>
      </c>
      <c r="C1040" s="1" t="n">
        <v>45662</v>
      </c>
      <c r="D1040" t="inlineStr">
        <is>
          <t>NORRBOTTENS LÄN</t>
        </is>
      </c>
      <c r="E1040" t="inlineStr">
        <is>
          <t>ARVIDSJAUR</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24901-2019</t>
        </is>
      </c>
      <c r="B1041" s="1" t="n">
        <v>43602</v>
      </c>
      <c r="C1041" s="1" t="n">
        <v>45662</v>
      </c>
      <c r="D1041" t="inlineStr">
        <is>
          <t>NORRBOTTENS LÄN</t>
        </is>
      </c>
      <c r="E1041" t="inlineStr">
        <is>
          <t>PAJALA</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24870-2019</t>
        </is>
      </c>
      <c r="B1042" s="1" t="n">
        <v>43602</v>
      </c>
      <c r="C1042" s="1" t="n">
        <v>45662</v>
      </c>
      <c r="D1042" t="inlineStr">
        <is>
          <t>NORRBOTTENS LÄN</t>
        </is>
      </c>
      <c r="E1042" t="inlineStr">
        <is>
          <t>ARVIDSJAUR</t>
        </is>
      </c>
      <c r="F1042" t="inlineStr">
        <is>
          <t>Sveaskog</t>
        </is>
      </c>
      <c r="G1042" t="n">
        <v>85.2</v>
      </c>
      <c r="H1042" t="n">
        <v>0</v>
      </c>
      <c r="I1042" t="n">
        <v>0</v>
      </c>
      <c r="J1042" t="n">
        <v>0</v>
      </c>
      <c r="K1042" t="n">
        <v>0</v>
      </c>
      <c r="L1042" t="n">
        <v>0</v>
      </c>
      <c r="M1042" t="n">
        <v>0</v>
      </c>
      <c r="N1042" t="n">
        <v>0</v>
      </c>
      <c r="O1042" t="n">
        <v>0</v>
      </c>
      <c r="P1042" t="n">
        <v>0</v>
      </c>
      <c r="Q1042" t="n">
        <v>0</v>
      </c>
      <c r="R1042" s="2" t="inlineStr"/>
    </row>
    <row r="1043" ht="15" customHeight="1">
      <c r="A1043" t="inlineStr">
        <is>
          <t>A 24837-2019</t>
        </is>
      </c>
      <c r="B1043" s="1" t="n">
        <v>43602</v>
      </c>
      <c r="C1043" s="1" t="n">
        <v>45662</v>
      </c>
      <c r="D1043" t="inlineStr">
        <is>
          <t>NORRBOTTENS LÄN</t>
        </is>
      </c>
      <c r="E1043" t="inlineStr">
        <is>
          <t>BODEN</t>
        </is>
      </c>
      <c r="F1043" t="inlineStr">
        <is>
          <t>Övriga Aktiebolag</t>
        </is>
      </c>
      <c r="G1043" t="n">
        <v>24.6</v>
      </c>
      <c r="H1043" t="n">
        <v>0</v>
      </c>
      <c r="I1043" t="n">
        <v>0</v>
      </c>
      <c r="J1043" t="n">
        <v>0</v>
      </c>
      <c r="K1043" t="n">
        <v>0</v>
      </c>
      <c r="L1043" t="n">
        <v>0</v>
      </c>
      <c r="M1043" t="n">
        <v>0</v>
      </c>
      <c r="N1043" t="n">
        <v>0</v>
      </c>
      <c r="O1043" t="n">
        <v>0</v>
      </c>
      <c r="P1043" t="n">
        <v>0</v>
      </c>
      <c r="Q1043" t="n">
        <v>0</v>
      </c>
      <c r="R1043" s="2" t="inlineStr"/>
    </row>
    <row r="1044" ht="15" customHeight="1">
      <c r="A1044" t="inlineStr">
        <is>
          <t>A 24838-2019</t>
        </is>
      </c>
      <c r="B1044" s="1" t="n">
        <v>43602</v>
      </c>
      <c r="C1044" s="1" t="n">
        <v>45662</v>
      </c>
      <c r="D1044" t="inlineStr">
        <is>
          <t>NORRBOTTENS LÄN</t>
        </is>
      </c>
      <c r="E1044" t="inlineStr">
        <is>
          <t>BODEN</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25208-2019</t>
        </is>
      </c>
      <c r="B1045" s="1" t="n">
        <v>43605</v>
      </c>
      <c r="C1045" s="1" t="n">
        <v>45662</v>
      </c>
      <c r="D1045" t="inlineStr">
        <is>
          <t>NORRBOTTENS LÄN</t>
        </is>
      </c>
      <c r="E1045" t="inlineStr">
        <is>
          <t>LULEÅ</t>
        </is>
      </c>
      <c r="G1045" t="n">
        <v>25.8</v>
      </c>
      <c r="H1045" t="n">
        <v>0</v>
      </c>
      <c r="I1045" t="n">
        <v>0</v>
      </c>
      <c r="J1045" t="n">
        <v>0</v>
      </c>
      <c r="K1045" t="n">
        <v>0</v>
      </c>
      <c r="L1045" t="n">
        <v>0</v>
      </c>
      <c r="M1045" t="n">
        <v>0</v>
      </c>
      <c r="N1045" t="n">
        <v>0</v>
      </c>
      <c r="O1045" t="n">
        <v>0</v>
      </c>
      <c r="P1045" t="n">
        <v>0</v>
      </c>
      <c r="Q1045" t="n">
        <v>0</v>
      </c>
      <c r="R1045" s="2" t="inlineStr"/>
    </row>
    <row r="1046" ht="15" customHeight="1">
      <c r="A1046" t="inlineStr">
        <is>
          <t>A 25212-2019</t>
        </is>
      </c>
      <c r="B1046" s="1" t="n">
        <v>43605</v>
      </c>
      <c r="C1046" s="1" t="n">
        <v>45662</v>
      </c>
      <c r="D1046" t="inlineStr">
        <is>
          <t>NORRBOTTENS LÄN</t>
        </is>
      </c>
      <c r="E1046" t="inlineStr">
        <is>
          <t>LULEÅ</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25253-2019</t>
        </is>
      </c>
      <c r="B1047" s="1" t="n">
        <v>43605</v>
      </c>
      <c r="C1047" s="1" t="n">
        <v>45662</v>
      </c>
      <c r="D1047" t="inlineStr">
        <is>
          <t>NORRBOTTENS LÄN</t>
        </is>
      </c>
      <c r="E1047" t="inlineStr">
        <is>
          <t>ARVIDSJAUR</t>
        </is>
      </c>
      <c r="F1047" t="inlineStr">
        <is>
          <t>Sveaskog</t>
        </is>
      </c>
      <c r="G1047" t="n">
        <v>43.2</v>
      </c>
      <c r="H1047" t="n">
        <v>0</v>
      </c>
      <c r="I1047" t="n">
        <v>0</v>
      </c>
      <c r="J1047" t="n">
        <v>0</v>
      </c>
      <c r="K1047" t="n">
        <v>0</v>
      </c>
      <c r="L1047" t="n">
        <v>0</v>
      </c>
      <c r="M1047" t="n">
        <v>0</v>
      </c>
      <c r="N1047" t="n">
        <v>0</v>
      </c>
      <c r="O1047" t="n">
        <v>0</v>
      </c>
      <c r="P1047" t="n">
        <v>0</v>
      </c>
      <c r="Q1047" t="n">
        <v>0</v>
      </c>
      <c r="R1047" s="2" t="inlineStr"/>
    </row>
    <row r="1048" ht="15" customHeight="1">
      <c r="A1048" t="inlineStr">
        <is>
          <t>A 26099-2019</t>
        </is>
      </c>
      <c r="B1048" s="1" t="n">
        <v>43605</v>
      </c>
      <c r="C1048" s="1" t="n">
        <v>45662</v>
      </c>
      <c r="D1048" t="inlineStr">
        <is>
          <t>NORRBOTTENS LÄN</t>
        </is>
      </c>
      <c r="E1048" t="inlineStr">
        <is>
          <t>ARJEPLOG</t>
        </is>
      </c>
      <c r="F1048" t="inlineStr">
        <is>
          <t>Övriga statliga verk och myndigheter</t>
        </is>
      </c>
      <c r="G1048" t="n">
        <v>40.2</v>
      </c>
      <c r="H1048" t="n">
        <v>0</v>
      </c>
      <c r="I1048" t="n">
        <v>0</v>
      </c>
      <c r="J1048" t="n">
        <v>0</v>
      </c>
      <c r="K1048" t="n">
        <v>0</v>
      </c>
      <c r="L1048" t="n">
        <v>0</v>
      </c>
      <c r="M1048" t="n">
        <v>0</v>
      </c>
      <c r="N1048" t="n">
        <v>0</v>
      </c>
      <c r="O1048" t="n">
        <v>0</v>
      </c>
      <c r="P1048" t="n">
        <v>0</v>
      </c>
      <c r="Q1048" t="n">
        <v>0</v>
      </c>
      <c r="R1048" s="2" t="inlineStr"/>
    </row>
    <row r="1049" ht="15" customHeight="1">
      <c r="A1049" t="inlineStr">
        <is>
          <t>A 25274-2019</t>
        </is>
      </c>
      <c r="B1049" s="1" t="n">
        <v>43605</v>
      </c>
      <c r="C1049" s="1" t="n">
        <v>45662</v>
      </c>
      <c r="D1049" t="inlineStr">
        <is>
          <t>NORRBOTTENS LÄN</t>
        </is>
      </c>
      <c r="E1049" t="inlineStr">
        <is>
          <t>ARVIDSJAUR</t>
        </is>
      </c>
      <c r="F1049" t="inlineStr">
        <is>
          <t>Sveaskog</t>
        </is>
      </c>
      <c r="G1049" t="n">
        <v>35.4</v>
      </c>
      <c r="H1049" t="n">
        <v>0</v>
      </c>
      <c r="I1049" t="n">
        <v>0</v>
      </c>
      <c r="J1049" t="n">
        <v>0</v>
      </c>
      <c r="K1049" t="n">
        <v>0</v>
      </c>
      <c r="L1049" t="n">
        <v>0</v>
      </c>
      <c r="M1049" t="n">
        <v>0</v>
      </c>
      <c r="N1049" t="n">
        <v>0</v>
      </c>
      <c r="O1049" t="n">
        <v>0</v>
      </c>
      <c r="P1049" t="n">
        <v>0</v>
      </c>
      <c r="Q1049" t="n">
        <v>0</v>
      </c>
      <c r="R1049" s="2" t="inlineStr"/>
    </row>
    <row r="1050" ht="15" customHeight="1">
      <c r="A1050" t="inlineStr">
        <is>
          <t>A 26101-2019</t>
        </is>
      </c>
      <c r="B1050" s="1" t="n">
        <v>43605</v>
      </c>
      <c r="C1050" s="1" t="n">
        <v>45662</v>
      </c>
      <c r="D1050" t="inlineStr">
        <is>
          <t>NORRBOTTENS LÄN</t>
        </is>
      </c>
      <c r="E1050" t="inlineStr">
        <is>
          <t>ÖVERTORNEÅ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25437-2019</t>
        </is>
      </c>
      <c r="B1051" s="1" t="n">
        <v>43605</v>
      </c>
      <c r="C1051" s="1" t="n">
        <v>45662</v>
      </c>
      <c r="D1051" t="inlineStr">
        <is>
          <t>NORRBOTTENS LÄN</t>
        </is>
      </c>
      <c r="E1051" t="inlineStr">
        <is>
          <t>ARVIDSJAUR</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25887-2019</t>
        </is>
      </c>
      <c r="B1052" s="1" t="n">
        <v>43605</v>
      </c>
      <c r="C1052" s="1" t="n">
        <v>45662</v>
      </c>
      <c r="D1052" t="inlineStr">
        <is>
          <t>NORRBOTTENS LÄN</t>
        </is>
      </c>
      <c r="E1052" t="inlineStr">
        <is>
          <t>PITEÅ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25351-2019</t>
        </is>
      </c>
      <c r="B1053" s="1" t="n">
        <v>43606</v>
      </c>
      <c r="C1053" s="1" t="n">
        <v>45662</v>
      </c>
      <c r="D1053" t="inlineStr">
        <is>
          <t>NORRBOTTENS LÄN</t>
        </is>
      </c>
      <c r="E1053" t="inlineStr">
        <is>
          <t>JOKKMOKK</t>
        </is>
      </c>
      <c r="F1053" t="inlineStr">
        <is>
          <t>Sveaskog</t>
        </is>
      </c>
      <c r="G1053" t="n">
        <v>47.8</v>
      </c>
      <c r="H1053" t="n">
        <v>0</v>
      </c>
      <c r="I1053" t="n">
        <v>0</v>
      </c>
      <c r="J1053" t="n">
        <v>0</v>
      </c>
      <c r="K1053" t="n">
        <v>0</v>
      </c>
      <c r="L1053" t="n">
        <v>0</v>
      </c>
      <c r="M1053" t="n">
        <v>0</v>
      </c>
      <c r="N1053" t="n">
        <v>0</v>
      </c>
      <c r="O1053" t="n">
        <v>0</v>
      </c>
      <c r="P1053" t="n">
        <v>0</v>
      </c>
      <c r="Q1053" t="n">
        <v>0</v>
      </c>
      <c r="R1053" s="2" t="inlineStr"/>
    </row>
    <row r="1054" ht="15" customHeight="1">
      <c r="A1054" t="inlineStr">
        <is>
          <t>A 25352-2019</t>
        </is>
      </c>
      <c r="B1054" s="1" t="n">
        <v>43606</v>
      </c>
      <c r="C1054" s="1" t="n">
        <v>45662</v>
      </c>
      <c r="D1054" t="inlineStr">
        <is>
          <t>NORRBOTTENS LÄN</t>
        </is>
      </c>
      <c r="E1054" t="inlineStr">
        <is>
          <t>JOKKMOKK</t>
        </is>
      </c>
      <c r="F1054" t="inlineStr">
        <is>
          <t>Sveaskog</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25660-2019</t>
        </is>
      </c>
      <c r="B1055" s="1" t="n">
        <v>43607</v>
      </c>
      <c r="C1055" s="1" t="n">
        <v>45662</v>
      </c>
      <c r="D1055" t="inlineStr">
        <is>
          <t>NORRBOTTENS LÄN</t>
        </is>
      </c>
      <c r="E1055" t="inlineStr">
        <is>
          <t>ÖVERTORNEÅ</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26818-2019</t>
        </is>
      </c>
      <c r="B1056" s="1" t="n">
        <v>43607</v>
      </c>
      <c r="C1056" s="1" t="n">
        <v>45662</v>
      </c>
      <c r="D1056" t="inlineStr">
        <is>
          <t>NORRBOTTENS LÄN</t>
        </is>
      </c>
      <c r="E1056" t="inlineStr">
        <is>
          <t>ÄLVSBYN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26865-2019</t>
        </is>
      </c>
      <c r="B1057" s="1" t="n">
        <v>43608</v>
      </c>
      <c r="C1057" s="1" t="n">
        <v>45662</v>
      </c>
      <c r="D1057" t="inlineStr">
        <is>
          <t>NORRBOTTENS LÄN</t>
        </is>
      </c>
      <c r="E1057" t="inlineStr">
        <is>
          <t>ÖVERTORNEÅ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26745-2019</t>
        </is>
      </c>
      <c r="B1058" s="1" t="n">
        <v>43608</v>
      </c>
      <c r="C1058" s="1" t="n">
        <v>45662</v>
      </c>
      <c r="D1058" t="inlineStr">
        <is>
          <t>NORRBOTTENS LÄN</t>
        </is>
      </c>
      <c r="E1058" t="inlineStr">
        <is>
          <t>PITEÅ</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27123-2019</t>
        </is>
      </c>
      <c r="B1059" s="1" t="n">
        <v>43608</v>
      </c>
      <c r="C1059" s="1" t="n">
        <v>45662</v>
      </c>
      <c r="D1059" t="inlineStr">
        <is>
          <t>NORRBOTTENS LÄN</t>
        </is>
      </c>
      <c r="E1059" t="inlineStr">
        <is>
          <t>KALIX</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25981-2019</t>
        </is>
      </c>
      <c r="B1060" s="1" t="n">
        <v>43608</v>
      </c>
      <c r="C1060" s="1" t="n">
        <v>45662</v>
      </c>
      <c r="D1060" t="inlineStr">
        <is>
          <t>NORRBOTTENS LÄN</t>
        </is>
      </c>
      <c r="E1060" t="inlineStr">
        <is>
          <t>JOKKMOKK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27131-2019</t>
        </is>
      </c>
      <c r="B1061" s="1" t="n">
        <v>43608</v>
      </c>
      <c r="C1061" s="1" t="n">
        <v>45662</v>
      </c>
      <c r="D1061" t="inlineStr">
        <is>
          <t>NORRBOTTENS LÄN</t>
        </is>
      </c>
      <c r="E1061" t="inlineStr">
        <is>
          <t>KALIX</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25834-2019</t>
        </is>
      </c>
      <c r="B1062" s="1" t="n">
        <v>43608</v>
      </c>
      <c r="C1062" s="1" t="n">
        <v>45662</v>
      </c>
      <c r="D1062" t="inlineStr">
        <is>
          <t>NORRBOTTENS LÄN</t>
        </is>
      </c>
      <c r="E1062" t="inlineStr">
        <is>
          <t>PAJALA</t>
        </is>
      </c>
      <c r="F1062" t="inlineStr">
        <is>
          <t>Sveaskog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26056-2019</t>
        </is>
      </c>
      <c r="B1063" s="1" t="n">
        <v>43609</v>
      </c>
      <c r="C1063" s="1" t="n">
        <v>45662</v>
      </c>
      <c r="D1063" t="inlineStr">
        <is>
          <t>NORRBOTTENS LÄN</t>
        </is>
      </c>
      <c r="E1063" t="inlineStr">
        <is>
          <t>PAJALA</t>
        </is>
      </c>
      <c r="F1063" t="inlineStr">
        <is>
          <t>Sveaskog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26137-2019</t>
        </is>
      </c>
      <c r="B1064" s="1" t="n">
        <v>43609</v>
      </c>
      <c r="C1064" s="1" t="n">
        <v>45662</v>
      </c>
      <c r="D1064" t="inlineStr">
        <is>
          <t>NORRBOTTENS LÄN</t>
        </is>
      </c>
      <c r="E1064" t="inlineStr">
        <is>
          <t>BODEN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26139-2019</t>
        </is>
      </c>
      <c r="B1065" s="1" t="n">
        <v>43609</v>
      </c>
      <c r="C1065" s="1" t="n">
        <v>45662</v>
      </c>
      <c r="D1065" t="inlineStr">
        <is>
          <t>NORRBOTTENS LÄN</t>
        </is>
      </c>
      <c r="E1065" t="inlineStr">
        <is>
          <t>BODEN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26869-2019</t>
        </is>
      </c>
      <c r="B1066" s="1" t="n">
        <v>43609</v>
      </c>
      <c r="C1066" s="1" t="n">
        <v>45662</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26209-2019</t>
        </is>
      </c>
      <c r="B1067" s="1" t="n">
        <v>43609</v>
      </c>
      <c r="C1067" s="1" t="n">
        <v>45662</v>
      </c>
      <c r="D1067" t="inlineStr">
        <is>
          <t>NORRBOTTENS LÄN</t>
        </is>
      </c>
      <c r="E1067" t="inlineStr">
        <is>
          <t>BODEN</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26256-2019</t>
        </is>
      </c>
      <c r="B1068" s="1" t="n">
        <v>43610</v>
      </c>
      <c r="C1068" s="1" t="n">
        <v>45662</v>
      </c>
      <c r="D1068" t="inlineStr">
        <is>
          <t>NORRBOTTENS LÄN</t>
        </is>
      </c>
      <c r="E1068" t="inlineStr">
        <is>
          <t>ÖVERTORNEÅ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27498-2019</t>
        </is>
      </c>
      <c r="B1069" s="1" t="n">
        <v>43612</v>
      </c>
      <c r="C1069" s="1" t="n">
        <v>45662</v>
      </c>
      <c r="D1069" t="inlineStr">
        <is>
          <t>NORRBOTTENS LÄN</t>
        </is>
      </c>
      <c r="E1069" t="inlineStr">
        <is>
          <t>GÄLLIVARE</t>
        </is>
      </c>
      <c r="F1069" t="inlineStr">
        <is>
          <t>Allmännings- och besparingsskogar</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26948-2019</t>
        </is>
      </c>
      <c r="B1070" s="1" t="n">
        <v>43613</v>
      </c>
      <c r="C1070" s="1" t="n">
        <v>45662</v>
      </c>
      <c r="D1070" t="inlineStr">
        <is>
          <t>NORRBOTTENS LÄN</t>
        </is>
      </c>
      <c r="E1070" t="inlineStr">
        <is>
          <t>GÄLLIVARE</t>
        </is>
      </c>
      <c r="F1070" t="inlineStr">
        <is>
          <t>SCA</t>
        </is>
      </c>
      <c r="G1070" t="n">
        <v>32.6</v>
      </c>
      <c r="H1070" t="n">
        <v>0</v>
      </c>
      <c r="I1070" t="n">
        <v>0</v>
      </c>
      <c r="J1070" t="n">
        <v>0</v>
      </c>
      <c r="K1070" t="n">
        <v>0</v>
      </c>
      <c r="L1070" t="n">
        <v>0</v>
      </c>
      <c r="M1070" t="n">
        <v>0</v>
      </c>
      <c r="N1070" t="n">
        <v>0</v>
      </c>
      <c r="O1070" t="n">
        <v>0</v>
      </c>
      <c r="P1070" t="n">
        <v>0</v>
      </c>
      <c r="Q1070" t="n">
        <v>0</v>
      </c>
      <c r="R1070" s="2" t="inlineStr"/>
    </row>
    <row r="1071" ht="15" customHeight="1">
      <c r="A1071" t="inlineStr">
        <is>
          <t>A 26743-2019</t>
        </is>
      </c>
      <c r="B1071" s="1" t="n">
        <v>43613</v>
      </c>
      <c r="C1071" s="1" t="n">
        <v>45662</v>
      </c>
      <c r="D1071" t="inlineStr">
        <is>
          <t>NORRBOTTENS LÄN</t>
        </is>
      </c>
      <c r="E1071" t="inlineStr">
        <is>
          <t>GÄLLIVARE</t>
        </is>
      </c>
      <c r="F1071" t="inlineStr">
        <is>
          <t>Sveaskog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26986-2019</t>
        </is>
      </c>
      <c r="B1072" s="1" t="n">
        <v>43614</v>
      </c>
      <c r="C1072" s="1" t="n">
        <v>45662</v>
      </c>
      <c r="D1072" t="inlineStr">
        <is>
          <t>NORRBOTTENS LÄN</t>
        </is>
      </c>
      <c r="E1072" t="inlineStr">
        <is>
          <t>HAPARANDA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27043-2019</t>
        </is>
      </c>
      <c r="B1073" s="1" t="n">
        <v>43614</v>
      </c>
      <c r="C1073" s="1" t="n">
        <v>45662</v>
      </c>
      <c r="D1073" t="inlineStr">
        <is>
          <t>NORRBOTTENS LÄN</t>
        </is>
      </c>
      <c r="E1073" t="inlineStr">
        <is>
          <t>GÄLLIVARE</t>
        </is>
      </c>
      <c r="F1073" t="inlineStr">
        <is>
          <t>Sveaskog</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27000-2019</t>
        </is>
      </c>
      <c r="B1074" s="1" t="n">
        <v>43614</v>
      </c>
      <c r="C1074" s="1" t="n">
        <v>45662</v>
      </c>
      <c r="D1074" t="inlineStr">
        <is>
          <t>NORRBOTTENS LÄN</t>
        </is>
      </c>
      <c r="E1074" t="inlineStr">
        <is>
          <t>ARVIDSJAUR</t>
        </is>
      </c>
      <c r="F1074" t="inlineStr">
        <is>
          <t>Sveaskog</t>
        </is>
      </c>
      <c r="G1074" t="n">
        <v>57.7</v>
      </c>
      <c r="H1074" t="n">
        <v>0</v>
      </c>
      <c r="I1074" t="n">
        <v>0</v>
      </c>
      <c r="J1074" t="n">
        <v>0</v>
      </c>
      <c r="K1074" t="n">
        <v>0</v>
      </c>
      <c r="L1074" t="n">
        <v>0</v>
      </c>
      <c r="M1074" t="n">
        <v>0</v>
      </c>
      <c r="N1074" t="n">
        <v>0</v>
      </c>
      <c r="O1074" t="n">
        <v>0</v>
      </c>
      <c r="P1074" t="n">
        <v>0</v>
      </c>
      <c r="Q1074" t="n">
        <v>0</v>
      </c>
      <c r="R1074" s="2" t="inlineStr"/>
    </row>
    <row r="1075" ht="15" customHeight="1">
      <c r="A1075" t="inlineStr">
        <is>
          <t>A 27245-2019</t>
        </is>
      </c>
      <c r="B1075" s="1" t="n">
        <v>43614</v>
      </c>
      <c r="C1075" s="1" t="n">
        <v>45662</v>
      </c>
      <c r="D1075" t="inlineStr">
        <is>
          <t>NORRBOTTENS LÄN</t>
        </is>
      </c>
      <c r="E1075" t="inlineStr">
        <is>
          <t>GÄLLIVARE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27174-2019</t>
        </is>
      </c>
      <c r="B1076" s="1" t="n">
        <v>43614</v>
      </c>
      <c r="C1076" s="1" t="n">
        <v>45662</v>
      </c>
      <c r="D1076" t="inlineStr">
        <is>
          <t>NORRBOTTENS LÄN</t>
        </is>
      </c>
      <c r="E1076" t="inlineStr">
        <is>
          <t>HAPARANDA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27257-2019</t>
        </is>
      </c>
      <c r="B1077" s="1" t="n">
        <v>43614</v>
      </c>
      <c r="C1077" s="1" t="n">
        <v>45662</v>
      </c>
      <c r="D1077" t="inlineStr">
        <is>
          <t>NORRBOTTENS LÄN</t>
        </is>
      </c>
      <c r="E1077" t="inlineStr">
        <is>
          <t>KALIX</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27243-2019</t>
        </is>
      </c>
      <c r="B1078" s="1" t="n">
        <v>43614</v>
      </c>
      <c r="C1078" s="1" t="n">
        <v>45662</v>
      </c>
      <c r="D1078" t="inlineStr">
        <is>
          <t>NORRBOTTENS LÄN</t>
        </is>
      </c>
      <c r="E1078" t="inlineStr">
        <is>
          <t>GÄLLIVARE</t>
        </is>
      </c>
      <c r="F1078" t="inlineStr">
        <is>
          <t>SCA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28674-2019</t>
        </is>
      </c>
      <c r="B1079" s="1" t="n">
        <v>43614</v>
      </c>
      <c r="C1079" s="1" t="n">
        <v>45662</v>
      </c>
      <c r="D1079" t="inlineStr">
        <is>
          <t>NORRBOTTENS LÄN</t>
        </is>
      </c>
      <c r="E1079" t="inlineStr">
        <is>
          <t>ÖVERTORNEÅ</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27240-2019</t>
        </is>
      </c>
      <c r="B1080" s="1" t="n">
        <v>43614</v>
      </c>
      <c r="C1080" s="1" t="n">
        <v>45662</v>
      </c>
      <c r="D1080" t="inlineStr">
        <is>
          <t>NORRBOTTENS LÄN</t>
        </is>
      </c>
      <c r="E1080" t="inlineStr">
        <is>
          <t>PITEÅ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28698-2019</t>
        </is>
      </c>
      <c r="B1081" s="1" t="n">
        <v>43614</v>
      </c>
      <c r="C1081" s="1" t="n">
        <v>45662</v>
      </c>
      <c r="D1081" t="inlineStr">
        <is>
          <t>NORRBOTTENS LÄN</t>
        </is>
      </c>
      <c r="E1081" t="inlineStr">
        <is>
          <t>BODEN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27247-2019</t>
        </is>
      </c>
      <c r="B1082" s="1" t="n">
        <v>43614</v>
      </c>
      <c r="C1082" s="1" t="n">
        <v>45662</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27233-2019</t>
        </is>
      </c>
      <c r="B1083" s="1" t="n">
        <v>43614</v>
      </c>
      <c r="C1083" s="1" t="n">
        <v>45662</v>
      </c>
      <c r="D1083" t="inlineStr">
        <is>
          <t>NORRBOTTENS LÄN</t>
        </is>
      </c>
      <c r="E1083" t="inlineStr">
        <is>
          <t>ÄLVSBYN</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27041-2019</t>
        </is>
      </c>
      <c r="B1084" s="1" t="n">
        <v>43614</v>
      </c>
      <c r="C1084" s="1" t="n">
        <v>45662</v>
      </c>
      <c r="D1084" t="inlineStr">
        <is>
          <t>NORRBOTTENS LÄN</t>
        </is>
      </c>
      <c r="E1084" t="inlineStr">
        <is>
          <t>JOKKMOKK</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27361-2019</t>
        </is>
      </c>
      <c r="B1085" s="1" t="n">
        <v>43616</v>
      </c>
      <c r="C1085" s="1" t="n">
        <v>45662</v>
      </c>
      <c r="D1085" t="inlineStr">
        <is>
          <t>NORRBOTTENS LÄN</t>
        </is>
      </c>
      <c r="E1085" t="inlineStr">
        <is>
          <t>ARVIDSJAUR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28768-2019</t>
        </is>
      </c>
      <c r="B1086" s="1" t="n">
        <v>43616</v>
      </c>
      <c r="C1086" s="1" t="n">
        <v>45662</v>
      </c>
      <c r="D1086" t="inlineStr">
        <is>
          <t>NORRBOTTENS LÄN</t>
        </is>
      </c>
      <c r="E1086" t="inlineStr">
        <is>
          <t>ÖVERKALIX</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27389-2019</t>
        </is>
      </c>
      <c r="B1087" s="1" t="n">
        <v>43616</v>
      </c>
      <c r="C1087" s="1" t="n">
        <v>45662</v>
      </c>
      <c r="D1087" t="inlineStr">
        <is>
          <t>NORRBOTTENS LÄN</t>
        </is>
      </c>
      <c r="E1087" t="inlineStr">
        <is>
          <t>BODEN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27422-2019</t>
        </is>
      </c>
      <c r="B1088" s="1" t="n">
        <v>43616</v>
      </c>
      <c r="C1088" s="1" t="n">
        <v>45662</v>
      </c>
      <c r="D1088" t="inlineStr">
        <is>
          <t>NORRBOTTENS LÄN</t>
        </is>
      </c>
      <c r="E1088" t="inlineStr">
        <is>
          <t>PITEÅ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28878-2019</t>
        </is>
      </c>
      <c r="B1089" s="1" t="n">
        <v>43616</v>
      </c>
      <c r="C1089" s="1" t="n">
        <v>45662</v>
      </c>
      <c r="D1089" t="inlineStr">
        <is>
          <t>NORRBOTTENS LÄN</t>
        </is>
      </c>
      <c r="E1089" t="inlineStr">
        <is>
          <t>HAPARANDA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27423-2019</t>
        </is>
      </c>
      <c r="B1090" s="1" t="n">
        <v>43616</v>
      </c>
      <c r="C1090" s="1" t="n">
        <v>45662</v>
      </c>
      <c r="D1090" t="inlineStr">
        <is>
          <t>NORRBOTTENS LÄN</t>
        </is>
      </c>
      <c r="E1090" t="inlineStr">
        <is>
          <t>PITEÅ</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28881-2019</t>
        </is>
      </c>
      <c r="B1091" s="1" t="n">
        <v>43616</v>
      </c>
      <c r="C1091" s="1" t="n">
        <v>45662</v>
      </c>
      <c r="D1091" t="inlineStr">
        <is>
          <t>NORRBOTTENS LÄN</t>
        </is>
      </c>
      <c r="E1091" t="inlineStr">
        <is>
          <t>BODEN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28886-2019</t>
        </is>
      </c>
      <c r="B1092" s="1" t="n">
        <v>43616</v>
      </c>
      <c r="C1092" s="1" t="n">
        <v>45662</v>
      </c>
      <c r="D1092" t="inlineStr">
        <is>
          <t>NORRBOTTENS LÄN</t>
        </is>
      </c>
      <c r="E1092" t="inlineStr">
        <is>
          <t>BODEN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28869-2019</t>
        </is>
      </c>
      <c r="B1093" s="1" t="n">
        <v>43616</v>
      </c>
      <c r="C1093" s="1" t="n">
        <v>45662</v>
      </c>
      <c r="D1093" t="inlineStr">
        <is>
          <t>NORRBOTTENS LÄN</t>
        </is>
      </c>
      <c r="E1093" t="inlineStr">
        <is>
          <t>ARJEPLOG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28929-2019</t>
        </is>
      </c>
      <c r="B1094" s="1" t="n">
        <v>43619</v>
      </c>
      <c r="C1094" s="1" t="n">
        <v>45662</v>
      </c>
      <c r="D1094" t="inlineStr">
        <is>
          <t>NORRBOTTENS LÄN</t>
        </is>
      </c>
      <c r="E1094" t="inlineStr">
        <is>
          <t>KALIX</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28894-2019</t>
        </is>
      </c>
      <c r="B1095" s="1" t="n">
        <v>43619</v>
      </c>
      <c r="C1095" s="1" t="n">
        <v>45662</v>
      </c>
      <c r="D1095" t="inlineStr">
        <is>
          <t>NORRBOTTENS LÄN</t>
        </is>
      </c>
      <c r="E1095" t="inlineStr">
        <is>
          <t>KIRUNA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29037-2019</t>
        </is>
      </c>
      <c r="B1096" s="1" t="n">
        <v>43620</v>
      </c>
      <c r="C1096" s="1" t="n">
        <v>45662</v>
      </c>
      <c r="D1096" t="inlineStr">
        <is>
          <t>NORRBOTTENS LÄN</t>
        </is>
      </c>
      <c r="E1096" t="inlineStr">
        <is>
          <t>LULEÅ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28635-2019</t>
        </is>
      </c>
      <c r="B1097" s="1" t="n">
        <v>43621</v>
      </c>
      <c r="C1097" s="1" t="n">
        <v>45662</v>
      </c>
      <c r="D1097" t="inlineStr">
        <is>
          <t>NORRBOTTENS LÄN</t>
        </is>
      </c>
      <c r="E1097" t="inlineStr">
        <is>
          <t>GÄLLIVARE</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28223-2019</t>
        </is>
      </c>
      <c r="B1098" s="1" t="n">
        <v>43621</v>
      </c>
      <c r="C1098" s="1" t="n">
        <v>45662</v>
      </c>
      <c r="D1098" t="inlineStr">
        <is>
          <t>NORRBOTTENS LÄN</t>
        </is>
      </c>
      <c r="E1098" t="inlineStr">
        <is>
          <t>BODEN</t>
        </is>
      </c>
      <c r="F1098" t="inlineStr">
        <is>
          <t>SCA</t>
        </is>
      </c>
      <c r="G1098" t="n">
        <v>38.1</v>
      </c>
      <c r="H1098" t="n">
        <v>0</v>
      </c>
      <c r="I1098" t="n">
        <v>0</v>
      </c>
      <c r="J1098" t="n">
        <v>0</v>
      </c>
      <c r="K1098" t="n">
        <v>0</v>
      </c>
      <c r="L1098" t="n">
        <v>0</v>
      </c>
      <c r="M1098" t="n">
        <v>0</v>
      </c>
      <c r="N1098" t="n">
        <v>0</v>
      </c>
      <c r="O1098" t="n">
        <v>0</v>
      </c>
      <c r="P1098" t="n">
        <v>0</v>
      </c>
      <c r="Q1098" t="n">
        <v>0</v>
      </c>
      <c r="R1098" s="2" t="inlineStr"/>
      <c r="U1098">
        <f>HYPERLINK("https://klasma.github.io/Logging_2582/knärot/A 28223-2019 karta knärot.png", "A 28223-2019")</f>
        <v/>
      </c>
      <c r="V1098">
        <f>HYPERLINK("https://klasma.github.io/Logging_2582/klagomål/A 28223-2019 FSC-klagomål.docx", "A 28223-2019")</f>
        <v/>
      </c>
      <c r="W1098">
        <f>HYPERLINK("https://klasma.github.io/Logging_2582/klagomålsmail/A 28223-2019 FSC-klagomål mail.docx", "A 28223-2019")</f>
        <v/>
      </c>
      <c r="X1098">
        <f>HYPERLINK("https://klasma.github.io/Logging_2582/tillsyn/A 28223-2019 tillsynsbegäran.docx", "A 28223-2019")</f>
        <v/>
      </c>
      <c r="Y1098">
        <f>HYPERLINK("https://klasma.github.io/Logging_2582/tillsynsmail/A 28223-2019 tillsynsbegäran mail.docx", "A 28223-2019")</f>
        <v/>
      </c>
    </row>
    <row r="1099" ht="15" customHeight="1">
      <c r="A1099" t="inlineStr">
        <is>
          <t>A 28224-2019</t>
        </is>
      </c>
      <c r="B1099" s="1" t="n">
        <v>43621</v>
      </c>
      <c r="C1099" s="1" t="n">
        <v>45662</v>
      </c>
      <c r="D1099" t="inlineStr">
        <is>
          <t>NORRBOTTENS LÄN</t>
        </is>
      </c>
      <c r="E1099" t="inlineStr">
        <is>
          <t>BODEN</t>
        </is>
      </c>
      <c r="F1099" t="inlineStr">
        <is>
          <t>SCA</t>
        </is>
      </c>
      <c r="G1099" t="n">
        <v>42.7</v>
      </c>
      <c r="H1099" t="n">
        <v>0</v>
      </c>
      <c r="I1099" t="n">
        <v>0</v>
      </c>
      <c r="J1099" t="n">
        <v>0</v>
      </c>
      <c r="K1099" t="n">
        <v>0</v>
      </c>
      <c r="L1099" t="n">
        <v>0</v>
      </c>
      <c r="M1099" t="n">
        <v>0</v>
      </c>
      <c r="N1099" t="n">
        <v>0</v>
      </c>
      <c r="O1099" t="n">
        <v>0</v>
      </c>
      <c r="P1099" t="n">
        <v>0</v>
      </c>
      <c r="Q1099" t="n">
        <v>0</v>
      </c>
      <c r="R1099" s="2" t="inlineStr"/>
    </row>
    <row r="1100" ht="15" customHeight="1">
      <c r="A1100" t="inlineStr">
        <is>
          <t>A 28632-2019</t>
        </is>
      </c>
      <c r="B1100" s="1" t="n">
        <v>43621</v>
      </c>
      <c r="C1100" s="1" t="n">
        <v>45662</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28031-2019</t>
        </is>
      </c>
      <c r="B1101" s="1" t="n">
        <v>43621</v>
      </c>
      <c r="C1101" s="1" t="n">
        <v>45662</v>
      </c>
      <c r="D1101" t="inlineStr">
        <is>
          <t>NORRBOTTENS LÄN</t>
        </is>
      </c>
      <c r="E1101" t="inlineStr">
        <is>
          <t>KALIX</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28634-2019</t>
        </is>
      </c>
      <c r="B1102" s="1" t="n">
        <v>43621</v>
      </c>
      <c r="C1102" s="1" t="n">
        <v>45662</v>
      </c>
      <c r="D1102" t="inlineStr">
        <is>
          <t>NORRBOTTENS LÄN</t>
        </is>
      </c>
      <c r="E1102" t="inlineStr">
        <is>
          <t>GÄLLIVARE</t>
        </is>
      </c>
      <c r="F1102" t="inlineStr">
        <is>
          <t>SCA</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28633-2019</t>
        </is>
      </c>
      <c r="B1103" s="1" t="n">
        <v>43621</v>
      </c>
      <c r="C1103" s="1" t="n">
        <v>45662</v>
      </c>
      <c r="D1103" t="inlineStr">
        <is>
          <t>NORRBOTTENS LÄN</t>
        </is>
      </c>
      <c r="E1103" t="inlineStr">
        <is>
          <t>GÄLLIVARE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28286-2019</t>
        </is>
      </c>
      <c r="B1104" s="1" t="n">
        <v>43623</v>
      </c>
      <c r="C1104" s="1" t="n">
        <v>45662</v>
      </c>
      <c r="D1104" t="inlineStr">
        <is>
          <t>NORRBOTTENS LÄN</t>
        </is>
      </c>
      <c r="E1104" t="inlineStr">
        <is>
          <t>LULEÅ</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28292-2019</t>
        </is>
      </c>
      <c r="B1105" s="1" t="n">
        <v>43623</v>
      </c>
      <c r="C1105" s="1" t="n">
        <v>45662</v>
      </c>
      <c r="D1105" t="inlineStr">
        <is>
          <t>NORRBOTTENS LÄN</t>
        </is>
      </c>
      <c r="E1105" t="inlineStr">
        <is>
          <t>LULEÅ</t>
        </is>
      </c>
      <c r="F1105" t="inlineStr">
        <is>
          <t>Kyrkan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28379-2019</t>
        </is>
      </c>
      <c r="B1106" s="1" t="n">
        <v>43626</v>
      </c>
      <c r="C1106" s="1" t="n">
        <v>45662</v>
      </c>
      <c r="D1106" t="inlineStr">
        <is>
          <t>NORRBOTTENS LÄN</t>
        </is>
      </c>
      <c r="E1106" t="inlineStr">
        <is>
          <t>JOKKMOKK</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28579-2019</t>
        </is>
      </c>
      <c r="B1107" s="1" t="n">
        <v>43626</v>
      </c>
      <c r="C1107" s="1" t="n">
        <v>45662</v>
      </c>
      <c r="D1107" t="inlineStr">
        <is>
          <t>NORRBOTTENS LÄN</t>
        </is>
      </c>
      <c r="E1107" t="inlineStr">
        <is>
          <t>PAJALA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29447-2019</t>
        </is>
      </c>
      <c r="B1108" s="1" t="n">
        <v>43626</v>
      </c>
      <c r="C1108" s="1" t="n">
        <v>45662</v>
      </c>
      <c r="D1108" t="inlineStr">
        <is>
          <t>NORRBOTTENS LÄN</t>
        </is>
      </c>
      <c r="E1108" t="inlineStr">
        <is>
          <t>JOKKMOKK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28581-2019</t>
        </is>
      </c>
      <c r="B1109" s="1" t="n">
        <v>43626</v>
      </c>
      <c r="C1109" s="1" t="n">
        <v>45662</v>
      </c>
      <c r="D1109" t="inlineStr">
        <is>
          <t>NORRBOTTENS LÄN</t>
        </is>
      </c>
      <c r="E1109" t="inlineStr">
        <is>
          <t>PAJALA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28476-2019</t>
        </is>
      </c>
      <c r="B1110" s="1" t="n">
        <v>43626</v>
      </c>
      <c r="C1110" s="1" t="n">
        <v>45662</v>
      </c>
      <c r="D1110" t="inlineStr">
        <is>
          <t>NORRBOTTENS LÄN</t>
        </is>
      </c>
      <c r="E1110" t="inlineStr">
        <is>
          <t>GÄLLIVARE</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28582-2019</t>
        </is>
      </c>
      <c r="B1111" s="1" t="n">
        <v>43626</v>
      </c>
      <c r="C1111" s="1" t="n">
        <v>45662</v>
      </c>
      <c r="D1111" t="inlineStr">
        <is>
          <t>NORRBOTTENS LÄN</t>
        </is>
      </c>
      <c r="E1111" t="inlineStr">
        <is>
          <t>PAJALA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29278-2019</t>
        </is>
      </c>
      <c r="B1112" s="1" t="n">
        <v>43626</v>
      </c>
      <c r="C1112" s="1" t="n">
        <v>45662</v>
      </c>
      <c r="D1112" t="inlineStr">
        <is>
          <t>NORRBOTTENS LÄN</t>
        </is>
      </c>
      <c r="E1112" t="inlineStr">
        <is>
          <t>HAPARANDA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28827-2019</t>
        </is>
      </c>
      <c r="B1113" s="1" t="n">
        <v>43627</v>
      </c>
      <c r="C1113" s="1" t="n">
        <v>45662</v>
      </c>
      <c r="D1113" t="inlineStr">
        <is>
          <t>NORRBOTTENS LÄN</t>
        </is>
      </c>
      <c r="E1113" t="inlineStr">
        <is>
          <t>BODEN</t>
        </is>
      </c>
      <c r="F1113" t="inlineStr">
        <is>
          <t>Sveaskog</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29502-2019</t>
        </is>
      </c>
      <c r="B1114" s="1" t="n">
        <v>43627</v>
      </c>
      <c r="C1114" s="1" t="n">
        <v>45662</v>
      </c>
      <c r="D1114" t="inlineStr">
        <is>
          <t>NORRBOTTENS LÄN</t>
        </is>
      </c>
      <c r="E1114" t="inlineStr">
        <is>
          <t>ARJEPLOG</t>
        </is>
      </c>
      <c r="F1114" t="inlineStr">
        <is>
          <t>Övriga statliga verk och myndigheter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29148-2019</t>
        </is>
      </c>
      <c r="B1115" s="1" t="n">
        <v>43628</v>
      </c>
      <c r="C1115" s="1" t="n">
        <v>45662</v>
      </c>
      <c r="D1115" t="inlineStr">
        <is>
          <t>NORRBOTTENS LÄN</t>
        </is>
      </c>
      <c r="E1115" t="inlineStr">
        <is>
          <t>GÄLLIVARE</t>
        </is>
      </c>
      <c r="F1115" t="inlineStr">
        <is>
          <t>SCA</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29606-2019</t>
        </is>
      </c>
      <c r="B1116" s="1" t="n">
        <v>43628</v>
      </c>
      <c r="C1116" s="1" t="n">
        <v>45662</v>
      </c>
      <c r="D1116" t="inlineStr">
        <is>
          <t>NORRBOTTENS LÄN</t>
        </is>
      </c>
      <c r="E1116" t="inlineStr">
        <is>
          <t>BODEN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29600-2019</t>
        </is>
      </c>
      <c r="B1117" s="1" t="n">
        <v>43628</v>
      </c>
      <c r="C1117" s="1" t="n">
        <v>45662</v>
      </c>
      <c r="D1117" t="inlineStr">
        <is>
          <t>NORRBOTTENS LÄN</t>
        </is>
      </c>
      <c r="E1117" t="inlineStr">
        <is>
          <t>BODEN</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29149-2019</t>
        </is>
      </c>
      <c r="B1118" s="1" t="n">
        <v>43628</v>
      </c>
      <c r="C1118" s="1" t="n">
        <v>45662</v>
      </c>
      <c r="D1118" t="inlineStr">
        <is>
          <t>NORRBOTTENS LÄN</t>
        </is>
      </c>
      <c r="E1118" t="inlineStr">
        <is>
          <t>GÄLLIVARE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29384-2019</t>
        </is>
      </c>
      <c r="B1119" s="1" t="n">
        <v>43629</v>
      </c>
      <c r="C1119" s="1" t="n">
        <v>45662</v>
      </c>
      <c r="D1119" t="inlineStr">
        <is>
          <t>NORRBOTTENS LÄN</t>
        </is>
      </c>
      <c r="E1119" t="inlineStr">
        <is>
          <t>ÖVERTORNEÅ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29279-2019</t>
        </is>
      </c>
      <c r="B1120" s="1" t="n">
        <v>43629</v>
      </c>
      <c r="C1120" s="1" t="n">
        <v>45662</v>
      </c>
      <c r="D1120" t="inlineStr">
        <is>
          <t>NORRBOTTENS LÄN</t>
        </is>
      </c>
      <c r="E1120" t="inlineStr">
        <is>
          <t>PITEÅ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29489-2019</t>
        </is>
      </c>
      <c r="B1121" s="1" t="n">
        <v>43629</v>
      </c>
      <c r="C1121" s="1" t="n">
        <v>45662</v>
      </c>
      <c r="D1121" t="inlineStr">
        <is>
          <t>NORRBOTTENS LÄN</t>
        </is>
      </c>
      <c r="E1121" t="inlineStr">
        <is>
          <t>PITEÅ</t>
        </is>
      </c>
      <c r="F1121" t="inlineStr">
        <is>
          <t>SCA</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29552-2019</t>
        </is>
      </c>
      <c r="B1122" s="1" t="n">
        <v>43630</v>
      </c>
      <c r="C1122" s="1" t="n">
        <v>45662</v>
      </c>
      <c r="D1122" t="inlineStr">
        <is>
          <t>NORRBOTTENS LÄN</t>
        </is>
      </c>
      <c r="E1122" t="inlineStr">
        <is>
          <t>GÄLLIVARE</t>
        </is>
      </c>
      <c r="F1122" t="inlineStr">
        <is>
          <t>Sveaskog</t>
        </is>
      </c>
      <c r="G1122" t="n">
        <v>73.09999999999999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29586-2019</t>
        </is>
      </c>
      <c r="B1123" s="1" t="n">
        <v>43630</v>
      </c>
      <c r="C1123" s="1" t="n">
        <v>45662</v>
      </c>
      <c r="D1123" t="inlineStr">
        <is>
          <t>NORRBOTTENS LÄN</t>
        </is>
      </c>
      <c r="E1123" t="inlineStr">
        <is>
          <t>BODEN</t>
        </is>
      </c>
      <c r="F1123" t="inlineStr">
        <is>
          <t>Sveaskog</t>
        </is>
      </c>
      <c r="G1123" t="n">
        <v>18.6</v>
      </c>
      <c r="H1123" t="n">
        <v>0</v>
      </c>
      <c r="I1123" t="n">
        <v>0</v>
      </c>
      <c r="J1123" t="n">
        <v>0</v>
      </c>
      <c r="K1123" t="n">
        <v>0</v>
      </c>
      <c r="L1123" t="n">
        <v>0</v>
      </c>
      <c r="M1123" t="n">
        <v>0</v>
      </c>
      <c r="N1123" t="n">
        <v>0</v>
      </c>
      <c r="O1123" t="n">
        <v>0</v>
      </c>
      <c r="P1123" t="n">
        <v>0</v>
      </c>
      <c r="Q1123" t="n">
        <v>0</v>
      </c>
      <c r="R1123" s="2" t="inlineStr"/>
    </row>
    <row r="1124" ht="15" customHeight="1">
      <c r="A1124" t="inlineStr">
        <is>
          <t>A 30042-2019</t>
        </is>
      </c>
      <c r="B1124" s="1" t="n">
        <v>43633</v>
      </c>
      <c r="C1124" s="1" t="n">
        <v>45662</v>
      </c>
      <c r="D1124" t="inlineStr">
        <is>
          <t>NORRBOTTENS LÄN</t>
        </is>
      </c>
      <c r="E1124" t="inlineStr">
        <is>
          <t>JOKKMOKK</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30264-2019</t>
        </is>
      </c>
      <c r="B1125" s="1" t="n">
        <v>43633</v>
      </c>
      <c r="C1125" s="1" t="n">
        <v>45662</v>
      </c>
      <c r="D1125" t="inlineStr">
        <is>
          <t>NORRBOTTENS LÄN</t>
        </is>
      </c>
      <c r="E1125" t="inlineStr">
        <is>
          <t>JOKKMOKK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30418-2019</t>
        </is>
      </c>
      <c r="B1126" s="1" t="n">
        <v>43633</v>
      </c>
      <c r="C1126" s="1" t="n">
        <v>45662</v>
      </c>
      <c r="D1126" t="inlineStr">
        <is>
          <t>NORRBOTTENS LÄN</t>
        </is>
      </c>
      <c r="E1126" t="inlineStr">
        <is>
          <t>PITEÅ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30409-2019</t>
        </is>
      </c>
      <c r="B1127" s="1" t="n">
        <v>43633</v>
      </c>
      <c r="C1127" s="1" t="n">
        <v>45662</v>
      </c>
      <c r="D1127" t="inlineStr">
        <is>
          <t>NORRBOTTENS LÄN</t>
        </is>
      </c>
      <c r="E1127" t="inlineStr">
        <is>
          <t>PITEÅ</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30106-2019</t>
        </is>
      </c>
      <c r="B1128" s="1" t="n">
        <v>43634</v>
      </c>
      <c r="C1128" s="1" t="n">
        <v>45662</v>
      </c>
      <c r="D1128" t="inlineStr">
        <is>
          <t>NORRBOTTENS LÄN</t>
        </is>
      </c>
      <c r="E1128" t="inlineStr">
        <is>
          <t>ÖVERTORNEÅ</t>
        </is>
      </c>
      <c r="F1128" t="inlineStr">
        <is>
          <t>Sveaskog</t>
        </is>
      </c>
      <c r="G1128" t="n">
        <v>18.5</v>
      </c>
      <c r="H1128" t="n">
        <v>0</v>
      </c>
      <c r="I1128" t="n">
        <v>0</v>
      </c>
      <c r="J1128" t="n">
        <v>0</v>
      </c>
      <c r="K1128" t="n">
        <v>0</v>
      </c>
      <c r="L1128" t="n">
        <v>0</v>
      </c>
      <c r="M1128" t="n">
        <v>0</v>
      </c>
      <c r="N1128" t="n">
        <v>0</v>
      </c>
      <c r="O1128" t="n">
        <v>0</v>
      </c>
      <c r="P1128" t="n">
        <v>0</v>
      </c>
      <c r="Q1128" t="n">
        <v>0</v>
      </c>
      <c r="R1128" s="2" t="inlineStr"/>
    </row>
    <row r="1129" ht="15" customHeight="1">
      <c r="A1129" t="inlineStr">
        <is>
          <t>A 30501-2019</t>
        </is>
      </c>
      <c r="B1129" s="1" t="n">
        <v>43634</v>
      </c>
      <c r="C1129" s="1" t="n">
        <v>45662</v>
      </c>
      <c r="D1129" t="inlineStr">
        <is>
          <t>NORRBOTTENS LÄN</t>
        </is>
      </c>
      <c r="E1129" t="inlineStr">
        <is>
          <t>GÄLLIVARE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30202-2019</t>
        </is>
      </c>
      <c r="B1130" s="1" t="n">
        <v>43634</v>
      </c>
      <c r="C1130" s="1" t="n">
        <v>45662</v>
      </c>
      <c r="D1130" t="inlineStr">
        <is>
          <t>NORRBOTTENS LÄN</t>
        </is>
      </c>
      <c r="E1130" t="inlineStr">
        <is>
          <t>LULEÅ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30410-2019</t>
        </is>
      </c>
      <c r="B1131" s="1" t="n">
        <v>43635</v>
      </c>
      <c r="C1131" s="1" t="n">
        <v>45662</v>
      </c>
      <c r="D1131" t="inlineStr">
        <is>
          <t>NORRBOTTENS LÄN</t>
        </is>
      </c>
      <c r="E1131" t="inlineStr">
        <is>
          <t>ARVIDSJAUR</t>
        </is>
      </c>
      <c r="F1131" t="inlineStr">
        <is>
          <t>Sveaskog</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30543-2019</t>
        </is>
      </c>
      <c r="B1132" s="1" t="n">
        <v>43635</v>
      </c>
      <c r="C1132" s="1" t="n">
        <v>45662</v>
      </c>
      <c r="D1132" t="inlineStr">
        <is>
          <t>NORRBOTTENS LÄN</t>
        </is>
      </c>
      <c r="E1132" t="inlineStr">
        <is>
          <t>LULEÅ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30645-2019</t>
        </is>
      </c>
      <c r="B1133" s="1" t="n">
        <v>43635</v>
      </c>
      <c r="C1133" s="1" t="n">
        <v>45662</v>
      </c>
      <c r="D1133" t="inlineStr">
        <is>
          <t>NORRBOTTENS LÄN</t>
        </is>
      </c>
      <c r="E1133" t="inlineStr">
        <is>
          <t>PAJALA</t>
        </is>
      </c>
      <c r="G1133" t="n">
        <v>58.7</v>
      </c>
      <c r="H1133" t="n">
        <v>0</v>
      </c>
      <c r="I1133" t="n">
        <v>0</v>
      </c>
      <c r="J1133" t="n">
        <v>0</v>
      </c>
      <c r="K1133" t="n">
        <v>0</v>
      </c>
      <c r="L1133" t="n">
        <v>0</v>
      </c>
      <c r="M1133" t="n">
        <v>0</v>
      </c>
      <c r="N1133" t="n">
        <v>0</v>
      </c>
      <c r="O1133" t="n">
        <v>0</v>
      </c>
      <c r="P1133" t="n">
        <v>0</v>
      </c>
      <c r="Q1133" t="n">
        <v>0</v>
      </c>
      <c r="R1133" s="2" t="inlineStr"/>
    </row>
    <row r="1134" ht="15" customHeight="1">
      <c r="A1134" t="inlineStr">
        <is>
          <t>A 30652-2019</t>
        </is>
      </c>
      <c r="B1134" s="1" t="n">
        <v>43636</v>
      </c>
      <c r="C1134" s="1" t="n">
        <v>45662</v>
      </c>
      <c r="D1134" t="inlineStr">
        <is>
          <t>NORRBOTTENS LÄN</t>
        </is>
      </c>
      <c r="E1134" t="inlineStr">
        <is>
          <t>GÄLLIVARE</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30736-2019</t>
        </is>
      </c>
      <c r="B1135" s="1" t="n">
        <v>43636</v>
      </c>
      <c r="C1135" s="1" t="n">
        <v>45662</v>
      </c>
      <c r="D1135" t="inlineStr">
        <is>
          <t>NORRBOTTENS LÄN</t>
        </is>
      </c>
      <c r="E1135" t="inlineStr">
        <is>
          <t>BODEN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30794-2019</t>
        </is>
      </c>
      <c r="B1136" s="1" t="n">
        <v>43636</v>
      </c>
      <c r="C1136" s="1" t="n">
        <v>45662</v>
      </c>
      <c r="D1136" t="inlineStr">
        <is>
          <t>NORRBOTTENS LÄN</t>
        </is>
      </c>
      <c r="E1136" t="inlineStr">
        <is>
          <t>BODEN</t>
        </is>
      </c>
      <c r="G1136" t="n">
        <v>16.6</v>
      </c>
      <c r="H1136" t="n">
        <v>0</v>
      </c>
      <c r="I1136" t="n">
        <v>0</v>
      </c>
      <c r="J1136" t="n">
        <v>0</v>
      </c>
      <c r="K1136" t="n">
        <v>0</v>
      </c>
      <c r="L1136" t="n">
        <v>0</v>
      </c>
      <c r="M1136" t="n">
        <v>0</v>
      </c>
      <c r="N1136" t="n">
        <v>0</v>
      </c>
      <c r="O1136" t="n">
        <v>0</v>
      </c>
      <c r="P1136" t="n">
        <v>0</v>
      </c>
      <c r="Q1136" t="n">
        <v>0</v>
      </c>
      <c r="R1136" s="2" t="inlineStr"/>
    </row>
    <row r="1137" ht="15" customHeight="1">
      <c r="A1137" t="inlineStr">
        <is>
          <t>A 30801-2019</t>
        </is>
      </c>
      <c r="B1137" s="1" t="n">
        <v>43636</v>
      </c>
      <c r="C1137" s="1" t="n">
        <v>45662</v>
      </c>
      <c r="D1137" t="inlineStr">
        <is>
          <t>NORRBOTTENS LÄN</t>
        </is>
      </c>
      <c r="E1137" t="inlineStr">
        <is>
          <t>BODEN</t>
        </is>
      </c>
      <c r="G1137" t="n">
        <v>14.4</v>
      </c>
      <c r="H1137" t="n">
        <v>0</v>
      </c>
      <c r="I1137" t="n">
        <v>0</v>
      </c>
      <c r="J1137" t="n">
        <v>0</v>
      </c>
      <c r="K1137" t="n">
        <v>0</v>
      </c>
      <c r="L1137" t="n">
        <v>0</v>
      </c>
      <c r="M1137" t="n">
        <v>0</v>
      </c>
      <c r="N1137" t="n">
        <v>0</v>
      </c>
      <c r="O1137" t="n">
        <v>0</v>
      </c>
      <c r="P1137" t="n">
        <v>0</v>
      </c>
      <c r="Q1137" t="n">
        <v>0</v>
      </c>
      <c r="R1137" s="2" t="inlineStr"/>
    </row>
    <row r="1138" ht="15" customHeight="1">
      <c r="A1138" t="inlineStr">
        <is>
          <t>A 31427-2019</t>
        </is>
      </c>
      <c r="B1138" s="1" t="n">
        <v>43636</v>
      </c>
      <c r="C1138" s="1" t="n">
        <v>45662</v>
      </c>
      <c r="D1138" t="inlineStr">
        <is>
          <t>NORRBOTTENS LÄN</t>
        </is>
      </c>
      <c r="E1138" t="inlineStr">
        <is>
          <t>ÖVERKALIX</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30957-2019</t>
        </is>
      </c>
      <c r="B1139" s="1" t="n">
        <v>43639</v>
      </c>
      <c r="C1139" s="1" t="n">
        <v>45662</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31860-2019</t>
        </is>
      </c>
      <c r="B1140" s="1" t="n">
        <v>43640</v>
      </c>
      <c r="C1140" s="1" t="n">
        <v>45662</v>
      </c>
      <c r="D1140" t="inlineStr">
        <is>
          <t>NORRBOTTENS LÄN</t>
        </is>
      </c>
      <c r="E1140" t="inlineStr">
        <is>
          <t>PITEÅ</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31645-2019</t>
        </is>
      </c>
      <c r="B1141" s="1" t="n">
        <v>43640</v>
      </c>
      <c r="C1141" s="1" t="n">
        <v>45662</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31852-2019</t>
        </is>
      </c>
      <c r="B1142" s="1" t="n">
        <v>43640</v>
      </c>
      <c r="C1142" s="1" t="n">
        <v>45662</v>
      </c>
      <c r="D1142" t="inlineStr">
        <is>
          <t>NORRBOTTENS LÄN</t>
        </is>
      </c>
      <c r="E1142" t="inlineStr">
        <is>
          <t>PITEÅ</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31453-2019</t>
        </is>
      </c>
      <c r="B1143" s="1" t="n">
        <v>43640</v>
      </c>
      <c r="C1143" s="1" t="n">
        <v>45662</v>
      </c>
      <c r="D1143" t="inlineStr">
        <is>
          <t>NORRBOTTENS LÄN</t>
        </is>
      </c>
      <c r="E1143" t="inlineStr">
        <is>
          <t>GÄLLIVARE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31295-2019</t>
        </is>
      </c>
      <c r="B1144" s="1" t="n">
        <v>43640</v>
      </c>
      <c r="C1144" s="1" t="n">
        <v>45662</v>
      </c>
      <c r="D1144" t="inlineStr">
        <is>
          <t>NORRBOTTENS LÄN</t>
        </is>
      </c>
      <c r="E1144" t="inlineStr">
        <is>
          <t>BODEN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31768-2019</t>
        </is>
      </c>
      <c r="B1145" s="1" t="n">
        <v>43640</v>
      </c>
      <c r="C1145" s="1" t="n">
        <v>45662</v>
      </c>
      <c r="D1145" t="inlineStr">
        <is>
          <t>NORRBOTTENS LÄN</t>
        </is>
      </c>
      <c r="E1145" t="inlineStr">
        <is>
          <t>HAPARANDA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31525-2019</t>
        </is>
      </c>
      <c r="B1146" s="1" t="n">
        <v>43641</v>
      </c>
      <c r="C1146" s="1" t="n">
        <v>45662</v>
      </c>
      <c r="D1146" t="inlineStr">
        <is>
          <t>NORRBOTTENS LÄN</t>
        </is>
      </c>
      <c r="E1146" t="inlineStr">
        <is>
          <t>GÄLLIVARE</t>
        </is>
      </c>
      <c r="F1146" t="inlineStr">
        <is>
          <t>Sveaskog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31864-2019</t>
        </is>
      </c>
      <c r="B1147" s="1" t="n">
        <v>43641</v>
      </c>
      <c r="C1147" s="1" t="n">
        <v>45662</v>
      </c>
      <c r="D1147" t="inlineStr">
        <is>
          <t>NORRBOTTENS LÄN</t>
        </is>
      </c>
      <c r="E1147" t="inlineStr">
        <is>
          <t>BODEN</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31515-2019</t>
        </is>
      </c>
      <c r="B1148" s="1" t="n">
        <v>43641</v>
      </c>
      <c r="C1148" s="1" t="n">
        <v>45662</v>
      </c>
      <c r="D1148" t="inlineStr">
        <is>
          <t>NORRBOTTENS LÄN</t>
        </is>
      </c>
      <c r="E1148" t="inlineStr">
        <is>
          <t>GÄLLIVARE</t>
        </is>
      </c>
      <c r="F1148" t="inlineStr">
        <is>
          <t>Sveaskog</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32003-2019</t>
        </is>
      </c>
      <c r="B1149" s="1" t="n">
        <v>43642</v>
      </c>
      <c r="C1149" s="1" t="n">
        <v>45662</v>
      </c>
      <c r="D1149" t="inlineStr">
        <is>
          <t>NORRBOTTENS LÄN</t>
        </is>
      </c>
      <c r="E1149" t="inlineStr">
        <is>
          <t>ARVIDSJAUR</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31895-2019</t>
        </is>
      </c>
      <c r="B1150" s="1" t="n">
        <v>43642</v>
      </c>
      <c r="C1150" s="1" t="n">
        <v>45662</v>
      </c>
      <c r="D1150" t="inlineStr">
        <is>
          <t>NORRBOTTENS LÄN</t>
        </is>
      </c>
      <c r="E1150" t="inlineStr">
        <is>
          <t>JOKKMOKK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31896-2019</t>
        </is>
      </c>
      <c r="B1151" s="1" t="n">
        <v>43642</v>
      </c>
      <c r="C1151" s="1" t="n">
        <v>45662</v>
      </c>
      <c r="D1151" t="inlineStr">
        <is>
          <t>NORRBOTTENS LÄN</t>
        </is>
      </c>
      <c r="E1151" t="inlineStr">
        <is>
          <t>JOKKMOKK</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32897-2019</t>
        </is>
      </c>
      <c r="B1152" s="1" t="n">
        <v>43643</v>
      </c>
      <c r="C1152" s="1" t="n">
        <v>45662</v>
      </c>
      <c r="D1152" t="inlineStr">
        <is>
          <t>NORRBOTTENS LÄN</t>
        </is>
      </c>
      <c r="E1152" t="inlineStr">
        <is>
          <t>ÖVERTORNEÅ</t>
        </is>
      </c>
      <c r="G1152" t="n">
        <v>17.1</v>
      </c>
      <c r="H1152" t="n">
        <v>0</v>
      </c>
      <c r="I1152" t="n">
        <v>0</v>
      </c>
      <c r="J1152" t="n">
        <v>0</v>
      </c>
      <c r="K1152" t="n">
        <v>0</v>
      </c>
      <c r="L1152" t="n">
        <v>0</v>
      </c>
      <c r="M1152" t="n">
        <v>0</v>
      </c>
      <c r="N1152" t="n">
        <v>0</v>
      </c>
      <c r="O1152" t="n">
        <v>0</v>
      </c>
      <c r="P1152" t="n">
        <v>0</v>
      </c>
      <c r="Q1152" t="n">
        <v>0</v>
      </c>
      <c r="R1152" s="2" t="inlineStr"/>
    </row>
    <row r="1153" ht="15" customHeight="1">
      <c r="A1153" t="inlineStr">
        <is>
          <t>A 32161-2019</t>
        </is>
      </c>
      <c r="B1153" s="1" t="n">
        <v>43643</v>
      </c>
      <c r="C1153" s="1" t="n">
        <v>45662</v>
      </c>
      <c r="D1153" t="inlineStr">
        <is>
          <t>NORRBOTTENS LÄN</t>
        </is>
      </c>
      <c r="E1153" t="inlineStr">
        <is>
          <t>BODEN</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32894-2019</t>
        </is>
      </c>
      <c r="B1154" s="1" t="n">
        <v>43643</v>
      </c>
      <c r="C1154" s="1" t="n">
        <v>45662</v>
      </c>
      <c r="D1154" t="inlineStr">
        <is>
          <t>NORRBOTTENS LÄN</t>
        </is>
      </c>
      <c r="E1154" t="inlineStr">
        <is>
          <t>ÖVERTORNEÅ</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32371-2019</t>
        </is>
      </c>
      <c r="B1155" s="1" t="n">
        <v>43644</v>
      </c>
      <c r="C1155" s="1" t="n">
        <v>45662</v>
      </c>
      <c r="D1155" t="inlineStr">
        <is>
          <t>NORRBOTTENS LÄN</t>
        </is>
      </c>
      <c r="E1155" t="inlineStr">
        <is>
          <t>KALIX</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32476-2019</t>
        </is>
      </c>
      <c r="B1156" s="1" t="n">
        <v>43644</v>
      </c>
      <c r="C1156" s="1" t="n">
        <v>45662</v>
      </c>
      <c r="D1156" t="inlineStr">
        <is>
          <t>NORRBOTTENS LÄN</t>
        </is>
      </c>
      <c r="E1156" t="inlineStr">
        <is>
          <t>JOKKMOKK</t>
        </is>
      </c>
      <c r="F1156" t="inlineStr">
        <is>
          <t>Naturvårdsverket</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33707-2019</t>
        </is>
      </c>
      <c r="B1157" s="1" t="n">
        <v>43644</v>
      </c>
      <c r="C1157" s="1" t="n">
        <v>45662</v>
      </c>
      <c r="D1157" t="inlineStr">
        <is>
          <t>NORRBOTTENS LÄN</t>
        </is>
      </c>
      <c r="E1157" t="inlineStr">
        <is>
          <t>BODEN</t>
        </is>
      </c>
      <c r="F1157" t="inlineStr">
        <is>
          <t>Kommuner</t>
        </is>
      </c>
      <c r="G1157" t="n">
        <v>21.2</v>
      </c>
      <c r="H1157" t="n">
        <v>0</v>
      </c>
      <c r="I1157" t="n">
        <v>0</v>
      </c>
      <c r="J1157" t="n">
        <v>0</v>
      </c>
      <c r="K1157" t="n">
        <v>0</v>
      </c>
      <c r="L1157" t="n">
        <v>0</v>
      </c>
      <c r="M1157" t="n">
        <v>0</v>
      </c>
      <c r="N1157" t="n">
        <v>0</v>
      </c>
      <c r="O1157" t="n">
        <v>0</v>
      </c>
      <c r="P1157" t="n">
        <v>0</v>
      </c>
      <c r="Q1157" t="n">
        <v>0</v>
      </c>
      <c r="R1157" s="2" t="inlineStr"/>
    </row>
    <row r="1158" ht="15" customHeight="1">
      <c r="A1158" t="inlineStr">
        <is>
          <t>A 32493-2019</t>
        </is>
      </c>
      <c r="B1158" s="1" t="n">
        <v>43644</v>
      </c>
      <c r="C1158" s="1" t="n">
        <v>45662</v>
      </c>
      <c r="D1158" t="inlineStr">
        <is>
          <t>NORRBOTTENS LÄN</t>
        </is>
      </c>
      <c r="E1158" t="inlineStr">
        <is>
          <t>ARJEPLOG</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32634-2019</t>
        </is>
      </c>
      <c r="B1159" s="1" t="n">
        <v>43647</v>
      </c>
      <c r="C1159" s="1" t="n">
        <v>45662</v>
      </c>
      <c r="D1159" t="inlineStr">
        <is>
          <t>NORRBOTTENS LÄN</t>
        </is>
      </c>
      <c r="E1159" t="inlineStr">
        <is>
          <t>PITEÅ</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32671-2019</t>
        </is>
      </c>
      <c r="B1160" s="1" t="n">
        <v>43647</v>
      </c>
      <c r="C1160" s="1" t="n">
        <v>45662</v>
      </c>
      <c r="D1160" t="inlineStr">
        <is>
          <t>NORRBOTTENS LÄN</t>
        </is>
      </c>
      <c r="E1160" t="inlineStr">
        <is>
          <t>GÄLLIVARE</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32549-2019</t>
        </is>
      </c>
      <c r="B1161" s="1" t="n">
        <v>43647</v>
      </c>
      <c r="C1161" s="1" t="n">
        <v>45662</v>
      </c>
      <c r="D1161" t="inlineStr">
        <is>
          <t>NORRBOTTENS LÄN</t>
        </is>
      </c>
      <c r="E1161" t="inlineStr">
        <is>
          <t>GÄLLIVARE</t>
        </is>
      </c>
      <c r="F1161" t="inlineStr">
        <is>
          <t>Sveaskog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32644-2019</t>
        </is>
      </c>
      <c r="B1162" s="1" t="n">
        <v>43647</v>
      </c>
      <c r="C1162" s="1" t="n">
        <v>45662</v>
      </c>
      <c r="D1162" t="inlineStr">
        <is>
          <t>NORRBOTTENS LÄN</t>
        </is>
      </c>
      <c r="E1162" t="inlineStr">
        <is>
          <t>PITEÅ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32747-2019</t>
        </is>
      </c>
      <c r="B1163" s="1" t="n">
        <v>43647</v>
      </c>
      <c r="C1163" s="1" t="n">
        <v>45662</v>
      </c>
      <c r="D1163" t="inlineStr">
        <is>
          <t>NORRBOTTENS LÄN</t>
        </is>
      </c>
      <c r="E1163" t="inlineStr">
        <is>
          <t>PAJALA</t>
        </is>
      </c>
      <c r="F1163" t="inlineStr">
        <is>
          <t>SCA</t>
        </is>
      </c>
      <c r="G1163" t="n">
        <v>20.8</v>
      </c>
      <c r="H1163" t="n">
        <v>0</v>
      </c>
      <c r="I1163" t="n">
        <v>0</v>
      </c>
      <c r="J1163" t="n">
        <v>0</v>
      </c>
      <c r="K1163" t="n">
        <v>0</v>
      </c>
      <c r="L1163" t="n">
        <v>0</v>
      </c>
      <c r="M1163" t="n">
        <v>0</v>
      </c>
      <c r="N1163" t="n">
        <v>0</v>
      </c>
      <c r="O1163" t="n">
        <v>0</v>
      </c>
      <c r="P1163" t="n">
        <v>0</v>
      </c>
      <c r="Q1163" t="n">
        <v>0</v>
      </c>
      <c r="R1163" s="2" t="inlineStr"/>
    </row>
    <row r="1164" ht="15" customHeight="1">
      <c r="A1164" t="inlineStr">
        <is>
          <t>A 34375-2019</t>
        </is>
      </c>
      <c r="B1164" s="1" t="n">
        <v>43647</v>
      </c>
      <c r="C1164" s="1" t="n">
        <v>45662</v>
      </c>
      <c r="D1164" t="inlineStr">
        <is>
          <t>NORRBOTTENS LÄN</t>
        </is>
      </c>
      <c r="E1164" t="inlineStr">
        <is>
          <t>BODEN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32869-2019</t>
        </is>
      </c>
      <c r="B1165" s="1" t="n">
        <v>43648</v>
      </c>
      <c r="C1165" s="1" t="n">
        <v>45662</v>
      </c>
      <c r="D1165" t="inlineStr">
        <is>
          <t>NORRBOTTENS LÄN</t>
        </is>
      </c>
      <c r="E1165" t="inlineStr">
        <is>
          <t>GÄLLIVARE</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33212-2019</t>
        </is>
      </c>
      <c r="B1166" s="1" t="n">
        <v>43649</v>
      </c>
      <c r="C1166" s="1" t="n">
        <v>45662</v>
      </c>
      <c r="D1166" t="inlineStr">
        <is>
          <t>NORRBOTTENS LÄN</t>
        </is>
      </c>
      <c r="E1166" t="inlineStr">
        <is>
          <t>JOKKMOKK</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33211-2019</t>
        </is>
      </c>
      <c r="B1167" s="1" t="n">
        <v>43649</v>
      </c>
      <c r="C1167" s="1" t="n">
        <v>45662</v>
      </c>
      <c r="D1167" t="inlineStr">
        <is>
          <t>NORRBOTTENS LÄN</t>
        </is>
      </c>
      <c r="E1167" t="inlineStr">
        <is>
          <t>JOKKMOKK</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33038-2019</t>
        </is>
      </c>
      <c r="B1168" s="1" t="n">
        <v>43649</v>
      </c>
      <c r="C1168" s="1" t="n">
        <v>45662</v>
      </c>
      <c r="D1168" t="inlineStr">
        <is>
          <t>NORRBOTTENS LÄN</t>
        </is>
      </c>
      <c r="E1168" t="inlineStr">
        <is>
          <t>ARVIDSJAUR</t>
        </is>
      </c>
      <c r="F1168" t="inlineStr">
        <is>
          <t>Sveaskog</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33452-2019</t>
        </is>
      </c>
      <c r="B1169" s="1" t="n">
        <v>43650</v>
      </c>
      <c r="C1169" s="1" t="n">
        <v>45662</v>
      </c>
      <c r="D1169" t="inlineStr">
        <is>
          <t>NORRBOTTENS LÄN</t>
        </is>
      </c>
      <c r="E1169" t="inlineStr">
        <is>
          <t>LULEÅ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33259-2019</t>
        </is>
      </c>
      <c r="B1170" s="1" t="n">
        <v>43650</v>
      </c>
      <c r="C1170" s="1" t="n">
        <v>45662</v>
      </c>
      <c r="D1170" t="inlineStr">
        <is>
          <t>NORRBOTTENS LÄN</t>
        </is>
      </c>
      <c r="E1170" t="inlineStr">
        <is>
          <t>PAJALA</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33447-2019</t>
        </is>
      </c>
      <c r="B1171" s="1" t="n">
        <v>43650</v>
      </c>
      <c r="C1171" s="1" t="n">
        <v>45662</v>
      </c>
      <c r="D1171" t="inlineStr">
        <is>
          <t>NORRBOTTENS LÄN</t>
        </is>
      </c>
      <c r="E1171" t="inlineStr">
        <is>
          <t>BODEN</t>
        </is>
      </c>
      <c r="F1171" t="inlineStr">
        <is>
          <t>Sveaskog</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33330-2019</t>
        </is>
      </c>
      <c r="B1172" s="1" t="n">
        <v>43650</v>
      </c>
      <c r="C1172" s="1" t="n">
        <v>45662</v>
      </c>
      <c r="D1172" t="inlineStr">
        <is>
          <t>NORRBOTTENS LÄN</t>
        </is>
      </c>
      <c r="E1172" t="inlineStr">
        <is>
          <t>PAJALA</t>
        </is>
      </c>
      <c r="F1172" t="inlineStr">
        <is>
          <t>Sveaskog</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33278-2019</t>
        </is>
      </c>
      <c r="B1173" s="1" t="n">
        <v>43650</v>
      </c>
      <c r="C1173" s="1" t="n">
        <v>45662</v>
      </c>
      <c r="D1173" t="inlineStr">
        <is>
          <t>NORRBOTTENS LÄN</t>
        </is>
      </c>
      <c r="E1173" t="inlineStr">
        <is>
          <t>BODEN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35119-2019</t>
        </is>
      </c>
      <c r="B1174" s="1" t="n">
        <v>43650</v>
      </c>
      <c r="C1174" s="1" t="n">
        <v>45662</v>
      </c>
      <c r="D1174" t="inlineStr">
        <is>
          <t>NORRBOTTENS LÄN</t>
        </is>
      </c>
      <c r="E1174" t="inlineStr">
        <is>
          <t>PITEÅ</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33756-2019</t>
        </is>
      </c>
      <c r="B1175" s="1" t="n">
        <v>43651</v>
      </c>
      <c r="C1175" s="1" t="n">
        <v>45662</v>
      </c>
      <c r="D1175" t="inlineStr">
        <is>
          <t>NORRBOTTENS LÄN</t>
        </is>
      </c>
      <c r="E1175" t="inlineStr">
        <is>
          <t>JOKKMOKK</t>
        </is>
      </c>
      <c r="F1175" t="inlineStr">
        <is>
          <t>Sveaskog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33821-2019</t>
        </is>
      </c>
      <c r="B1176" s="1" t="n">
        <v>43651</v>
      </c>
      <c r="C1176" s="1" t="n">
        <v>45662</v>
      </c>
      <c r="D1176" t="inlineStr">
        <is>
          <t>NORRBOTTENS LÄN</t>
        </is>
      </c>
      <c r="E1176" t="inlineStr">
        <is>
          <t>JOKKMOKK</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35471-2019</t>
        </is>
      </c>
      <c r="B1177" s="1" t="n">
        <v>43651</v>
      </c>
      <c r="C1177" s="1" t="n">
        <v>45662</v>
      </c>
      <c r="D1177" t="inlineStr">
        <is>
          <t>NORRBOTTENS LÄN</t>
        </is>
      </c>
      <c r="E1177" t="inlineStr">
        <is>
          <t>KALIX</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35403-2019</t>
        </is>
      </c>
      <c r="B1178" s="1" t="n">
        <v>43651</v>
      </c>
      <c r="C1178" s="1" t="n">
        <v>45662</v>
      </c>
      <c r="D1178" t="inlineStr">
        <is>
          <t>NORRBOTTENS LÄN</t>
        </is>
      </c>
      <c r="E1178" t="inlineStr">
        <is>
          <t>KALIX</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33871-2019</t>
        </is>
      </c>
      <c r="B1179" s="1" t="n">
        <v>43652</v>
      </c>
      <c r="C1179" s="1" t="n">
        <v>45662</v>
      </c>
      <c r="D1179" t="inlineStr">
        <is>
          <t>NORRBOTTENS LÄN</t>
        </is>
      </c>
      <c r="E1179" t="inlineStr">
        <is>
          <t>PITEÅ</t>
        </is>
      </c>
      <c r="F1179" t="inlineStr">
        <is>
          <t>SCA</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33868-2019</t>
        </is>
      </c>
      <c r="B1180" s="1" t="n">
        <v>43652</v>
      </c>
      <c r="C1180" s="1" t="n">
        <v>45662</v>
      </c>
      <c r="D1180" t="inlineStr">
        <is>
          <t>NORRBOTTENS LÄN</t>
        </is>
      </c>
      <c r="E1180" t="inlineStr">
        <is>
          <t>HAPARANDA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34015-2019</t>
        </is>
      </c>
      <c r="B1181" s="1" t="n">
        <v>43654</v>
      </c>
      <c r="C1181" s="1" t="n">
        <v>45662</v>
      </c>
      <c r="D1181" t="inlineStr">
        <is>
          <t>NORRBOTTENS LÄN</t>
        </is>
      </c>
      <c r="E1181" t="inlineStr">
        <is>
          <t>BODEN</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34053-2019</t>
        </is>
      </c>
      <c r="B1182" s="1" t="n">
        <v>43654</v>
      </c>
      <c r="C1182" s="1" t="n">
        <v>45662</v>
      </c>
      <c r="D1182" t="inlineStr">
        <is>
          <t>NORRBOTTENS LÄN</t>
        </is>
      </c>
      <c r="E1182" t="inlineStr">
        <is>
          <t>GÄLLIVARE</t>
        </is>
      </c>
      <c r="F1182" t="inlineStr">
        <is>
          <t>Sveaskog</t>
        </is>
      </c>
      <c r="G1182" t="n">
        <v>13.8</v>
      </c>
      <c r="H1182" t="n">
        <v>0</v>
      </c>
      <c r="I1182" t="n">
        <v>0</v>
      </c>
      <c r="J1182" t="n">
        <v>0</v>
      </c>
      <c r="K1182" t="n">
        <v>0</v>
      </c>
      <c r="L1182" t="n">
        <v>0</v>
      </c>
      <c r="M1182" t="n">
        <v>0</v>
      </c>
      <c r="N1182" t="n">
        <v>0</v>
      </c>
      <c r="O1182" t="n">
        <v>0</v>
      </c>
      <c r="P1182" t="n">
        <v>0</v>
      </c>
      <c r="Q1182" t="n">
        <v>0</v>
      </c>
      <c r="R1182" s="2" t="inlineStr"/>
    </row>
    <row r="1183" ht="15" customHeight="1">
      <c r="A1183" t="inlineStr">
        <is>
          <t>A 34049-2019</t>
        </is>
      </c>
      <c r="B1183" s="1" t="n">
        <v>43654</v>
      </c>
      <c r="C1183" s="1" t="n">
        <v>45662</v>
      </c>
      <c r="D1183" t="inlineStr">
        <is>
          <t>NORRBOTTENS LÄN</t>
        </is>
      </c>
      <c r="E1183" t="inlineStr">
        <is>
          <t>GÄLLIVARE</t>
        </is>
      </c>
      <c r="F1183" t="inlineStr">
        <is>
          <t>Sveaskog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34046-2019</t>
        </is>
      </c>
      <c r="B1184" s="1" t="n">
        <v>43654</v>
      </c>
      <c r="C1184" s="1" t="n">
        <v>45662</v>
      </c>
      <c r="D1184" t="inlineStr">
        <is>
          <t>NORRBOTTENS LÄN</t>
        </is>
      </c>
      <c r="E1184" t="inlineStr">
        <is>
          <t>JOKKMOKK</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34174-2019</t>
        </is>
      </c>
      <c r="B1185" s="1" t="n">
        <v>43655</v>
      </c>
      <c r="C1185" s="1" t="n">
        <v>45662</v>
      </c>
      <c r="D1185" t="inlineStr">
        <is>
          <t>NORRBOTTENS LÄN</t>
        </is>
      </c>
      <c r="E1185" t="inlineStr">
        <is>
          <t>ÖVERTORNEÅ</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34222-2019</t>
        </is>
      </c>
      <c r="B1186" s="1" t="n">
        <v>43655</v>
      </c>
      <c r="C1186" s="1" t="n">
        <v>45662</v>
      </c>
      <c r="D1186" t="inlineStr">
        <is>
          <t>NORRBOTTENS LÄN</t>
        </is>
      </c>
      <c r="E1186" t="inlineStr">
        <is>
          <t>ARVIDSJAUR</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34153-2019</t>
        </is>
      </c>
      <c r="B1187" s="1" t="n">
        <v>43655</v>
      </c>
      <c r="C1187" s="1" t="n">
        <v>45662</v>
      </c>
      <c r="D1187" t="inlineStr">
        <is>
          <t>NORRBOTTENS LÄN</t>
        </is>
      </c>
      <c r="E1187" t="inlineStr">
        <is>
          <t>PAJALA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34264-2019</t>
        </is>
      </c>
      <c r="B1188" s="1" t="n">
        <v>43655</v>
      </c>
      <c r="C1188" s="1" t="n">
        <v>45662</v>
      </c>
      <c r="D1188" t="inlineStr">
        <is>
          <t>NORRBOTTENS LÄN</t>
        </is>
      </c>
      <c r="E1188" t="inlineStr">
        <is>
          <t>BODEN</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34255-2019</t>
        </is>
      </c>
      <c r="B1189" s="1" t="n">
        <v>43655</v>
      </c>
      <c r="C1189" s="1" t="n">
        <v>45662</v>
      </c>
      <c r="D1189" t="inlineStr">
        <is>
          <t>NORRBOTTENS LÄN</t>
        </is>
      </c>
      <c r="E1189" t="inlineStr">
        <is>
          <t>GÄLLIVARE</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35698-2019</t>
        </is>
      </c>
      <c r="B1190" s="1" t="n">
        <v>43655</v>
      </c>
      <c r="C1190" s="1" t="n">
        <v>45662</v>
      </c>
      <c r="D1190" t="inlineStr">
        <is>
          <t>NORRBOTTENS LÄN</t>
        </is>
      </c>
      <c r="E1190" t="inlineStr">
        <is>
          <t>PAJALA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35700-2019</t>
        </is>
      </c>
      <c r="B1191" s="1" t="n">
        <v>43655</v>
      </c>
      <c r="C1191" s="1" t="n">
        <v>45662</v>
      </c>
      <c r="D1191" t="inlineStr">
        <is>
          <t>NORRBOTTENS LÄN</t>
        </is>
      </c>
      <c r="E1191" t="inlineStr">
        <is>
          <t>PAJALA</t>
        </is>
      </c>
      <c r="G1191" t="n">
        <v>12.2</v>
      </c>
      <c r="H1191" t="n">
        <v>0</v>
      </c>
      <c r="I1191" t="n">
        <v>0</v>
      </c>
      <c r="J1191" t="n">
        <v>0</v>
      </c>
      <c r="K1191" t="n">
        <v>0</v>
      </c>
      <c r="L1191" t="n">
        <v>0</v>
      </c>
      <c r="M1191" t="n">
        <v>0</v>
      </c>
      <c r="N1191" t="n">
        <v>0</v>
      </c>
      <c r="O1191" t="n">
        <v>0</v>
      </c>
      <c r="P1191" t="n">
        <v>0</v>
      </c>
      <c r="Q1191" t="n">
        <v>0</v>
      </c>
      <c r="R1191" s="2" t="inlineStr"/>
    </row>
    <row r="1192" ht="15" customHeight="1">
      <c r="A1192" t="inlineStr">
        <is>
          <t>A 34165-2019</t>
        </is>
      </c>
      <c r="B1192" s="1" t="n">
        <v>43655</v>
      </c>
      <c r="C1192" s="1" t="n">
        <v>45662</v>
      </c>
      <c r="D1192" t="inlineStr">
        <is>
          <t>NORRBOTTENS LÄN</t>
        </is>
      </c>
      <c r="E1192" t="inlineStr">
        <is>
          <t>ÄLVSBYN</t>
        </is>
      </c>
      <c r="F1192" t="inlineStr">
        <is>
          <t>Sveaskog</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34586-2019</t>
        </is>
      </c>
      <c r="B1193" s="1" t="n">
        <v>43657</v>
      </c>
      <c r="C1193" s="1" t="n">
        <v>45662</v>
      </c>
      <c r="D1193" t="inlineStr">
        <is>
          <t>NORRBOTTENS LÄN</t>
        </is>
      </c>
      <c r="E1193" t="inlineStr">
        <is>
          <t>JOKKMOKK</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34571-2019</t>
        </is>
      </c>
      <c r="B1194" s="1" t="n">
        <v>43657</v>
      </c>
      <c r="C1194" s="1" t="n">
        <v>45662</v>
      </c>
      <c r="D1194" t="inlineStr">
        <is>
          <t>NORRBOTTENS LÄN</t>
        </is>
      </c>
      <c r="E1194" t="inlineStr">
        <is>
          <t>JOKKMOKK</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34590-2019</t>
        </is>
      </c>
      <c r="B1195" s="1" t="n">
        <v>43657</v>
      </c>
      <c r="C1195" s="1" t="n">
        <v>45662</v>
      </c>
      <c r="D1195" t="inlineStr">
        <is>
          <t>NORRBOTTENS LÄN</t>
        </is>
      </c>
      <c r="E1195" t="inlineStr">
        <is>
          <t>JOKKMOKK</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36050-2019</t>
        </is>
      </c>
      <c r="B1196" s="1" t="n">
        <v>43657</v>
      </c>
      <c r="C1196" s="1" t="n">
        <v>45662</v>
      </c>
      <c r="D1196" t="inlineStr">
        <is>
          <t>NORRBOTTENS LÄN</t>
        </is>
      </c>
      <c r="E1196" t="inlineStr">
        <is>
          <t>BODEN</t>
        </is>
      </c>
      <c r="G1196" t="n">
        <v>32.3</v>
      </c>
      <c r="H1196" t="n">
        <v>0</v>
      </c>
      <c r="I1196" t="n">
        <v>0</v>
      </c>
      <c r="J1196" t="n">
        <v>0</v>
      </c>
      <c r="K1196" t="n">
        <v>0</v>
      </c>
      <c r="L1196" t="n">
        <v>0</v>
      </c>
      <c r="M1196" t="n">
        <v>0</v>
      </c>
      <c r="N1196" t="n">
        <v>0</v>
      </c>
      <c r="O1196" t="n">
        <v>0</v>
      </c>
      <c r="P1196" t="n">
        <v>0</v>
      </c>
      <c r="Q1196" t="n">
        <v>0</v>
      </c>
      <c r="R1196" s="2" t="inlineStr"/>
    </row>
    <row r="1197" ht="15" customHeight="1">
      <c r="A1197" t="inlineStr">
        <is>
          <t>A 36052-2019</t>
        </is>
      </c>
      <c r="B1197" s="1" t="n">
        <v>43657</v>
      </c>
      <c r="C1197" s="1" t="n">
        <v>45662</v>
      </c>
      <c r="D1197" t="inlineStr">
        <is>
          <t>NORRBOTTENS LÄN</t>
        </is>
      </c>
      <c r="E1197" t="inlineStr">
        <is>
          <t>BODEN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37160-2019</t>
        </is>
      </c>
      <c r="B1198" s="1" t="n">
        <v>43658</v>
      </c>
      <c r="C1198" s="1" t="n">
        <v>45662</v>
      </c>
      <c r="D1198" t="inlineStr">
        <is>
          <t>NORRBOTTENS LÄN</t>
        </is>
      </c>
      <c r="E1198" t="inlineStr">
        <is>
          <t>ÖVERTORNEÅ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37151-2019</t>
        </is>
      </c>
      <c r="B1199" s="1" t="n">
        <v>43658</v>
      </c>
      <c r="C1199" s="1" t="n">
        <v>45662</v>
      </c>
      <c r="D1199" t="inlineStr">
        <is>
          <t>NORRBOTTENS LÄN</t>
        </is>
      </c>
      <c r="E1199" t="inlineStr">
        <is>
          <t>ÖVERTORNEÅ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36114-2019</t>
        </is>
      </c>
      <c r="B1200" s="1" t="n">
        <v>43658</v>
      </c>
      <c r="C1200" s="1" t="n">
        <v>45662</v>
      </c>
      <c r="D1200" t="inlineStr">
        <is>
          <t>NORRBOTTENS LÄN</t>
        </is>
      </c>
      <c r="E1200" t="inlineStr">
        <is>
          <t>ÖVERTORNEÅ</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37159-2019</t>
        </is>
      </c>
      <c r="B1201" s="1" t="n">
        <v>43658</v>
      </c>
      <c r="C1201" s="1" t="n">
        <v>45662</v>
      </c>
      <c r="D1201" t="inlineStr">
        <is>
          <t>NORRBOTTENS LÄN</t>
        </is>
      </c>
      <c r="E1201" t="inlineStr">
        <is>
          <t>ÖVERTORNEÅ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37148-2019</t>
        </is>
      </c>
      <c r="B1202" s="1" t="n">
        <v>43658</v>
      </c>
      <c r="C1202" s="1" t="n">
        <v>45662</v>
      </c>
      <c r="D1202" t="inlineStr">
        <is>
          <t>NORRBOTTENS LÄN</t>
        </is>
      </c>
      <c r="E1202" t="inlineStr">
        <is>
          <t>ÖVERTORNEÅ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37146-2019</t>
        </is>
      </c>
      <c r="B1203" s="1" t="n">
        <v>43658</v>
      </c>
      <c r="C1203" s="1" t="n">
        <v>45662</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37155-2019</t>
        </is>
      </c>
      <c r="B1204" s="1" t="n">
        <v>43658</v>
      </c>
      <c r="C1204" s="1" t="n">
        <v>45662</v>
      </c>
      <c r="D1204" t="inlineStr">
        <is>
          <t>NORRBOTTENS LÄN</t>
        </is>
      </c>
      <c r="E1204" t="inlineStr">
        <is>
          <t>ÖVERTORNEÅ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37152-2019</t>
        </is>
      </c>
      <c r="B1205" s="1" t="n">
        <v>43658</v>
      </c>
      <c r="C1205" s="1" t="n">
        <v>45662</v>
      </c>
      <c r="D1205" t="inlineStr">
        <is>
          <t>NORRBOTTENS LÄN</t>
        </is>
      </c>
      <c r="E1205" t="inlineStr">
        <is>
          <t>ÖVERTORNEÅ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35101-2019</t>
        </is>
      </c>
      <c r="B1206" s="1" t="n">
        <v>43661</v>
      </c>
      <c r="C1206" s="1" t="n">
        <v>45662</v>
      </c>
      <c r="D1206" t="inlineStr">
        <is>
          <t>NORRBOTTENS LÄN</t>
        </is>
      </c>
      <c r="E1206" t="inlineStr">
        <is>
          <t>PAJALA</t>
        </is>
      </c>
      <c r="F1206" t="inlineStr">
        <is>
          <t>Sveaskog</t>
        </is>
      </c>
      <c r="G1206" t="n">
        <v>35.1</v>
      </c>
      <c r="H1206" t="n">
        <v>0</v>
      </c>
      <c r="I1206" t="n">
        <v>0</v>
      </c>
      <c r="J1206" t="n">
        <v>0</v>
      </c>
      <c r="K1206" t="n">
        <v>0</v>
      </c>
      <c r="L1206" t="n">
        <v>0</v>
      </c>
      <c r="M1206" t="n">
        <v>0</v>
      </c>
      <c r="N1206" t="n">
        <v>0</v>
      </c>
      <c r="O1206" t="n">
        <v>0</v>
      </c>
      <c r="P1206" t="n">
        <v>0</v>
      </c>
      <c r="Q1206" t="n">
        <v>0</v>
      </c>
      <c r="R1206" s="2" t="inlineStr"/>
    </row>
    <row r="1207" ht="15" customHeight="1">
      <c r="A1207" t="inlineStr">
        <is>
          <t>A 35103-2019</t>
        </is>
      </c>
      <c r="B1207" s="1" t="n">
        <v>43661</v>
      </c>
      <c r="C1207" s="1" t="n">
        <v>45662</v>
      </c>
      <c r="D1207" t="inlineStr">
        <is>
          <t>NORRBOTTENS LÄN</t>
        </is>
      </c>
      <c r="E1207" t="inlineStr">
        <is>
          <t>BODEN</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35113-2019</t>
        </is>
      </c>
      <c r="B1208" s="1" t="n">
        <v>43661</v>
      </c>
      <c r="C1208" s="1" t="n">
        <v>45662</v>
      </c>
      <c r="D1208" t="inlineStr">
        <is>
          <t>NORRBOTTENS LÄN</t>
        </is>
      </c>
      <c r="E1208" t="inlineStr">
        <is>
          <t>PAJALA</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35100-2019</t>
        </is>
      </c>
      <c r="B1209" s="1" t="n">
        <v>43661</v>
      </c>
      <c r="C1209" s="1" t="n">
        <v>45662</v>
      </c>
      <c r="D1209" t="inlineStr">
        <is>
          <t>NORRBOTTENS LÄN</t>
        </is>
      </c>
      <c r="E1209" t="inlineStr">
        <is>
          <t>BODEN</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35336-2019</t>
        </is>
      </c>
      <c r="B1210" s="1" t="n">
        <v>43663</v>
      </c>
      <c r="C1210" s="1" t="n">
        <v>45662</v>
      </c>
      <c r="D1210" t="inlineStr">
        <is>
          <t>NORRBOTTENS LÄN</t>
        </is>
      </c>
      <c r="E1210" t="inlineStr">
        <is>
          <t>BODEN</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35338-2019</t>
        </is>
      </c>
      <c r="B1211" s="1" t="n">
        <v>43663</v>
      </c>
      <c r="C1211" s="1" t="n">
        <v>45662</v>
      </c>
      <c r="D1211" t="inlineStr">
        <is>
          <t>NORRBOTTENS LÄN</t>
        </is>
      </c>
      <c r="E1211" t="inlineStr">
        <is>
          <t>BODEN</t>
        </is>
      </c>
      <c r="F1211" t="inlineStr">
        <is>
          <t>Sveaskog</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37523-2019</t>
        </is>
      </c>
      <c r="B1212" s="1" t="n">
        <v>43663</v>
      </c>
      <c r="C1212" s="1" t="n">
        <v>45662</v>
      </c>
      <c r="D1212" t="inlineStr">
        <is>
          <t>NORRBOTTENS LÄN</t>
        </is>
      </c>
      <c r="E1212" t="inlineStr">
        <is>
          <t>ARVIDSJAUR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36399-2019</t>
        </is>
      </c>
      <c r="B1213" s="1" t="n">
        <v>43663</v>
      </c>
      <c r="C1213" s="1" t="n">
        <v>45662</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36404-2019</t>
        </is>
      </c>
      <c r="B1214" s="1" t="n">
        <v>43663</v>
      </c>
      <c r="C1214" s="1" t="n">
        <v>45662</v>
      </c>
      <c r="D1214" t="inlineStr">
        <is>
          <t>NORRBOTTENS LÄN</t>
        </is>
      </c>
      <c r="E1214" t="inlineStr">
        <is>
          <t>ARVIDSJAUR</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35692-2019</t>
        </is>
      </c>
      <c r="B1215" s="1" t="n">
        <v>43664</v>
      </c>
      <c r="C1215" s="1" t="n">
        <v>45662</v>
      </c>
      <c r="D1215" t="inlineStr">
        <is>
          <t>NORRBOTTENS LÄN</t>
        </is>
      </c>
      <c r="E1215" t="inlineStr">
        <is>
          <t>BODEN</t>
        </is>
      </c>
      <c r="F1215" t="inlineStr">
        <is>
          <t>Sveaskog</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35797-2019</t>
        </is>
      </c>
      <c r="B1216" s="1" t="n">
        <v>43665</v>
      </c>
      <c r="C1216" s="1" t="n">
        <v>45662</v>
      </c>
      <c r="D1216" t="inlineStr">
        <is>
          <t>NORRBOTTENS LÄN</t>
        </is>
      </c>
      <c r="E1216" t="inlineStr">
        <is>
          <t>PAJALA</t>
        </is>
      </c>
      <c r="F1216" t="inlineStr">
        <is>
          <t>Allmännings- och besparingsskogar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35842-2019</t>
        </is>
      </c>
      <c r="B1217" s="1" t="n">
        <v>43665</v>
      </c>
      <c r="C1217" s="1" t="n">
        <v>45662</v>
      </c>
      <c r="D1217" t="inlineStr">
        <is>
          <t>NORRBOTTENS LÄN</t>
        </is>
      </c>
      <c r="E1217" t="inlineStr">
        <is>
          <t>ARJEPLOG</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36515-2019</t>
        </is>
      </c>
      <c r="B1218" s="1" t="n">
        <v>43668</v>
      </c>
      <c r="C1218" s="1" t="n">
        <v>45662</v>
      </c>
      <c r="D1218" t="inlineStr">
        <is>
          <t>NORRBOTTENS LÄN</t>
        </is>
      </c>
      <c r="E1218" t="inlineStr">
        <is>
          <t>KALIX</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36514-2019</t>
        </is>
      </c>
      <c r="B1219" s="1" t="n">
        <v>43668</v>
      </c>
      <c r="C1219" s="1" t="n">
        <v>45662</v>
      </c>
      <c r="D1219" t="inlineStr">
        <is>
          <t>NORRBOTTENS LÄN</t>
        </is>
      </c>
      <c r="E1219" t="inlineStr">
        <is>
          <t>KALIX</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36046-2019</t>
        </is>
      </c>
      <c r="B1220" s="1" t="n">
        <v>43668</v>
      </c>
      <c r="C1220" s="1" t="n">
        <v>45662</v>
      </c>
      <c r="D1220" t="inlineStr">
        <is>
          <t>NORRBOTTENS LÄN</t>
        </is>
      </c>
      <c r="E1220" t="inlineStr">
        <is>
          <t>GÄLLIVARE</t>
        </is>
      </c>
      <c r="F1220" t="inlineStr">
        <is>
          <t>Sveaskog</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36509-2019</t>
        </is>
      </c>
      <c r="B1221" s="1" t="n">
        <v>43668</v>
      </c>
      <c r="C1221" s="1" t="n">
        <v>45662</v>
      </c>
      <c r="D1221" t="inlineStr">
        <is>
          <t>NORRBOTTENS LÄN</t>
        </is>
      </c>
      <c r="E1221" t="inlineStr">
        <is>
          <t>HAPARANDA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36511-2019</t>
        </is>
      </c>
      <c r="B1222" s="1" t="n">
        <v>43668</v>
      </c>
      <c r="C1222" s="1" t="n">
        <v>45662</v>
      </c>
      <c r="D1222" t="inlineStr">
        <is>
          <t>NORRBOTTENS LÄN</t>
        </is>
      </c>
      <c r="E1222" t="inlineStr">
        <is>
          <t>HAPARANDA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36526-2019</t>
        </is>
      </c>
      <c r="B1223" s="1" t="n">
        <v>43668</v>
      </c>
      <c r="C1223" s="1" t="n">
        <v>45662</v>
      </c>
      <c r="D1223" t="inlineStr">
        <is>
          <t>NORRBOTTENS LÄN</t>
        </is>
      </c>
      <c r="E1223" t="inlineStr">
        <is>
          <t>ARVIDSJAUR</t>
        </is>
      </c>
      <c r="F1223" t="inlineStr">
        <is>
          <t>Allmännings- och besparingsskogar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36487-2019</t>
        </is>
      </c>
      <c r="B1224" s="1" t="n">
        <v>43668</v>
      </c>
      <c r="C1224" s="1" t="n">
        <v>45662</v>
      </c>
      <c r="D1224" t="inlineStr">
        <is>
          <t>NORRBOTTENS LÄN</t>
        </is>
      </c>
      <c r="E1224" t="inlineStr">
        <is>
          <t>HAPARANDA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36491-2019</t>
        </is>
      </c>
      <c r="B1225" s="1" t="n">
        <v>43668</v>
      </c>
      <c r="C1225" s="1" t="n">
        <v>45662</v>
      </c>
      <c r="D1225" t="inlineStr">
        <is>
          <t>NORRBOTTENS LÄN</t>
        </is>
      </c>
      <c r="E1225" t="inlineStr">
        <is>
          <t>HAPARANDA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36621-2019</t>
        </is>
      </c>
      <c r="B1226" s="1" t="n">
        <v>43671</v>
      </c>
      <c r="C1226" s="1" t="n">
        <v>45662</v>
      </c>
      <c r="D1226" t="inlineStr">
        <is>
          <t>NORRBOTTENS LÄN</t>
        </is>
      </c>
      <c r="E1226" t="inlineStr">
        <is>
          <t>KIRUNA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36753-2019</t>
        </is>
      </c>
      <c r="B1227" s="1" t="n">
        <v>43672</v>
      </c>
      <c r="C1227" s="1" t="n">
        <v>45662</v>
      </c>
      <c r="D1227" t="inlineStr">
        <is>
          <t>NORRBOTTENS LÄN</t>
        </is>
      </c>
      <c r="E1227" t="inlineStr">
        <is>
          <t>PAJALA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36781-2019</t>
        </is>
      </c>
      <c r="B1228" s="1" t="n">
        <v>43672</v>
      </c>
      <c r="C1228" s="1" t="n">
        <v>45662</v>
      </c>
      <c r="D1228" t="inlineStr">
        <is>
          <t>NORRBOTTENS LÄN</t>
        </is>
      </c>
      <c r="E1228" t="inlineStr">
        <is>
          <t>ÄLVSBYN</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36821-2019</t>
        </is>
      </c>
      <c r="B1229" s="1" t="n">
        <v>43673</v>
      </c>
      <c r="C1229" s="1" t="n">
        <v>45662</v>
      </c>
      <c r="D1229" t="inlineStr">
        <is>
          <t>NORRBOTTENS LÄN</t>
        </is>
      </c>
      <c r="E1229" t="inlineStr">
        <is>
          <t>JOKKMOKK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37123-2019</t>
        </is>
      </c>
      <c r="B1230" s="1" t="n">
        <v>43676</v>
      </c>
      <c r="C1230" s="1" t="n">
        <v>45662</v>
      </c>
      <c r="D1230" t="inlineStr">
        <is>
          <t>NORRBOTTENS LÄN</t>
        </is>
      </c>
      <c r="E1230" t="inlineStr">
        <is>
          <t>GÄLLIVARE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37122-2019</t>
        </is>
      </c>
      <c r="B1231" s="1" t="n">
        <v>43676</v>
      </c>
      <c r="C1231" s="1" t="n">
        <v>45662</v>
      </c>
      <c r="D1231" t="inlineStr">
        <is>
          <t>NORRBOTTENS LÄN</t>
        </is>
      </c>
      <c r="E1231" t="inlineStr">
        <is>
          <t>GÄLLIVARE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37315-2019</t>
        </is>
      </c>
      <c r="B1232" s="1" t="n">
        <v>43677</v>
      </c>
      <c r="C1232" s="1" t="n">
        <v>45662</v>
      </c>
      <c r="D1232" t="inlineStr">
        <is>
          <t>NORRBOTTENS LÄN</t>
        </is>
      </c>
      <c r="E1232" t="inlineStr">
        <is>
          <t>PITEÅ</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38093-2019</t>
        </is>
      </c>
      <c r="B1233" s="1" t="n">
        <v>43677</v>
      </c>
      <c r="C1233" s="1" t="n">
        <v>45662</v>
      </c>
      <c r="D1233" t="inlineStr">
        <is>
          <t>NORRBOTTENS LÄN</t>
        </is>
      </c>
      <c r="E1233" t="inlineStr">
        <is>
          <t>JOKKMOKK</t>
        </is>
      </c>
      <c r="F1233" t="inlineStr">
        <is>
          <t>Övriga Aktiebolag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37219-2019</t>
        </is>
      </c>
      <c r="B1234" s="1" t="n">
        <v>43677</v>
      </c>
      <c r="C1234" s="1" t="n">
        <v>45662</v>
      </c>
      <c r="D1234" t="inlineStr">
        <is>
          <t>NORRBOTTENS LÄN</t>
        </is>
      </c>
      <c r="E1234" t="inlineStr">
        <is>
          <t>ÖVERTORNEÅ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38089-2019</t>
        </is>
      </c>
      <c r="B1235" s="1" t="n">
        <v>43677</v>
      </c>
      <c r="C1235" s="1" t="n">
        <v>45662</v>
      </c>
      <c r="D1235" t="inlineStr">
        <is>
          <t>NORRBOTTENS LÄN</t>
        </is>
      </c>
      <c r="E1235" t="inlineStr">
        <is>
          <t>JOKKMOKK</t>
        </is>
      </c>
      <c r="F1235" t="inlineStr">
        <is>
          <t>Övriga Aktiebolag</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37311-2019</t>
        </is>
      </c>
      <c r="B1236" s="1" t="n">
        <v>43677</v>
      </c>
      <c r="C1236" s="1" t="n">
        <v>45662</v>
      </c>
      <c r="D1236" t="inlineStr">
        <is>
          <t>NORRBOTTENS LÄN</t>
        </is>
      </c>
      <c r="E1236" t="inlineStr">
        <is>
          <t>ÄLVSBYN</t>
        </is>
      </c>
      <c r="G1236" t="n">
        <v>11.4</v>
      </c>
      <c r="H1236" t="n">
        <v>0</v>
      </c>
      <c r="I1236" t="n">
        <v>0</v>
      </c>
      <c r="J1236" t="n">
        <v>0</v>
      </c>
      <c r="K1236" t="n">
        <v>0</v>
      </c>
      <c r="L1236" t="n">
        <v>0</v>
      </c>
      <c r="M1236" t="n">
        <v>0</v>
      </c>
      <c r="N1236" t="n">
        <v>0</v>
      </c>
      <c r="O1236" t="n">
        <v>0</v>
      </c>
      <c r="P1236" t="n">
        <v>0</v>
      </c>
      <c r="Q1236" t="n">
        <v>0</v>
      </c>
      <c r="R1236" s="2" t="inlineStr"/>
    </row>
    <row r="1237" ht="15" customHeight="1">
      <c r="A1237" t="inlineStr">
        <is>
          <t>A 37313-2019</t>
        </is>
      </c>
      <c r="B1237" s="1" t="n">
        <v>43677</v>
      </c>
      <c r="C1237" s="1" t="n">
        <v>45662</v>
      </c>
      <c r="D1237" t="inlineStr">
        <is>
          <t>NORRBOTTENS LÄN</t>
        </is>
      </c>
      <c r="E1237" t="inlineStr">
        <is>
          <t>ÄLVSBYN</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38092-2019</t>
        </is>
      </c>
      <c r="B1238" s="1" t="n">
        <v>43677</v>
      </c>
      <c r="C1238" s="1" t="n">
        <v>45662</v>
      </c>
      <c r="D1238" t="inlineStr">
        <is>
          <t>NORRBOTTENS LÄN</t>
        </is>
      </c>
      <c r="E1238" t="inlineStr">
        <is>
          <t>JOKKMOKK</t>
        </is>
      </c>
      <c r="F1238" t="inlineStr">
        <is>
          <t>Övriga Aktiebolag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37428-2019</t>
        </is>
      </c>
      <c r="B1239" s="1" t="n">
        <v>43678</v>
      </c>
      <c r="C1239" s="1" t="n">
        <v>45662</v>
      </c>
      <c r="D1239" t="inlineStr">
        <is>
          <t>NORRBOTTENS LÄN</t>
        </is>
      </c>
      <c r="E1239" t="inlineStr">
        <is>
          <t>BODEN</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37334-2019</t>
        </is>
      </c>
      <c r="B1240" s="1" t="n">
        <v>43678</v>
      </c>
      <c r="C1240" s="1" t="n">
        <v>45662</v>
      </c>
      <c r="D1240" t="inlineStr">
        <is>
          <t>NORRBOTTENS LÄN</t>
        </is>
      </c>
      <c r="E1240" t="inlineStr">
        <is>
          <t>PAJALA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37553-2019</t>
        </is>
      </c>
      <c r="B1241" s="1" t="n">
        <v>43678</v>
      </c>
      <c r="C1241" s="1" t="n">
        <v>45662</v>
      </c>
      <c r="D1241" t="inlineStr">
        <is>
          <t>NORRBOTTENS LÄN</t>
        </is>
      </c>
      <c r="E1241" t="inlineStr">
        <is>
          <t>PITEÅ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37637-2019</t>
        </is>
      </c>
      <c r="B1242" s="1" t="n">
        <v>43679</v>
      </c>
      <c r="C1242" s="1" t="n">
        <v>45662</v>
      </c>
      <c r="D1242" t="inlineStr">
        <is>
          <t>NORRBOTTENS LÄN</t>
        </is>
      </c>
      <c r="E1242" t="inlineStr">
        <is>
          <t>KALIX</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38085-2019</t>
        </is>
      </c>
      <c r="B1243" s="1" t="n">
        <v>43682</v>
      </c>
      <c r="C1243" s="1" t="n">
        <v>45662</v>
      </c>
      <c r="D1243" t="inlineStr">
        <is>
          <t>NORRBOTTENS LÄN</t>
        </is>
      </c>
      <c r="E1243" t="inlineStr">
        <is>
          <t>PITEÅ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38005-2019</t>
        </is>
      </c>
      <c r="B1244" s="1" t="n">
        <v>43683</v>
      </c>
      <c r="C1244" s="1" t="n">
        <v>45662</v>
      </c>
      <c r="D1244" t="inlineStr">
        <is>
          <t>NORRBOTTENS LÄN</t>
        </is>
      </c>
      <c r="E1244" t="inlineStr">
        <is>
          <t>JOKKMOKK</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38020-2019</t>
        </is>
      </c>
      <c r="B1245" s="1" t="n">
        <v>43683</v>
      </c>
      <c r="C1245" s="1" t="n">
        <v>45662</v>
      </c>
      <c r="D1245" t="inlineStr">
        <is>
          <t>NORRBOTTENS LÄN</t>
        </is>
      </c>
      <c r="E1245" t="inlineStr">
        <is>
          <t>ARVIDSJAUR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38006-2019</t>
        </is>
      </c>
      <c r="B1246" s="1" t="n">
        <v>43683</v>
      </c>
      <c r="C1246" s="1" t="n">
        <v>45662</v>
      </c>
      <c r="D1246" t="inlineStr">
        <is>
          <t>NORRBOTTENS LÄN</t>
        </is>
      </c>
      <c r="E1246" t="inlineStr">
        <is>
          <t>JOKKMOKK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38704-2019</t>
        </is>
      </c>
      <c r="B1247" s="1" t="n">
        <v>43684</v>
      </c>
      <c r="C1247" s="1" t="n">
        <v>45662</v>
      </c>
      <c r="D1247" t="inlineStr">
        <is>
          <t>NORRBOTTENS LÄN</t>
        </is>
      </c>
      <c r="E1247" t="inlineStr">
        <is>
          <t>LULEÅ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38659-2019</t>
        </is>
      </c>
      <c r="B1248" s="1" t="n">
        <v>43684</v>
      </c>
      <c r="C1248" s="1" t="n">
        <v>45662</v>
      </c>
      <c r="D1248" t="inlineStr">
        <is>
          <t>NORRBOTTENS LÄN</t>
        </is>
      </c>
      <c r="E1248" t="inlineStr">
        <is>
          <t>JOKKMOKK</t>
        </is>
      </c>
      <c r="F1248" t="inlineStr">
        <is>
          <t>Övriga Aktiebolag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38325-2019</t>
        </is>
      </c>
      <c r="B1249" s="1" t="n">
        <v>43684</v>
      </c>
      <c r="C1249" s="1" t="n">
        <v>45662</v>
      </c>
      <c r="D1249" t="inlineStr">
        <is>
          <t>NORRBOTTENS LÄN</t>
        </is>
      </c>
      <c r="E1249" t="inlineStr">
        <is>
          <t>ÖVERKALIX</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38326-2019</t>
        </is>
      </c>
      <c r="B1250" s="1" t="n">
        <v>43684</v>
      </c>
      <c r="C1250" s="1" t="n">
        <v>45662</v>
      </c>
      <c r="D1250" t="inlineStr">
        <is>
          <t>NORRBOTTENS LÄN</t>
        </is>
      </c>
      <c r="E1250" t="inlineStr">
        <is>
          <t>ÖVERKALIX</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38696-2019</t>
        </is>
      </c>
      <c r="B1251" s="1" t="n">
        <v>43684</v>
      </c>
      <c r="C1251" s="1" t="n">
        <v>45662</v>
      </c>
      <c r="D1251" t="inlineStr">
        <is>
          <t>NORRBOTTENS LÄN</t>
        </is>
      </c>
      <c r="E1251" t="inlineStr">
        <is>
          <t>PAJALA</t>
        </is>
      </c>
      <c r="G1251" t="n">
        <v>14.6</v>
      </c>
      <c r="H1251" t="n">
        <v>0</v>
      </c>
      <c r="I1251" t="n">
        <v>0</v>
      </c>
      <c r="J1251" t="n">
        <v>0</v>
      </c>
      <c r="K1251" t="n">
        <v>0</v>
      </c>
      <c r="L1251" t="n">
        <v>0</v>
      </c>
      <c r="M1251" t="n">
        <v>0</v>
      </c>
      <c r="N1251" t="n">
        <v>0</v>
      </c>
      <c r="O1251" t="n">
        <v>0</v>
      </c>
      <c r="P1251" t="n">
        <v>0</v>
      </c>
      <c r="Q1251" t="n">
        <v>0</v>
      </c>
      <c r="R1251" s="2" t="inlineStr"/>
    </row>
    <row r="1252" ht="15" customHeight="1">
      <c r="A1252" t="inlineStr">
        <is>
          <t>A 38692-2019</t>
        </is>
      </c>
      <c r="B1252" s="1" t="n">
        <v>43684</v>
      </c>
      <c r="C1252" s="1" t="n">
        <v>45662</v>
      </c>
      <c r="D1252" t="inlineStr">
        <is>
          <t>NORRBOTTENS LÄN</t>
        </is>
      </c>
      <c r="E1252" t="inlineStr">
        <is>
          <t>PAJALA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38322-2019</t>
        </is>
      </c>
      <c r="B1253" s="1" t="n">
        <v>43684</v>
      </c>
      <c r="C1253" s="1" t="n">
        <v>45662</v>
      </c>
      <c r="D1253" t="inlineStr">
        <is>
          <t>NORRBOTTENS LÄN</t>
        </is>
      </c>
      <c r="E1253" t="inlineStr">
        <is>
          <t>GÄLLIVARE</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38433-2019</t>
        </is>
      </c>
      <c r="B1254" s="1" t="n">
        <v>43685</v>
      </c>
      <c r="C1254" s="1" t="n">
        <v>45662</v>
      </c>
      <c r="D1254" t="inlineStr">
        <is>
          <t>NORRBOTTENS LÄN</t>
        </is>
      </c>
      <c r="E1254" t="inlineStr">
        <is>
          <t>ÖVERKALIX</t>
        </is>
      </c>
      <c r="F1254" t="inlineStr">
        <is>
          <t>Sveaskog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38529-2019</t>
        </is>
      </c>
      <c r="B1255" s="1" t="n">
        <v>43685</v>
      </c>
      <c r="C1255" s="1" t="n">
        <v>45662</v>
      </c>
      <c r="D1255" t="inlineStr">
        <is>
          <t>NORRBOTTENS LÄN</t>
        </is>
      </c>
      <c r="E1255" t="inlineStr">
        <is>
          <t>BODEN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38549-2019</t>
        </is>
      </c>
      <c r="B1256" s="1" t="n">
        <v>43685</v>
      </c>
      <c r="C1256" s="1" t="n">
        <v>45662</v>
      </c>
      <c r="D1256" t="inlineStr">
        <is>
          <t>NORRBOTTENS LÄN</t>
        </is>
      </c>
      <c r="E1256" t="inlineStr">
        <is>
          <t>KALIX</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39601-2019</t>
        </is>
      </c>
      <c r="B1257" s="1" t="n">
        <v>43686</v>
      </c>
      <c r="C1257" s="1" t="n">
        <v>45662</v>
      </c>
      <c r="D1257" t="inlineStr">
        <is>
          <t>NORRBOTTENS LÄN</t>
        </is>
      </c>
      <c r="E1257" t="inlineStr">
        <is>
          <t>ÖVERTORNEÅ</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39530-2019</t>
        </is>
      </c>
      <c r="B1258" s="1" t="n">
        <v>43686</v>
      </c>
      <c r="C1258" s="1" t="n">
        <v>45662</v>
      </c>
      <c r="D1258" t="inlineStr">
        <is>
          <t>NORRBOTTENS LÄN</t>
        </is>
      </c>
      <c r="E1258" t="inlineStr">
        <is>
          <t>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39604-2019</t>
        </is>
      </c>
      <c r="B1259" s="1" t="n">
        <v>43686</v>
      </c>
      <c r="C1259" s="1" t="n">
        <v>45662</v>
      </c>
      <c r="D1259" t="inlineStr">
        <is>
          <t>NORRBOTTENS LÄN</t>
        </is>
      </c>
      <c r="E1259" t="inlineStr">
        <is>
          <t>GÄLLIVARE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39532-2019</t>
        </is>
      </c>
      <c r="B1260" s="1" t="n">
        <v>43686</v>
      </c>
      <c r="C1260" s="1" t="n">
        <v>45662</v>
      </c>
      <c r="D1260" t="inlineStr">
        <is>
          <t>NORRBOTTENS LÄN</t>
        </is>
      </c>
      <c r="E1260" t="inlineStr">
        <is>
          <t>KALIX</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43089-2019</t>
        </is>
      </c>
      <c r="B1261" s="1" t="n">
        <v>43686</v>
      </c>
      <c r="C1261" s="1" t="n">
        <v>45662</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39580-2019</t>
        </is>
      </c>
      <c r="B1262" s="1" t="n">
        <v>43686</v>
      </c>
      <c r="C1262" s="1" t="n">
        <v>45662</v>
      </c>
      <c r="D1262" t="inlineStr">
        <is>
          <t>NORRBOTTENS LÄN</t>
        </is>
      </c>
      <c r="E1262" t="inlineStr">
        <is>
          <t>ÖVERTORNEÅ</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38638-2019</t>
        </is>
      </c>
      <c r="B1263" s="1" t="n">
        <v>43686</v>
      </c>
      <c r="C1263" s="1" t="n">
        <v>45662</v>
      </c>
      <c r="D1263" t="inlineStr">
        <is>
          <t>NORRBOTTENS LÄN</t>
        </is>
      </c>
      <c r="E1263" t="inlineStr">
        <is>
          <t>ARVIDSJAUR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38974-2019</t>
        </is>
      </c>
      <c r="B1264" s="1" t="n">
        <v>43689</v>
      </c>
      <c r="C1264" s="1" t="n">
        <v>45662</v>
      </c>
      <c r="D1264" t="inlineStr">
        <is>
          <t>NORRBOTTENS LÄN</t>
        </is>
      </c>
      <c r="E1264" t="inlineStr">
        <is>
          <t>BODEN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38980-2019</t>
        </is>
      </c>
      <c r="B1265" s="1" t="n">
        <v>43689</v>
      </c>
      <c r="C1265" s="1" t="n">
        <v>45662</v>
      </c>
      <c r="D1265" t="inlineStr">
        <is>
          <t>NORRBOTTENS LÄN</t>
        </is>
      </c>
      <c r="E1265" t="inlineStr">
        <is>
          <t>BODEN</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39008-2019</t>
        </is>
      </c>
      <c r="B1266" s="1" t="n">
        <v>43689</v>
      </c>
      <c r="C1266" s="1" t="n">
        <v>45662</v>
      </c>
      <c r="D1266" t="inlineStr">
        <is>
          <t>NORRBOTTENS LÄN</t>
        </is>
      </c>
      <c r="E1266" t="inlineStr">
        <is>
          <t>ÖVERKALIX</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39013-2019</t>
        </is>
      </c>
      <c r="B1267" s="1" t="n">
        <v>43689</v>
      </c>
      <c r="C1267" s="1" t="n">
        <v>45662</v>
      </c>
      <c r="D1267" t="inlineStr">
        <is>
          <t>NORRBOTTENS LÄN</t>
        </is>
      </c>
      <c r="E1267" t="inlineStr">
        <is>
          <t>ÖVERKALIX</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39007-2019</t>
        </is>
      </c>
      <c r="B1268" s="1" t="n">
        <v>43689</v>
      </c>
      <c r="C1268" s="1" t="n">
        <v>45662</v>
      </c>
      <c r="D1268" t="inlineStr">
        <is>
          <t>NORRBOTTENS LÄN</t>
        </is>
      </c>
      <c r="E1268" t="inlineStr">
        <is>
          <t>ÖVERKALIX</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39710-2019</t>
        </is>
      </c>
      <c r="B1269" s="1" t="n">
        <v>43689</v>
      </c>
      <c r="C1269" s="1" t="n">
        <v>45662</v>
      </c>
      <c r="D1269" t="inlineStr">
        <is>
          <t>NORRBOTTENS LÄN</t>
        </is>
      </c>
      <c r="E1269" t="inlineStr">
        <is>
          <t>JOKKMOKK</t>
        </is>
      </c>
      <c r="F1269" t="inlineStr">
        <is>
          <t>Allmännings- och besparingsskogar</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39893-2019</t>
        </is>
      </c>
      <c r="B1270" s="1" t="n">
        <v>43689</v>
      </c>
      <c r="C1270" s="1" t="n">
        <v>45662</v>
      </c>
      <c r="D1270" t="inlineStr">
        <is>
          <t>NORRBOTTENS LÄN</t>
        </is>
      </c>
      <c r="E1270" t="inlineStr">
        <is>
          <t>GÄLLIVARE</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39907-2019</t>
        </is>
      </c>
      <c r="B1271" s="1" t="n">
        <v>43689</v>
      </c>
      <c r="C1271" s="1" t="n">
        <v>45662</v>
      </c>
      <c r="D1271" t="inlineStr">
        <is>
          <t>NORRBOTTENS LÄN</t>
        </is>
      </c>
      <c r="E1271" t="inlineStr">
        <is>
          <t>GÄLLIVARE</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39268-2019</t>
        </is>
      </c>
      <c r="B1272" s="1" t="n">
        <v>43690</v>
      </c>
      <c r="C1272" s="1" t="n">
        <v>45662</v>
      </c>
      <c r="D1272" t="inlineStr">
        <is>
          <t>NORRBOTTENS LÄN</t>
        </is>
      </c>
      <c r="E1272" t="inlineStr">
        <is>
          <t>PAJALA</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39398-2019</t>
        </is>
      </c>
      <c r="B1273" s="1" t="n">
        <v>43690</v>
      </c>
      <c r="C1273" s="1" t="n">
        <v>45662</v>
      </c>
      <c r="D1273" t="inlineStr">
        <is>
          <t>NORRBOTTENS LÄN</t>
        </is>
      </c>
      <c r="E1273" t="inlineStr">
        <is>
          <t>JOKKMOKK</t>
        </is>
      </c>
      <c r="F1273" t="inlineStr">
        <is>
          <t>SCA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39246-2019</t>
        </is>
      </c>
      <c r="B1274" s="1" t="n">
        <v>43690</v>
      </c>
      <c r="C1274" s="1" t="n">
        <v>45662</v>
      </c>
      <c r="D1274" t="inlineStr">
        <is>
          <t>NORRBOTTENS LÄN</t>
        </is>
      </c>
      <c r="E1274" t="inlineStr">
        <is>
          <t>PAJALA</t>
        </is>
      </c>
      <c r="F1274" t="inlineStr">
        <is>
          <t>Sveaskog</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39333-2019</t>
        </is>
      </c>
      <c r="B1275" s="1" t="n">
        <v>43690</v>
      </c>
      <c r="C1275" s="1" t="n">
        <v>45662</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40435-2019</t>
        </is>
      </c>
      <c r="B1276" s="1" t="n">
        <v>43690</v>
      </c>
      <c r="C1276" s="1" t="n">
        <v>45662</v>
      </c>
      <c r="D1276" t="inlineStr">
        <is>
          <t>NORRBOTTENS LÄN</t>
        </is>
      </c>
      <c r="E1276" t="inlineStr">
        <is>
          <t>GÄLLIVARE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39560-2019</t>
        </is>
      </c>
      <c r="B1277" s="1" t="n">
        <v>43691</v>
      </c>
      <c r="C1277" s="1" t="n">
        <v>45662</v>
      </c>
      <c r="D1277" t="inlineStr">
        <is>
          <t>NORRBOTTENS LÄN</t>
        </is>
      </c>
      <c r="E1277" t="inlineStr">
        <is>
          <t>PITEÅ</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39558-2019</t>
        </is>
      </c>
      <c r="B1278" s="1" t="n">
        <v>43691</v>
      </c>
      <c r="C1278" s="1" t="n">
        <v>45662</v>
      </c>
      <c r="D1278" t="inlineStr">
        <is>
          <t>NORRBOTTENS LÄN</t>
        </is>
      </c>
      <c r="E1278" t="inlineStr">
        <is>
          <t>PITEÅ</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39670-2019</t>
        </is>
      </c>
      <c r="B1279" s="1" t="n">
        <v>43691</v>
      </c>
      <c r="C1279" s="1" t="n">
        <v>45662</v>
      </c>
      <c r="D1279" t="inlineStr">
        <is>
          <t>NORRBOTTENS LÄN</t>
        </is>
      </c>
      <c r="E1279" t="inlineStr">
        <is>
          <t>ÄLVSBYN</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39733-2019</t>
        </is>
      </c>
      <c r="B1280" s="1" t="n">
        <v>43691</v>
      </c>
      <c r="C1280" s="1" t="n">
        <v>45662</v>
      </c>
      <c r="D1280" t="inlineStr">
        <is>
          <t>NORRBOTTENS LÄN</t>
        </is>
      </c>
      <c r="E1280" t="inlineStr">
        <is>
          <t>GÄLLIVARE</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39859-2019</t>
        </is>
      </c>
      <c r="B1281" s="1" t="n">
        <v>43692</v>
      </c>
      <c r="C1281" s="1" t="n">
        <v>45662</v>
      </c>
      <c r="D1281" t="inlineStr">
        <is>
          <t>NORRBOTTENS LÄN</t>
        </is>
      </c>
      <c r="E1281" t="inlineStr">
        <is>
          <t>PAJALA</t>
        </is>
      </c>
      <c r="F1281" t="inlineStr">
        <is>
          <t>Sveaskog</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39863-2019</t>
        </is>
      </c>
      <c r="B1282" s="1" t="n">
        <v>43692</v>
      </c>
      <c r="C1282" s="1" t="n">
        <v>45662</v>
      </c>
      <c r="D1282" t="inlineStr">
        <is>
          <t>NORRBOTTENS LÄN</t>
        </is>
      </c>
      <c r="E1282" t="inlineStr">
        <is>
          <t>PAJALA</t>
        </is>
      </c>
      <c r="F1282" t="inlineStr">
        <is>
          <t>Sveaskog</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39892-2019</t>
        </is>
      </c>
      <c r="B1283" s="1" t="n">
        <v>43692</v>
      </c>
      <c r="C1283" s="1" t="n">
        <v>45662</v>
      </c>
      <c r="D1283" t="inlineStr">
        <is>
          <t>NORRBOTTENS LÄN</t>
        </is>
      </c>
      <c r="E1283" t="inlineStr">
        <is>
          <t>BODEN</t>
        </is>
      </c>
      <c r="G1283" t="n">
        <v>43.5</v>
      </c>
      <c r="H1283" t="n">
        <v>0</v>
      </c>
      <c r="I1283" t="n">
        <v>0</v>
      </c>
      <c r="J1283" t="n">
        <v>0</v>
      </c>
      <c r="K1283" t="n">
        <v>0</v>
      </c>
      <c r="L1283" t="n">
        <v>0</v>
      </c>
      <c r="M1283" t="n">
        <v>0</v>
      </c>
      <c r="N1283" t="n">
        <v>0</v>
      </c>
      <c r="O1283" t="n">
        <v>0</v>
      </c>
      <c r="P1283" t="n">
        <v>0</v>
      </c>
      <c r="Q1283" t="n">
        <v>0</v>
      </c>
      <c r="R1283" s="2" t="inlineStr"/>
    </row>
    <row r="1284" ht="15" customHeight="1">
      <c r="A1284" t="inlineStr">
        <is>
          <t>A 39947-2019</t>
        </is>
      </c>
      <c r="B1284" s="1" t="n">
        <v>43692</v>
      </c>
      <c r="C1284" s="1" t="n">
        <v>45662</v>
      </c>
      <c r="D1284" t="inlineStr">
        <is>
          <t>NORRBOTTENS LÄN</t>
        </is>
      </c>
      <c r="E1284" t="inlineStr">
        <is>
          <t>BODEN</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39966-2019</t>
        </is>
      </c>
      <c r="B1285" s="1" t="n">
        <v>43692</v>
      </c>
      <c r="C1285" s="1" t="n">
        <v>45662</v>
      </c>
      <c r="D1285" t="inlineStr">
        <is>
          <t>NORRBOTTENS LÄN</t>
        </is>
      </c>
      <c r="E1285" t="inlineStr">
        <is>
          <t>BODEN</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40803-2019</t>
        </is>
      </c>
      <c r="B1286" s="1" t="n">
        <v>43692</v>
      </c>
      <c r="C1286" s="1" t="n">
        <v>45662</v>
      </c>
      <c r="D1286" t="inlineStr">
        <is>
          <t>NORRBOTTENS LÄN</t>
        </is>
      </c>
      <c r="E1286" t="inlineStr">
        <is>
          <t>HAPARANDA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40146-2019</t>
        </is>
      </c>
      <c r="B1287" s="1" t="n">
        <v>43693</v>
      </c>
      <c r="C1287" s="1" t="n">
        <v>45662</v>
      </c>
      <c r="D1287" t="inlineStr">
        <is>
          <t>NORRBOTTENS LÄN</t>
        </is>
      </c>
      <c r="E1287" t="inlineStr">
        <is>
          <t>ÖVERKALIX</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40115-2019</t>
        </is>
      </c>
      <c r="B1288" s="1" t="n">
        <v>43693</v>
      </c>
      <c r="C1288" s="1" t="n">
        <v>45662</v>
      </c>
      <c r="D1288" t="inlineStr">
        <is>
          <t>NORRBOTTENS LÄN</t>
        </is>
      </c>
      <c r="E1288" t="inlineStr">
        <is>
          <t>ÖVERKALIX</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40147-2019</t>
        </is>
      </c>
      <c r="B1289" s="1" t="n">
        <v>43693</v>
      </c>
      <c r="C1289" s="1" t="n">
        <v>45662</v>
      </c>
      <c r="D1289" t="inlineStr">
        <is>
          <t>NORRBOTTENS LÄN</t>
        </is>
      </c>
      <c r="E1289" t="inlineStr">
        <is>
          <t>GÄLLIVARE</t>
        </is>
      </c>
      <c r="F1289" t="inlineStr">
        <is>
          <t>Sveaskog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41091-2019</t>
        </is>
      </c>
      <c r="B1290" s="1" t="n">
        <v>43693</v>
      </c>
      <c r="C1290" s="1" t="n">
        <v>45662</v>
      </c>
      <c r="D1290" t="inlineStr">
        <is>
          <t>NORRBOTTENS LÄN</t>
        </is>
      </c>
      <c r="E1290" t="inlineStr">
        <is>
          <t>LULEÅ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40905-2019</t>
        </is>
      </c>
      <c r="B1291" s="1" t="n">
        <v>43693</v>
      </c>
      <c r="C1291" s="1" t="n">
        <v>45662</v>
      </c>
      <c r="D1291" t="inlineStr">
        <is>
          <t>NORRBOTTENS LÄN</t>
        </is>
      </c>
      <c r="E1291" t="inlineStr">
        <is>
          <t>KALIX</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40255-2019</t>
        </is>
      </c>
      <c r="B1292" s="1" t="n">
        <v>43695</v>
      </c>
      <c r="C1292" s="1" t="n">
        <v>45662</v>
      </c>
      <c r="D1292" t="inlineStr">
        <is>
          <t>NORRBOTTENS LÄN</t>
        </is>
      </c>
      <c r="E1292" t="inlineStr">
        <is>
          <t>ARJEPLOG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40418-2019</t>
        </is>
      </c>
      <c r="B1293" s="1" t="n">
        <v>43696</v>
      </c>
      <c r="C1293" s="1" t="n">
        <v>45662</v>
      </c>
      <c r="D1293" t="inlineStr">
        <is>
          <t>NORRBOTTENS LÄN</t>
        </is>
      </c>
      <c r="E1293" t="inlineStr">
        <is>
          <t>JOKKMOKK</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40676-2019</t>
        </is>
      </c>
      <c r="B1294" s="1" t="n">
        <v>43696</v>
      </c>
      <c r="C1294" s="1" t="n">
        <v>45662</v>
      </c>
      <c r="D1294" t="inlineStr">
        <is>
          <t>NORRBOTTENS LÄN</t>
        </is>
      </c>
      <c r="E1294" t="inlineStr">
        <is>
          <t>PITEÅ</t>
        </is>
      </c>
      <c r="F1294" t="inlineStr">
        <is>
          <t>SCA</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40631-2019</t>
        </is>
      </c>
      <c r="B1295" s="1" t="n">
        <v>43696</v>
      </c>
      <c r="C1295" s="1" t="n">
        <v>45662</v>
      </c>
      <c r="D1295" t="inlineStr">
        <is>
          <t>NORRBOTTENS LÄN</t>
        </is>
      </c>
      <c r="E1295" t="inlineStr">
        <is>
          <t>BODEN</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41315-2019</t>
        </is>
      </c>
      <c r="B1296" s="1" t="n">
        <v>43696</v>
      </c>
      <c r="C1296" s="1" t="n">
        <v>45662</v>
      </c>
      <c r="D1296" t="inlineStr">
        <is>
          <t>NORRBOTTENS LÄN</t>
        </is>
      </c>
      <c r="E1296" t="inlineStr">
        <is>
          <t>PAJALA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40726-2019</t>
        </is>
      </c>
      <c r="B1297" s="1" t="n">
        <v>43697</v>
      </c>
      <c r="C1297" s="1" t="n">
        <v>45662</v>
      </c>
      <c r="D1297" t="inlineStr">
        <is>
          <t>NORRBOTTENS LÄN</t>
        </is>
      </c>
      <c r="E1297" t="inlineStr">
        <is>
          <t>KALIX</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40946-2019</t>
        </is>
      </c>
      <c r="B1298" s="1" t="n">
        <v>43697</v>
      </c>
      <c r="C1298" s="1" t="n">
        <v>45662</v>
      </c>
      <c r="D1298" t="inlineStr">
        <is>
          <t>NORRBOTTENS LÄN</t>
        </is>
      </c>
      <c r="E1298" t="inlineStr">
        <is>
          <t>PITEÅ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41003-2019</t>
        </is>
      </c>
      <c r="B1299" s="1" t="n">
        <v>43697</v>
      </c>
      <c r="C1299" s="1" t="n">
        <v>45662</v>
      </c>
      <c r="D1299" t="inlineStr">
        <is>
          <t>NORRBOTTENS LÄN</t>
        </is>
      </c>
      <c r="E1299" t="inlineStr">
        <is>
          <t>ÖVERTORNEÅ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41004-2019</t>
        </is>
      </c>
      <c r="B1300" s="1" t="n">
        <v>43697</v>
      </c>
      <c r="C1300" s="1" t="n">
        <v>45662</v>
      </c>
      <c r="D1300" t="inlineStr">
        <is>
          <t>NORRBOTTENS LÄN</t>
        </is>
      </c>
      <c r="E1300" t="inlineStr">
        <is>
          <t>ÖVERTORNEÅ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40693-2019</t>
        </is>
      </c>
      <c r="B1301" s="1" t="n">
        <v>43697</v>
      </c>
      <c r="C1301" s="1" t="n">
        <v>45662</v>
      </c>
      <c r="D1301" t="inlineStr">
        <is>
          <t>NORRBOTTENS LÄN</t>
        </is>
      </c>
      <c r="E1301" t="inlineStr">
        <is>
          <t>ARVIDSJAUR</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41088-2019</t>
        </is>
      </c>
      <c r="B1302" s="1" t="n">
        <v>43698</v>
      </c>
      <c r="C1302" s="1" t="n">
        <v>45662</v>
      </c>
      <c r="D1302" t="inlineStr">
        <is>
          <t>NORRBOTTENS LÄN</t>
        </is>
      </c>
      <c r="E1302" t="inlineStr">
        <is>
          <t>PITEÅ</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41109-2019</t>
        </is>
      </c>
      <c r="B1303" s="1" t="n">
        <v>43698</v>
      </c>
      <c r="C1303" s="1" t="n">
        <v>45662</v>
      </c>
      <c r="D1303" t="inlineStr">
        <is>
          <t>NORRBOTTENS LÄN</t>
        </is>
      </c>
      <c r="E1303" t="inlineStr">
        <is>
          <t>PITEÅ</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41424-2019</t>
        </is>
      </c>
      <c r="B1304" s="1" t="n">
        <v>43698</v>
      </c>
      <c r="C1304" s="1" t="n">
        <v>45662</v>
      </c>
      <c r="D1304" t="inlineStr">
        <is>
          <t>NORRBOTTENS LÄN</t>
        </is>
      </c>
      <c r="E1304" t="inlineStr">
        <is>
          <t>PAJALA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41426-2019</t>
        </is>
      </c>
      <c r="B1305" s="1" t="n">
        <v>43698</v>
      </c>
      <c r="C1305" s="1" t="n">
        <v>45662</v>
      </c>
      <c r="D1305" t="inlineStr">
        <is>
          <t>NORRBOTTENS LÄN</t>
        </is>
      </c>
      <c r="E1305" t="inlineStr">
        <is>
          <t>PAJALA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41351-2019</t>
        </is>
      </c>
      <c r="B1306" s="1" t="n">
        <v>43698</v>
      </c>
      <c r="C1306" s="1" t="n">
        <v>45662</v>
      </c>
      <c r="D1306" t="inlineStr">
        <is>
          <t>NORRBOTTENS LÄN</t>
        </is>
      </c>
      <c r="E1306" t="inlineStr">
        <is>
          <t>BODEN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41427-2019</t>
        </is>
      </c>
      <c r="B1307" s="1" t="n">
        <v>43698</v>
      </c>
      <c r="C1307" s="1" t="n">
        <v>45662</v>
      </c>
      <c r="D1307" t="inlineStr">
        <is>
          <t>NORRBOTTENS LÄN</t>
        </is>
      </c>
      <c r="E1307" t="inlineStr">
        <is>
          <t>PAJALA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42199-2019</t>
        </is>
      </c>
      <c r="B1308" s="1" t="n">
        <v>43698</v>
      </c>
      <c r="C1308" s="1" t="n">
        <v>45662</v>
      </c>
      <c r="D1308" t="inlineStr">
        <is>
          <t>NORRBOTTENS LÄN</t>
        </is>
      </c>
      <c r="E1308" t="inlineStr">
        <is>
          <t>PAJALA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41772-2019</t>
        </is>
      </c>
      <c r="B1309" s="1" t="n">
        <v>43699</v>
      </c>
      <c r="C1309" s="1" t="n">
        <v>45662</v>
      </c>
      <c r="D1309" t="inlineStr">
        <is>
          <t>NORRBOTTENS LÄN</t>
        </is>
      </c>
      <c r="E1309" t="inlineStr">
        <is>
          <t>ARJEPLOG</t>
        </is>
      </c>
      <c r="F1309" t="inlineStr">
        <is>
          <t>SCA</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41791-2019</t>
        </is>
      </c>
      <c r="B1310" s="1" t="n">
        <v>43699</v>
      </c>
      <c r="C1310" s="1" t="n">
        <v>45662</v>
      </c>
      <c r="D1310" t="inlineStr">
        <is>
          <t>NORRBOTTENS LÄN</t>
        </is>
      </c>
      <c r="E1310" t="inlineStr">
        <is>
          <t>PAJALA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41795-2019</t>
        </is>
      </c>
      <c r="B1311" s="1" t="n">
        <v>43699</v>
      </c>
      <c r="C1311" s="1" t="n">
        <v>45662</v>
      </c>
      <c r="D1311" t="inlineStr">
        <is>
          <t>NORRBOTTENS LÄN</t>
        </is>
      </c>
      <c r="E1311" t="inlineStr">
        <is>
          <t>PAJALA</t>
        </is>
      </c>
      <c r="F1311" t="inlineStr">
        <is>
          <t>SCA</t>
        </is>
      </c>
      <c r="G1311" t="n">
        <v>25.4</v>
      </c>
      <c r="H1311" t="n">
        <v>0</v>
      </c>
      <c r="I1311" t="n">
        <v>0</v>
      </c>
      <c r="J1311" t="n">
        <v>0</v>
      </c>
      <c r="K1311" t="n">
        <v>0</v>
      </c>
      <c r="L1311" t="n">
        <v>0</v>
      </c>
      <c r="M1311" t="n">
        <v>0</v>
      </c>
      <c r="N1311" t="n">
        <v>0</v>
      </c>
      <c r="O1311" t="n">
        <v>0</v>
      </c>
      <c r="P1311" t="n">
        <v>0</v>
      </c>
      <c r="Q1311" t="n">
        <v>0</v>
      </c>
      <c r="R1311" s="2" t="inlineStr"/>
    </row>
    <row r="1312" ht="15" customHeight="1">
      <c r="A1312" t="inlineStr">
        <is>
          <t>A 41774-2019</t>
        </is>
      </c>
      <c r="B1312" s="1" t="n">
        <v>43699</v>
      </c>
      <c r="C1312" s="1" t="n">
        <v>45662</v>
      </c>
      <c r="D1312" t="inlineStr">
        <is>
          <t>NORRBOTTENS LÄN</t>
        </is>
      </c>
      <c r="E1312" t="inlineStr">
        <is>
          <t>ARJEPLOG</t>
        </is>
      </c>
      <c r="F1312" t="inlineStr">
        <is>
          <t>SCA</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41794-2019</t>
        </is>
      </c>
      <c r="B1313" s="1" t="n">
        <v>43699</v>
      </c>
      <c r="C1313" s="1" t="n">
        <v>45662</v>
      </c>
      <c r="D1313" t="inlineStr">
        <is>
          <t>NORRBOTTENS LÄN</t>
        </is>
      </c>
      <c r="E1313" t="inlineStr">
        <is>
          <t>PAJALA</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42577-2019</t>
        </is>
      </c>
      <c r="B1314" s="1" t="n">
        <v>43699</v>
      </c>
      <c r="C1314" s="1" t="n">
        <v>45662</v>
      </c>
      <c r="D1314" t="inlineStr">
        <is>
          <t>NORRBOTTENS LÄN</t>
        </is>
      </c>
      <c r="E1314" t="inlineStr">
        <is>
          <t>ÖVERKALIX</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41792-2019</t>
        </is>
      </c>
      <c r="B1315" s="1" t="n">
        <v>43699</v>
      </c>
      <c r="C1315" s="1" t="n">
        <v>45662</v>
      </c>
      <c r="D1315" t="inlineStr">
        <is>
          <t>NORRBOTTENS LÄN</t>
        </is>
      </c>
      <c r="E1315" t="inlineStr">
        <is>
          <t>PAJALA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42561-2019</t>
        </is>
      </c>
      <c r="B1316" s="1" t="n">
        <v>43699</v>
      </c>
      <c r="C1316" s="1" t="n">
        <v>45662</v>
      </c>
      <c r="D1316" t="inlineStr">
        <is>
          <t>NORRBOTTENS LÄN</t>
        </is>
      </c>
      <c r="E1316" t="inlineStr">
        <is>
          <t>ÖVERKALIX</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42591-2019</t>
        </is>
      </c>
      <c r="B1317" s="1" t="n">
        <v>43699</v>
      </c>
      <c r="C1317" s="1" t="n">
        <v>45662</v>
      </c>
      <c r="D1317" t="inlineStr">
        <is>
          <t>NORRBOTTENS LÄN</t>
        </is>
      </c>
      <c r="E1317" t="inlineStr">
        <is>
          <t>ÖVERKALIX</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42586-2019</t>
        </is>
      </c>
      <c r="B1318" s="1" t="n">
        <v>43699</v>
      </c>
      <c r="C1318" s="1" t="n">
        <v>45662</v>
      </c>
      <c r="D1318" t="inlineStr">
        <is>
          <t>NORRBOTTENS LÄN</t>
        </is>
      </c>
      <c r="E1318" t="inlineStr">
        <is>
          <t>ÖVERKALIX</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42538-2019</t>
        </is>
      </c>
      <c r="B1319" s="1" t="n">
        <v>43699</v>
      </c>
      <c r="C1319" s="1" t="n">
        <v>45662</v>
      </c>
      <c r="D1319" t="inlineStr">
        <is>
          <t>NORRBOTTENS LÄN</t>
        </is>
      </c>
      <c r="E1319" t="inlineStr">
        <is>
          <t>PAJALA</t>
        </is>
      </c>
      <c r="G1319" t="n">
        <v>37.9</v>
      </c>
      <c r="H1319" t="n">
        <v>0</v>
      </c>
      <c r="I1319" t="n">
        <v>0</v>
      </c>
      <c r="J1319" t="n">
        <v>0</v>
      </c>
      <c r="K1319" t="n">
        <v>0</v>
      </c>
      <c r="L1319" t="n">
        <v>0</v>
      </c>
      <c r="M1319" t="n">
        <v>0</v>
      </c>
      <c r="N1319" t="n">
        <v>0</v>
      </c>
      <c r="O1319" t="n">
        <v>0</v>
      </c>
      <c r="P1319" t="n">
        <v>0</v>
      </c>
      <c r="Q1319" t="n">
        <v>0</v>
      </c>
      <c r="R1319" s="2" t="inlineStr"/>
    </row>
    <row r="1320" ht="15" customHeight="1">
      <c r="A1320" t="inlineStr">
        <is>
          <t>A 42574-2019</t>
        </is>
      </c>
      <c r="B1320" s="1" t="n">
        <v>43699</v>
      </c>
      <c r="C1320" s="1" t="n">
        <v>45662</v>
      </c>
      <c r="D1320" t="inlineStr">
        <is>
          <t>NORRBOTTENS LÄN</t>
        </is>
      </c>
      <c r="E1320" t="inlineStr">
        <is>
          <t>ÖVERKALIX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41793-2019</t>
        </is>
      </c>
      <c r="B1321" s="1" t="n">
        <v>43699</v>
      </c>
      <c r="C1321" s="1" t="n">
        <v>45662</v>
      </c>
      <c r="D1321" t="inlineStr">
        <is>
          <t>NORRBOTTENS LÄN</t>
        </is>
      </c>
      <c r="E1321" t="inlineStr">
        <is>
          <t>PAJALA</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41974-2019</t>
        </is>
      </c>
      <c r="B1322" s="1" t="n">
        <v>43700</v>
      </c>
      <c r="C1322" s="1" t="n">
        <v>45662</v>
      </c>
      <c r="D1322" t="inlineStr">
        <is>
          <t>NORRBOTTENS LÄN</t>
        </is>
      </c>
      <c r="E1322" t="inlineStr">
        <is>
          <t>ÖVERTORNEÅ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42020-2019</t>
        </is>
      </c>
      <c r="B1323" s="1" t="n">
        <v>43700</v>
      </c>
      <c r="C1323" s="1" t="n">
        <v>45662</v>
      </c>
      <c r="D1323" t="inlineStr">
        <is>
          <t>NORRBOTTENS LÄN</t>
        </is>
      </c>
      <c r="E1323" t="inlineStr">
        <is>
          <t>JOKKMOKK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42077-2019</t>
        </is>
      </c>
      <c r="B1324" s="1" t="n">
        <v>43700</v>
      </c>
      <c r="C1324" s="1" t="n">
        <v>45662</v>
      </c>
      <c r="D1324" t="inlineStr">
        <is>
          <t>NORRBOTTENS LÄN</t>
        </is>
      </c>
      <c r="E1324" t="inlineStr">
        <is>
          <t>ARJEPLOG</t>
        </is>
      </c>
      <c r="F1324" t="inlineStr">
        <is>
          <t>SCA</t>
        </is>
      </c>
      <c r="G1324" t="n">
        <v>17.1</v>
      </c>
      <c r="H1324" t="n">
        <v>0</v>
      </c>
      <c r="I1324" t="n">
        <v>0</v>
      </c>
      <c r="J1324" t="n">
        <v>0</v>
      </c>
      <c r="K1324" t="n">
        <v>0</v>
      </c>
      <c r="L1324" t="n">
        <v>0</v>
      </c>
      <c r="M1324" t="n">
        <v>0</v>
      </c>
      <c r="N1324" t="n">
        <v>0</v>
      </c>
      <c r="O1324" t="n">
        <v>0</v>
      </c>
      <c r="P1324" t="n">
        <v>0</v>
      </c>
      <c r="Q1324" t="n">
        <v>0</v>
      </c>
      <c r="R1324" s="2" t="inlineStr"/>
    </row>
    <row r="1325" ht="15" customHeight="1">
      <c r="A1325" t="inlineStr">
        <is>
          <t>A 42081-2019</t>
        </is>
      </c>
      <c r="B1325" s="1" t="n">
        <v>43700</v>
      </c>
      <c r="C1325" s="1" t="n">
        <v>45662</v>
      </c>
      <c r="D1325" t="inlineStr">
        <is>
          <t>NORRBOTTENS LÄN</t>
        </is>
      </c>
      <c r="E1325" t="inlineStr">
        <is>
          <t>GÄLLIVARE</t>
        </is>
      </c>
      <c r="F1325" t="inlineStr">
        <is>
          <t>SCA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41976-2019</t>
        </is>
      </c>
      <c r="B1326" s="1" t="n">
        <v>43700</v>
      </c>
      <c r="C1326" s="1" t="n">
        <v>45662</v>
      </c>
      <c r="D1326" t="inlineStr">
        <is>
          <t>NORRBOTTENS LÄN</t>
        </is>
      </c>
      <c r="E1326" t="inlineStr">
        <is>
          <t>ÖVERTORNEÅ</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42916-2019</t>
        </is>
      </c>
      <c r="B1327" s="1" t="n">
        <v>43700</v>
      </c>
      <c r="C1327" s="1" t="n">
        <v>45662</v>
      </c>
      <c r="D1327" t="inlineStr">
        <is>
          <t>NORRBOTTENS LÄN</t>
        </is>
      </c>
      <c r="E1327" t="inlineStr">
        <is>
          <t>ÖVERKALIX</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42300-2019</t>
        </is>
      </c>
      <c r="B1328" s="1" t="n">
        <v>43703</v>
      </c>
      <c r="C1328" s="1" t="n">
        <v>45662</v>
      </c>
      <c r="D1328" t="inlineStr">
        <is>
          <t>NORRBOTTENS LÄN</t>
        </is>
      </c>
      <c r="E1328" t="inlineStr">
        <is>
          <t>JOKKMOKK</t>
        </is>
      </c>
      <c r="F1328" t="inlineStr">
        <is>
          <t>Sveaskog</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42403-2019</t>
        </is>
      </c>
      <c r="B1329" s="1" t="n">
        <v>43703</v>
      </c>
      <c r="C1329" s="1" t="n">
        <v>45662</v>
      </c>
      <c r="D1329" t="inlineStr">
        <is>
          <t>NORRBOTTENS LÄN</t>
        </is>
      </c>
      <c r="E1329" t="inlineStr">
        <is>
          <t>BODEN</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42404-2019</t>
        </is>
      </c>
      <c r="B1330" s="1" t="n">
        <v>43703</v>
      </c>
      <c r="C1330" s="1" t="n">
        <v>45662</v>
      </c>
      <c r="D1330" t="inlineStr">
        <is>
          <t>NORRBOTTENS LÄN</t>
        </is>
      </c>
      <c r="E1330" t="inlineStr">
        <is>
          <t>BODEN</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43256-2019</t>
        </is>
      </c>
      <c r="B1331" s="1" t="n">
        <v>43703</v>
      </c>
      <c r="C1331" s="1" t="n">
        <v>45662</v>
      </c>
      <c r="D1331" t="inlineStr">
        <is>
          <t>NORRBOTTENS LÄN</t>
        </is>
      </c>
      <c r="E1331" t="inlineStr">
        <is>
          <t>GÄLLIVARE</t>
        </is>
      </c>
      <c r="F1331" t="inlineStr">
        <is>
          <t>Allmännings- och besparingsskogar</t>
        </is>
      </c>
      <c r="G1331" t="n">
        <v>26.8</v>
      </c>
      <c r="H1331" t="n">
        <v>0</v>
      </c>
      <c r="I1331" t="n">
        <v>0</v>
      </c>
      <c r="J1331" t="n">
        <v>0</v>
      </c>
      <c r="K1331" t="n">
        <v>0</v>
      </c>
      <c r="L1331" t="n">
        <v>0</v>
      </c>
      <c r="M1331" t="n">
        <v>0</v>
      </c>
      <c r="N1331" t="n">
        <v>0</v>
      </c>
      <c r="O1331" t="n">
        <v>0</v>
      </c>
      <c r="P1331" t="n">
        <v>0</v>
      </c>
      <c r="Q1331" t="n">
        <v>0</v>
      </c>
      <c r="R1331" s="2" t="inlineStr"/>
    </row>
    <row r="1332" ht="15" customHeight="1">
      <c r="A1332" t="inlineStr">
        <is>
          <t>A 42333-2019</t>
        </is>
      </c>
      <c r="B1332" s="1" t="n">
        <v>43703</v>
      </c>
      <c r="C1332" s="1" t="n">
        <v>45662</v>
      </c>
      <c r="D1332" t="inlineStr">
        <is>
          <t>NORRBOTTENS LÄN</t>
        </is>
      </c>
      <c r="E1332" t="inlineStr">
        <is>
          <t>ARJEPLOG</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42413-2019</t>
        </is>
      </c>
      <c r="B1333" s="1" t="n">
        <v>43703</v>
      </c>
      <c r="C1333" s="1" t="n">
        <v>45662</v>
      </c>
      <c r="D1333" t="inlineStr">
        <is>
          <t>NORRBOTTENS LÄN</t>
        </is>
      </c>
      <c r="E1333" t="inlineStr">
        <is>
          <t>JOKKMOKK</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42505-2019</t>
        </is>
      </c>
      <c r="B1334" s="1" t="n">
        <v>43704</v>
      </c>
      <c r="C1334" s="1" t="n">
        <v>45662</v>
      </c>
      <c r="D1334" t="inlineStr">
        <is>
          <t>NORRBOTTENS LÄN</t>
        </is>
      </c>
      <c r="E1334" t="inlineStr">
        <is>
          <t>GÄLLIVARE</t>
        </is>
      </c>
      <c r="F1334" t="inlineStr">
        <is>
          <t>Sveaskog</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42492-2019</t>
        </is>
      </c>
      <c r="B1335" s="1" t="n">
        <v>43704</v>
      </c>
      <c r="C1335" s="1" t="n">
        <v>45662</v>
      </c>
      <c r="D1335" t="inlineStr">
        <is>
          <t>NORRBOTTENS LÄN</t>
        </is>
      </c>
      <c r="E1335" t="inlineStr">
        <is>
          <t>BODEN</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42513-2019</t>
        </is>
      </c>
      <c r="B1336" s="1" t="n">
        <v>43704</v>
      </c>
      <c r="C1336" s="1" t="n">
        <v>45662</v>
      </c>
      <c r="D1336" t="inlineStr">
        <is>
          <t>NORRBOTTENS LÄN</t>
        </is>
      </c>
      <c r="E1336" t="inlineStr">
        <is>
          <t>GÄLLIVARE</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42782-2019</t>
        </is>
      </c>
      <c r="B1337" s="1" t="n">
        <v>43704</v>
      </c>
      <c r="C1337" s="1" t="n">
        <v>45662</v>
      </c>
      <c r="D1337" t="inlineStr">
        <is>
          <t>NORRBOTTENS LÄN</t>
        </is>
      </c>
      <c r="E1337" t="inlineStr">
        <is>
          <t>LULEÅ</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44269-2019</t>
        </is>
      </c>
      <c r="B1338" s="1" t="n">
        <v>43704</v>
      </c>
      <c r="C1338" s="1" t="n">
        <v>45662</v>
      </c>
      <c r="D1338" t="inlineStr">
        <is>
          <t>NORRBOTTENS LÄN</t>
        </is>
      </c>
      <c r="E1338" t="inlineStr">
        <is>
          <t>JOKKMOKK</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44239-2019</t>
        </is>
      </c>
      <c r="B1339" s="1" t="n">
        <v>43704</v>
      </c>
      <c r="C1339" s="1" t="n">
        <v>45662</v>
      </c>
      <c r="D1339" t="inlineStr">
        <is>
          <t>NORRBOTTENS LÄN</t>
        </is>
      </c>
      <c r="E1339" t="inlineStr">
        <is>
          <t>GÄLLIVARE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45655-2019</t>
        </is>
      </c>
      <c r="B1340" s="1" t="n">
        <v>43704</v>
      </c>
      <c r="C1340" s="1" t="n">
        <v>45662</v>
      </c>
      <c r="D1340" t="inlineStr">
        <is>
          <t>NORRBOTTENS LÄN</t>
        </is>
      </c>
      <c r="E1340" t="inlineStr">
        <is>
          <t>GÄLLIVARE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44263-2019</t>
        </is>
      </c>
      <c r="B1341" s="1" t="n">
        <v>43704</v>
      </c>
      <c r="C1341" s="1" t="n">
        <v>45662</v>
      </c>
      <c r="D1341" t="inlineStr">
        <is>
          <t>NORRBOTTENS LÄN</t>
        </is>
      </c>
      <c r="E1341" t="inlineStr">
        <is>
          <t>JOKKMOKK</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42780-2019</t>
        </is>
      </c>
      <c r="B1342" s="1" t="n">
        <v>43704</v>
      </c>
      <c r="C1342" s="1" t="n">
        <v>45662</v>
      </c>
      <c r="D1342" t="inlineStr">
        <is>
          <t>NORRBOTTENS LÄN</t>
        </is>
      </c>
      <c r="E1342" t="inlineStr">
        <is>
          <t>LULEÅ</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45652-2019</t>
        </is>
      </c>
      <c r="B1343" s="1" t="n">
        <v>43704</v>
      </c>
      <c r="C1343" s="1" t="n">
        <v>45662</v>
      </c>
      <c r="D1343" t="inlineStr">
        <is>
          <t>NORRBOTTENS LÄN</t>
        </is>
      </c>
      <c r="E1343" t="inlineStr">
        <is>
          <t>GÄLLIVARE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45656-2019</t>
        </is>
      </c>
      <c r="B1344" s="1" t="n">
        <v>43704</v>
      </c>
      <c r="C1344" s="1" t="n">
        <v>45662</v>
      </c>
      <c r="D1344" t="inlineStr">
        <is>
          <t>NORRBOTTENS LÄN</t>
        </is>
      </c>
      <c r="E1344" t="inlineStr">
        <is>
          <t>GÄLLIVARE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42887-2019</t>
        </is>
      </c>
      <c r="B1345" s="1" t="n">
        <v>43705</v>
      </c>
      <c r="C1345" s="1" t="n">
        <v>45662</v>
      </c>
      <c r="D1345" t="inlineStr">
        <is>
          <t>NORRBOTTENS LÄN</t>
        </is>
      </c>
      <c r="E1345" t="inlineStr">
        <is>
          <t>ÄLVSBYN</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43505-2019</t>
        </is>
      </c>
      <c r="B1346" s="1" t="n">
        <v>43706</v>
      </c>
      <c r="C1346" s="1" t="n">
        <v>45662</v>
      </c>
      <c r="D1346" t="inlineStr">
        <is>
          <t>NORRBOTTENS LÄN</t>
        </is>
      </c>
      <c r="E1346" t="inlineStr">
        <is>
          <t>GÄLLIVARE</t>
        </is>
      </c>
      <c r="G1346" t="n">
        <v>60.2</v>
      </c>
      <c r="H1346" t="n">
        <v>0</v>
      </c>
      <c r="I1346" t="n">
        <v>0</v>
      </c>
      <c r="J1346" t="n">
        <v>0</v>
      </c>
      <c r="K1346" t="n">
        <v>0</v>
      </c>
      <c r="L1346" t="n">
        <v>0</v>
      </c>
      <c r="M1346" t="n">
        <v>0</v>
      </c>
      <c r="N1346" t="n">
        <v>0</v>
      </c>
      <c r="O1346" t="n">
        <v>0</v>
      </c>
      <c r="P1346" t="n">
        <v>0</v>
      </c>
      <c r="Q1346" t="n">
        <v>0</v>
      </c>
      <c r="R1346" s="2" t="inlineStr"/>
    </row>
    <row r="1347" ht="15" customHeight="1">
      <c r="A1347" t="inlineStr">
        <is>
          <t>A 43365-2019</t>
        </is>
      </c>
      <c r="B1347" s="1" t="n">
        <v>43706</v>
      </c>
      <c r="C1347" s="1" t="n">
        <v>45662</v>
      </c>
      <c r="D1347" t="inlineStr">
        <is>
          <t>NORRBOTTENS LÄN</t>
        </is>
      </c>
      <c r="E1347" t="inlineStr">
        <is>
          <t>ÖVERKALIX</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43597-2019</t>
        </is>
      </c>
      <c r="B1348" s="1" t="n">
        <v>43706</v>
      </c>
      <c r="C1348" s="1" t="n">
        <v>45662</v>
      </c>
      <c r="D1348" t="inlineStr">
        <is>
          <t>NORRBOTTENS LÄN</t>
        </is>
      </c>
      <c r="E1348" t="inlineStr">
        <is>
          <t>GÄLLIVARE</t>
        </is>
      </c>
      <c r="F1348" t="inlineStr">
        <is>
          <t>SCA</t>
        </is>
      </c>
      <c r="G1348" t="n">
        <v>17.7</v>
      </c>
      <c r="H1348" t="n">
        <v>0</v>
      </c>
      <c r="I1348" t="n">
        <v>0</v>
      </c>
      <c r="J1348" t="n">
        <v>0</v>
      </c>
      <c r="K1348" t="n">
        <v>0</v>
      </c>
      <c r="L1348" t="n">
        <v>0</v>
      </c>
      <c r="M1348" t="n">
        <v>0</v>
      </c>
      <c r="N1348" t="n">
        <v>0</v>
      </c>
      <c r="O1348" t="n">
        <v>0</v>
      </c>
      <c r="P1348" t="n">
        <v>0</v>
      </c>
      <c r="Q1348" t="n">
        <v>0</v>
      </c>
      <c r="R1348" s="2" t="inlineStr"/>
    </row>
    <row r="1349" ht="15" customHeight="1">
      <c r="A1349" t="inlineStr">
        <is>
          <t>A 44560-2019</t>
        </is>
      </c>
      <c r="B1349" s="1" t="n">
        <v>43706</v>
      </c>
      <c r="C1349" s="1" t="n">
        <v>45662</v>
      </c>
      <c r="D1349" t="inlineStr">
        <is>
          <t>NORRBOTTENS LÄN</t>
        </is>
      </c>
      <c r="E1349" t="inlineStr">
        <is>
          <t>ARVIDSJAUR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44572-2019</t>
        </is>
      </c>
      <c r="B1350" s="1" t="n">
        <v>43706</v>
      </c>
      <c r="C1350" s="1" t="n">
        <v>45662</v>
      </c>
      <c r="D1350" t="inlineStr">
        <is>
          <t>NORRBOTTENS LÄN</t>
        </is>
      </c>
      <c r="E1350" t="inlineStr">
        <is>
          <t>ARVIDSJAUR</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43596-2019</t>
        </is>
      </c>
      <c r="B1351" s="1" t="n">
        <v>43706</v>
      </c>
      <c r="C1351" s="1" t="n">
        <v>45662</v>
      </c>
      <c r="D1351" t="inlineStr">
        <is>
          <t>NORRBOTTENS LÄN</t>
        </is>
      </c>
      <c r="E1351" t="inlineStr">
        <is>
          <t>GÄLLIVARE</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44459-2019</t>
        </is>
      </c>
      <c r="B1352" s="1" t="n">
        <v>43706</v>
      </c>
      <c r="C1352" s="1" t="n">
        <v>45662</v>
      </c>
      <c r="D1352" t="inlineStr">
        <is>
          <t>NORRBOTTENS LÄN</t>
        </is>
      </c>
      <c r="E1352" t="inlineStr">
        <is>
          <t>PITEÅ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44565-2019</t>
        </is>
      </c>
      <c r="B1353" s="1" t="n">
        <v>43706</v>
      </c>
      <c r="C1353" s="1" t="n">
        <v>45662</v>
      </c>
      <c r="D1353" t="inlineStr">
        <is>
          <t>NORRBOTTENS LÄN</t>
        </is>
      </c>
      <c r="E1353" t="inlineStr">
        <is>
          <t>ARVIDSJAUR</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43756-2019</t>
        </is>
      </c>
      <c r="B1354" s="1" t="n">
        <v>43707</v>
      </c>
      <c r="C1354" s="1" t="n">
        <v>45662</v>
      </c>
      <c r="D1354" t="inlineStr">
        <is>
          <t>NORRBOTTENS LÄN</t>
        </is>
      </c>
      <c r="E1354" t="inlineStr">
        <is>
          <t>ARVIDSJAUR</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43812-2019</t>
        </is>
      </c>
      <c r="B1355" s="1" t="n">
        <v>43707</v>
      </c>
      <c r="C1355" s="1" t="n">
        <v>45662</v>
      </c>
      <c r="D1355" t="inlineStr">
        <is>
          <t>NORRBOTTENS LÄN</t>
        </is>
      </c>
      <c r="E1355" t="inlineStr">
        <is>
          <t>ÖVERTORNEÅ</t>
        </is>
      </c>
      <c r="F1355" t="inlineStr">
        <is>
          <t>Sveaskog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43937-2019</t>
        </is>
      </c>
      <c r="B1356" s="1" t="n">
        <v>43707</v>
      </c>
      <c r="C1356" s="1" t="n">
        <v>45662</v>
      </c>
      <c r="D1356" t="inlineStr">
        <is>
          <t>NORRBOTTENS LÄN</t>
        </is>
      </c>
      <c r="E1356" t="inlineStr">
        <is>
          <t>BODEN</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43949-2019</t>
        </is>
      </c>
      <c r="B1357" s="1" t="n">
        <v>43707</v>
      </c>
      <c r="C1357" s="1" t="n">
        <v>45662</v>
      </c>
      <c r="D1357" t="inlineStr">
        <is>
          <t>NORRBOTTENS LÄN</t>
        </is>
      </c>
      <c r="E1357" t="inlineStr">
        <is>
          <t>PITEÅ</t>
        </is>
      </c>
      <c r="F1357" t="inlineStr">
        <is>
          <t>Naturvårdsverket</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45058-2019</t>
        </is>
      </c>
      <c r="B1358" s="1" t="n">
        <v>43707</v>
      </c>
      <c r="C1358" s="1" t="n">
        <v>45662</v>
      </c>
      <c r="D1358" t="inlineStr">
        <is>
          <t>NORRBOTTENS LÄN</t>
        </is>
      </c>
      <c r="E1358" t="inlineStr">
        <is>
          <t>PAJALA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44802-2019</t>
        </is>
      </c>
      <c r="B1359" s="1" t="n">
        <v>43707</v>
      </c>
      <c r="C1359" s="1" t="n">
        <v>45662</v>
      </c>
      <c r="D1359" t="inlineStr">
        <is>
          <t>NORRBOTTENS LÄN</t>
        </is>
      </c>
      <c r="E1359" t="inlineStr">
        <is>
          <t>PAJALA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44171-2019</t>
        </is>
      </c>
      <c r="B1360" s="1" t="n">
        <v>43710</v>
      </c>
      <c r="C1360" s="1" t="n">
        <v>45662</v>
      </c>
      <c r="D1360" t="inlineStr">
        <is>
          <t>NORRBOTTENS LÄN</t>
        </is>
      </c>
      <c r="E1360" t="inlineStr">
        <is>
          <t>JOKKMOKK</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44186-2019</t>
        </is>
      </c>
      <c r="B1361" s="1" t="n">
        <v>43710</v>
      </c>
      <c r="C1361" s="1" t="n">
        <v>45662</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44195-2019</t>
        </is>
      </c>
      <c r="B1362" s="1" t="n">
        <v>43710</v>
      </c>
      <c r="C1362" s="1" t="n">
        <v>45662</v>
      </c>
      <c r="D1362" t="inlineStr">
        <is>
          <t>NORRBOTTENS LÄN</t>
        </is>
      </c>
      <c r="E1362" t="inlineStr">
        <is>
          <t>PAJALA</t>
        </is>
      </c>
      <c r="F1362" t="inlineStr">
        <is>
          <t>Sveaskog</t>
        </is>
      </c>
      <c r="G1362" t="n">
        <v>28.9</v>
      </c>
      <c r="H1362" t="n">
        <v>0</v>
      </c>
      <c r="I1362" t="n">
        <v>0</v>
      </c>
      <c r="J1362" t="n">
        <v>0</v>
      </c>
      <c r="K1362" t="n">
        <v>0</v>
      </c>
      <c r="L1362" t="n">
        <v>0</v>
      </c>
      <c r="M1362" t="n">
        <v>0</v>
      </c>
      <c r="N1362" t="n">
        <v>0</v>
      </c>
      <c r="O1362" t="n">
        <v>0</v>
      </c>
      <c r="P1362" t="n">
        <v>0</v>
      </c>
      <c r="Q1362" t="n">
        <v>0</v>
      </c>
      <c r="R1362" s="2" t="inlineStr"/>
    </row>
    <row r="1363" ht="15" customHeight="1">
      <c r="A1363" t="inlineStr">
        <is>
          <t>A 45373-2019</t>
        </is>
      </c>
      <c r="B1363" s="1" t="n">
        <v>43710</v>
      </c>
      <c r="C1363" s="1" t="n">
        <v>45662</v>
      </c>
      <c r="D1363" t="inlineStr">
        <is>
          <t>NORRBOTTENS LÄN</t>
        </is>
      </c>
      <c r="E1363" t="inlineStr">
        <is>
          <t>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45333-2019</t>
        </is>
      </c>
      <c r="B1364" s="1" t="n">
        <v>43710</v>
      </c>
      <c r="C1364" s="1" t="n">
        <v>45662</v>
      </c>
      <c r="D1364" t="inlineStr">
        <is>
          <t>NORRBOTTENS LÄN</t>
        </is>
      </c>
      <c r="E1364" t="inlineStr">
        <is>
          <t>KALIX</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45377-2019</t>
        </is>
      </c>
      <c r="B1365" s="1" t="n">
        <v>43710</v>
      </c>
      <c r="C1365" s="1" t="n">
        <v>45662</v>
      </c>
      <c r="D1365" t="inlineStr">
        <is>
          <t>NORRBOTTENS LÄN</t>
        </is>
      </c>
      <c r="E1365" t="inlineStr">
        <is>
          <t>KALIX</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45428-2019</t>
        </is>
      </c>
      <c r="B1366" s="1" t="n">
        <v>43710</v>
      </c>
      <c r="C1366" s="1" t="n">
        <v>45662</v>
      </c>
      <c r="D1366" t="inlineStr">
        <is>
          <t>NORRBOTTENS LÄN</t>
        </is>
      </c>
      <c r="E1366" t="inlineStr">
        <is>
          <t>ÄLVSBYN</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45337-2019</t>
        </is>
      </c>
      <c r="B1367" s="1" t="n">
        <v>43710</v>
      </c>
      <c r="C1367" s="1" t="n">
        <v>45662</v>
      </c>
      <c r="D1367" t="inlineStr">
        <is>
          <t>NORRBOTTENS LÄN</t>
        </is>
      </c>
      <c r="E1367" t="inlineStr">
        <is>
          <t>ÄLVSBYN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44483-2019</t>
        </is>
      </c>
      <c r="B1368" s="1" t="n">
        <v>43711</v>
      </c>
      <c r="C1368" s="1" t="n">
        <v>45662</v>
      </c>
      <c r="D1368" t="inlineStr">
        <is>
          <t>NORRBOTTENS LÄN</t>
        </is>
      </c>
      <c r="E1368" t="inlineStr">
        <is>
          <t>PAJALA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44561-2019</t>
        </is>
      </c>
      <c r="B1369" s="1" t="n">
        <v>43711</v>
      </c>
      <c r="C1369" s="1" t="n">
        <v>45662</v>
      </c>
      <c r="D1369" t="inlineStr">
        <is>
          <t>NORRBOTTENS LÄN</t>
        </is>
      </c>
      <c r="E1369" t="inlineStr">
        <is>
          <t>PITEÅ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44365-2019</t>
        </is>
      </c>
      <c r="B1370" s="1" t="n">
        <v>43711</v>
      </c>
      <c r="C1370" s="1" t="n">
        <v>45662</v>
      </c>
      <c r="D1370" t="inlineStr">
        <is>
          <t>NORRBOTTENS LÄN</t>
        </is>
      </c>
      <c r="E1370" t="inlineStr">
        <is>
          <t>LULEÅ</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44641-2019</t>
        </is>
      </c>
      <c r="B1371" s="1" t="n">
        <v>43712</v>
      </c>
      <c r="C1371" s="1" t="n">
        <v>45662</v>
      </c>
      <c r="D1371" t="inlineStr">
        <is>
          <t>NORRBOTTENS LÄN</t>
        </is>
      </c>
      <c r="E1371" t="inlineStr">
        <is>
          <t>ÄLVSBYN</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44894-2019</t>
        </is>
      </c>
      <c r="B1372" s="1" t="n">
        <v>43712</v>
      </c>
      <c r="C1372" s="1" t="n">
        <v>45662</v>
      </c>
      <c r="D1372" t="inlineStr">
        <is>
          <t>NORRBOTTENS LÄN</t>
        </is>
      </c>
      <c r="E1372" t="inlineStr">
        <is>
          <t>BODEN</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45857-2019</t>
        </is>
      </c>
      <c r="B1373" s="1" t="n">
        <v>43712</v>
      </c>
      <c r="C1373" s="1" t="n">
        <v>45662</v>
      </c>
      <c r="D1373" t="inlineStr">
        <is>
          <t>NORRBOTTENS LÄN</t>
        </is>
      </c>
      <c r="E1373" t="inlineStr">
        <is>
          <t>PAJALA</t>
        </is>
      </c>
      <c r="G1373" t="n">
        <v>14.5</v>
      </c>
      <c r="H1373" t="n">
        <v>0</v>
      </c>
      <c r="I1373" t="n">
        <v>0</v>
      </c>
      <c r="J1373" t="n">
        <v>0</v>
      </c>
      <c r="K1373" t="n">
        <v>0</v>
      </c>
      <c r="L1373" t="n">
        <v>0</v>
      </c>
      <c r="M1373" t="n">
        <v>0</v>
      </c>
      <c r="N1373" t="n">
        <v>0</v>
      </c>
      <c r="O1373" t="n">
        <v>0</v>
      </c>
      <c r="P1373" t="n">
        <v>0</v>
      </c>
      <c r="Q1373" t="n">
        <v>0</v>
      </c>
      <c r="R1373" s="2" t="inlineStr"/>
    </row>
    <row r="1374" ht="15" customHeight="1">
      <c r="A1374" t="inlineStr">
        <is>
          <t>A 45957-2019</t>
        </is>
      </c>
      <c r="B1374" s="1" t="n">
        <v>43712</v>
      </c>
      <c r="C1374" s="1" t="n">
        <v>45662</v>
      </c>
      <c r="D1374" t="inlineStr">
        <is>
          <t>NORRBOTTENS LÄN</t>
        </is>
      </c>
      <c r="E1374" t="inlineStr">
        <is>
          <t>ÖVERKALIX</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45130-2019</t>
        </is>
      </c>
      <c r="B1375" s="1" t="n">
        <v>43713</v>
      </c>
      <c r="C1375" s="1" t="n">
        <v>45662</v>
      </c>
      <c r="D1375" t="inlineStr">
        <is>
          <t>NORRBOTTENS LÄN</t>
        </is>
      </c>
      <c r="E1375" t="inlineStr">
        <is>
          <t>ÄLVSBYN</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45185-2019</t>
        </is>
      </c>
      <c r="B1376" s="1" t="n">
        <v>43713</v>
      </c>
      <c r="C1376" s="1" t="n">
        <v>45662</v>
      </c>
      <c r="D1376" t="inlineStr">
        <is>
          <t>NORRBOTTENS LÄN</t>
        </is>
      </c>
      <c r="E1376" t="inlineStr">
        <is>
          <t>ÄLVSBYN</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45186-2019</t>
        </is>
      </c>
      <c r="B1377" s="1" t="n">
        <v>43713</v>
      </c>
      <c r="C1377" s="1" t="n">
        <v>45662</v>
      </c>
      <c r="D1377" t="inlineStr">
        <is>
          <t>NORRBOTTENS LÄN</t>
        </is>
      </c>
      <c r="E1377" t="inlineStr">
        <is>
          <t>BODEN</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46068-2019</t>
        </is>
      </c>
      <c r="B1378" s="1" t="n">
        <v>43713</v>
      </c>
      <c r="C1378" s="1" t="n">
        <v>45662</v>
      </c>
      <c r="D1378" t="inlineStr">
        <is>
          <t>NORRBOTTENS LÄN</t>
        </is>
      </c>
      <c r="E1378" t="inlineStr">
        <is>
          <t>ARVIDSJAUR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45252-2019</t>
        </is>
      </c>
      <c r="B1379" s="1" t="n">
        <v>43713</v>
      </c>
      <c r="C1379" s="1" t="n">
        <v>45662</v>
      </c>
      <c r="D1379" t="inlineStr">
        <is>
          <t>NORRBOTTENS LÄN</t>
        </is>
      </c>
      <c r="E1379" t="inlineStr">
        <is>
          <t>LULEÅ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46075-2019</t>
        </is>
      </c>
      <c r="B1380" s="1" t="n">
        <v>43713</v>
      </c>
      <c r="C1380" s="1" t="n">
        <v>45662</v>
      </c>
      <c r="D1380" t="inlineStr">
        <is>
          <t>NORRBOTTENS LÄN</t>
        </is>
      </c>
      <c r="E1380" t="inlineStr">
        <is>
          <t>ARVIDSJAUR</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46122-2019</t>
        </is>
      </c>
      <c r="B1381" s="1" t="n">
        <v>43713</v>
      </c>
      <c r="C1381" s="1" t="n">
        <v>45662</v>
      </c>
      <c r="D1381" t="inlineStr">
        <is>
          <t>NORRBOTTENS LÄN</t>
        </is>
      </c>
      <c r="E1381" t="inlineStr">
        <is>
          <t>PITEÅ</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46004-2019</t>
        </is>
      </c>
      <c r="B1382" s="1" t="n">
        <v>43713</v>
      </c>
      <c r="C1382" s="1" t="n">
        <v>45662</v>
      </c>
      <c r="D1382" t="inlineStr">
        <is>
          <t>NORRBOTTENS LÄN</t>
        </is>
      </c>
      <c r="E1382" t="inlineStr">
        <is>
          <t>KALIX</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45482-2019</t>
        </is>
      </c>
      <c r="B1383" s="1" t="n">
        <v>43713</v>
      </c>
      <c r="C1383" s="1" t="n">
        <v>45662</v>
      </c>
      <c r="D1383" t="inlineStr">
        <is>
          <t>NORRBOTTENS LÄN</t>
        </is>
      </c>
      <c r="E1383" t="inlineStr">
        <is>
          <t>LULEÅ</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45184-2019</t>
        </is>
      </c>
      <c r="B1384" s="1" t="n">
        <v>43713</v>
      </c>
      <c r="C1384" s="1" t="n">
        <v>45662</v>
      </c>
      <c r="D1384" t="inlineStr">
        <is>
          <t>NORRBOTTENS LÄN</t>
        </is>
      </c>
      <c r="E1384" t="inlineStr">
        <is>
          <t>ÄLVSBYN</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45452-2019</t>
        </is>
      </c>
      <c r="B1385" s="1" t="n">
        <v>43714</v>
      </c>
      <c r="C1385" s="1" t="n">
        <v>45662</v>
      </c>
      <c r="D1385" t="inlineStr">
        <is>
          <t>NORRBOTTENS LÄN</t>
        </is>
      </c>
      <c r="E1385" t="inlineStr">
        <is>
          <t>JOKKMOKK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45630-2019</t>
        </is>
      </c>
      <c r="B1386" s="1" t="n">
        <v>43717</v>
      </c>
      <c r="C1386" s="1" t="n">
        <v>45662</v>
      </c>
      <c r="D1386" t="inlineStr">
        <is>
          <t>NORRBOTTENS LÄN</t>
        </is>
      </c>
      <c r="E1386" t="inlineStr">
        <is>
          <t>PAJALA</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46437-2019</t>
        </is>
      </c>
      <c r="B1387" s="1" t="n">
        <v>43717</v>
      </c>
      <c r="C1387" s="1" t="n">
        <v>45662</v>
      </c>
      <c r="D1387" t="inlineStr">
        <is>
          <t>NORRBOTTENS LÄN</t>
        </is>
      </c>
      <c r="E1387" t="inlineStr">
        <is>
          <t>KALIX</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46293-2019</t>
        </is>
      </c>
      <c r="B1388" s="1" t="n">
        <v>43717</v>
      </c>
      <c r="C1388" s="1" t="n">
        <v>45662</v>
      </c>
      <c r="D1388" t="inlineStr">
        <is>
          <t>NORRBOTTENS LÄN</t>
        </is>
      </c>
      <c r="E1388" t="inlineStr">
        <is>
          <t>ARVIDSJAUR</t>
        </is>
      </c>
      <c r="F1388" t="inlineStr">
        <is>
          <t>Allmännings- och besparingsskogar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46976-2019</t>
        </is>
      </c>
      <c r="B1389" s="1" t="n">
        <v>43718</v>
      </c>
      <c r="C1389" s="1" t="n">
        <v>45662</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46970-2019</t>
        </is>
      </c>
      <c r="B1390" s="1" t="n">
        <v>43718</v>
      </c>
      <c r="C1390" s="1" t="n">
        <v>45662</v>
      </c>
      <c r="D1390" t="inlineStr">
        <is>
          <t>NORRBOTTENS LÄN</t>
        </is>
      </c>
      <c r="E1390" t="inlineStr">
        <is>
          <t>PITEÅ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46362-2019</t>
        </is>
      </c>
      <c r="B1391" s="1" t="n">
        <v>43718</v>
      </c>
      <c r="C1391" s="1" t="n">
        <v>45662</v>
      </c>
      <c r="D1391" t="inlineStr">
        <is>
          <t>NORRBOTTENS LÄN</t>
        </is>
      </c>
      <c r="E1391" t="inlineStr">
        <is>
          <t>ÄLVSBYN</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46348-2019</t>
        </is>
      </c>
      <c r="B1392" s="1" t="n">
        <v>43718</v>
      </c>
      <c r="C1392" s="1" t="n">
        <v>45662</v>
      </c>
      <c r="D1392" t="inlineStr">
        <is>
          <t>NORRBOTTENS LÄN</t>
        </is>
      </c>
      <c r="E1392" t="inlineStr">
        <is>
          <t>PITEÅ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46662-2019</t>
        </is>
      </c>
      <c r="B1393" s="1" t="n">
        <v>43718</v>
      </c>
      <c r="C1393" s="1" t="n">
        <v>45662</v>
      </c>
      <c r="D1393" t="inlineStr">
        <is>
          <t>NORRBOTTENS LÄN</t>
        </is>
      </c>
      <c r="E1393" t="inlineStr">
        <is>
          <t>GÄLLIVARE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46125-2019</t>
        </is>
      </c>
      <c r="B1394" s="1" t="n">
        <v>43718</v>
      </c>
      <c r="C1394" s="1" t="n">
        <v>45662</v>
      </c>
      <c r="D1394" t="inlineStr">
        <is>
          <t>NORRBOTTENS LÄN</t>
        </is>
      </c>
      <c r="E1394" t="inlineStr">
        <is>
          <t>ARVIDSJAUR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46155-2019</t>
        </is>
      </c>
      <c r="B1395" s="1" t="n">
        <v>43718</v>
      </c>
      <c r="C1395" s="1" t="n">
        <v>45662</v>
      </c>
      <c r="D1395" t="inlineStr">
        <is>
          <t>NORRBOTTENS LÄN</t>
        </is>
      </c>
      <c r="E1395" t="inlineStr">
        <is>
          <t>ARVIDSJAUR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46780-2019</t>
        </is>
      </c>
      <c r="B1396" s="1" t="n">
        <v>43718</v>
      </c>
      <c r="C1396" s="1" t="n">
        <v>45662</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46363-2019</t>
        </is>
      </c>
      <c r="B1397" s="1" t="n">
        <v>43718</v>
      </c>
      <c r="C1397" s="1" t="n">
        <v>45662</v>
      </c>
      <c r="D1397" t="inlineStr">
        <is>
          <t>NORRBOTTENS LÄN</t>
        </is>
      </c>
      <c r="E1397" t="inlineStr">
        <is>
          <t>ÄLVSBYN</t>
        </is>
      </c>
      <c r="F1397" t="inlineStr">
        <is>
          <t>SCA</t>
        </is>
      </c>
      <c r="G1397" t="n">
        <v>12.7</v>
      </c>
      <c r="H1397" t="n">
        <v>0</v>
      </c>
      <c r="I1397" t="n">
        <v>0</v>
      </c>
      <c r="J1397" t="n">
        <v>0</v>
      </c>
      <c r="K1397" t="n">
        <v>0</v>
      </c>
      <c r="L1397" t="n">
        <v>0</v>
      </c>
      <c r="M1397" t="n">
        <v>0</v>
      </c>
      <c r="N1397" t="n">
        <v>0</v>
      </c>
      <c r="O1397" t="n">
        <v>0</v>
      </c>
      <c r="P1397" t="n">
        <v>0</v>
      </c>
      <c r="Q1397" t="n">
        <v>0</v>
      </c>
      <c r="R1397" s="2" t="inlineStr"/>
    </row>
    <row r="1398" ht="15" customHeight="1">
      <c r="A1398" t="inlineStr">
        <is>
          <t>A 46428-2019</t>
        </is>
      </c>
      <c r="B1398" s="1" t="n">
        <v>43719</v>
      </c>
      <c r="C1398" s="1" t="n">
        <v>45662</v>
      </c>
      <c r="D1398" t="inlineStr">
        <is>
          <t>NORRBOTTENS LÄN</t>
        </is>
      </c>
      <c r="E1398" t="inlineStr">
        <is>
          <t>HAPARANDA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46517-2019</t>
        </is>
      </c>
      <c r="B1399" s="1" t="n">
        <v>43719</v>
      </c>
      <c r="C1399" s="1" t="n">
        <v>45662</v>
      </c>
      <c r="D1399" t="inlineStr">
        <is>
          <t>NORRBOTTENS LÄN</t>
        </is>
      </c>
      <c r="E1399" t="inlineStr">
        <is>
          <t>BODEN</t>
        </is>
      </c>
      <c r="F1399" t="inlineStr">
        <is>
          <t>Sveaskog</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46424-2019</t>
        </is>
      </c>
      <c r="B1400" s="1" t="n">
        <v>43719</v>
      </c>
      <c r="C1400" s="1" t="n">
        <v>45662</v>
      </c>
      <c r="D1400" t="inlineStr">
        <is>
          <t>NORRBOTTENS LÄN</t>
        </is>
      </c>
      <c r="E1400" t="inlineStr">
        <is>
          <t>HAPARANDA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46622-2019</t>
        </is>
      </c>
      <c r="B1401" s="1" t="n">
        <v>43719</v>
      </c>
      <c r="C1401" s="1" t="n">
        <v>45662</v>
      </c>
      <c r="D1401" t="inlineStr">
        <is>
          <t>NORRBOTTENS LÄN</t>
        </is>
      </c>
      <c r="E1401" t="inlineStr">
        <is>
          <t>BODEN</t>
        </is>
      </c>
      <c r="F1401" t="inlineStr">
        <is>
          <t>Sveaskog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46720-2019</t>
        </is>
      </c>
      <c r="B1402" s="1" t="n">
        <v>43719</v>
      </c>
      <c r="C1402" s="1" t="n">
        <v>45662</v>
      </c>
      <c r="D1402" t="inlineStr">
        <is>
          <t>NORRBOTTENS LÄN</t>
        </is>
      </c>
      <c r="E1402" t="inlineStr">
        <is>
          <t>BODEN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46888-2019</t>
        </is>
      </c>
      <c r="B1403" s="1" t="n">
        <v>43719</v>
      </c>
      <c r="C1403" s="1" t="n">
        <v>45662</v>
      </c>
      <c r="D1403" t="inlineStr">
        <is>
          <t>NORRBOTTENS LÄN</t>
        </is>
      </c>
      <c r="E1403" t="inlineStr">
        <is>
          <t>BODEN</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46945-2019</t>
        </is>
      </c>
      <c r="B1404" s="1" t="n">
        <v>43719</v>
      </c>
      <c r="C1404" s="1" t="n">
        <v>45662</v>
      </c>
      <c r="D1404" t="inlineStr">
        <is>
          <t>NORRBOTTENS LÄN</t>
        </is>
      </c>
      <c r="E1404" t="inlineStr">
        <is>
          <t>HAPARANDA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46721-2019</t>
        </is>
      </c>
      <c r="B1405" s="1" t="n">
        <v>43719</v>
      </c>
      <c r="C1405" s="1" t="n">
        <v>45662</v>
      </c>
      <c r="D1405" t="inlineStr">
        <is>
          <t>NORRBOTTENS LÄN</t>
        </is>
      </c>
      <c r="E1405" t="inlineStr">
        <is>
          <t>BODEN</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46432-2019</t>
        </is>
      </c>
      <c r="B1406" s="1" t="n">
        <v>43719</v>
      </c>
      <c r="C1406" s="1" t="n">
        <v>45662</v>
      </c>
      <c r="D1406" t="inlineStr">
        <is>
          <t>NORRBOTTENS LÄN</t>
        </is>
      </c>
      <c r="E1406" t="inlineStr">
        <is>
          <t>HAPARANDA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46385-2019</t>
        </is>
      </c>
      <c r="B1407" s="1" t="n">
        <v>43719</v>
      </c>
      <c r="C1407" s="1" t="n">
        <v>45662</v>
      </c>
      <c r="D1407" t="inlineStr">
        <is>
          <t>NORRBOTTENS LÄN</t>
        </is>
      </c>
      <c r="E1407" t="inlineStr">
        <is>
          <t>BODEN</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46766-2019</t>
        </is>
      </c>
      <c r="B1408" s="1" t="n">
        <v>43720</v>
      </c>
      <c r="C1408" s="1" t="n">
        <v>45662</v>
      </c>
      <c r="D1408" t="inlineStr">
        <is>
          <t>NORRBOTTENS LÄN</t>
        </is>
      </c>
      <c r="E1408" t="inlineStr">
        <is>
          <t>BODEN</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47144-2019</t>
        </is>
      </c>
      <c r="B1409" s="1" t="n">
        <v>43720</v>
      </c>
      <c r="C1409" s="1" t="n">
        <v>45662</v>
      </c>
      <c r="D1409" t="inlineStr">
        <is>
          <t>NORRBOTTENS LÄN</t>
        </is>
      </c>
      <c r="E1409" t="inlineStr">
        <is>
          <t>HAPARANDA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47168-2019</t>
        </is>
      </c>
      <c r="B1410" s="1" t="n">
        <v>43720</v>
      </c>
      <c r="C1410" s="1" t="n">
        <v>45662</v>
      </c>
      <c r="D1410" t="inlineStr">
        <is>
          <t>NORRBOTTENS LÄN</t>
        </is>
      </c>
      <c r="E1410" t="inlineStr">
        <is>
          <t>PITEÅ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47093-2019</t>
        </is>
      </c>
      <c r="B1411" s="1" t="n">
        <v>43720</v>
      </c>
      <c r="C1411" s="1" t="n">
        <v>45662</v>
      </c>
      <c r="D1411" t="inlineStr">
        <is>
          <t>NORRBOTTENS LÄN</t>
        </is>
      </c>
      <c r="E1411" t="inlineStr">
        <is>
          <t>GÄLLIVARE</t>
        </is>
      </c>
      <c r="F1411" t="inlineStr">
        <is>
          <t>SCA</t>
        </is>
      </c>
      <c r="G1411" t="n">
        <v>20.4</v>
      </c>
      <c r="H1411" t="n">
        <v>0</v>
      </c>
      <c r="I1411" t="n">
        <v>0</v>
      </c>
      <c r="J1411" t="n">
        <v>0</v>
      </c>
      <c r="K1411" t="n">
        <v>0</v>
      </c>
      <c r="L1411" t="n">
        <v>0</v>
      </c>
      <c r="M1411" t="n">
        <v>0</v>
      </c>
      <c r="N1411" t="n">
        <v>0</v>
      </c>
      <c r="O1411" t="n">
        <v>0</v>
      </c>
      <c r="P1411" t="n">
        <v>0</v>
      </c>
      <c r="Q1411" t="n">
        <v>0</v>
      </c>
      <c r="R1411" s="2" t="inlineStr"/>
    </row>
    <row r="1412" ht="15" customHeight="1">
      <c r="A1412" t="inlineStr">
        <is>
          <t>A 47155-2019</t>
        </is>
      </c>
      <c r="B1412" s="1" t="n">
        <v>43720</v>
      </c>
      <c r="C1412" s="1" t="n">
        <v>45662</v>
      </c>
      <c r="D1412" t="inlineStr">
        <is>
          <t>NORRBOTTENS LÄN</t>
        </is>
      </c>
      <c r="E1412" t="inlineStr">
        <is>
          <t>KALIX</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47099-2019</t>
        </is>
      </c>
      <c r="B1413" s="1" t="n">
        <v>43721</v>
      </c>
      <c r="C1413" s="1" t="n">
        <v>45662</v>
      </c>
      <c r="D1413" t="inlineStr">
        <is>
          <t>NORRBOTTENS LÄN</t>
        </is>
      </c>
      <c r="E1413" t="inlineStr">
        <is>
          <t>ÄLVSBYN</t>
        </is>
      </c>
      <c r="F1413" t="inlineStr">
        <is>
          <t>SCA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47100-2019</t>
        </is>
      </c>
      <c r="B1414" s="1" t="n">
        <v>43721</v>
      </c>
      <c r="C1414" s="1" t="n">
        <v>45662</v>
      </c>
      <c r="D1414" t="inlineStr">
        <is>
          <t>NORRBOTTENS LÄN</t>
        </is>
      </c>
      <c r="E1414" t="inlineStr">
        <is>
          <t>BODEN</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47274-2019</t>
        </is>
      </c>
      <c r="B1415" s="1" t="n">
        <v>43721</v>
      </c>
      <c r="C1415" s="1" t="n">
        <v>45662</v>
      </c>
      <c r="D1415" t="inlineStr">
        <is>
          <t>NORRBOTTENS LÄN</t>
        </is>
      </c>
      <c r="E1415" t="inlineStr">
        <is>
          <t>ÖVERKALIX</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47393-2019</t>
        </is>
      </c>
      <c r="B1416" s="1" t="n">
        <v>43721</v>
      </c>
      <c r="C1416" s="1" t="n">
        <v>45662</v>
      </c>
      <c r="D1416" t="inlineStr">
        <is>
          <t>NORRBOTTENS LÄN</t>
        </is>
      </c>
      <c r="E1416" t="inlineStr">
        <is>
          <t>PITEÅ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47456-2019</t>
        </is>
      </c>
      <c r="B1417" s="1" t="n">
        <v>43721</v>
      </c>
      <c r="C1417" s="1" t="n">
        <v>45662</v>
      </c>
      <c r="D1417" t="inlineStr">
        <is>
          <t>NORRBOTTENS LÄN</t>
        </is>
      </c>
      <c r="E1417" t="inlineStr">
        <is>
          <t>JOKKMOKK</t>
        </is>
      </c>
      <c r="F1417" t="inlineStr">
        <is>
          <t>Övriga Aktiebolag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47405-2019</t>
        </is>
      </c>
      <c r="B1418" s="1" t="n">
        <v>43722</v>
      </c>
      <c r="C1418" s="1" t="n">
        <v>45662</v>
      </c>
      <c r="D1418" t="inlineStr">
        <is>
          <t>NORRBOTTENS LÄN</t>
        </is>
      </c>
      <c r="E1418" t="inlineStr">
        <is>
          <t>LULEÅ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47566-2019</t>
        </is>
      </c>
      <c r="B1419" s="1" t="n">
        <v>43724</v>
      </c>
      <c r="C1419" s="1" t="n">
        <v>45662</v>
      </c>
      <c r="D1419" t="inlineStr">
        <is>
          <t>NORRBOTTENS LÄN</t>
        </is>
      </c>
      <c r="E1419" t="inlineStr">
        <is>
          <t>KALIX</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47637-2019</t>
        </is>
      </c>
      <c r="B1420" s="1" t="n">
        <v>43724</v>
      </c>
      <c r="C1420" s="1" t="n">
        <v>45662</v>
      </c>
      <c r="D1420" t="inlineStr">
        <is>
          <t>NORRBOTTENS LÄN</t>
        </is>
      </c>
      <c r="E1420" t="inlineStr">
        <is>
          <t>GÄLLIVARE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47761-2019</t>
        </is>
      </c>
      <c r="B1421" s="1" t="n">
        <v>43724</v>
      </c>
      <c r="C1421" s="1" t="n">
        <v>45662</v>
      </c>
      <c r="D1421" t="inlineStr">
        <is>
          <t>NORRBOTTENS LÄN</t>
        </is>
      </c>
      <c r="E1421" t="inlineStr">
        <is>
          <t>GÄLLIVARE</t>
        </is>
      </c>
      <c r="F1421" t="inlineStr">
        <is>
          <t>Sveaskog</t>
        </is>
      </c>
      <c r="G1421" t="n">
        <v>13.1</v>
      </c>
      <c r="H1421" t="n">
        <v>0</v>
      </c>
      <c r="I1421" t="n">
        <v>0</v>
      </c>
      <c r="J1421" t="n">
        <v>0</v>
      </c>
      <c r="K1421" t="n">
        <v>0</v>
      </c>
      <c r="L1421" t="n">
        <v>0</v>
      </c>
      <c r="M1421" t="n">
        <v>0</v>
      </c>
      <c r="N1421" t="n">
        <v>0</v>
      </c>
      <c r="O1421" t="n">
        <v>0</v>
      </c>
      <c r="P1421" t="n">
        <v>0</v>
      </c>
      <c r="Q1421" t="n">
        <v>0</v>
      </c>
      <c r="R1421" s="2" t="inlineStr"/>
    </row>
    <row r="1422" ht="15" customHeight="1">
      <c r="A1422" t="inlineStr">
        <is>
          <t>A 47625-2019</t>
        </is>
      </c>
      <c r="B1422" s="1" t="n">
        <v>43724</v>
      </c>
      <c r="C1422" s="1" t="n">
        <v>45662</v>
      </c>
      <c r="D1422" t="inlineStr">
        <is>
          <t>NORRBOTTENS LÄN</t>
        </is>
      </c>
      <c r="E1422" t="inlineStr">
        <is>
          <t>GÄLLIVARE</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47635-2019</t>
        </is>
      </c>
      <c r="B1423" s="1" t="n">
        <v>43724</v>
      </c>
      <c r="C1423" s="1" t="n">
        <v>45662</v>
      </c>
      <c r="D1423" t="inlineStr">
        <is>
          <t>NORRBOTTENS LÄN</t>
        </is>
      </c>
      <c r="E1423" t="inlineStr">
        <is>
          <t>GÄLLIVARE</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47821-2019</t>
        </is>
      </c>
      <c r="B1424" s="1" t="n">
        <v>43725</v>
      </c>
      <c r="C1424" s="1" t="n">
        <v>45662</v>
      </c>
      <c r="D1424" t="inlineStr">
        <is>
          <t>NORRBOTTENS LÄN</t>
        </is>
      </c>
      <c r="E1424" t="inlineStr">
        <is>
          <t>BODEN</t>
        </is>
      </c>
      <c r="F1424" t="inlineStr">
        <is>
          <t>Sveaskog</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47912-2019</t>
        </is>
      </c>
      <c r="B1425" s="1" t="n">
        <v>43725</v>
      </c>
      <c r="C1425" s="1" t="n">
        <v>45662</v>
      </c>
      <c r="D1425" t="inlineStr">
        <is>
          <t>NORRBOTTENS LÄN</t>
        </is>
      </c>
      <c r="E1425" t="inlineStr">
        <is>
          <t>PAJALA</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48023-2019</t>
        </is>
      </c>
      <c r="B1426" s="1" t="n">
        <v>43725</v>
      </c>
      <c r="C1426" s="1" t="n">
        <v>45662</v>
      </c>
      <c r="D1426" t="inlineStr">
        <is>
          <t>NORRBOTTENS LÄN</t>
        </is>
      </c>
      <c r="E1426" t="inlineStr">
        <is>
          <t>BODEN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48094-2019</t>
        </is>
      </c>
      <c r="B1427" s="1" t="n">
        <v>43725</v>
      </c>
      <c r="C1427" s="1" t="n">
        <v>45662</v>
      </c>
      <c r="D1427" t="inlineStr">
        <is>
          <t>NORRBOTTENS LÄN</t>
        </is>
      </c>
      <c r="E1427" t="inlineStr">
        <is>
          <t>GÄLLIVARE</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48490-2019</t>
        </is>
      </c>
      <c r="B1428" s="1" t="n">
        <v>43727</v>
      </c>
      <c r="C1428" s="1" t="n">
        <v>45662</v>
      </c>
      <c r="D1428" t="inlineStr">
        <is>
          <t>NORRBOTTENS LÄN</t>
        </is>
      </c>
      <c r="E1428" t="inlineStr">
        <is>
          <t>ÖVERTORNEÅ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48586-2019</t>
        </is>
      </c>
      <c r="B1429" s="1" t="n">
        <v>43727</v>
      </c>
      <c r="C1429" s="1" t="n">
        <v>45662</v>
      </c>
      <c r="D1429" t="inlineStr">
        <is>
          <t>NORRBOTTENS LÄN</t>
        </is>
      </c>
      <c r="E1429" t="inlineStr">
        <is>
          <t>BODEN</t>
        </is>
      </c>
      <c r="F1429" t="inlineStr">
        <is>
          <t>Sveaskog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48608-2019</t>
        </is>
      </c>
      <c r="B1430" s="1" t="n">
        <v>43727</v>
      </c>
      <c r="C1430" s="1" t="n">
        <v>45662</v>
      </c>
      <c r="D1430" t="inlineStr">
        <is>
          <t>NORRBOTTENS LÄN</t>
        </is>
      </c>
      <c r="E1430" t="inlineStr">
        <is>
          <t>ÄLVSBYN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48796-2019</t>
        </is>
      </c>
      <c r="B1431" s="1" t="n">
        <v>43727</v>
      </c>
      <c r="C1431" s="1" t="n">
        <v>45662</v>
      </c>
      <c r="D1431" t="inlineStr">
        <is>
          <t>NORRBOTTENS LÄN</t>
        </is>
      </c>
      <c r="E1431" t="inlineStr">
        <is>
          <t>BODEN</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49087-2019</t>
        </is>
      </c>
      <c r="B1432" s="1" t="n">
        <v>43727</v>
      </c>
      <c r="C1432" s="1" t="n">
        <v>45662</v>
      </c>
      <c r="D1432" t="inlineStr">
        <is>
          <t>NORRBOTTENS LÄN</t>
        </is>
      </c>
      <c r="E1432" t="inlineStr">
        <is>
          <t>PAJALA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48627-2019</t>
        </is>
      </c>
      <c r="B1433" s="1" t="n">
        <v>43727</v>
      </c>
      <c r="C1433" s="1" t="n">
        <v>45662</v>
      </c>
      <c r="D1433" t="inlineStr">
        <is>
          <t>NORRBOTTENS LÄN</t>
        </is>
      </c>
      <c r="E1433" t="inlineStr">
        <is>
          <t>BODEN</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48683-2019</t>
        </is>
      </c>
      <c r="B1434" s="1" t="n">
        <v>43728</v>
      </c>
      <c r="C1434" s="1" t="n">
        <v>45662</v>
      </c>
      <c r="D1434" t="inlineStr">
        <is>
          <t>NORRBOTTENS LÄN</t>
        </is>
      </c>
      <c r="E1434" t="inlineStr">
        <is>
          <t>HAPARANDA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48704-2019</t>
        </is>
      </c>
      <c r="B1435" s="1" t="n">
        <v>43728</v>
      </c>
      <c r="C1435" s="1" t="n">
        <v>45662</v>
      </c>
      <c r="D1435" t="inlineStr">
        <is>
          <t>NORRBOTTENS LÄN</t>
        </is>
      </c>
      <c r="E1435" t="inlineStr">
        <is>
          <t>HAPARANDA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48708-2019</t>
        </is>
      </c>
      <c r="B1436" s="1" t="n">
        <v>43728</v>
      </c>
      <c r="C1436" s="1" t="n">
        <v>45662</v>
      </c>
      <c r="D1436" t="inlineStr">
        <is>
          <t>NORRBOTTENS LÄN</t>
        </is>
      </c>
      <c r="E1436" t="inlineStr">
        <is>
          <t>ARVIDSJAUR</t>
        </is>
      </c>
      <c r="F1436" t="inlineStr">
        <is>
          <t>Sveaskog</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48693-2019</t>
        </is>
      </c>
      <c r="B1437" s="1" t="n">
        <v>43728</v>
      </c>
      <c r="C1437" s="1" t="n">
        <v>45662</v>
      </c>
      <c r="D1437" t="inlineStr">
        <is>
          <t>NORRBOTTENS LÄN</t>
        </is>
      </c>
      <c r="E1437" t="inlineStr">
        <is>
          <t>HAPARANDA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48706-2019</t>
        </is>
      </c>
      <c r="B1438" s="1" t="n">
        <v>43728</v>
      </c>
      <c r="C1438" s="1" t="n">
        <v>45662</v>
      </c>
      <c r="D1438" t="inlineStr">
        <is>
          <t>NORRBOTTENS LÄN</t>
        </is>
      </c>
      <c r="E1438" t="inlineStr">
        <is>
          <t>ARVIDSJAUR</t>
        </is>
      </c>
      <c r="F1438" t="inlineStr">
        <is>
          <t>Sveaskog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48744-2019</t>
        </is>
      </c>
      <c r="B1439" s="1" t="n">
        <v>43728</v>
      </c>
      <c r="C1439" s="1" t="n">
        <v>45662</v>
      </c>
      <c r="D1439" t="inlineStr">
        <is>
          <t>NORRBOTTENS LÄN</t>
        </is>
      </c>
      <c r="E1439" t="inlineStr">
        <is>
          <t>HAPARANDA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49149-2019</t>
        </is>
      </c>
      <c r="B1440" s="1" t="n">
        <v>43728</v>
      </c>
      <c r="C1440" s="1" t="n">
        <v>45662</v>
      </c>
      <c r="D1440" t="inlineStr">
        <is>
          <t>NORRBOTTENS LÄN</t>
        </is>
      </c>
      <c r="E1440" t="inlineStr">
        <is>
          <t>ARJEPLOG</t>
        </is>
      </c>
      <c r="F1440" t="inlineStr">
        <is>
          <t>Allmännings- och besparingsskogar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49279-2019</t>
        </is>
      </c>
      <c r="B1441" s="1" t="n">
        <v>43728</v>
      </c>
      <c r="C1441" s="1" t="n">
        <v>45662</v>
      </c>
      <c r="D1441" t="inlineStr">
        <is>
          <t>NORRBOTTENS LÄN</t>
        </is>
      </c>
      <c r="E1441" t="inlineStr">
        <is>
          <t>ÖVERTORNEÅ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48719-2019</t>
        </is>
      </c>
      <c r="B1442" s="1" t="n">
        <v>43728</v>
      </c>
      <c r="C1442" s="1" t="n">
        <v>45662</v>
      </c>
      <c r="D1442" t="inlineStr">
        <is>
          <t>NORRBOTTENS LÄN</t>
        </is>
      </c>
      <c r="E1442" t="inlineStr">
        <is>
          <t>HAPARANDA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49277-2019</t>
        </is>
      </c>
      <c r="B1443" s="1" t="n">
        <v>43728</v>
      </c>
      <c r="C1443" s="1" t="n">
        <v>45662</v>
      </c>
      <c r="D1443" t="inlineStr">
        <is>
          <t>NORRBOTTENS LÄN</t>
        </is>
      </c>
      <c r="E1443" t="inlineStr">
        <is>
          <t>ÖVERKALIX</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49218-2019</t>
        </is>
      </c>
      <c r="B1444" s="1" t="n">
        <v>43731</v>
      </c>
      <c r="C1444" s="1" t="n">
        <v>45662</v>
      </c>
      <c r="D1444" t="inlineStr">
        <is>
          <t>NORRBOTTENS LÄN</t>
        </is>
      </c>
      <c r="E1444" t="inlineStr">
        <is>
          <t>ARJEPLOG</t>
        </is>
      </c>
      <c r="F1444" t="inlineStr">
        <is>
          <t>Allmännings- och besparingsskogar</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49655-2019</t>
        </is>
      </c>
      <c r="B1445" s="1" t="n">
        <v>43732</v>
      </c>
      <c r="C1445" s="1" t="n">
        <v>45662</v>
      </c>
      <c r="D1445" t="inlineStr">
        <is>
          <t>NORRBOTTENS LÄN</t>
        </is>
      </c>
      <c r="E1445" t="inlineStr">
        <is>
          <t>BODEN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51207-2019</t>
        </is>
      </c>
      <c r="B1446" s="1" t="n">
        <v>43732</v>
      </c>
      <c r="C1446" s="1" t="n">
        <v>45662</v>
      </c>
      <c r="D1446" t="inlineStr">
        <is>
          <t>NORRBOTTENS LÄN</t>
        </is>
      </c>
      <c r="E1446" t="inlineStr">
        <is>
          <t>BODEN</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49648-2019</t>
        </is>
      </c>
      <c r="B1447" s="1" t="n">
        <v>43732</v>
      </c>
      <c r="C1447" s="1" t="n">
        <v>45662</v>
      </c>
      <c r="D1447" t="inlineStr">
        <is>
          <t>NORRBOTTENS LÄN</t>
        </is>
      </c>
      <c r="E1447" t="inlineStr">
        <is>
          <t>ÖVERTORNEÅ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49551-2019</t>
        </is>
      </c>
      <c r="B1448" s="1" t="n">
        <v>43732</v>
      </c>
      <c r="C1448" s="1" t="n">
        <v>45662</v>
      </c>
      <c r="D1448" t="inlineStr">
        <is>
          <t>NORRBOTTENS LÄN</t>
        </is>
      </c>
      <c r="E1448" t="inlineStr">
        <is>
          <t>ARVIDSJAUR</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51166-2019</t>
        </is>
      </c>
      <c r="B1449" s="1" t="n">
        <v>43732</v>
      </c>
      <c r="C1449" s="1" t="n">
        <v>45662</v>
      </c>
      <c r="D1449" t="inlineStr">
        <is>
          <t>NORRBOTTENS LÄN</t>
        </is>
      </c>
      <c r="E1449" t="inlineStr">
        <is>
          <t>PITEÅ</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51177-2019</t>
        </is>
      </c>
      <c r="B1450" s="1" t="n">
        <v>43732</v>
      </c>
      <c r="C1450" s="1" t="n">
        <v>45662</v>
      </c>
      <c r="D1450" t="inlineStr">
        <is>
          <t>NORRBOTTENS LÄN</t>
        </is>
      </c>
      <c r="E1450" t="inlineStr">
        <is>
          <t>BODEN</t>
        </is>
      </c>
      <c r="G1450" t="n">
        <v>26.5</v>
      </c>
      <c r="H1450" t="n">
        <v>0</v>
      </c>
      <c r="I1450" t="n">
        <v>0</v>
      </c>
      <c r="J1450" t="n">
        <v>0</v>
      </c>
      <c r="K1450" t="n">
        <v>0</v>
      </c>
      <c r="L1450" t="n">
        <v>0</v>
      </c>
      <c r="M1450" t="n">
        <v>0</v>
      </c>
      <c r="N1450" t="n">
        <v>0</v>
      </c>
      <c r="O1450" t="n">
        <v>0</v>
      </c>
      <c r="P1450" t="n">
        <v>0</v>
      </c>
      <c r="Q1450" t="n">
        <v>0</v>
      </c>
      <c r="R1450" s="2" t="inlineStr"/>
    </row>
    <row r="1451" ht="15" customHeight="1">
      <c r="A1451" t="inlineStr">
        <is>
          <t>A 49751-2019</t>
        </is>
      </c>
      <c r="B1451" s="1" t="n">
        <v>43733</v>
      </c>
      <c r="C1451" s="1" t="n">
        <v>45662</v>
      </c>
      <c r="D1451" t="inlineStr">
        <is>
          <t>NORRBOTTENS LÄN</t>
        </is>
      </c>
      <c r="E1451" t="inlineStr">
        <is>
          <t>LULEÅ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49903-2019</t>
        </is>
      </c>
      <c r="B1452" s="1" t="n">
        <v>43733</v>
      </c>
      <c r="C1452" s="1" t="n">
        <v>45662</v>
      </c>
      <c r="D1452" t="inlineStr">
        <is>
          <t>NORRBOTTENS LÄN</t>
        </is>
      </c>
      <c r="E1452" t="inlineStr">
        <is>
          <t>BODEN</t>
        </is>
      </c>
      <c r="F1452" t="inlineStr">
        <is>
          <t>Sveaskog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49886-2019</t>
        </is>
      </c>
      <c r="B1453" s="1" t="n">
        <v>43733</v>
      </c>
      <c r="C1453" s="1" t="n">
        <v>45662</v>
      </c>
      <c r="D1453" t="inlineStr">
        <is>
          <t>NORRBOTTENS LÄN</t>
        </is>
      </c>
      <c r="E1453" t="inlineStr">
        <is>
          <t>LULEÅ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49916-2019</t>
        </is>
      </c>
      <c r="B1454" s="1" t="n">
        <v>43733</v>
      </c>
      <c r="C1454" s="1" t="n">
        <v>45662</v>
      </c>
      <c r="D1454" t="inlineStr">
        <is>
          <t>NORRBOTTENS LÄN</t>
        </is>
      </c>
      <c r="E1454" t="inlineStr">
        <is>
          <t>LULEÅ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49923-2019</t>
        </is>
      </c>
      <c r="B1455" s="1" t="n">
        <v>43733</v>
      </c>
      <c r="C1455" s="1" t="n">
        <v>45662</v>
      </c>
      <c r="D1455" t="inlineStr">
        <is>
          <t>NORRBOTTENS LÄN</t>
        </is>
      </c>
      <c r="E1455" t="inlineStr">
        <is>
          <t>ÖVERKALIX</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50126-2019</t>
        </is>
      </c>
      <c r="B1456" s="1" t="n">
        <v>43734</v>
      </c>
      <c r="C1456" s="1" t="n">
        <v>45662</v>
      </c>
      <c r="D1456" t="inlineStr">
        <is>
          <t>NORRBOTTENS LÄN</t>
        </is>
      </c>
      <c r="E1456" t="inlineStr">
        <is>
          <t>GÄLLIVARE</t>
        </is>
      </c>
      <c r="F1456" t="inlineStr">
        <is>
          <t>Sveaskog</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50123-2019</t>
        </is>
      </c>
      <c r="B1457" s="1" t="n">
        <v>43734</v>
      </c>
      <c r="C1457" s="1" t="n">
        <v>45662</v>
      </c>
      <c r="D1457" t="inlineStr">
        <is>
          <t>NORRBOTTENS LÄN</t>
        </is>
      </c>
      <c r="E1457" t="inlineStr">
        <is>
          <t>GÄLLIVARE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50288-2019</t>
        </is>
      </c>
      <c r="B1458" s="1" t="n">
        <v>43734</v>
      </c>
      <c r="C1458" s="1" t="n">
        <v>45662</v>
      </c>
      <c r="D1458" t="inlineStr">
        <is>
          <t>NORRBOTTENS LÄN</t>
        </is>
      </c>
      <c r="E1458" t="inlineStr">
        <is>
          <t>JOKKMOKK</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51815-2019</t>
        </is>
      </c>
      <c r="B1459" s="1" t="n">
        <v>43734</v>
      </c>
      <c r="C1459" s="1" t="n">
        <v>45662</v>
      </c>
      <c r="D1459" t="inlineStr">
        <is>
          <t>NORRBOTTENS LÄN</t>
        </is>
      </c>
      <c r="E1459" t="inlineStr">
        <is>
          <t>ARVIDSJAUR</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50287-2019</t>
        </is>
      </c>
      <c r="B1460" s="1" t="n">
        <v>43734</v>
      </c>
      <c r="C1460" s="1" t="n">
        <v>45662</v>
      </c>
      <c r="D1460" t="inlineStr">
        <is>
          <t>NORRBOTTENS LÄN</t>
        </is>
      </c>
      <c r="E1460" t="inlineStr">
        <is>
          <t>JOKKMOKK</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51840-2019</t>
        </is>
      </c>
      <c r="B1461" s="1" t="n">
        <v>43734</v>
      </c>
      <c r="C1461" s="1" t="n">
        <v>45662</v>
      </c>
      <c r="D1461" t="inlineStr">
        <is>
          <t>NORRBOTTENS LÄN</t>
        </is>
      </c>
      <c r="E1461" t="inlineStr">
        <is>
          <t>JOKKMOKK</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52026-2019</t>
        </is>
      </c>
      <c r="B1462" s="1" t="n">
        <v>43734</v>
      </c>
      <c r="C1462" s="1" t="n">
        <v>45662</v>
      </c>
      <c r="D1462" t="inlineStr">
        <is>
          <t>NORRBOTTENS LÄN</t>
        </is>
      </c>
      <c r="E1462" t="inlineStr">
        <is>
          <t>GÄLLIVARE</t>
        </is>
      </c>
      <c r="F1462" t="inlineStr">
        <is>
          <t>Allmännings- och besparingsskogar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51829-2019</t>
        </is>
      </c>
      <c r="B1463" s="1" t="n">
        <v>43734</v>
      </c>
      <c r="C1463" s="1" t="n">
        <v>45662</v>
      </c>
      <c r="D1463" t="inlineStr">
        <is>
          <t>NORRBOTTENS LÄN</t>
        </is>
      </c>
      <c r="E1463" t="inlineStr">
        <is>
          <t>JOKKMOKK</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50289-2019</t>
        </is>
      </c>
      <c r="B1464" s="1" t="n">
        <v>43734</v>
      </c>
      <c r="C1464" s="1" t="n">
        <v>45662</v>
      </c>
      <c r="D1464" t="inlineStr">
        <is>
          <t>NORRBOTTENS LÄN</t>
        </is>
      </c>
      <c r="E1464" t="inlineStr">
        <is>
          <t>JOKKMOKK</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51863-2019</t>
        </is>
      </c>
      <c r="B1465" s="1" t="n">
        <v>43734</v>
      </c>
      <c r="C1465" s="1" t="n">
        <v>45662</v>
      </c>
      <c r="D1465" t="inlineStr">
        <is>
          <t>NORRBOTTENS LÄN</t>
        </is>
      </c>
      <c r="E1465" t="inlineStr">
        <is>
          <t>JOKKMOKK</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50120-2019</t>
        </is>
      </c>
      <c r="B1466" s="1" t="n">
        <v>43734</v>
      </c>
      <c r="C1466" s="1" t="n">
        <v>45662</v>
      </c>
      <c r="D1466" t="inlineStr">
        <is>
          <t>NORRBOTTENS LÄN</t>
        </is>
      </c>
      <c r="E1466" t="inlineStr">
        <is>
          <t>GÄLLIVARE</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50082-2019</t>
        </is>
      </c>
      <c r="B1467" s="1" t="n">
        <v>43734</v>
      </c>
      <c r="C1467" s="1" t="n">
        <v>45662</v>
      </c>
      <c r="D1467" t="inlineStr">
        <is>
          <t>NORRBOTTENS LÄN</t>
        </is>
      </c>
      <c r="E1467" t="inlineStr">
        <is>
          <t>PAJALA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52081-2019</t>
        </is>
      </c>
      <c r="B1468" s="1" t="n">
        <v>43735</v>
      </c>
      <c r="C1468" s="1" t="n">
        <v>45662</v>
      </c>
      <c r="D1468" t="inlineStr">
        <is>
          <t>NORRBOTTENS LÄN</t>
        </is>
      </c>
      <c r="E1468" t="inlineStr">
        <is>
          <t>ARVIDSJAUR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52104-2019</t>
        </is>
      </c>
      <c r="B1469" s="1" t="n">
        <v>43735</v>
      </c>
      <c r="C1469" s="1" t="n">
        <v>45662</v>
      </c>
      <c r="D1469" t="inlineStr">
        <is>
          <t>NORRBOTTENS LÄN</t>
        </is>
      </c>
      <c r="E1469" t="inlineStr">
        <is>
          <t>HAPARANDA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52204-2019</t>
        </is>
      </c>
      <c r="B1470" s="1" t="n">
        <v>43735</v>
      </c>
      <c r="C1470" s="1" t="n">
        <v>45662</v>
      </c>
      <c r="D1470" t="inlineStr">
        <is>
          <t>NORRBOTTENS LÄN</t>
        </is>
      </c>
      <c r="E1470" t="inlineStr">
        <is>
          <t>HAPARANDA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52089-2019</t>
        </is>
      </c>
      <c r="B1471" s="1" t="n">
        <v>43735</v>
      </c>
      <c r="C1471" s="1" t="n">
        <v>45662</v>
      </c>
      <c r="D1471" t="inlineStr">
        <is>
          <t>NORRBOTTENS LÄN</t>
        </is>
      </c>
      <c r="E1471" t="inlineStr">
        <is>
          <t>JOKKMOKK</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52100-2019</t>
        </is>
      </c>
      <c r="B1472" s="1" t="n">
        <v>43735</v>
      </c>
      <c r="C1472" s="1" t="n">
        <v>45662</v>
      </c>
      <c r="D1472" t="inlineStr">
        <is>
          <t>NORRBOTTENS LÄN</t>
        </is>
      </c>
      <c r="E1472" t="inlineStr">
        <is>
          <t>HAPARANDA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50819-2019</t>
        </is>
      </c>
      <c r="B1473" s="1" t="n">
        <v>43738</v>
      </c>
      <c r="C1473" s="1" t="n">
        <v>45662</v>
      </c>
      <c r="D1473" t="inlineStr">
        <is>
          <t>NORRBOTTENS LÄN</t>
        </is>
      </c>
      <c r="E1473" t="inlineStr">
        <is>
          <t>BODEN</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50788-2019</t>
        </is>
      </c>
      <c r="B1474" s="1" t="n">
        <v>43738</v>
      </c>
      <c r="C1474" s="1" t="n">
        <v>45662</v>
      </c>
      <c r="D1474" t="inlineStr">
        <is>
          <t>NORRBOTTENS LÄN</t>
        </is>
      </c>
      <c r="E1474" t="inlineStr">
        <is>
          <t>ARVIDSJAUR</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52645-2019</t>
        </is>
      </c>
      <c r="B1475" s="1" t="n">
        <v>43738</v>
      </c>
      <c r="C1475" s="1" t="n">
        <v>45662</v>
      </c>
      <c r="D1475" t="inlineStr">
        <is>
          <t>NORRBOTTENS LÄN</t>
        </is>
      </c>
      <c r="E1475" t="inlineStr">
        <is>
          <t>ÖVERKALIX</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59173-2019</t>
        </is>
      </c>
      <c r="B1476" s="1" t="n">
        <v>43738</v>
      </c>
      <c r="C1476" s="1" t="n">
        <v>45662</v>
      </c>
      <c r="D1476" t="inlineStr">
        <is>
          <t>NORRBOTTENS LÄN</t>
        </is>
      </c>
      <c r="E1476" t="inlineStr">
        <is>
          <t>JOKKMOKK</t>
        </is>
      </c>
      <c r="F1476" t="inlineStr">
        <is>
          <t>Övriga statliga verk och myndigheter</t>
        </is>
      </c>
      <c r="G1476" t="n">
        <v>167.3</v>
      </c>
      <c r="H1476" t="n">
        <v>0</v>
      </c>
      <c r="I1476" t="n">
        <v>0</v>
      </c>
      <c r="J1476" t="n">
        <v>0</v>
      </c>
      <c r="K1476" t="n">
        <v>0</v>
      </c>
      <c r="L1476" t="n">
        <v>0</v>
      </c>
      <c r="M1476" t="n">
        <v>0</v>
      </c>
      <c r="N1476" t="n">
        <v>0</v>
      </c>
      <c r="O1476" t="n">
        <v>0</v>
      </c>
      <c r="P1476" t="n">
        <v>0</v>
      </c>
      <c r="Q1476" t="n">
        <v>0</v>
      </c>
      <c r="R1476" s="2" t="inlineStr"/>
    </row>
    <row r="1477" ht="15" customHeight="1">
      <c r="A1477" t="inlineStr">
        <is>
          <t>A 51117-2019</t>
        </is>
      </c>
      <c r="B1477" s="1" t="n">
        <v>43739</v>
      </c>
      <c r="C1477" s="1" t="n">
        <v>45662</v>
      </c>
      <c r="D1477" t="inlineStr">
        <is>
          <t>NORRBOTTENS LÄN</t>
        </is>
      </c>
      <c r="E1477" t="inlineStr">
        <is>
          <t>HAPARANDA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51120-2019</t>
        </is>
      </c>
      <c r="B1478" s="1" t="n">
        <v>43739</v>
      </c>
      <c r="C1478" s="1" t="n">
        <v>45662</v>
      </c>
      <c r="D1478" t="inlineStr">
        <is>
          <t>NORRBOTTENS LÄN</t>
        </is>
      </c>
      <c r="E1478" t="inlineStr">
        <is>
          <t>HAPARANDA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52748-2019</t>
        </is>
      </c>
      <c r="B1479" s="1" t="n">
        <v>43739</v>
      </c>
      <c r="C1479" s="1" t="n">
        <v>45662</v>
      </c>
      <c r="D1479" t="inlineStr">
        <is>
          <t>NORRBOTTENS LÄN</t>
        </is>
      </c>
      <c r="E1479" t="inlineStr">
        <is>
          <t>GÄLLIVARE</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51067-2019</t>
        </is>
      </c>
      <c r="B1480" s="1" t="n">
        <v>43739</v>
      </c>
      <c r="C1480" s="1" t="n">
        <v>45662</v>
      </c>
      <c r="D1480" t="inlineStr">
        <is>
          <t>NORRBOTTENS LÄN</t>
        </is>
      </c>
      <c r="E1480" t="inlineStr">
        <is>
          <t>ÄLVSBYN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52819-2019</t>
        </is>
      </c>
      <c r="B1481" s="1" t="n">
        <v>43739</v>
      </c>
      <c r="C1481" s="1" t="n">
        <v>45662</v>
      </c>
      <c r="D1481" t="inlineStr">
        <is>
          <t>NORRBOTTENS LÄN</t>
        </is>
      </c>
      <c r="E1481" t="inlineStr">
        <is>
          <t>ÖVERKALIX</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51232-2019</t>
        </is>
      </c>
      <c r="B1482" s="1" t="n">
        <v>43739</v>
      </c>
      <c r="C1482" s="1" t="n">
        <v>45662</v>
      </c>
      <c r="D1482" t="inlineStr">
        <is>
          <t>NORRBOTTENS LÄN</t>
        </is>
      </c>
      <c r="E1482" t="inlineStr">
        <is>
          <t>PAJALA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51116-2019</t>
        </is>
      </c>
      <c r="B1483" s="1" t="n">
        <v>43739</v>
      </c>
      <c r="C1483" s="1" t="n">
        <v>45662</v>
      </c>
      <c r="D1483" t="inlineStr">
        <is>
          <t>NORRBOTTENS LÄN</t>
        </is>
      </c>
      <c r="E1483" t="inlineStr">
        <is>
          <t>HAPARANDA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51514-2019</t>
        </is>
      </c>
      <c r="B1484" s="1" t="n">
        <v>43740</v>
      </c>
      <c r="C1484" s="1" t="n">
        <v>45662</v>
      </c>
      <c r="D1484" t="inlineStr">
        <is>
          <t>NORRBOTTENS LÄN</t>
        </is>
      </c>
      <c r="E1484" t="inlineStr">
        <is>
          <t>GÄLLIVARE</t>
        </is>
      </c>
      <c r="F1484" t="inlineStr">
        <is>
          <t>Sveaskog</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51694-2019</t>
        </is>
      </c>
      <c r="B1485" s="1" t="n">
        <v>43740</v>
      </c>
      <c r="C1485" s="1" t="n">
        <v>45662</v>
      </c>
      <c r="D1485" t="inlineStr">
        <is>
          <t>NORRBOTTENS LÄN</t>
        </is>
      </c>
      <c r="E1485" t="inlineStr">
        <is>
          <t>LULEÅ</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52989-2019</t>
        </is>
      </c>
      <c r="B1486" s="1" t="n">
        <v>43740</v>
      </c>
      <c r="C1486" s="1" t="n">
        <v>45662</v>
      </c>
      <c r="D1486" t="inlineStr">
        <is>
          <t>NORRBOTTENS LÄN</t>
        </is>
      </c>
      <c r="E1486" t="inlineStr">
        <is>
          <t>ÖVERTORNEÅ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2259-2020</t>
        </is>
      </c>
      <c r="B1487" s="1" t="n">
        <v>43740</v>
      </c>
      <c r="C1487" s="1" t="n">
        <v>45662</v>
      </c>
      <c r="D1487" t="inlineStr">
        <is>
          <t>NORRBOTTENS LÄN</t>
        </is>
      </c>
      <c r="E1487" t="inlineStr">
        <is>
          <t>ÖVERTORNEÅ</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53054-2019</t>
        </is>
      </c>
      <c r="B1488" s="1" t="n">
        <v>43740</v>
      </c>
      <c r="C1488" s="1" t="n">
        <v>45662</v>
      </c>
      <c r="D1488" t="inlineStr">
        <is>
          <t>NORRBOTTENS LÄN</t>
        </is>
      </c>
      <c r="E1488" t="inlineStr">
        <is>
          <t>ÖVERTORNEÅ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53084-2019</t>
        </is>
      </c>
      <c r="B1489" s="1" t="n">
        <v>43740</v>
      </c>
      <c r="C1489" s="1" t="n">
        <v>45662</v>
      </c>
      <c r="D1489" t="inlineStr">
        <is>
          <t>NORRBOTTENS LÄN</t>
        </is>
      </c>
      <c r="E1489" t="inlineStr">
        <is>
          <t>ÖVERTORNEÅ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2269-2020</t>
        </is>
      </c>
      <c r="B1490" s="1" t="n">
        <v>43740</v>
      </c>
      <c r="C1490" s="1" t="n">
        <v>45662</v>
      </c>
      <c r="D1490" t="inlineStr">
        <is>
          <t>NORRBOTTENS LÄN</t>
        </is>
      </c>
      <c r="E1490" t="inlineStr">
        <is>
          <t>ÖVERTORNEÅ</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51642-2019</t>
        </is>
      </c>
      <c r="B1491" s="1" t="n">
        <v>43740</v>
      </c>
      <c r="C1491" s="1" t="n">
        <v>45662</v>
      </c>
      <c r="D1491" t="inlineStr">
        <is>
          <t>NORRBOTTENS LÄN</t>
        </is>
      </c>
      <c r="E1491" t="inlineStr">
        <is>
          <t>ÖVERTORNEÅ</t>
        </is>
      </c>
      <c r="G1491" t="n">
        <v>16.1</v>
      </c>
      <c r="H1491" t="n">
        <v>0</v>
      </c>
      <c r="I1491" t="n">
        <v>0</v>
      </c>
      <c r="J1491" t="n">
        <v>0</v>
      </c>
      <c r="K1491" t="n">
        <v>0</v>
      </c>
      <c r="L1491" t="n">
        <v>0</v>
      </c>
      <c r="M1491" t="n">
        <v>0</v>
      </c>
      <c r="N1491" t="n">
        <v>0</v>
      </c>
      <c r="O1491" t="n">
        <v>0</v>
      </c>
      <c r="P1491" t="n">
        <v>0</v>
      </c>
      <c r="Q1491" t="n">
        <v>0</v>
      </c>
      <c r="R1491" s="2" t="inlineStr"/>
    </row>
    <row r="1492" ht="15" customHeight="1">
      <c r="A1492" t="inlineStr">
        <is>
          <t>A 51734-2019</t>
        </is>
      </c>
      <c r="B1492" s="1" t="n">
        <v>43741</v>
      </c>
      <c r="C1492" s="1" t="n">
        <v>45662</v>
      </c>
      <c r="D1492" t="inlineStr">
        <is>
          <t>NORRBOTTENS LÄN</t>
        </is>
      </c>
      <c r="E1492" t="inlineStr">
        <is>
          <t>PITEÅ</t>
        </is>
      </c>
      <c r="F1492" t="inlineStr">
        <is>
          <t>Sveaskog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51765-2019</t>
        </is>
      </c>
      <c r="B1493" s="1" t="n">
        <v>43741</v>
      </c>
      <c r="C1493" s="1" t="n">
        <v>45662</v>
      </c>
      <c r="D1493" t="inlineStr">
        <is>
          <t>NORRBOTTENS LÄN</t>
        </is>
      </c>
      <c r="E1493" t="inlineStr">
        <is>
          <t>PITEÅ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52225-2019</t>
        </is>
      </c>
      <c r="B1494" s="1" t="n">
        <v>43742</v>
      </c>
      <c r="C1494" s="1" t="n">
        <v>45662</v>
      </c>
      <c r="D1494" t="inlineStr">
        <is>
          <t>NORRBOTTENS LÄN</t>
        </is>
      </c>
      <c r="E1494" t="inlineStr">
        <is>
          <t>BODEN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52223-2019</t>
        </is>
      </c>
      <c r="B1495" s="1" t="n">
        <v>43742</v>
      </c>
      <c r="C1495" s="1" t="n">
        <v>45662</v>
      </c>
      <c r="D1495" t="inlineStr">
        <is>
          <t>NORRBOTTENS LÄN</t>
        </is>
      </c>
      <c r="E1495" t="inlineStr">
        <is>
          <t>BODEN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52229-2019</t>
        </is>
      </c>
      <c r="B1496" s="1" t="n">
        <v>43742</v>
      </c>
      <c r="C1496" s="1" t="n">
        <v>45662</v>
      </c>
      <c r="D1496" t="inlineStr">
        <is>
          <t>NORRBOTTENS LÄN</t>
        </is>
      </c>
      <c r="E1496" t="inlineStr">
        <is>
          <t>BODEN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53994-2019</t>
        </is>
      </c>
      <c r="B1497" s="1" t="n">
        <v>43742</v>
      </c>
      <c r="C1497" s="1" t="n">
        <v>45662</v>
      </c>
      <c r="D1497" t="inlineStr">
        <is>
          <t>NORRBOTTENS LÄN</t>
        </is>
      </c>
      <c r="E1497" t="inlineStr">
        <is>
          <t>ARVIDSJAUR</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53821-2019</t>
        </is>
      </c>
      <c r="B1498" s="1" t="n">
        <v>43742</v>
      </c>
      <c r="C1498" s="1" t="n">
        <v>45662</v>
      </c>
      <c r="D1498" t="inlineStr">
        <is>
          <t>NORRBOTTENS LÄN</t>
        </is>
      </c>
      <c r="E1498" t="inlineStr">
        <is>
          <t>ÄLVSBYN</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52228-2019</t>
        </is>
      </c>
      <c r="B1499" s="1" t="n">
        <v>43742</v>
      </c>
      <c r="C1499" s="1" t="n">
        <v>45662</v>
      </c>
      <c r="D1499" t="inlineStr">
        <is>
          <t>NORRBOTTENS LÄN</t>
        </is>
      </c>
      <c r="E1499" t="inlineStr">
        <is>
          <t>BODEN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52220-2019</t>
        </is>
      </c>
      <c r="B1500" s="1" t="n">
        <v>43742</v>
      </c>
      <c r="C1500" s="1" t="n">
        <v>45662</v>
      </c>
      <c r="D1500" t="inlineStr">
        <is>
          <t>NORRBOTTENS LÄN</t>
        </is>
      </c>
      <c r="E1500" t="inlineStr">
        <is>
          <t>BODEN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52157-2019</t>
        </is>
      </c>
      <c r="B1501" s="1" t="n">
        <v>43742</v>
      </c>
      <c r="C1501" s="1" t="n">
        <v>45662</v>
      </c>
      <c r="D1501" t="inlineStr">
        <is>
          <t>NORRBOTTENS LÄN</t>
        </is>
      </c>
      <c r="E1501" t="inlineStr">
        <is>
          <t>ÖVERKALIX</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52207-2019</t>
        </is>
      </c>
      <c r="B1502" s="1" t="n">
        <v>43742</v>
      </c>
      <c r="C1502" s="1" t="n">
        <v>45662</v>
      </c>
      <c r="D1502" t="inlineStr">
        <is>
          <t>NORRBOTTENS LÄN</t>
        </is>
      </c>
      <c r="E1502" t="inlineStr">
        <is>
          <t>BODEN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52224-2019</t>
        </is>
      </c>
      <c r="B1503" s="1" t="n">
        <v>43742</v>
      </c>
      <c r="C1503" s="1" t="n">
        <v>45662</v>
      </c>
      <c r="D1503" t="inlineStr">
        <is>
          <t>NORRBOTTENS LÄN</t>
        </is>
      </c>
      <c r="E1503" t="inlineStr">
        <is>
          <t>BODEN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54007-2019</t>
        </is>
      </c>
      <c r="B1504" s="1" t="n">
        <v>43742</v>
      </c>
      <c r="C1504" s="1" t="n">
        <v>45662</v>
      </c>
      <c r="D1504" t="inlineStr">
        <is>
          <t>NORRBOTTENS LÄN</t>
        </is>
      </c>
      <c r="E1504" t="inlineStr">
        <is>
          <t>ÄLVSBYN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52477-2019</t>
        </is>
      </c>
      <c r="B1505" s="1" t="n">
        <v>43745</v>
      </c>
      <c r="C1505" s="1" t="n">
        <v>45662</v>
      </c>
      <c r="D1505" t="inlineStr">
        <is>
          <t>NORRBOTTENS LÄN</t>
        </is>
      </c>
      <c r="E1505" t="inlineStr">
        <is>
          <t>KALIX</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54210-2019</t>
        </is>
      </c>
      <c r="B1506" s="1" t="n">
        <v>43745</v>
      </c>
      <c r="C1506" s="1" t="n">
        <v>45662</v>
      </c>
      <c r="D1506" t="inlineStr">
        <is>
          <t>NORRBOTTENS LÄN</t>
        </is>
      </c>
      <c r="E1506" t="inlineStr">
        <is>
          <t>ÖVERTORNEÅ</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52917-2019</t>
        </is>
      </c>
      <c r="B1507" s="1" t="n">
        <v>43746</v>
      </c>
      <c r="C1507" s="1" t="n">
        <v>45662</v>
      </c>
      <c r="D1507" t="inlineStr">
        <is>
          <t>NORRBOTTENS LÄN</t>
        </is>
      </c>
      <c r="E1507" t="inlineStr">
        <is>
          <t>LULEÅ</t>
        </is>
      </c>
      <c r="F1507" t="inlineStr">
        <is>
          <t>Naturvårdsverket</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53321-2019</t>
        </is>
      </c>
      <c r="B1508" s="1" t="n">
        <v>43748</v>
      </c>
      <c r="C1508" s="1" t="n">
        <v>45662</v>
      </c>
      <c r="D1508" t="inlineStr">
        <is>
          <t>NORRBOTTENS LÄN</t>
        </is>
      </c>
      <c r="E1508" t="inlineStr">
        <is>
          <t>ÖVERTORNEÅ</t>
        </is>
      </c>
      <c r="F1508" t="inlineStr">
        <is>
          <t>Sveaskog</t>
        </is>
      </c>
      <c r="G1508" t="n">
        <v>62.4</v>
      </c>
      <c r="H1508" t="n">
        <v>0</v>
      </c>
      <c r="I1508" t="n">
        <v>0</v>
      </c>
      <c r="J1508" t="n">
        <v>0</v>
      </c>
      <c r="K1508" t="n">
        <v>0</v>
      </c>
      <c r="L1508" t="n">
        <v>0</v>
      </c>
      <c r="M1508" t="n">
        <v>0</v>
      </c>
      <c r="N1508" t="n">
        <v>0</v>
      </c>
      <c r="O1508" t="n">
        <v>0</v>
      </c>
      <c r="P1508" t="n">
        <v>0</v>
      </c>
      <c r="Q1508" t="n">
        <v>0</v>
      </c>
      <c r="R1508" s="2" t="inlineStr"/>
    </row>
    <row r="1509" ht="15" customHeight="1">
      <c r="A1509" t="inlineStr">
        <is>
          <t>A 53365-2019</t>
        </is>
      </c>
      <c r="B1509" s="1" t="n">
        <v>43748</v>
      </c>
      <c r="C1509" s="1" t="n">
        <v>45662</v>
      </c>
      <c r="D1509" t="inlineStr">
        <is>
          <t>NORRBOTTENS LÄN</t>
        </is>
      </c>
      <c r="E1509" t="inlineStr">
        <is>
          <t>LULEÅ</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54749-2019</t>
        </is>
      </c>
      <c r="B1510" s="1" t="n">
        <v>43748</v>
      </c>
      <c r="C1510" s="1" t="n">
        <v>45662</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53201-2019</t>
        </is>
      </c>
      <c r="B1511" s="1" t="n">
        <v>43748</v>
      </c>
      <c r="C1511" s="1" t="n">
        <v>45662</v>
      </c>
      <c r="D1511" t="inlineStr">
        <is>
          <t>NORRBOTTENS LÄN</t>
        </is>
      </c>
      <c r="E1511" t="inlineStr">
        <is>
          <t>GÄLLIVARE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54760-2019</t>
        </is>
      </c>
      <c r="B1512" s="1" t="n">
        <v>43748</v>
      </c>
      <c r="C1512" s="1" t="n">
        <v>45662</v>
      </c>
      <c r="D1512" t="inlineStr">
        <is>
          <t>NORRBOTTENS LÄN</t>
        </is>
      </c>
      <c r="E1512" t="inlineStr">
        <is>
          <t>ÖVERKALIX</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53708-2019</t>
        </is>
      </c>
      <c r="B1513" s="1" t="n">
        <v>43749</v>
      </c>
      <c r="C1513" s="1" t="n">
        <v>45662</v>
      </c>
      <c r="D1513" t="inlineStr">
        <is>
          <t>NORRBOTTENS LÄN</t>
        </is>
      </c>
      <c r="E1513" t="inlineStr">
        <is>
          <t>PAJALA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54828-2019</t>
        </is>
      </c>
      <c r="B1514" s="1" t="n">
        <v>43749</v>
      </c>
      <c r="C1514" s="1" t="n">
        <v>45662</v>
      </c>
      <c r="D1514" t="inlineStr">
        <is>
          <t>NORRBOTTENS LÄN</t>
        </is>
      </c>
      <c r="E1514" t="inlineStr">
        <is>
          <t>ARVIDSJAUR</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54852-2019</t>
        </is>
      </c>
      <c r="B1515" s="1" t="n">
        <v>43749</v>
      </c>
      <c r="C1515" s="1" t="n">
        <v>45662</v>
      </c>
      <c r="D1515" t="inlineStr">
        <is>
          <t>NORRBOTTENS LÄN</t>
        </is>
      </c>
      <c r="E1515" t="inlineStr">
        <is>
          <t>ARVIDSJAUR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53827-2019</t>
        </is>
      </c>
      <c r="B1516" s="1" t="n">
        <v>43752</v>
      </c>
      <c r="C1516" s="1" t="n">
        <v>45662</v>
      </c>
      <c r="D1516" t="inlineStr">
        <is>
          <t>NORRBOTTENS LÄN</t>
        </is>
      </c>
      <c r="E1516" t="inlineStr">
        <is>
          <t>PAJALA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53835-2019</t>
        </is>
      </c>
      <c r="B1517" s="1" t="n">
        <v>43752</v>
      </c>
      <c r="C1517" s="1" t="n">
        <v>45662</v>
      </c>
      <c r="D1517" t="inlineStr">
        <is>
          <t>NORRBOTTENS LÄN</t>
        </is>
      </c>
      <c r="E1517" t="inlineStr">
        <is>
          <t>PAJALA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53818-2019</t>
        </is>
      </c>
      <c r="B1518" s="1" t="n">
        <v>43752</v>
      </c>
      <c r="C1518" s="1" t="n">
        <v>45662</v>
      </c>
      <c r="D1518" t="inlineStr">
        <is>
          <t>NORRBOTTENS LÄN</t>
        </is>
      </c>
      <c r="E1518" t="inlineStr">
        <is>
          <t>ÄLVSBYN</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53834-2019</t>
        </is>
      </c>
      <c r="B1519" s="1" t="n">
        <v>43752</v>
      </c>
      <c r="C1519" s="1" t="n">
        <v>45662</v>
      </c>
      <c r="D1519" t="inlineStr">
        <is>
          <t>NORRBOTTENS LÄN</t>
        </is>
      </c>
      <c r="E1519" t="inlineStr">
        <is>
          <t>PAJALA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53825-2019</t>
        </is>
      </c>
      <c r="B1520" s="1" t="n">
        <v>43752</v>
      </c>
      <c r="C1520" s="1" t="n">
        <v>45662</v>
      </c>
      <c r="D1520" t="inlineStr">
        <is>
          <t>NORRBOTTENS LÄN</t>
        </is>
      </c>
      <c r="E1520" t="inlineStr">
        <is>
          <t>PAJALA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53831-2019</t>
        </is>
      </c>
      <c r="B1521" s="1" t="n">
        <v>43752</v>
      </c>
      <c r="C1521" s="1" t="n">
        <v>45662</v>
      </c>
      <c r="D1521" t="inlineStr">
        <is>
          <t>NORRBOTTENS LÄN</t>
        </is>
      </c>
      <c r="E1521" t="inlineStr">
        <is>
          <t>PAJALA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53922-2019</t>
        </is>
      </c>
      <c r="B1522" s="1" t="n">
        <v>43752</v>
      </c>
      <c r="C1522" s="1" t="n">
        <v>45662</v>
      </c>
      <c r="D1522" t="inlineStr">
        <is>
          <t>NORRBOTTENS LÄN</t>
        </is>
      </c>
      <c r="E1522" t="inlineStr">
        <is>
          <t>GÄLLIVARE</t>
        </is>
      </c>
      <c r="F1522" t="inlineStr">
        <is>
          <t>Sveaskog</t>
        </is>
      </c>
      <c r="G1522" t="n">
        <v>15.9</v>
      </c>
      <c r="H1522" t="n">
        <v>0</v>
      </c>
      <c r="I1522" t="n">
        <v>0</v>
      </c>
      <c r="J1522" t="n">
        <v>0</v>
      </c>
      <c r="K1522" t="n">
        <v>0</v>
      </c>
      <c r="L1522" t="n">
        <v>0</v>
      </c>
      <c r="M1522" t="n">
        <v>0</v>
      </c>
      <c r="N1522" t="n">
        <v>0</v>
      </c>
      <c r="O1522" t="n">
        <v>0</v>
      </c>
      <c r="P1522" t="n">
        <v>0</v>
      </c>
      <c r="Q1522" t="n">
        <v>0</v>
      </c>
      <c r="R1522" s="2" t="inlineStr"/>
    </row>
    <row r="1523" ht="15" customHeight="1">
      <c r="A1523" t="inlineStr">
        <is>
          <t>A 53950-2019</t>
        </is>
      </c>
      <c r="B1523" s="1" t="n">
        <v>43752</v>
      </c>
      <c r="C1523" s="1" t="n">
        <v>45662</v>
      </c>
      <c r="D1523" t="inlineStr">
        <is>
          <t>NORRBOTTENS LÄN</t>
        </is>
      </c>
      <c r="E1523" t="inlineStr">
        <is>
          <t>PAJALA</t>
        </is>
      </c>
      <c r="G1523" t="n">
        <v>13.3</v>
      </c>
      <c r="H1523" t="n">
        <v>0</v>
      </c>
      <c r="I1523" t="n">
        <v>0</v>
      </c>
      <c r="J1523" t="n">
        <v>0</v>
      </c>
      <c r="K1523" t="n">
        <v>0</v>
      </c>
      <c r="L1523" t="n">
        <v>0</v>
      </c>
      <c r="M1523" t="n">
        <v>0</v>
      </c>
      <c r="N1523" t="n">
        <v>0</v>
      </c>
      <c r="O1523" t="n">
        <v>0</v>
      </c>
      <c r="P1523" t="n">
        <v>0</v>
      </c>
      <c r="Q1523" t="n">
        <v>0</v>
      </c>
      <c r="R1523" s="2" t="inlineStr"/>
    </row>
    <row r="1524" ht="15" customHeight="1">
      <c r="A1524" t="inlineStr">
        <is>
          <t>A 54078-2019</t>
        </is>
      </c>
      <c r="B1524" s="1" t="n">
        <v>43752</v>
      </c>
      <c r="C1524" s="1" t="n">
        <v>45662</v>
      </c>
      <c r="D1524" t="inlineStr">
        <is>
          <t>NORRBOTTENS LÄN</t>
        </is>
      </c>
      <c r="E1524" t="inlineStr">
        <is>
          <t>ÖVERTORNEÅ</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58826-2019</t>
        </is>
      </c>
      <c r="B1525" s="1" t="n">
        <v>43752</v>
      </c>
      <c r="C1525" s="1" t="n">
        <v>45662</v>
      </c>
      <c r="D1525" t="inlineStr">
        <is>
          <t>NORRBOTTENS LÄN</t>
        </is>
      </c>
      <c r="E1525" t="inlineStr">
        <is>
          <t>GÄLLIVARE</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54124-2019</t>
        </is>
      </c>
      <c r="B1526" s="1" t="n">
        <v>43752</v>
      </c>
      <c r="C1526" s="1" t="n">
        <v>45662</v>
      </c>
      <c r="D1526" t="inlineStr">
        <is>
          <t>NORRBOTTENS LÄN</t>
        </is>
      </c>
      <c r="E1526" t="inlineStr">
        <is>
          <t>ÖVERKALIX</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54036-2019</t>
        </is>
      </c>
      <c r="B1527" s="1" t="n">
        <v>43752</v>
      </c>
      <c r="C1527" s="1" t="n">
        <v>45662</v>
      </c>
      <c r="D1527" t="inlineStr">
        <is>
          <t>NORRBOTTENS LÄN</t>
        </is>
      </c>
      <c r="E1527" t="inlineStr">
        <is>
          <t>JOKKMOKK</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55073-2019</t>
        </is>
      </c>
      <c r="B1528" s="1" t="n">
        <v>43752</v>
      </c>
      <c r="C1528" s="1" t="n">
        <v>45662</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53822-2019</t>
        </is>
      </c>
      <c r="B1529" s="1" t="n">
        <v>43752</v>
      </c>
      <c r="C1529" s="1" t="n">
        <v>45662</v>
      </c>
      <c r="D1529" t="inlineStr">
        <is>
          <t>NORRBOTTENS LÄN</t>
        </is>
      </c>
      <c r="E1529" t="inlineStr">
        <is>
          <t>PAJALA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53833-2019</t>
        </is>
      </c>
      <c r="B1530" s="1" t="n">
        <v>43752</v>
      </c>
      <c r="C1530" s="1" t="n">
        <v>45662</v>
      </c>
      <c r="D1530" t="inlineStr">
        <is>
          <t>NORRBOTTENS LÄN</t>
        </is>
      </c>
      <c r="E1530" t="inlineStr">
        <is>
          <t>PITEÅ</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54123-2019</t>
        </is>
      </c>
      <c r="B1531" s="1" t="n">
        <v>43752</v>
      </c>
      <c r="C1531" s="1" t="n">
        <v>45662</v>
      </c>
      <c r="D1531" t="inlineStr">
        <is>
          <t>NORRBOTTENS LÄN</t>
        </is>
      </c>
      <c r="E1531" t="inlineStr">
        <is>
          <t>ÖVERKALIX</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54419-2019</t>
        </is>
      </c>
      <c r="B1532" s="1" t="n">
        <v>43753</v>
      </c>
      <c r="C1532" s="1" t="n">
        <v>45662</v>
      </c>
      <c r="D1532" t="inlineStr">
        <is>
          <t>NORRBOTTENS LÄN</t>
        </is>
      </c>
      <c r="E1532" t="inlineStr">
        <is>
          <t>BODEN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54203-2019</t>
        </is>
      </c>
      <c r="B1533" s="1" t="n">
        <v>43753</v>
      </c>
      <c r="C1533" s="1" t="n">
        <v>45662</v>
      </c>
      <c r="D1533" t="inlineStr">
        <is>
          <t>NORRBOTTENS LÄN</t>
        </is>
      </c>
      <c r="E1533" t="inlineStr">
        <is>
          <t>LULEÅ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54373-2019</t>
        </is>
      </c>
      <c r="B1534" s="1" t="n">
        <v>43753</v>
      </c>
      <c r="C1534" s="1" t="n">
        <v>45662</v>
      </c>
      <c r="D1534" t="inlineStr">
        <is>
          <t>NORRBOTTENS LÄN</t>
        </is>
      </c>
      <c r="E1534" t="inlineStr">
        <is>
          <t>GÄLLIVARE</t>
        </is>
      </c>
      <c r="F1534" t="inlineStr">
        <is>
          <t>SCA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54457-2019</t>
        </is>
      </c>
      <c r="B1535" s="1" t="n">
        <v>43754</v>
      </c>
      <c r="C1535" s="1" t="n">
        <v>45662</v>
      </c>
      <c r="D1535" t="inlineStr">
        <is>
          <t>NORRBOTTENS LÄN</t>
        </is>
      </c>
      <c r="E1535" t="inlineStr">
        <is>
          <t>GÄLLIVARE</t>
        </is>
      </c>
      <c r="F1535" t="inlineStr">
        <is>
          <t>Sveaskog</t>
        </is>
      </c>
      <c r="G1535" t="n">
        <v>39.5</v>
      </c>
      <c r="H1535" t="n">
        <v>0</v>
      </c>
      <c r="I1535" t="n">
        <v>0</v>
      </c>
      <c r="J1535" t="n">
        <v>0</v>
      </c>
      <c r="K1535" t="n">
        <v>0</v>
      </c>
      <c r="L1535" t="n">
        <v>0</v>
      </c>
      <c r="M1535" t="n">
        <v>0</v>
      </c>
      <c r="N1535" t="n">
        <v>0</v>
      </c>
      <c r="O1535" t="n">
        <v>0</v>
      </c>
      <c r="P1535" t="n">
        <v>0</v>
      </c>
      <c r="Q1535" t="n">
        <v>0</v>
      </c>
      <c r="R1535" s="2" t="inlineStr"/>
    </row>
    <row r="1536" ht="15" customHeight="1">
      <c r="A1536" t="inlineStr">
        <is>
          <t>A 54476-2019</t>
        </is>
      </c>
      <c r="B1536" s="1" t="n">
        <v>43754</v>
      </c>
      <c r="C1536" s="1" t="n">
        <v>45662</v>
      </c>
      <c r="D1536" t="inlineStr">
        <is>
          <t>NORRBOTTENS LÄN</t>
        </is>
      </c>
      <c r="E1536" t="inlineStr">
        <is>
          <t>GÄLLIVARE</t>
        </is>
      </c>
      <c r="F1536" t="inlineStr">
        <is>
          <t>Sveaskog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54525-2019</t>
        </is>
      </c>
      <c r="B1537" s="1" t="n">
        <v>43754</v>
      </c>
      <c r="C1537" s="1" t="n">
        <v>45662</v>
      </c>
      <c r="D1537" t="inlineStr">
        <is>
          <t>NORRBOTTENS LÄN</t>
        </is>
      </c>
      <c r="E1537" t="inlineStr">
        <is>
          <t>GÄLLIVARE</t>
        </is>
      </c>
      <c r="F1537" t="inlineStr">
        <is>
          <t>Sveaskog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54656-2019</t>
        </is>
      </c>
      <c r="B1538" s="1" t="n">
        <v>43754</v>
      </c>
      <c r="C1538" s="1" t="n">
        <v>45662</v>
      </c>
      <c r="D1538" t="inlineStr">
        <is>
          <t>NORRBOTTENS LÄN</t>
        </is>
      </c>
      <c r="E1538" t="inlineStr">
        <is>
          <t>BODEN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54658-2019</t>
        </is>
      </c>
      <c r="B1539" s="1" t="n">
        <v>43754</v>
      </c>
      <c r="C1539" s="1" t="n">
        <v>45662</v>
      </c>
      <c r="D1539" t="inlineStr">
        <is>
          <t>NORRBOTTENS LÄN</t>
        </is>
      </c>
      <c r="E1539" t="inlineStr">
        <is>
          <t>BODEN</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54989-2019</t>
        </is>
      </c>
      <c r="B1540" s="1" t="n">
        <v>43755</v>
      </c>
      <c r="C1540" s="1" t="n">
        <v>45662</v>
      </c>
      <c r="D1540" t="inlineStr">
        <is>
          <t>NORRBOTTENS LÄN</t>
        </is>
      </c>
      <c r="E1540" t="inlineStr">
        <is>
          <t>PITEÅ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56121-2019</t>
        </is>
      </c>
      <c r="B1541" s="1" t="n">
        <v>43755</v>
      </c>
      <c r="C1541" s="1" t="n">
        <v>45662</v>
      </c>
      <c r="D1541" t="inlineStr">
        <is>
          <t>NORRBOTTENS LÄN</t>
        </is>
      </c>
      <c r="E1541" t="inlineStr">
        <is>
          <t>PITEÅ</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55894-2019</t>
        </is>
      </c>
      <c r="B1542" s="1" t="n">
        <v>43755</v>
      </c>
      <c r="C1542" s="1" t="n">
        <v>45662</v>
      </c>
      <c r="D1542" t="inlineStr">
        <is>
          <t>NORRBOTTENS LÄN</t>
        </is>
      </c>
      <c r="E1542" t="inlineStr">
        <is>
          <t>PITEÅ</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56119-2019</t>
        </is>
      </c>
      <c r="B1543" s="1" t="n">
        <v>43755</v>
      </c>
      <c r="C1543" s="1" t="n">
        <v>45662</v>
      </c>
      <c r="D1543" t="inlineStr">
        <is>
          <t>NORRBOTTENS LÄN</t>
        </is>
      </c>
      <c r="E1543" t="inlineStr">
        <is>
          <t>PITEÅ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55027-2019</t>
        </is>
      </c>
      <c r="B1544" s="1" t="n">
        <v>43755</v>
      </c>
      <c r="C1544" s="1" t="n">
        <v>45662</v>
      </c>
      <c r="D1544" t="inlineStr">
        <is>
          <t>NORRBOTTENS LÄN</t>
        </is>
      </c>
      <c r="E1544" t="inlineStr">
        <is>
          <t>GÄLLIVARE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55321-2019</t>
        </is>
      </c>
      <c r="B1545" s="1" t="n">
        <v>43756</v>
      </c>
      <c r="C1545" s="1" t="n">
        <v>45662</v>
      </c>
      <c r="D1545" t="inlineStr">
        <is>
          <t>NORRBOTTENS LÄN</t>
        </is>
      </c>
      <c r="E1545" t="inlineStr">
        <is>
          <t>PAJALA</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55364-2019</t>
        </is>
      </c>
      <c r="B1546" s="1" t="n">
        <v>43756</v>
      </c>
      <c r="C1546" s="1" t="n">
        <v>45662</v>
      </c>
      <c r="D1546" t="inlineStr">
        <is>
          <t>NORRBOTTENS LÄN</t>
        </is>
      </c>
      <c r="E1546" t="inlineStr">
        <is>
          <t>ÖVERKALIX</t>
        </is>
      </c>
      <c r="F1546" t="inlineStr">
        <is>
          <t>SCA</t>
        </is>
      </c>
      <c r="G1546" t="n">
        <v>41.2</v>
      </c>
      <c r="H1546" t="n">
        <v>0</v>
      </c>
      <c r="I1546" t="n">
        <v>0</v>
      </c>
      <c r="J1546" t="n">
        <v>0</v>
      </c>
      <c r="K1546" t="n">
        <v>0</v>
      </c>
      <c r="L1546" t="n">
        <v>0</v>
      </c>
      <c r="M1546" t="n">
        <v>0</v>
      </c>
      <c r="N1546" t="n">
        <v>0</v>
      </c>
      <c r="O1546" t="n">
        <v>0</v>
      </c>
      <c r="P1546" t="n">
        <v>0</v>
      </c>
      <c r="Q1546" t="n">
        <v>0</v>
      </c>
      <c r="R1546" s="2" t="inlineStr"/>
    </row>
    <row r="1547" ht="15" customHeight="1">
      <c r="A1547" t="inlineStr">
        <is>
          <t>A 55784-2019</t>
        </is>
      </c>
      <c r="B1547" s="1" t="n">
        <v>43759</v>
      </c>
      <c r="C1547" s="1" t="n">
        <v>45662</v>
      </c>
      <c r="D1547" t="inlineStr">
        <is>
          <t>NORRBOTTENS LÄN</t>
        </is>
      </c>
      <c r="E1547" t="inlineStr">
        <is>
          <t>ARVIDSJAUR</t>
        </is>
      </c>
      <c r="F1547" t="inlineStr">
        <is>
          <t>Sveaskog</t>
        </is>
      </c>
      <c r="G1547" t="n">
        <v>35.1</v>
      </c>
      <c r="H1547" t="n">
        <v>0</v>
      </c>
      <c r="I1547" t="n">
        <v>0</v>
      </c>
      <c r="J1547" t="n">
        <v>0</v>
      </c>
      <c r="K1547" t="n">
        <v>0</v>
      </c>
      <c r="L1547" t="n">
        <v>0</v>
      </c>
      <c r="M1547" t="n">
        <v>0</v>
      </c>
      <c r="N1547" t="n">
        <v>0</v>
      </c>
      <c r="O1547" t="n">
        <v>0</v>
      </c>
      <c r="P1547" t="n">
        <v>0</v>
      </c>
      <c r="Q1547" t="n">
        <v>0</v>
      </c>
      <c r="R1547" s="2" t="inlineStr"/>
    </row>
    <row r="1548" ht="15" customHeight="1">
      <c r="A1548" t="inlineStr">
        <is>
          <t>A 55972-2019</t>
        </is>
      </c>
      <c r="B1548" s="1" t="n">
        <v>43759</v>
      </c>
      <c r="C1548" s="1" t="n">
        <v>45662</v>
      </c>
      <c r="D1548" t="inlineStr">
        <is>
          <t>NORRBOTTENS LÄN</t>
        </is>
      </c>
      <c r="E1548" t="inlineStr">
        <is>
          <t>BODEN</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56687-2019</t>
        </is>
      </c>
      <c r="B1549" s="1" t="n">
        <v>43759</v>
      </c>
      <c r="C1549" s="1" t="n">
        <v>45662</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57322-2019</t>
        </is>
      </c>
      <c r="B1550" s="1" t="n">
        <v>43759</v>
      </c>
      <c r="C1550" s="1" t="n">
        <v>45662</v>
      </c>
      <c r="D1550" t="inlineStr">
        <is>
          <t>NORRBOTTENS LÄN</t>
        </is>
      </c>
      <c r="E1550" t="inlineStr">
        <is>
          <t>GÄLLIVARE</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56925-2019</t>
        </is>
      </c>
      <c r="B1551" s="1" t="n">
        <v>43759</v>
      </c>
      <c r="C1551" s="1" t="n">
        <v>45662</v>
      </c>
      <c r="D1551" t="inlineStr">
        <is>
          <t>NORRBOTTENS LÄN</t>
        </is>
      </c>
      <c r="E1551" t="inlineStr">
        <is>
          <t>ÖVERKALIX</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57315-2019</t>
        </is>
      </c>
      <c r="B1552" s="1" t="n">
        <v>43759</v>
      </c>
      <c r="C1552" s="1" t="n">
        <v>45662</v>
      </c>
      <c r="D1552" t="inlineStr">
        <is>
          <t>NORRBOTTENS LÄN</t>
        </is>
      </c>
      <c r="E1552" t="inlineStr">
        <is>
          <t>GÄLLIVARE</t>
        </is>
      </c>
      <c r="G1552" t="n">
        <v>15.2</v>
      </c>
      <c r="H1552" t="n">
        <v>0</v>
      </c>
      <c r="I1552" t="n">
        <v>0</v>
      </c>
      <c r="J1552" t="n">
        <v>0</v>
      </c>
      <c r="K1552" t="n">
        <v>0</v>
      </c>
      <c r="L1552" t="n">
        <v>0</v>
      </c>
      <c r="M1552" t="n">
        <v>0</v>
      </c>
      <c r="N1552" t="n">
        <v>0</v>
      </c>
      <c r="O1552" t="n">
        <v>0</v>
      </c>
      <c r="P1552" t="n">
        <v>0</v>
      </c>
      <c r="Q1552" t="n">
        <v>0</v>
      </c>
      <c r="R1552" s="2" t="inlineStr"/>
    </row>
    <row r="1553" ht="15" customHeight="1">
      <c r="A1553" t="inlineStr">
        <is>
          <t>A 56967-2019</t>
        </is>
      </c>
      <c r="B1553" s="1" t="n">
        <v>43759</v>
      </c>
      <c r="C1553" s="1" t="n">
        <v>45662</v>
      </c>
      <c r="D1553" t="inlineStr">
        <is>
          <t>NORRBOTTENS LÄN</t>
        </is>
      </c>
      <c r="E1553" t="inlineStr">
        <is>
          <t>KALIX</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56999-2019</t>
        </is>
      </c>
      <c r="B1554" s="1" t="n">
        <v>43759</v>
      </c>
      <c r="C1554" s="1" t="n">
        <v>45662</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57195-2019</t>
        </is>
      </c>
      <c r="B1555" s="1" t="n">
        <v>43759</v>
      </c>
      <c r="C1555" s="1" t="n">
        <v>45662</v>
      </c>
      <c r="D1555" t="inlineStr">
        <is>
          <t>NORRBOTTENS LÄN</t>
        </is>
      </c>
      <c r="E1555" t="inlineStr">
        <is>
          <t>KALIX</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55688-2019</t>
        </is>
      </c>
      <c r="B1556" s="1" t="n">
        <v>43760</v>
      </c>
      <c r="C1556" s="1" t="n">
        <v>45662</v>
      </c>
      <c r="D1556" t="inlineStr">
        <is>
          <t>NORRBOTTENS LÄN</t>
        </is>
      </c>
      <c r="E1556" t="inlineStr">
        <is>
          <t>BODEN</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55714-2019</t>
        </is>
      </c>
      <c r="B1557" s="1" t="n">
        <v>43760</v>
      </c>
      <c r="C1557" s="1" t="n">
        <v>45662</v>
      </c>
      <c r="D1557" t="inlineStr">
        <is>
          <t>NORRBOTTENS LÄN</t>
        </is>
      </c>
      <c r="E1557" t="inlineStr">
        <is>
          <t>PITEÅ</t>
        </is>
      </c>
      <c r="F1557" t="inlineStr">
        <is>
          <t>SCA</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55707-2019</t>
        </is>
      </c>
      <c r="B1558" s="1" t="n">
        <v>43760</v>
      </c>
      <c r="C1558" s="1" t="n">
        <v>45662</v>
      </c>
      <c r="D1558" t="inlineStr">
        <is>
          <t>NORRBOTTENS LÄN</t>
        </is>
      </c>
      <c r="E1558" t="inlineStr">
        <is>
          <t>BODEN</t>
        </is>
      </c>
      <c r="F1558" t="inlineStr">
        <is>
          <t>SCA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55689-2019</t>
        </is>
      </c>
      <c r="B1559" s="1" t="n">
        <v>43760</v>
      </c>
      <c r="C1559" s="1" t="n">
        <v>45662</v>
      </c>
      <c r="D1559" t="inlineStr">
        <is>
          <t>NORRBOTTENS LÄN</t>
        </is>
      </c>
      <c r="E1559" t="inlineStr">
        <is>
          <t>PITEÅ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55731-2019</t>
        </is>
      </c>
      <c r="B1560" s="1" t="n">
        <v>43760</v>
      </c>
      <c r="C1560" s="1" t="n">
        <v>45662</v>
      </c>
      <c r="D1560" t="inlineStr">
        <is>
          <t>NORRBOTTENS LÄN</t>
        </is>
      </c>
      <c r="E1560" t="inlineStr">
        <is>
          <t>JOKKMOKK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57349-2019</t>
        </is>
      </c>
      <c r="B1561" s="1" t="n">
        <v>43760</v>
      </c>
      <c r="C1561" s="1" t="n">
        <v>45662</v>
      </c>
      <c r="D1561" t="inlineStr">
        <is>
          <t>NORRBOTTENS LÄN</t>
        </is>
      </c>
      <c r="E1561" t="inlineStr">
        <is>
          <t>PITEÅ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55708-2019</t>
        </is>
      </c>
      <c r="B1562" s="1" t="n">
        <v>43760</v>
      </c>
      <c r="C1562" s="1" t="n">
        <v>45662</v>
      </c>
      <c r="D1562" t="inlineStr">
        <is>
          <t>NORRBOTTENS LÄN</t>
        </is>
      </c>
      <c r="E1562" t="inlineStr">
        <is>
          <t>BODEN</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56161-2019</t>
        </is>
      </c>
      <c r="B1563" s="1" t="n">
        <v>43761</v>
      </c>
      <c r="C1563" s="1" t="n">
        <v>45662</v>
      </c>
      <c r="D1563" t="inlineStr">
        <is>
          <t>NORRBOTTENS LÄN</t>
        </is>
      </c>
      <c r="E1563" t="inlineStr">
        <is>
          <t>KALIX</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57724-2019</t>
        </is>
      </c>
      <c r="B1564" s="1" t="n">
        <v>43761</v>
      </c>
      <c r="C1564" s="1" t="n">
        <v>45662</v>
      </c>
      <c r="D1564" t="inlineStr">
        <is>
          <t>NORRBOTTENS LÄN</t>
        </is>
      </c>
      <c r="E1564" t="inlineStr">
        <is>
          <t>LULEÅ</t>
        </is>
      </c>
      <c r="G1564" t="n">
        <v>14.4</v>
      </c>
      <c r="H1564" t="n">
        <v>0</v>
      </c>
      <c r="I1564" t="n">
        <v>0</v>
      </c>
      <c r="J1564" t="n">
        <v>0</v>
      </c>
      <c r="K1564" t="n">
        <v>0</v>
      </c>
      <c r="L1564" t="n">
        <v>0</v>
      </c>
      <c r="M1564" t="n">
        <v>0</v>
      </c>
      <c r="N1564" t="n">
        <v>0</v>
      </c>
      <c r="O1564" t="n">
        <v>0</v>
      </c>
      <c r="P1564" t="n">
        <v>0</v>
      </c>
      <c r="Q1564" t="n">
        <v>0</v>
      </c>
      <c r="R1564" s="2" t="inlineStr"/>
    </row>
    <row r="1565" ht="15" customHeight="1">
      <c r="A1565" t="inlineStr">
        <is>
          <t>A 56365-2019</t>
        </is>
      </c>
      <c r="B1565" s="1" t="n">
        <v>43762</v>
      </c>
      <c r="C1565" s="1" t="n">
        <v>45662</v>
      </c>
      <c r="D1565" t="inlineStr">
        <is>
          <t>NORRBOTTENS LÄN</t>
        </is>
      </c>
      <c r="E1565" t="inlineStr">
        <is>
          <t>ÖVERTORNEÅ</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56437-2019</t>
        </is>
      </c>
      <c r="B1566" s="1" t="n">
        <v>43762</v>
      </c>
      <c r="C1566" s="1" t="n">
        <v>45662</v>
      </c>
      <c r="D1566" t="inlineStr">
        <is>
          <t>NORRBOTTENS LÄN</t>
        </is>
      </c>
      <c r="E1566" t="inlineStr">
        <is>
          <t>PITEÅ</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56444-2019</t>
        </is>
      </c>
      <c r="B1567" s="1" t="n">
        <v>43762</v>
      </c>
      <c r="C1567" s="1" t="n">
        <v>45662</v>
      </c>
      <c r="D1567" t="inlineStr">
        <is>
          <t>NORRBOTTENS LÄN</t>
        </is>
      </c>
      <c r="E1567" t="inlineStr">
        <is>
          <t>BODEN</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56338-2019</t>
        </is>
      </c>
      <c r="B1568" s="1" t="n">
        <v>43762</v>
      </c>
      <c r="C1568" s="1" t="n">
        <v>45662</v>
      </c>
      <c r="D1568" t="inlineStr">
        <is>
          <t>NORRBOTTENS LÄN</t>
        </is>
      </c>
      <c r="E1568" t="inlineStr">
        <is>
          <t>PAJALA</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56588-2019</t>
        </is>
      </c>
      <c r="B1569" s="1" t="n">
        <v>43762</v>
      </c>
      <c r="C1569" s="1" t="n">
        <v>45662</v>
      </c>
      <c r="D1569" t="inlineStr">
        <is>
          <t>NORRBOTTENS LÄN</t>
        </is>
      </c>
      <c r="E1569" t="inlineStr">
        <is>
          <t>JOKKMOKK</t>
        </is>
      </c>
      <c r="F1569" t="inlineStr">
        <is>
          <t>Allmännings- och besparingsskogar</t>
        </is>
      </c>
      <c r="G1569" t="n">
        <v>175.4</v>
      </c>
      <c r="H1569" t="n">
        <v>0</v>
      </c>
      <c r="I1569" t="n">
        <v>0</v>
      </c>
      <c r="J1569" t="n">
        <v>0</v>
      </c>
      <c r="K1569" t="n">
        <v>0</v>
      </c>
      <c r="L1569" t="n">
        <v>0</v>
      </c>
      <c r="M1569" t="n">
        <v>0</v>
      </c>
      <c r="N1569" t="n">
        <v>0</v>
      </c>
      <c r="O1569" t="n">
        <v>0</v>
      </c>
      <c r="P1569" t="n">
        <v>0</v>
      </c>
      <c r="Q1569" t="n">
        <v>0</v>
      </c>
      <c r="R1569" s="2" t="inlineStr"/>
    </row>
    <row r="1570" ht="15" customHeight="1">
      <c r="A1570" t="inlineStr">
        <is>
          <t>A 57779-2019</t>
        </is>
      </c>
      <c r="B1570" s="1" t="n">
        <v>43762</v>
      </c>
      <c r="C1570" s="1" t="n">
        <v>45662</v>
      </c>
      <c r="D1570" t="inlineStr">
        <is>
          <t>NORRBOTTENS LÄN</t>
        </is>
      </c>
      <c r="E1570" t="inlineStr">
        <is>
          <t>ÖVERKALIX</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56442-2019</t>
        </is>
      </c>
      <c r="B1571" s="1" t="n">
        <v>43762</v>
      </c>
      <c r="C1571" s="1" t="n">
        <v>45662</v>
      </c>
      <c r="D1571" t="inlineStr">
        <is>
          <t>NORRBOTTENS LÄN</t>
        </is>
      </c>
      <c r="E1571" t="inlineStr">
        <is>
          <t>BODEN</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57910-2019</t>
        </is>
      </c>
      <c r="B1572" s="1" t="n">
        <v>43762</v>
      </c>
      <c r="C1572" s="1" t="n">
        <v>45662</v>
      </c>
      <c r="D1572" t="inlineStr">
        <is>
          <t>NORRBOTTENS LÄN</t>
        </is>
      </c>
      <c r="E1572" t="inlineStr">
        <is>
          <t>PAJALA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56591-2019</t>
        </is>
      </c>
      <c r="B1573" s="1" t="n">
        <v>43763</v>
      </c>
      <c r="C1573" s="1" t="n">
        <v>45662</v>
      </c>
      <c r="D1573" t="inlineStr">
        <is>
          <t>NORRBOTTENS LÄN</t>
        </is>
      </c>
      <c r="E1573" t="inlineStr">
        <is>
          <t>PAJALA</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56719-2019</t>
        </is>
      </c>
      <c r="B1574" s="1" t="n">
        <v>43763</v>
      </c>
      <c r="C1574" s="1" t="n">
        <v>45662</v>
      </c>
      <c r="D1574" t="inlineStr">
        <is>
          <t>NORRBOTTENS LÄN</t>
        </is>
      </c>
      <c r="E1574" t="inlineStr">
        <is>
          <t>ÖVERKALIX</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56593-2019</t>
        </is>
      </c>
      <c r="B1575" s="1" t="n">
        <v>43763</v>
      </c>
      <c r="C1575" s="1" t="n">
        <v>45662</v>
      </c>
      <c r="D1575" t="inlineStr">
        <is>
          <t>NORRBOTTENS LÄN</t>
        </is>
      </c>
      <c r="E1575" t="inlineStr">
        <is>
          <t>PAJALA</t>
        </is>
      </c>
      <c r="F1575" t="inlineStr">
        <is>
          <t>Sveaskog</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56619-2019</t>
        </is>
      </c>
      <c r="B1576" s="1" t="n">
        <v>43763</v>
      </c>
      <c r="C1576" s="1" t="n">
        <v>45662</v>
      </c>
      <c r="D1576" t="inlineStr">
        <is>
          <t>NORRBOTTENS LÄN</t>
        </is>
      </c>
      <c r="E1576" t="inlineStr">
        <is>
          <t>PAJALA</t>
        </is>
      </c>
      <c r="F1576" t="inlineStr">
        <is>
          <t>Sveaskog</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56615-2019</t>
        </is>
      </c>
      <c r="B1577" s="1" t="n">
        <v>43763</v>
      </c>
      <c r="C1577" s="1" t="n">
        <v>45662</v>
      </c>
      <c r="D1577" t="inlineStr">
        <is>
          <t>NORRBOTTENS LÄN</t>
        </is>
      </c>
      <c r="E1577" t="inlineStr">
        <is>
          <t>PAJALA</t>
        </is>
      </c>
      <c r="F1577" t="inlineStr">
        <is>
          <t>Sveaskog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56718-2019</t>
        </is>
      </c>
      <c r="B1578" s="1" t="n">
        <v>43763</v>
      </c>
      <c r="C1578" s="1" t="n">
        <v>45662</v>
      </c>
      <c r="D1578" t="inlineStr">
        <is>
          <t>NORRBOTTENS LÄN</t>
        </is>
      </c>
      <c r="E1578" t="inlineStr">
        <is>
          <t>KALIX</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56811-2019</t>
        </is>
      </c>
      <c r="B1579" s="1" t="n">
        <v>43763</v>
      </c>
      <c r="C1579" s="1" t="n">
        <v>45662</v>
      </c>
      <c r="D1579" t="inlineStr">
        <is>
          <t>NORRBOTTENS LÄN</t>
        </is>
      </c>
      <c r="E1579" t="inlineStr">
        <is>
          <t>LULEÅ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56805-2019</t>
        </is>
      </c>
      <c r="B1580" s="1" t="n">
        <v>43763</v>
      </c>
      <c r="C1580" s="1" t="n">
        <v>45662</v>
      </c>
      <c r="D1580" t="inlineStr">
        <is>
          <t>NORRBOTTENS LÄN</t>
        </is>
      </c>
      <c r="E1580" t="inlineStr">
        <is>
          <t>LULEÅ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56814-2019</t>
        </is>
      </c>
      <c r="B1581" s="1" t="n">
        <v>43763</v>
      </c>
      <c r="C1581" s="1" t="n">
        <v>45662</v>
      </c>
      <c r="D1581" t="inlineStr">
        <is>
          <t>NORRBOTTENS LÄN</t>
        </is>
      </c>
      <c r="E1581" t="inlineStr">
        <is>
          <t>LULEÅ</t>
        </is>
      </c>
      <c r="F1581" t="inlineStr">
        <is>
          <t>SCA</t>
        </is>
      </c>
      <c r="G1581" t="n">
        <v>17.4</v>
      </c>
      <c r="H1581" t="n">
        <v>0</v>
      </c>
      <c r="I1581" t="n">
        <v>0</v>
      </c>
      <c r="J1581" t="n">
        <v>0</v>
      </c>
      <c r="K1581" t="n">
        <v>0</v>
      </c>
      <c r="L1581" t="n">
        <v>0</v>
      </c>
      <c r="M1581" t="n">
        <v>0</v>
      </c>
      <c r="N1581" t="n">
        <v>0</v>
      </c>
      <c r="O1581" t="n">
        <v>0</v>
      </c>
      <c r="P1581" t="n">
        <v>0</v>
      </c>
      <c r="Q1581" t="n">
        <v>0</v>
      </c>
      <c r="R1581" s="2" t="inlineStr"/>
    </row>
    <row r="1582" ht="15" customHeight="1">
      <c r="A1582" t="inlineStr">
        <is>
          <t>A 56815-2019</t>
        </is>
      </c>
      <c r="B1582" s="1" t="n">
        <v>43763</v>
      </c>
      <c r="C1582" s="1" t="n">
        <v>45662</v>
      </c>
      <c r="D1582" t="inlineStr">
        <is>
          <t>NORRBOTTENS LÄN</t>
        </is>
      </c>
      <c r="E1582" t="inlineStr">
        <is>
          <t>LULEÅ</t>
        </is>
      </c>
      <c r="F1582" t="inlineStr">
        <is>
          <t>SCA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56807-2019</t>
        </is>
      </c>
      <c r="B1583" s="1" t="n">
        <v>43763</v>
      </c>
      <c r="C1583" s="1" t="n">
        <v>45662</v>
      </c>
      <c r="D1583" t="inlineStr">
        <is>
          <t>NORRBOTTENS LÄN</t>
        </is>
      </c>
      <c r="E1583" t="inlineStr">
        <is>
          <t>BODEN</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58054-2019</t>
        </is>
      </c>
      <c r="B1584" s="1" t="n">
        <v>43763</v>
      </c>
      <c r="C1584" s="1" t="n">
        <v>45662</v>
      </c>
      <c r="D1584" t="inlineStr">
        <is>
          <t>NORRBOTTENS LÄN</t>
        </is>
      </c>
      <c r="E1584" t="inlineStr">
        <is>
          <t>ARVIDSJAUR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56812-2019</t>
        </is>
      </c>
      <c r="B1585" s="1" t="n">
        <v>43763</v>
      </c>
      <c r="C1585" s="1" t="n">
        <v>45662</v>
      </c>
      <c r="D1585" t="inlineStr">
        <is>
          <t>NORRBOTTENS LÄN</t>
        </is>
      </c>
      <c r="E1585" t="inlineStr">
        <is>
          <t>LULEÅ</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56816-2019</t>
        </is>
      </c>
      <c r="B1586" s="1" t="n">
        <v>43763</v>
      </c>
      <c r="C1586" s="1" t="n">
        <v>45662</v>
      </c>
      <c r="D1586" t="inlineStr">
        <is>
          <t>NORRBOTTENS LÄN</t>
        </is>
      </c>
      <c r="E1586" t="inlineStr">
        <is>
          <t>LULEÅ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56813-2019</t>
        </is>
      </c>
      <c r="B1587" s="1" t="n">
        <v>43763</v>
      </c>
      <c r="C1587" s="1" t="n">
        <v>45662</v>
      </c>
      <c r="D1587" t="inlineStr">
        <is>
          <t>NORRBOTTENS LÄN</t>
        </is>
      </c>
      <c r="E1587" t="inlineStr">
        <is>
          <t>LULEÅ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56849-2019</t>
        </is>
      </c>
      <c r="B1588" s="1" t="n">
        <v>43765</v>
      </c>
      <c r="C1588" s="1" t="n">
        <v>45662</v>
      </c>
      <c r="D1588" t="inlineStr">
        <is>
          <t>NORRBOTTENS LÄN</t>
        </is>
      </c>
      <c r="E1588" t="inlineStr">
        <is>
          <t>LULEÅ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57069-2019</t>
        </is>
      </c>
      <c r="B1589" s="1" t="n">
        <v>43766</v>
      </c>
      <c r="C1589" s="1" t="n">
        <v>45662</v>
      </c>
      <c r="D1589" t="inlineStr">
        <is>
          <t>NORRBOTTENS LÄN</t>
        </is>
      </c>
      <c r="E1589" t="inlineStr">
        <is>
          <t>GÄLLIVARE</t>
        </is>
      </c>
      <c r="F1589" t="inlineStr">
        <is>
          <t>Sveaskog</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57012-2019</t>
        </is>
      </c>
      <c r="B1590" s="1" t="n">
        <v>43766</v>
      </c>
      <c r="C1590" s="1" t="n">
        <v>45662</v>
      </c>
      <c r="D1590" t="inlineStr">
        <is>
          <t>NORRBOTTENS LÄN</t>
        </is>
      </c>
      <c r="E1590" t="inlineStr">
        <is>
          <t>BODEN</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57056-2019</t>
        </is>
      </c>
      <c r="B1591" s="1" t="n">
        <v>43766</v>
      </c>
      <c r="C1591" s="1" t="n">
        <v>45662</v>
      </c>
      <c r="D1591" t="inlineStr">
        <is>
          <t>NORRBOTTENS LÄN</t>
        </is>
      </c>
      <c r="E1591" t="inlineStr">
        <is>
          <t>GÄLLIVARE</t>
        </is>
      </c>
      <c r="F1591" t="inlineStr">
        <is>
          <t>Sveaskog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57170-2019</t>
        </is>
      </c>
      <c r="B1592" s="1" t="n">
        <v>43766</v>
      </c>
      <c r="C1592" s="1" t="n">
        <v>45662</v>
      </c>
      <c r="D1592" t="inlineStr">
        <is>
          <t>NORRBOTTENS LÄN</t>
        </is>
      </c>
      <c r="E1592" t="inlineStr">
        <is>
          <t>BODEN</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57060-2019</t>
        </is>
      </c>
      <c r="B1593" s="1" t="n">
        <v>43766</v>
      </c>
      <c r="C1593" s="1" t="n">
        <v>45662</v>
      </c>
      <c r="D1593" t="inlineStr">
        <is>
          <t>NORRBOTTENS LÄN</t>
        </is>
      </c>
      <c r="E1593" t="inlineStr">
        <is>
          <t>GÄLLIVARE</t>
        </is>
      </c>
      <c r="F1593" t="inlineStr">
        <is>
          <t>Sveaskog</t>
        </is>
      </c>
      <c r="G1593" t="n">
        <v>17.9</v>
      </c>
      <c r="H1593" t="n">
        <v>0</v>
      </c>
      <c r="I1593" t="n">
        <v>0</v>
      </c>
      <c r="J1593" t="n">
        <v>0</v>
      </c>
      <c r="K1593" t="n">
        <v>0</v>
      </c>
      <c r="L1593" t="n">
        <v>0</v>
      </c>
      <c r="M1593" t="n">
        <v>0</v>
      </c>
      <c r="N1593" t="n">
        <v>0</v>
      </c>
      <c r="O1593" t="n">
        <v>0</v>
      </c>
      <c r="P1593" t="n">
        <v>0</v>
      </c>
      <c r="Q1593" t="n">
        <v>0</v>
      </c>
      <c r="R1593" s="2" t="inlineStr"/>
    </row>
    <row r="1594" ht="15" customHeight="1">
      <c r="A1594" t="inlineStr">
        <is>
          <t>A 57116-2019</t>
        </is>
      </c>
      <c r="B1594" s="1" t="n">
        <v>43766</v>
      </c>
      <c r="C1594" s="1" t="n">
        <v>45662</v>
      </c>
      <c r="D1594" t="inlineStr">
        <is>
          <t>NORRBOTTENS LÄN</t>
        </is>
      </c>
      <c r="E1594" t="inlineStr">
        <is>
          <t>PITEÅ</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58493-2019</t>
        </is>
      </c>
      <c r="B1595" s="1" t="n">
        <v>43766</v>
      </c>
      <c r="C1595" s="1" t="n">
        <v>45662</v>
      </c>
      <c r="D1595" t="inlineStr">
        <is>
          <t>NORRBOTTENS LÄN</t>
        </is>
      </c>
      <c r="E1595" t="inlineStr">
        <is>
          <t>KALIX</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57081-2019</t>
        </is>
      </c>
      <c r="B1596" s="1" t="n">
        <v>43766</v>
      </c>
      <c r="C1596" s="1" t="n">
        <v>45662</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57072-2019</t>
        </is>
      </c>
      <c r="B1597" s="1" t="n">
        <v>43766</v>
      </c>
      <c r="C1597" s="1" t="n">
        <v>45662</v>
      </c>
      <c r="D1597" t="inlineStr">
        <is>
          <t>NORRBOTTENS LÄN</t>
        </is>
      </c>
      <c r="E1597" t="inlineStr">
        <is>
          <t>GÄLLIVARE</t>
        </is>
      </c>
      <c r="F1597" t="inlineStr">
        <is>
          <t>Sveaskog</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57087-2019</t>
        </is>
      </c>
      <c r="B1598" s="1" t="n">
        <v>43766</v>
      </c>
      <c r="C1598" s="1" t="n">
        <v>45662</v>
      </c>
      <c r="D1598" t="inlineStr">
        <is>
          <t>NORRBOTTENS LÄN</t>
        </is>
      </c>
      <c r="E1598" t="inlineStr">
        <is>
          <t>GÄLLIVARE</t>
        </is>
      </c>
      <c r="F1598" t="inlineStr">
        <is>
          <t>Sveaskog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58518-2019</t>
        </is>
      </c>
      <c r="B1599" s="1" t="n">
        <v>43766</v>
      </c>
      <c r="C1599" s="1" t="n">
        <v>45662</v>
      </c>
      <c r="D1599" t="inlineStr">
        <is>
          <t>NORRBOTTENS LÄN</t>
        </is>
      </c>
      <c r="E1599" t="inlineStr">
        <is>
          <t>PITEÅ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57530-2019</t>
        </is>
      </c>
      <c r="B1600" s="1" t="n">
        <v>43767</v>
      </c>
      <c r="C1600" s="1" t="n">
        <v>45662</v>
      </c>
      <c r="D1600" t="inlineStr">
        <is>
          <t>NORRBOTTENS LÄN</t>
        </is>
      </c>
      <c r="E1600" t="inlineStr">
        <is>
          <t>KALIX</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57580-2019</t>
        </is>
      </c>
      <c r="B1601" s="1" t="n">
        <v>43768</v>
      </c>
      <c r="C1601" s="1" t="n">
        <v>45662</v>
      </c>
      <c r="D1601" t="inlineStr">
        <is>
          <t>NORRBOTTENS LÄN</t>
        </is>
      </c>
      <c r="E1601" t="inlineStr">
        <is>
          <t>PAJALA</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57622-2019</t>
        </is>
      </c>
      <c r="B1602" s="1" t="n">
        <v>43768</v>
      </c>
      <c r="C1602" s="1" t="n">
        <v>45662</v>
      </c>
      <c r="D1602" t="inlineStr">
        <is>
          <t>NORRBOTTENS LÄN</t>
        </is>
      </c>
      <c r="E1602" t="inlineStr">
        <is>
          <t>PAJALA</t>
        </is>
      </c>
      <c r="F1602" t="inlineStr">
        <is>
          <t>Sveaskog</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57574-2019</t>
        </is>
      </c>
      <c r="B1603" s="1" t="n">
        <v>43768</v>
      </c>
      <c r="C1603" s="1" t="n">
        <v>45662</v>
      </c>
      <c r="D1603" t="inlineStr">
        <is>
          <t>NORRBOTTENS LÄN</t>
        </is>
      </c>
      <c r="E1603" t="inlineStr">
        <is>
          <t>PAJALA</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58609-2019</t>
        </is>
      </c>
      <c r="B1604" s="1" t="n">
        <v>43768</v>
      </c>
      <c r="C1604" s="1" t="n">
        <v>45662</v>
      </c>
      <c r="D1604" t="inlineStr">
        <is>
          <t>NORRBOTTENS LÄN</t>
        </is>
      </c>
      <c r="E1604" t="inlineStr">
        <is>
          <t>GÄLLIVARE</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59003-2019</t>
        </is>
      </c>
      <c r="B1605" s="1" t="n">
        <v>43768</v>
      </c>
      <c r="C1605" s="1" t="n">
        <v>45662</v>
      </c>
      <c r="D1605" t="inlineStr">
        <is>
          <t>NORRBOTTENS LÄN</t>
        </is>
      </c>
      <c r="E1605" t="inlineStr">
        <is>
          <t>PITEÅ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58934-2019</t>
        </is>
      </c>
      <c r="B1606" s="1" t="n">
        <v>43769</v>
      </c>
      <c r="C1606" s="1" t="n">
        <v>45662</v>
      </c>
      <c r="D1606" t="inlineStr">
        <is>
          <t>NORRBOTTENS LÄN</t>
        </is>
      </c>
      <c r="E1606" t="inlineStr">
        <is>
          <t>LULEÅ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59343-2019</t>
        </is>
      </c>
      <c r="B1607" s="1" t="n">
        <v>43770</v>
      </c>
      <c r="C1607" s="1" t="n">
        <v>45662</v>
      </c>
      <c r="D1607" t="inlineStr">
        <is>
          <t>NORRBOTTENS LÄN</t>
        </is>
      </c>
      <c r="E1607" t="inlineStr">
        <is>
          <t>ÄLVSBYN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59216-2019</t>
        </is>
      </c>
      <c r="B1608" s="1" t="n">
        <v>43770</v>
      </c>
      <c r="C1608" s="1" t="n">
        <v>45662</v>
      </c>
      <c r="D1608" t="inlineStr">
        <is>
          <t>NORRBOTTENS LÄN</t>
        </is>
      </c>
      <c r="E1608" t="inlineStr">
        <is>
          <t>BODEN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58313-2019</t>
        </is>
      </c>
      <c r="B1609" s="1" t="n">
        <v>43770</v>
      </c>
      <c r="C1609" s="1" t="n">
        <v>45662</v>
      </c>
      <c r="D1609" t="inlineStr">
        <is>
          <t>NORRBOTTENS LÄN</t>
        </is>
      </c>
      <c r="E1609" t="inlineStr">
        <is>
          <t>PAJALA</t>
        </is>
      </c>
      <c r="F1609" t="inlineStr">
        <is>
          <t>Sveaskog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58224-2019</t>
        </is>
      </c>
      <c r="B1610" s="1" t="n">
        <v>43770</v>
      </c>
      <c r="C1610" s="1" t="n">
        <v>45662</v>
      </c>
      <c r="D1610" t="inlineStr">
        <is>
          <t>NORRBOTTENS LÄN</t>
        </is>
      </c>
      <c r="E1610" t="inlineStr">
        <is>
          <t>PITEÅ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58393-2019</t>
        </is>
      </c>
      <c r="B1611" s="1" t="n">
        <v>43772</v>
      </c>
      <c r="C1611" s="1" t="n">
        <v>45662</v>
      </c>
      <c r="D1611" t="inlineStr">
        <is>
          <t>NORRBOTTENS LÄN</t>
        </is>
      </c>
      <c r="E1611" t="inlineStr">
        <is>
          <t>KALIX</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58477-2019</t>
        </is>
      </c>
      <c r="B1612" s="1" t="n">
        <v>43773</v>
      </c>
      <c r="C1612" s="1" t="n">
        <v>45662</v>
      </c>
      <c r="D1612" t="inlineStr">
        <is>
          <t>NORRBOTTENS LÄN</t>
        </is>
      </c>
      <c r="E1612" t="inlineStr">
        <is>
          <t>BODEN</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58584-2019</t>
        </is>
      </c>
      <c r="B1613" s="1" t="n">
        <v>43773</v>
      </c>
      <c r="C1613" s="1" t="n">
        <v>45662</v>
      </c>
      <c r="D1613" t="inlineStr">
        <is>
          <t>NORRBOTTENS LÄN</t>
        </is>
      </c>
      <c r="E1613" t="inlineStr">
        <is>
          <t>PAJALA</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58713-2019</t>
        </is>
      </c>
      <c r="B1614" s="1" t="n">
        <v>43773</v>
      </c>
      <c r="C1614" s="1" t="n">
        <v>45662</v>
      </c>
      <c r="D1614" t="inlineStr">
        <is>
          <t>NORRBOTTENS LÄN</t>
        </is>
      </c>
      <c r="E1614" t="inlineStr">
        <is>
          <t>ARVIDSJAUR</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59263-2019</t>
        </is>
      </c>
      <c r="B1615" s="1" t="n">
        <v>43773</v>
      </c>
      <c r="C1615" s="1" t="n">
        <v>45662</v>
      </c>
      <c r="D1615" t="inlineStr">
        <is>
          <t>NORRBOTTENS LÄN</t>
        </is>
      </c>
      <c r="E1615" t="inlineStr">
        <is>
          <t>ÄLVSBYN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58632-2019</t>
        </is>
      </c>
      <c r="B1616" s="1" t="n">
        <v>43773</v>
      </c>
      <c r="C1616" s="1" t="n">
        <v>45662</v>
      </c>
      <c r="D1616" t="inlineStr">
        <is>
          <t>NORRBOTTENS LÄN</t>
        </is>
      </c>
      <c r="E1616" t="inlineStr">
        <is>
          <t>KALIX</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58779-2019</t>
        </is>
      </c>
      <c r="B1617" s="1" t="n">
        <v>43773</v>
      </c>
      <c r="C1617" s="1" t="n">
        <v>45662</v>
      </c>
      <c r="D1617" t="inlineStr">
        <is>
          <t>NORRBOTTENS LÄN</t>
        </is>
      </c>
      <c r="E1617" t="inlineStr">
        <is>
          <t>ÖVERKALIX</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58494-2019</t>
        </is>
      </c>
      <c r="B1618" s="1" t="n">
        <v>43773</v>
      </c>
      <c r="C1618" s="1" t="n">
        <v>45662</v>
      </c>
      <c r="D1618" t="inlineStr">
        <is>
          <t>NORRBOTTENS LÄN</t>
        </is>
      </c>
      <c r="E1618" t="inlineStr">
        <is>
          <t>PAJALA</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58949-2019</t>
        </is>
      </c>
      <c r="B1619" s="1" t="n">
        <v>43774</v>
      </c>
      <c r="C1619" s="1" t="n">
        <v>45662</v>
      </c>
      <c r="D1619" t="inlineStr">
        <is>
          <t>NORRBOTTENS LÄN</t>
        </is>
      </c>
      <c r="E1619" t="inlineStr">
        <is>
          <t>ARVIDSJAUR</t>
        </is>
      </c>
      <c r="F1619" t="inlineStr">
        <is>
          <t>Sveaskog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59081-2019</t>
        </is>
      </c>
      <c r="B1620" s="1" t="n">
        <v>43774</v>
      </c>
      <c r="C1620" s="1" t="n">
        <v>45662</v>
      </c>
      <c r="D1620" t="inlineStr">
        <is>
          <t>NORRBOTTENS LÄN</t>
        </is>
      </c>
      <c r="E1620" t="inlineStr">
        <is>
          <t>BODEN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59019-2019</t>
        </is>
      </c>
      <c r="B1621" s="1" t="n">
        <v>43774</v>
      </c>
      <c r="C1621" s="1" t="n">
        <v>45662</v>
      </c>
      <c r="D1621" t="inlineStr">
        <is>
          <t>NORRBOTTENS LÄN</t>
        </is>
      </c>
      <c r="E1621" t="inlineStr">
        <is>
          <t>ARVIDSJAUR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59420-2019</t>
        </is>
      </c>
      <c r="B1622" s="1" t="n">
        <v>43775</v>
      </c>
      <c r="C1622" s="1" t="n">
        <v>45662</v>
      </c>
      <c r="D1622" t="inlineStr">
        <is>
          <t>NORRBOTTENS LÄN</t>
        </is>
      </c>
      <c r="E1622" t="inlineStr">
        <is>
          <t>PITEÅ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59419-2019</t>
        </is>
      </c>
      <c r="B1623" s="1" t="n">
        <v>43775</v>
      </c>
      <c r="C1623" s="1" t="n">
        <v>45662</v>
      </c>
      <c r="D1623" t="inlineStr">
        <is>
          <t>NORRBOTTENS LÄN</t>
        </is>
      </c>
      <c r="E1623" t="inlineStr">
        <is>
          <t>PITEÅ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59550-2019</t>
        </is>
      </c>
      <c r="B1624" s="1" t="n">
        <v>43776</v>
      </c>
      <c r="C1624" s="1" t="n">
        <v>45662</v>
      </c>
      <c r="D1624" t="inlineStr">
        <is>
          <t>NORRBOTTENS LÄN</t>
        </is>
      </c>
      <c r="E1624" t="inlineStr">
        <is>
          <t>ARJEPLOG</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59693-2019</t>
        </is>
      </c>
      <c r="B1625" s="1" t="n">
        <v>43776</v>
      </c>
      <c r="C1625" s="1" t="n">
        <v>45662</v>
      </c>
      <c r="D1625" t="inlineStr">
        <is>
          <t>NORRBOTTENS LÄN</t>
        </is>
      </c>
      <c r="E1625" t="inlineStr">
        <is>
          <t>PAJALA</t>
        </is>
      </c>
      <c r="F1625" t="inlineStr">
        <is>
          <t>Sveaskog</t>
        </is>
      </c>
      <c r="G1625" t="n">
        <v>47.2</v>
      </c>
      <c r="H1625" t="n">
        <v>0</v>
      </c>
      <c r="I1625" t="n">
        <v>0</v>
      </c>
      <c r="J1625" t="n">
        <v>0</v>
      </c>
      <c r="K1625" t="n">
        <v>0</v>
      </c>
      <c r="L1625" t="n">
        <v>0</v>
      </c>
      <c r="M1625" t="n">
        <v>0</v>
      </c>
      <c r="N1625" t="n">
        <v>0</v>
      </c>
      <c r="O1625" t="n">
        <v>0</v>
      </c>
      <c r="P1625" t="n">
        <v>0</v>
      </c>
      <c r="Q1625" t="n">
        <v>0</v>
      </c>
      <c r="R1625" s="2" t="inlineStr"/>
    </row>
    <row r="1626" ht="15" customHeight="1">
      <c r="A1626" t="inlineStr">
        <is>
          <t>A 60542-2019</t>
        </is>
      </c>
      <c r="B1626" s="1" t="n">
        <v>43776</v>
      </c>
      <c r="C1626" s="1" t="n">
        <v>45662</v>
      </c>
      <c r="D1626" t="inlineStr">
        <is>
          <t>NORRBOTTENS LÄN</t>
        </is>
      </c>
      <c r="E1626" t="inlineStr">
        <is>
          <t>GÄLLIVARE</t>
        </is>
      </c>
      <c r="G1626" t="n">
        <v>24.1</v>
      </c>
      <c r="H1626" t="n">
        <v>0</v>
      </c>
      <c r="I1626" t="n">
        <v>0</v>
      </c>
      <c r="J1626" t="n">
        <v>0</v>
      </c>
      <c r="K1626" t="n">
        <v>0</v>
      </c>
      <c r="L1626" t="n">
        <v>0</v>
      </c>
      <c r="M1626" t="n">
        <v>0</v>
      </c>
      <c r="N1626" t="n">
        <v>0</v>
      </c>
      <c r="O1626" t="n">
        <v>0</v>
      </c>
      <c r="P1626" t="n">
        <v>0</v>
      </c>
      <c r="Q1626" t="n">
        <v>0</v>
      </c>
      <c r="R1626" s="2" t="inlineStr"/>
    </row>
    <row r="1627" ht="15" customHeight="1">
      <c r="A1627" t="inlineStr">
        <is>
          <t>A 59736-2019</t>
        </is>
      </c>
      <c r="B1627" s="1" t="n">
        <v>43776</v>
      </c>
      <c r="C1627" s="1" t="n">
        <v>45662</v>
      </c>
      <c r="D1627" t="inlineStr">
        <is>
          <t>NORRBOTTENS LÄN</t>
        </is>
      </c>
      <c r="E1627" t="inlineStr">
        <is>
          <t>KIRUNA</t>
        </is>
      </c>
      <c r="G1627" t="n">
        <v>21.8</v>
      </c>
      <c r="H1627" t="n">
        <v>0</v>
      </c>
      <c r="I1627" t="n">
        <v>0</v>
      </c>
      <c r="J1627" t="n">
        <v>0</v>
      </c>
      <c r="K1627" t="n">
        <v>0</v>
      </c>
      <c r="L1627" t="n">
        <v>0</v>
      </c>
      <c r="M1627" t="n">
        <v>0</v>
      </c>
      <c r="N1627" t="n">
        <v>0</v>
      </c>
      <c r="O1627" t="n">
        <v>0</v>
      </c>
      <c r="P1627" t="n">
        <v>0</v>
      </c>
      <c r="Q1627" t="n">
        <v>0</v>
      </c>
      <c r="R1627" s="2" t="inlineStr"/>
    </row>
    <row r="1628" ht="15" customHeight="1">
      <c r="A1628" t="inlineStr">
        <is>
          <t>A 60347-2019</t>
        </is>
      </c>
      <c r="B1628" s="1" t="n">
        <v>43776</v>
      </c>
      <c r="C1628" s="1" t="n">
        <v>45662</v>
      </c>
      <c r="D1628" t="inlineStr">
        <is>
          <t>NORRBOTTENS LÄN</t>
        </is>
      </c>
      <c r="E1628" t="inlineStr">
        <is>
          <t>HAPARANDA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60682-2019</t>
        </is>
      </c>
      <c r="B1629" s="1" t="n">
        <v>43777</v>
      </c>
      <c r="C1629" s="1" t="n">
        <v>45662</v>
      </c>
      <c r="D1629" t="inlineStr">
        <is>
          <t>NORRBOTTENS LÄN</t>
        </is>
      </c>
      <c r="E1629" t="inlineStr">
        <is>
          <t>PITEÅ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60104-2019</t>
        </is>
      </c>
      <c r="B1630" s="1" t="n">
        <v>43777</v>
      </c>
      <c r="C1630" s="1" t="n">
        <v>45662</v>
      </c>
      <c r="D1630" t="inlineStr">
        <is>
          <t>NORRBOTTENS LÄN</t>
        </is>
      </c>
      <c r="E1630" t="inlineStr">
        <is>
          <t>ÖVERKALIX</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60786-2019</t>
        </is>
      </c>
      <c r="B1631" s="1" t="n">
        <v>43777</v>
      </c>
      <c r="C1631" s="1" t="n">
        <v>45662</v>
      </c>
      <c r="D1631" t="inlineStr">
        <is>
          <t>NORRBOTTENS LÄN</t>
        </is>
      </c>
      <c r="E1631" t="inlineStr">
        <is>
          <t>KIRUNA</t>
        </is>
      </c>
      <c r="G1631" t="n">
        <v>20</v>
      </c>
      <c r="H1631" t="n">
        <v>0</v>
      </c>
      <c r="I1631" t="n">
        <v>0</v>
      </c>
      <c r="J1631" t="n">
        <v>0</v>
      </c>
      <c r="K1631" t="n">
        <v>0</v>
      </c>
      <c r="L1631" t="n">
        <v>0</v>
      </c>
      <c r="M1631" t="n">
        <v>0</v>
      </c>
      <c r="N1631" t="n">
        <v>0</v>
      </c>
      <c r="O1631" t="n">
        <v>0</v>
      </c>
      <c r="P1631" t="n">
        <v>0</v>
      </c>
      <c r="Q1631" t="n">
        <v>0</v>
      </c>
      <c r="R1631" s="2" t="inlineStr"/>
    </row>
    <row r="1632" ht="15" customHeight="1">
      <c r="A1632" t="inlineStr">
        <is>
          <t>A 60599-2019</t>
        </is>
      </c>
      <c r="B1632" s="1" t="n">
        <v>43777</v>
      </c>
      <c r="C1632" s="1" t="n">
        <v>45662</v>
      </c>
      <c r="D1632" t="inlineStr">
        <is>
          <t>NORRBOTTENS LÄN</t>
        </is>
      </c>
      <c r="E1632" t="inlineStr">
        <is>
          <t>BODEN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60754-2019</t>
        </is>
      </c>
      <c r="B1633" s="1" t="n">
        <v>43777</v>
      </c>
      <c r="C1633" s="1" t="n">
        <v>45662</v>
      </c>
      <c r="D1633" t="inlineStr">
        <is>
          <t>NORRBOTTENS LÄN</t>
        </is>
      </c>
      <c r="E1633" t="inlineStr">
        <is>
          <t>KIRUNA</t>
        </is>
      </c>
      <c r="G1633" t="n">
        <v>14.8</v>
      </c>
      <c r="H1633" t="n">
        <v>0</v>
      </c>
      <c r="I1633" t="n">
        <v>0</v>
      </c>
      <c r="J1633" t="n">
        <v>0</v>
      </c>
      <c r="K1633" t="n">
        <v>0</v>
      </c>
      <c r="L1633" t="n">
        <v>0</v>
      </c>
      <c r="M1633" t="n">
        <v>0</v>
      </c>
      <c r="N1633" t="n">
        <v>0</v>
      </c>
      <c r="O1633" t="n">
        <v>0</v>
      </c>
      <c r="P1633" t="n">
        <v>0</v>
      </c>
      <c r="Q1633" t="n">
        <v>0</v>
      </c>
      <c r="R1633" s="2" t="inlineStr"/>
    </row>
    <row r="1634" ht="15" customHeight="1">
      <c r="A1634" t="inlineStr">
        <is>
          <t>A 60769-2019</t>
        </is>
      </c>
      <c r="B1634" s="1" t="n">
        <v>43777</v>
      </c>
      <c r="C1634" s="1" t="n">
        <v>45662</v>
      </c>
      <c r="D1634" t="inlineStr">
        <is>
          <t>NORRBOTTENS LÄN</t>
        </is>
      </c>
      <c r="E1634" t="inlineStr">
        <is>
          <t>KIRUNA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60129-2019</t>
        </is>
      </c>
      <c r="B1635" s="1" t="n">
        <v>43778</v>
      </c>
      <c r="C1635" s="1" t="n">
        <v>45662</v>
      </c>
      <c r="D1635" t="inlineStr">
        <is>
          <t>NORRBOTTENS LÄN</t>
        </is>
      </c>
      <c r="E1635" t="inlineStr">
        <is>
          <t>ÖVERTORNEÅ</t>
        </is>
      </c>
      <c r="G1635" t="n">
        <v>31.1</v>
      </c>
      <c r="H1635" t="n">
        <v>0</v>
      </c>
      <c r="I1635" t="n">
        <v>0</v>
      </c>
      <c r="J1635" t="n">
        <v>0</v>
      </c>
      <c r="K1635" t="n">
        <v>0</v>
      </c>
      <c r="L1635" t="n">
        <v>0</v>
      </c>
      <c r="M1635" t="n">
        <v>0</v>
      </c>
      <c r="N1635" t="n">
        <v>0</v>
      </c>
      <c r="O1635" t="n">
        <v>0</v>
      </c>
      <c r="P1635" t="n">
        <v>0</v>
      </c>
      <c r="Q1635" t="n">
        <v>0</v>
      </c>
      <c r="R1635" s="2" t="inlineStr"/>
    </row>
    <row r="1636" ht="15" customHeight="1">
      <c r="A1636" t="inlineStr">
        <is>
          <t>A 60133-2019</t>
        </is>
      </c>
      <c r="B1636" s="1" t="n">
        <v>43778</v>
      </c>
      <c r="C1636" s="1" t="n">
        <v>45662</v>
      </c>
      <c r="D1636" t="inlineStr">
        <is>
          <t>NORRBOTTENS LÄN</t>
        </is>
      </c>
      <c r="E1636" t="inlineStr">
        <is>
          <t>LULEÅ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60368-2019</t>
        </is>
      </c>
      <c r="B1637" s="1" t="n">
        <v>43780</v>
      </c>
      <c r="C1637" s="1" t="n">
        <v>45662</v>
      </c>
      <c r="D1637" t="inlineStr">
        <is>
          <t>NORRBOTTENS LÄN</t>
        </is>
      </c>
      <c r="E1637" t="inlineStr">
        <is>
          <t>PAJALA</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60803-2019</t>
        </is>
      </c>
      <c r="B1638" s="1" t="n">
        <v>43780</v>
      </c>
      <c r="C1638" s="1" t="n">
        <v>45662</v>
      </c>
      <c r="D1638" t="inlineStr">
        <is>
          <t>NORRBOTTENS LÄN</t>
        </is>
      </c>
      <c r="E1638" t="inlineStr">
        <is>
          <t>PITEÅ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61129-2019</t>
        </is>
      </c>
      <c r="B1639" s="1" t="n">
        <v>43780</v>
      </c>
      <c r="C1639" s="1" t="n">
        <v>45662</v>
      </c>
      <c r="D1639" t="inlineStr">
        <is>
          <t>NORRBOTTENS LÄN</t>
        </is>
      </c>
      <c r="E1639" t="inlineStr">
        <is>
          <t>PITEÅ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61133-2019</t>
        </is>
      </c>
      <c r="B1640" s="1" t="n">
        <v>43780</v>
      </c>
      <c r="C1640" s="1" t="n">
        <v>45662</v>
      </c>
      <c r="D1640" t="inlineStr">
        <is>
          <t>NORRBOTTENS LÄN</t>
        </is>
      </c>
      <c r="E1640" t="inlineStr">
        <is>
          <t>PITEÅ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60501-2019</t>
        </is>
      </c>
      <c r="B1641" s="1" t="n">
        <v>43780</v>
      </c>
      <c r="C1641" s="1" t="n">
        <v>45662</v>
      </c>
      <c r="D1641" t="inlineStr">
        <is>
          <t>NORRBOTTENS LÄN</t>
        </is>
      </c>
      <c r="E1641" t="inlineStr">
        <is>
          <t>LULEÅ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61696-2019</t>
        </is>
      </c>
      <c r="B1642" s="1" t="n">
        <v>43780</v>
      </c>
      <c r="C1642" s="1" t="n">
        <v>45662</v>
      </c>
      <c r="D1642" t="inlineStr">
        <is>
          <t>NORRBOTTENS LÄN</t>
        </is>
      </c>
      <c r="E1642" t="inlineStr">
        <is>
          <t>ÄLVSBYN</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60576-2019</t>
        </is>
      </c>
      <c r="B1643" s="1" t="n">
        <v>43781</v>
      </c>
      <c r="C1643" s="1" t="n">
        <v>45662</v>
      </c>
      <c r="D1643" t="inlineStr">
        <is>
          <t>NORRBOTTENS LÄN</t>
        </is>
      </c>
      <c r="E1643" t="inlineStr">
        <is>
          <t>BODEN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60856-2019</t>
        </is>
      </c>
      <c r="B1644" s="1" t="n">
        <v>43781</v>
      </c>
      <c r="C1644" s="1" t="n">
        <v>45662</v>
      </c>
      <c r="D1644" t="inlineStr">
        <is>
          <t>NORRBOTTENS LÄN</t>
        </is>
      </c>
      <c r="E1644" t="inlineStr">
        <is>
          <t>BODEN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60895-2019</t>
        </is>
      </c>
      <c r="B1645" s="1" t="n">
        <v>43781</v>
      </c>
      <c r="C1645" s="1" t="n">
        <v>45662</v>
      </c>
      <c r="D1645" t="inlineStr">
        <is>
          <t>NORRBOTTENS LÄN</t>
        </is>
      </c>
      <c r="E1645" t="inlineStr">
        <is>
          <t>LULEÅ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60891-2019</t>
        </is>
      </c>
      <c r="B1646" s="1" t="n">
        <v>43781</v>
      </c>
      <c r="C1646" s="1" t="n">
        <v>45662</v>
      </c>
      <c r="D1646" t="inlineStr">
        <is>
          <t>NORRBOTTENS LÄN</t>
        </is>
      </c>
      <c r="E1646" t="inlineStr">
        <is>
          <t>ÖVERTORNEÅ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62054-2019</t>
        </is>
      </c>
      <c r="B1647" s="1" t="n">
        <v>43782</v>
      </c>
      <c r="C1647" s="1" t="n">
        <v>45662</v>
      </c>
      <c r="D1647" t="inlineStr">
        <is>
          <t>NORRBOTTENS LÄN</t>
        </is>
      </c>
      <c r="E1647" t="inlineStr">
        <is>
          <t>PAJALA</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62070-2019</t>
        </is>
      </c>
      <c r="B1648" s="1" t="n">
        <v>43782</v>
      </c>
      <c r="C1648" s="1" t="n">
        <v>45662</v>
      </c>
      <c r="D1648" t="inlineStr">
        <is>
          <t>NORRBOTTENS LÄN</t>
        </is>
      </c>
      <c r="E1648" t="inlineStr">
        <is>
          <t>PITEÅ</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61199-2019</t>
        </is>
      </c>
      <c r="B1649" s="1" t="n">
        <v>43782</v>
      </c>
      <c r="C1649" s="1" t="n">
        <v>45662</v>
      </c>
      <c r="D1649" t="inlineStr">
        <is>
          <t>NORRBOTTENS LÄN</t>
        </is>
      </c>
      <c r="E1649" t="inlineStr">
        <is>
          <t>BODEN</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62077-2019</t>
        </is>
      </c>
      <c r="B1650" s="1" t="n">
        <v>43782</v>
      </c>
      <c r="C1650" s="1" t="n">
        <v>45662</v>
      </c>
      <c r="D1650" t="inlineStr">
        <is>
          <t>NORRBOTTENS LÄN</t>
        </is>
      </c>
      <c r="E1650" t="inlineStr">
        <is>
          <t>ÖVERKALIX</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62214-2019</t>
        </is>
      </c>
      <c r="B1651" s="1" t="n">
        <v>43782</v>
      </c>
      <c r="C1651" s="1" t="n">
        <v>45662</v>
      </c>
      <c r="D1651" t="inlineStr">
        <is>
          <t>NORRBOTTENS LÄN</t>
        </is>
      </c>
      <c r="E1651" t="inlineStr">
        <is>
          <t>ÖVERTORNEÅ</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61206-2019</t>
        </is>
      </c>
      <c r="B1652" s="1" t="n">
        <v>43782</v>
      </c>
      <c r="C1652" s="1" t="n">
        <v>45662</v>
      </c>
      <c r="D1652" t="inlineStr">
        <is>
          <t>NORRBOTTENS LÄN</t>
        </is>
      </c>
      <c r="E1652" t="inlineStr">
        <is>
          <t>GÄLLIVARE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62031-2019</t>
        </is>
      </c>
      <c r="B1653" s="1" t="n">
        <v>43782</v>
      </c>
      <c r="C1653" s="1" t="n">
        <v>45662</v>
      </c>
      <c r="D1653" t="inlineStr">
        <is>
          <t>NORRBOTTENS LÄN</t>
        </is>
      </c>
      <c r="E1653" t="inlineStr">
        <is>
          <t>ÖVERKALIX</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61207-2019</t>
        </is>
      </c>
      <c r="B1654" s="1" t="n">
        <v>43782</v>
      </c>
      <c r="C1654" s="1" t="n">
        <v>45662</v>
      </c>
      <c r="D1654" t="inlineStr">
        <is>
          <t>NORRBOTTENS LÄN</t>
        </is>
      </c>
      <c r="E1654" t="inlineStr">
        <is>
          <t>GÄLLIVARE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61532-2019</t>
        </is>
      </c>
      <c r="B1655" s="1" t="n">
        <v>43783</v>
      </c>
      <c r="C1655" s="1" t="n">
        <v>45662</v>
      </c>
      <c r="D1655" t="inlineStr">
        <is>
          <t>NORRBOTTENS LÄN</t>
        </is>
      </c>
      <c r="E1655" t="inlineStr">
        <is>
          <t>ÖVERKALIX</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61525-2019</t>
        </is>
      </c>
      <c r="B1656" s="1" t="n">
        <v>43783</v>
      </c>
      <c r="C1656" s="1" t="n">
        <v>45662</v>
      </c>
      <c r="D1656" t="inlineStr">
        <is>
          <t>NORRBOTTENS LÄN</t>
        </is>
      </c>
      <c r="E1656" t="inlineStr">
        <is>
          <t>ÖVERKALIX</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61527-2019</t>
        </is>
      </c>
      <c r="B1657" s="1" t="n">
        <v>43783</v>
      </c>
      <c r="C1657" s="1" t="n">
        <v>45662</v>
      </c>
      <c r="D1657" t="inlineStr">
        <is>
          <t>NORRBOTTENS LÄN</t>
        </is>
      </c>
      <c r="E1657" t="inlineStr">
        <is>
          <t>ÖVERKALIX</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61531-2019</t>
        </is>
      </c>
      <c r="B1658" s="1" t="n">
        <v>43783</v>
      </c>
      <c r="C1658" s="1" t="n">
        <v>45662</v>
      </c>
      <c r="D1658" t="inlineStr">
        <is>
          <t>NORRBOTTENS LÄN</t>
        </is>
      </c>
      <c r="E1658" t="inlineStr">
        <is>
          <t>ÖVERKALIX</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61611-2019</t>
        </is>
      </c>
      <c r="B1659" s="1" t="n">
        <v>43784</v>
      </c>
      <c r="C1659" s="1" t="n">
        <v>45662</v>
      </c>
      <c r="D1659" t="inlineStr">
        <is>
          <t>NORRBOTTENS LÄN</t>
        </is>
      </c>
      <c r="E1659" t="inlineStr">
        <is>
          <t>KALIX</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61770-2019</t>
        </is>
      </c>
      <c r="B1660" s="1" t="n">
        <v>43784</v>
      </c>
      <c r="C1660" s="1" t="n">
        <v>45662</v>
      </c>
      <c r="D1660" t="inlineStr">
        <is>
          <t>NORRBOTTENS LÄN</t>
        </is>
      </c>
      <c r="E1660" t="inlineStr">
        <is>
          <t>BODEN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61769-2019</t>
        </is>
      </c>
      <c r="B1661" s="1" t="n">
        <v>43784</v>
      </c>
      <c r="C1661" s="1" t="n">
        <v>45662</v>
      </c>
      <c r="D1661" t="inlineStr">
        <is>
          <t>NORRBOTTENS LÄN</t>
        </is>
      </c>
      <c r="E1661" t="inlineStr">
        <is>
          <t>BODEN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62190-2019</t>
        </is>
      </c>
      <c r="B1662" s="1" t="n">
        <v>43787</v>
      </c>
      <c r="C1662" s="1" t="n">
        <v>45662</v>
      </c>
      <c r="D1662" t="inlineStr">
        <is>
          <t>NORRBOTTENS LÄN</t>
        </is>
      </c>
      <c r="E1662" t="inlineStr">
        <is>
          <t>JOKKMOKK</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62164-2019</t>
        </is>
      </c>
      <c r="B1663" s="1" t="n">
        <v>43787</v>
      </c>
      <c r="C1663" s="1" t="n">
        <v>45662</v>
      </c>
      <c r="D1663" t="inlineStr">
        <is>
          <t>NORRBOTTENS LÄN</t>
        </is>
      </c>
      <c r="E1663" t="inlineStr">
        <is>
          <t>BODEN</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62183-2019</t>
        </is>
      </c>
      <c r="B1664" s="1" t="n">
        <v>43787</v>
      </c>
      <c r="C1664" s="1" t="n">
        <v>45662</v>
      </c>
      <c r="D1664" t="inlineStr">
        <is>
          <t>NORRBOTTENS LÄN</t>
        </is>
      </c>
      <c r="E1664" t="inlineStr">
        <is>
          <t>ÖVERTORNEÅ</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62169-2019</t>
        </is>
      </c>
      <c r="B1665" s="1" t="n">
        <v>43787</v>
      </c>
      <c r="C1665" s="1" t="n">
        <v>45662</v>
      </c>
      <c r="D1665" t="inlineStr">
        <is>
          <t>NORRBOTTENS LÄN</t>
        </is>
      </c>
      <c r="E1665" t="inlineStr">
        <is>
          <t>LULEÅ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62191-2019</t>
        </is>
      </c>
      <c r="B1666" s="1" t="n">
        <v>43787</v>
      </c>
      <c r="C1666" s="1" t="n">
        <v>45662</v>
      </c>
      <c r="D1666" t="inlineStr">
        <is>
          <t>NORRBOTTENS LÄN</t>
        </is>
      </c>
      <c r="E1666" t="inlineStr">
        <is>
          <t>JOKKMOKK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63349-2019</t>
        </is>
      </c>
      <c r="B1667" s="1" t="n">
        <v>43787</v>
      </c>
      <c r="C1667" s="1" t="n">
        <v>45662</v>
      </c>
      <c r="D1667" t="inlineStr">
        <is>
          <t>NORRBOTTENS LÄN</t>
        </is>
      </c>
      <c r="E1667" t="inlineStr">
        <is>
          <t>JOKKMOKK</t>
        </is>
      </c>
      <c r="F1667" t="inlineStr">
        <is>
          <t>Övriga Aktiebolag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62230-2019</t>
        </is>
      </c>
      <c r="B1668" s="1" t="n">
        <v>43788</v>
      </c>
      <c r="C1668" s="1" t="n">
        <v>45662</v>
      </c>
      <c r="D1668" t="inlineStr">
        <is>
          <t>NORRBOTTENS LÄN</t>
        </is>
      </c>
      <c r="E1668" t="inlineStr">
        <is>
          <t>HAPARANDA</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62461-2019</t>
        </is>
      </c>
      <c r="B1669" s="1" t="n">
        <v>43788</v>
      </c>
      <c r="C1669" s="1" t="n">
        <v>45662</v>
      </c>
      <c r="D1669" t="inlineStr">
        <is>
          <t>NORRBOTTENS LÄN</t>
        </is>
      </c>
      <c r="E1669" t="inlineStr">
        <is>
          <t>JOKKMOKK</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62480-2019</t>
        </is>
      </c>
      <c r="B1670" s="1" t="n">
        <v>43788</v>
      </c>
      <c r="C1670" s="1" t="n">
        <v>45662</v>
      </c>
      <c r="D1670" t="inlineStr">
        <is>
          <t>NORRBOTTENS LÄN</t>
        </is>
      </c>
      <c r="E1670" t="inlineStr">
        <is>
          <t>JOKKMOKK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63635-2019</t>
        </is>
      </c>
      <c r="B1671" s="1" t="n">
        <v>43788</v>
      </c>
      <c r="C1671" s="1" t="n">
        <v>45662</v>
      </c>
      <c r="D1671" t="inlineStr">
        <is>
          <t>NORRBOTTENS LÄN</t>
        </is>
      </c>
      <c r="E1671" t="inlineStr">
        <is>
          <t>LULEÅ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62481-2019</t>
        </is>
      </c>
      <c r="B1672" s="1" t="n">
        <v>43788</v>
      </c>
      <c r="C1672" s="1" t="n">
        <v>45662</v>
      </c>
      <c r="D1672" t="inlineStr">
        <is>
          <t>NORRBOTTENS LÄN</t>
        </is>
      </c>
      <c r="E1672" t="inlineStr">
        <is>
          <t>JOKKMOKK</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62711-2019</t>
        </is>
      </c>
      <c r="B1673" s="1" t="n">
        <v>43789</v>
      </c>
      <c r="C1673" s="1" t="n">
        <v>45662</v>
      </c>
      <c r="D1673" t="inlineStr">
        <is>
          <t>NORRBOTTENS LÄN</t>
        </is>
      </c>
      <c r="E1673" t="inlineStr">
        <is>
          <t>PITEÅ</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62951-2019</t>
        </is>
      </c>
      <c r="B1674" s="1" t="n">
        <v>43789</v>
      </c>
      <c r="C1674" s="1" t="n">
        <v>45662</v>
      </c>
      <c r="D1674" t="inlineStr">
        <is>
          <t>NORRBOTTENS LÄN</t>
        </is>
      </c>
      <c r="E1674" t="inlineStr">
        <is>
          <t>ÖVERTORNEÅ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62629-2019</t>
        </is>
      </c>
      <c r="B1675" s="1" t="n">
        <v>43789</v>
      </c>
      <c r="C1675" s="1" t="n">
        <v>45662</v>
      </c>
      <c r="D1675" t="inlineStr">
        <is>
          <t>NORRBOTTENS LÄN</t>
        </is>
      </c>
      <c r="E1675" t="inlineStr">
        <is>
          <t>ARVIDSJAUR</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62710-2019</t>
        </is>
      </c>
      <c r="B1676" s="1" t="n">
        <v>43789</v>
      </c>
      <c r="C1676" s="1" t="n">
        <v>45662</v>
      </c>
      <c r="D1676" t="inlineStr">
        <is>
          <t>NORRBOTTENS LÄN</t>
        </is>
      </c>
      <c r="E1676" t="inlineStr">
        <is>
          <t>BODEN</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62718-2019</t>
        </is>
      </c>
      <c r="B1677" s="1" t="n">
        <v>43789</v>
      </c>
      <c r="C1677" s="1" t="n">
        <v>45662</v>
      </c>
      <c r="D1677" t="inlineStr">
        <is>
          <t>NORRBOTTENS LÄN</t>
        </is>
      </c>
      <c r="E1677" t="inlineStr">
        <is>
          <t>KALIX</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62725-2019</t>
        </is>
      </c>
      <c r="B1678" s="1" t="n">
        <v>43789</v>
      </c>
      <c r="C1678" s="1" t="n">
        <v>45662</v>
      </c>
      <c r="D1678" t="inlineStr">
        <is>
          <t>NORRBOTTENS LÄN</t>
        </is>
      </c>
      <c r="E1678" t="inlineStr">
        <is>
          <t>LULEÅ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62724-2019</t>
        </is>
      </c>
      <c r="B1679" s="1" t="n">
        <v>43789</v>
      </c>
      <c r="C1679" s="1" t="n">
        <v>45662</v>
      </c>
      <c r="D1679" t="inlineStr">
        <is>
          <t>NORRBOTTENS LÄN</t>
        </is>
      </c>
      <c r="E1679" t="inlineStr">
        <is>
          <t>LULEÅ</t>
        </is>
      </c>
      <c r="F1679" t="inlineStr">
        <is>
          <t>SCA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62723-2019</t>
        </is>
      </c>
      <c r="B1680" s="1" t="n">
        <v>43789</v>
      </c>
      <c r="C1680" s="1" t="n">
        <v>45662</v>
      </c>
      <c r="D1680" t="inlineStr">
        <is>
          <t>NORRBOTTENS LÄN</t>
        </is>
      </c>
      <c r="E1680" t="inlineStr">
        <is>
          <t>LULEÅ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62721-2019</t>
        </is>
      </c>
      <c r="B1681" s="1" t="n">
        <v>43789</v>
      </c>
      <c r="C1681" s="1" t="n">
        <v>45662</v>
      </c>
      <c r="D1681" t="inlineStr">
        <is>
          <t>NORRBOTTENS LÄN</t>
        </is>
      </c>
      <c r="E1681" t="inlineStr">
        <is>
          <t>KALIX</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63602-2019</t>
        </is>
      </c>
      <c r="B1682" s="1" t="n">
        <v>43789</v>
      </c>
      <c r="C1682" s="1" t="n">
        <v>45662</v>
      </c>
      <c r="D1682" t="inlineStr">
        <is>
          <t>NORRBOTTENS LÄN</t>
        </is>
      </c>
      <c r="E1682" t="inlineStr">
        <is>
          <t>ÄLVSBYN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62960-2019</t>
        </is>
      </c>
      <c r="B1683" s="1" t="n">
        <v>43790</v>
      </c>
      <c r="C1683" s="1" t="n">
        <v>45662</v>
      </c>
      <c r="D1683" t="inlineStr">
        <is>
          <t>NORRBOTTENS LÄN</t>
        </is>
      </c>
      <c r="E1683" t="inlineStr">
        <is>
          <t>ÖVERTORNEÅ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63390-2019</t>
        </is>
      </c>
      <c r="B1684" s="1" t="n">
        <v>43790</v>
      </c>
      <c r="C1684" s="1" t="n">
        <v>45662</v>
      </c>
      <c r="D1684" t="inlineStr">
        <is>
          <t>NORRBOTTENS LÄN</t>
        </is>
      </c>
      <c r="E1684" t="inlineStr">
        <is>
          <t>JOKKMOKK</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63216-2019</t>
        </is>
      </c>
      <c r="B1685" s="1" t="n">
        <v>43791</v>
      </c>
      <c r="C1685" s="1" t="n">
        <v>45662</v>
      </c>
      <c r="D1685" t="inlineStr">
        <is>
          <t>NORRBOTTENS LÄN</t>
        </is>
      </c>
      <c r="E1685" t="inlineStr">
        <is>
          <t>ÖVERKALIX</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64003-2019</t>
        </is>
      </c>
      <c r="B1686" s="1" t="n">
        <v>43791</v>
      </c>
      <c r="C1686" s="1" t="n">
        <v>45662</v>
      </c>
      <c r="D1686" t="inlineStr">
        <is>
          <t>NORRBOTTENS LÄN</t>
        </is>
      </c>
      <c r="E1686" t="inlineStr">
        <is>
          <t>ÖVERTORNEÅ</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64022-2019</t>
        </is>
      </c>
      <c r="B1687" s="1" t="n">
        <v>43791</v>
      </c>
      <c r="C1687" s="1" t="n">
        <v>45662</v>
      </c>
      <c r="D1687" t="inlineStr">
        <is>
          <t>NORRBOTTENS LÄN</t>
        </is>
      </c>
      <c r="E1687" t="inlineStr">
        <is>
          <t>ÖVERKALIX</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64019-2019</t>
        </is>
      </c>
      <c r="B1688" s="1" t="n">
        <v>43791</v>
      </c>
      <c r="C1688" s="1" t="n">
        <v>45662</v>
      </c>
      <c r="D1688" t="inlineStr">
        <is>
          <t>NORRBOTTENS LÄN</t>
        </is>
      </c>
      <c r="E1688" t="inlineStr">
        <is>
          <t>ÖVERKALIX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64010-2019</t>
        </is>
      </c>
      <c r="B1689" s="1" t="n">
        <v>43791</v>
      </c>
      <c r="C1689" s="1" t="n">
        <v>45662</v>
      </c>
      <c r="D1689" t="inlineStr">
        <is>
          <t>NORRBOTTENS LÄN</t>
        </is>
      </c>
      <c r="E1689" t="inlineStr">
        <is>
          <t>ÖVERTORNEÅ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63219-2019</t>
        </is>
      </c>
      <c r="B1690" s="1" t="n">
        <v>43791</v>
      </c>
      <c r="C1690" s="1" t="n">
        <v>45662</v>
      </c>
      <c r="D1690" t="inlineStr">
        <is>
          <t>NORRBOTTENS LÄN</t>
        </is>
      </c>
      <c r="E1690" t="inlineStr">
        <is>
          <t>JOKKMOKK</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63282-2019</t>
        </is>
      </c>
      <c r="B1691" s="1" t="n">
        <v>43791</v>
      </c>
      <c r="C1691" s="1" t="n">
        <v>45662</v>
      </c>
      <c r="D1691" t="inlineStr">
        <is>
          <t>NORRBOTTENS LÄN</t>
        </is>
      </c>
      <c r="E1691" t="inlineStr">
        <is>
          <t>LULEÅ</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64018-2019</t>
        </is>
      </c>
      <c r="B1692" s="1" t="n">
        <v>43791</v>
      </c>
      <c r="C1692" s="1" t="n">
        <v>45662</v>
      </c>
      <c r="D1692" t="inlineStr">
        <is>
          <t>NORRBOTTENS LÄN</t>
        </is>
      </c>
      <c r="E1692" t="inlineStr">
        <is>
          <t>PAJALA</t>
        </is>
      </c>
      <c r="G1692" t="n">
        <v>27.1</v>
      </c>
      <c r="H1692" t="n">
        <v>0</v>
      </c>
      <c r="I1692" t="n">
        <v>0</v>
      </c>
      <c r="J1692" t="n">
        <v>0</v>
      </c>
      <c r="K1692" t="n">
        <v>0</v>
      </c>
      <c r="L1692" t="n">
        <v>0</v>
      </c>
      <c r="M1692" t="n">
        <v>0</v>
      </c>
      <c r="N1692" t="n">
        <v>0</v>
      </c>
      <c r="O1692" t="n">
        <v>0</v>
      </c>
      <c r="P1692" t="n">
        <v>0</v>
      </c>
      <c r="Q1692" t="n">
        <v>0</v>
      </c>
      <c r="R1692" s="2" t="inlineStr"/>
    </row>
    <row r="1693" ht="15" customHeight="1">
      <c r="A1693" t="inlineStr">
        <is>
          <t>A 64163-2019</t>
        </is>
      </c>
      <c r="B1693" s="1" t="n">
        <v>43791</v>
      </c>
      <c r="C1693" s="1" t="n">
        <v>45662</v>
      </c>
      <c r="D1693" t="inlineStr">
        <is>
          <t>NORRBOTTENS LÄN</t>
        </is>
      </c>
      <c r="E1693" t="inlineStr">
        <is>
          <t>LULEÅ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63243-2019</t>
        </is>
      </c>
      <c r="B1694" s="1" t="n">
        <v>43792</v>
      </c>
      <c r="C1694" s="1" t="n">
        <v>45662</v>
      </c>
      <c r="D1694" t="inlineStr">
        <is>
          <t>NORRBOTTENS LÄN</t>
        </is>
      </c>
      <c r="E1694" t="inlineStr">
        <is>
          <t>JOKKMOKK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63261-2019</t>
        </is>
      </c>
      <c r="B1695" s="1" t="n">
        <v>43793</v>
      </c>
      <c r="C1695" s="1" t="n">
        <v>45662</v>
      </c>
      <c r="D1695" t="inlineStr">
        <is>
          <t>NORRBOTTENS LÄN</t>
        </is>
      </c>
      <c r="E1695" t="inlineStr">
        <is>
          <t>JOKKMOKK</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64411-2019</t>
        </is>
      </c>
      <c r="B1696" s="1" t="n">
        <v>43794</v>
      </c>
      <c r="C1696" s="1" t="n">
        <v>45662</v>
      </c>
      <c r="D1696" t="inlineStr">
        <is>
          <t>NORRBOTTENS LÄN</t>
        </is>
      </c>
      <c r="E1696" t="inlineStr">
        <is>
          <t>BODEN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64524-2019</t>
        </is>
      </c>
      <c r="B1697" s="1" t="n">
        <v>43794</v>
      </c>
      <c r="C1697" s="1" t="n">
        <v>45662</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63699-2019</t>
        </is>
      </c>
      <c r="B1698" s="1" t="n">
        <v>43795</v>
      </c>
      <c r="C1698" s="1" t="n">
        <v>45662</v>
      </c>
      <c r="D1698" t="inlineStr">
        <is>
          <t>NORRBOTTENS LÄN</t>
        </is>
      </c>
      <c r="E1698" t="inlineStr">
        <is>
          <t>KALIX</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63843-2019</t>
        </is>
      </c>
      <c r="B1699" s="1" t="n">
        <v>43795</v>
      </c>
      <c r="C1699" s="1" t="n">
        <v>45662</v>
      </c>
      <c r="D1699" t="inlineStr">
        <is>
          <t>NORRBOTTENS LÄN</t>
        </is>
      </c>
      <c r="E1699" t="inlineStr">
        <is>
          <t>GÄLLIVARE</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64320-2019</t>
        </is>
      </c>
      <c r="B1700" s="1" t="n">
        <v>43797</v>
      </c>
      <c r="C1700" s="1" t="n">
        <v>45662</v>
      </c>
      <c r="D1700" t="inlineStr">
        <is>
          <t>NORRBOTTENS LÄN</t>
        </is>
      </c>
      <c r="E1700" t="inlineStr">
        <is>
          <t>LULEÅ</t>
        </is>
      </c>
      <c r="F1700" t="inlineStr">
        <is>
          <t>Övriga Aktiebolag</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64321-2019</t>
        </is>
      </c>
      <c r="B1701" s="1" t="n">
        <v>43797</v>
      </c>
      <c r="C1701" s="1" t="n">
        <v>45662</v>
      </c>
      <c r="D1701" t="inlineStr">
        <is>
          <t>NORRBOTTENS LÄN</t>
        </is>
      </c>
      <c r="E1701" t="inlineStr">
        <is>
          <t>ÖVERTORNEÅ</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64171-2019</t>
        </is>
      </c>
      <c r="B1702" s="1" t="n">
        <v>43797</v>
      </c>
      <c r="C1702" s="1" t="n">
        <v>45662</v>
      </c>
      <c r="D1702" t="inlineStr">
        <is>
          <t>NORRBOTTENS LÄN</t>
        </is>
      </c>
      <c r="E1702" t="inlineStr">
        <is>
          <t>BODEN</t>
        </is>
      </c>
      <c r="F1702" t="inlineStr">
        <is>
          <t>Övriga Aktiebolag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64352-2019</t>
        </is>
      </c>
      <c r="B1703" s="1" t="n">
        <v>43797</v>
      </c>
      <c r="C1703" s="1" t="n">
        <v>45662</v>
      </c>
      <c r="D1703" t="inlineStr">
        <is>
          <t>NORRBOTTENS LÄN</t>
        </is>
      </c>
      <c r="E1703" t="inlineStr">
        <is>
          <t>BODEN</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65220-2019</t>
        </is>
      </c>
      <c r="B1704" s="1" t="n">
        <v>43797</v>
      </c>
      <c r="C1704" s="1" t="n">
        <v>45662</v>
      </c>
      <c r="D1704" t="inlineStr">
        <is>
          <t>NORRBOTTENS LÄN</t>
        </is>
      </c>
      <c r="E1704" t="inlineStr">
        <is>
          <t>ARJEPLOG</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65250-2019</t>
        </is>
      </c>
      <c r="B1705" s="1" t="n">
        <v>43797</v>
      </c>
      <c r="C1705" s="1" t="n">
        <v>45662</v>
      </c>
      <c r="D1705" t="inlineStr">
        <is>
          <t>NORRBOTTENS LÄN</t>
        </is>
      </c>
      <c r="E1705" t="inlineStr">
        <is>
          <t>KALIX</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64664-2019</t>
        </is>
      </c>
      <c r="B1706" s="1" t="n">
        <v>43798</v>
      </c>
      <c r="C1706" s="1" t="n">
        <v>45662</v>
      </c>
      <c r="D1706" t="inlineStr">
        <is>
          <t>NORRBOTTENS LÄN</t>
        </is>
      </c>
      <c r="E1706" t="inlineStr">
        <is>
          <t>PITEÅ</t>
        </is>
      </c>
      <c r="G1706" t="n">
        <v>18.6</v>
      </c>
      <c r="H1706" t="n">
        <v>0</v>
      </c>
      <c r="I1706" t="n">
        <v>0</v>
      </c>
      <c r="J1706" t="n">
        <v>0</v>
      </c>
      <c r="K1706" t="n">
        <v>0</v>
      </c>
      <c r="L1706" t="n">
        <v>0</v>
      </c>
      <c r="M1706" t="n">
        <v>0</v>
      </c>
      <c r="N1706" t="n">
        <v>0</v>
      </c>
      <c r="O1706" t="n">
        <v>0</v>
      </c>
      <c r="P1706" t="n">
        <v>0</v>
      </c>
      <c r="Q1706" t="n">
        <v>0</v>
      </c>
      <c r="R1706" s="2" t="inlineStr"/>
    </row>
    <row r="1707" ht="15" customHeight="1">
      <c r="A1707" t="inlineStr">
        <is>
          <t>A 64577-2019</t>
        </is>
      </c>
      <c r="B1707" s="1" t="n">
        <v>43798</v>
      </c>
      <c r="C1707" s="1" t="n">
        <v>45662</v>
      </c>
      <c r="D1707" t="inlineStr">
        <is>
          <t>NORRBOTTENS LÄN</t>
        </is>
      </c>
      <c r="E1707" t="inlineStr">
        <is>
          <t>LULEÅ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65894-2019</t>
        </is>
      </c>
      <c r="B1708" s="1" t="n">
        <v>43798</v>
      </c>
      <c r="C1708" s="1" t="n">
        <v>45662</v>
      </c>
      <c r="D1708" t="inlineStr">
        <is>
          <t>NORRBOTTENS LÄN</t>
        </is>
      </c>
      <c r="E1708" t="inlineStr">
        <is>
          <t>ARJEPLOG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64965-2019</t>
        </is>
      </c>
      <c r="B1709" s="1" t="n">
        <v>43801</v>
      </c>
      <c r="C1709" s="1" t="n">
        <v>45662</v>
      </c>
      <c r="D1709" t="inlineStr">
        <is>
          <t>NORRBOTTENS LÄN</t>
        </is>
      </c>
      <c r="E1709" t="inlineStr">
        <is>
          <t>PITEÅ</t>
        </is>
      </c>
      <c r="F1709" t="inlineStr">
        <is>
          <t>Kommuner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65009-2019</t>
        </is>
      </c>
      <c r="B1710" s="1" t="n">
        <v>43801</v>
      </c>
      <c r="C1710" s="1" t="n">
        <v>45662</v>
      </c>
      <c r="D1710" t="inlineStr">
        <is>
          <t>NORRBOTTENS LÄN</t>
        </is>
      </c>
      <c r="E1710" t="inlineStr">
        <is>
          <t>KALIX</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65019-2019</t>
        </is>
      </c>
      <c r="B1711" s="1" t="n">
        <v>43801</v>
      </c>
      <c r="C1711" s="1" t="n">
        <v>45662</v>
      </c>
      <c r="D1711" t="inlineStr">
        <is>
          <t>NORRBOTTENS LÄN</t>
        </is>
      </c>
      <c r="E1711" t="inlineStr">
        <is>
          <t>BODEN</t>
        </is>
      </c>
      <c r="F1711" t="inlineStr">
        <is>
          <t>Kommuner</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65062-2019</t>
        </is>
      </c>
      <c r="B1712" s="1" t="n">
        <v>43801</v>
      </c>
      <c r="C1712" s="1" t="n">
        <v>45662</v>
      </c>
      <c r="D1712" t="inlineStr">
        <is>
          <t>NORRBOTTENS LÄN</t>
        </is>
      </c>
      <c r="E1712" t="inlineStr">
        <is>
          <t>ÖVERTORNEÅ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65099-2019</t>
        </is>
      </c>
      <c r="B1713" s="1" t="n">
        <v>43802</v>
      </c>
      <c r="C1713" s="1" t="n">
        <v>45662</v>
      </c>
      <c r="D1713" t="inlineStr">
        <is>
          <t>NORRBOTTENS LÄN</t>
        </is>
      </c>
      <c r="E1713" t="inlineStr">
        <is>
          <t>BODEN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66416-2019</t>
        </is>
      </c>
      <c r="B1714" s="1" t="n">
        <v>43802</v>
      </c>
      <c r="C1714" s="1" t="n">
        <v>45662</v>
      </c>
      <c r="D1714" t="inlineStr">
        <is>
          <t>NORRBOTTENS LÄN</t>
        </is>
      </c>
      <c r="E1714" t="inlineStr">
        <is>
          <t>PITEÅ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66427-2019</t>
        </is>
      </c>
      <c r="B1715" s="1" t="n">
        <v>43802</v>
      </c>
      <c r="C1715" s="1" t="n">
        <v>45662</v>
      </c>
      <c r="D1715" t="inlineStr">
        <is>
          <t>NORRBOTTENS LÄN</t>
        </is>
      </c>
      <c r="E1715" t="inlineStr">
        <is>
          <t>PITEÅ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66440-2019</t>
        </is>
      </c>
      <c r="B1716" s="1" t="n">
        <v>43802</v>
      </c>
      <c r="C1716" s="1" t="n">
        <v>45662</v>
      </c>
      <c r="D1716" t="inlineStr">
        <is>
          <t>NORRBOTTENS LÄN</t>
        </is>
      </c>
      <c r="E1716" t="inlineStr">
        <is>
          <t>PITEÅ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66336-2019</t>
        </is>
      </c>
      <c r="B1717" s="1" t="n">
        <v>43802</v>
      </c>
      <c r="C1717" s="1" t="n">
        <v>45662</v>
      </c>
      <c r="D1717" t="inlineStr">
        <is>
          <t>NORRBOTTENS LÄN</t>
        </is>
      </c>
      <c r="E1717" t="inlineStr">
        <is>
          <t>PITEÅ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66419-2019</t>
        </is>
      </c>
      <c r="B1718" s="1" t="n">
        <v>43802</v>
      </c>
      <c r="C1718" s="1" t="n">
        <v>45662</v>
      </c>
      <c r="D1718" t="inlineStr">
        <is>
          <t>NORRBOTTENS LÄN</t>
        </is>
      </c>
      <c r="E1718" t="inlineStr">
        <is>
          <t>PITEÅ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65510-2019</t>
        </is>
      </c>
      <c r="B1719" s="1" t="n">
        <v>43803</v>
      </c>
      <c r="C1719" s="1" t="n">
        <v>45662</v>
      </c>
      <c r="D1719" t="inlineStr">
        <is>
          <t>NORRBOTTENS LÄN</t>
        </is>
      </c>
      <c r="E1719" t="inlineStr">
        <is>
          <t>ÖVERTORNEÅ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65482-2019</t>
        </is>
      </c>
      <c r="B1720" s="1" t="n">
        <v>43803</v>
      </c>
      <c r="C1720" s="1" t="n">
        <v>45662</v>
      </c>
      <c r="D1720" t="inlineStr">
        <is>
          <t>NORRBOTTENS LÄN</t>
        </is>
      </c>
      <c r="E1720" t="inlineStr">
        <is>
          <t>ÄLVSBYN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65500-2019</t>
        </is>
      </c>
      <c r="B1721" s="1" t="n">
        <v>43803</v>
      </c>
      <c r="C1721" s="1" t="n">
        <v>45662</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66521-2019</t>
        </is>
      </c>
      <c r="B1722" s="1" t="n">
        <v>43803</v>
      </c>
      <c r="C1722" s="1" t="n">
        <v>45662</v>
      </c>
      <c r="D1722" t="inlineStr">
        <is>
          <t>NORRBOTTENS LÄN</t>
        </is>
      </c>
      <c r="E1722" t="inlineStr">
        <is>
          <t>KALIX</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66522-2019</t>
        </is>
      </c>
      <c r="B1723" s="1" t="n">
        <v>43803</v>
      </c>
      <c r="C1723" s="1" t="n">
        <v>45662</v>
      </c>
      <c r="D1723" t="inlineStr">
        <is>
          <t>NORRBOTTENS LÄN</t>
        </is>
      </c>
      <c r="E1723" t="inlineStr">
        <is>
          <t>KALIX</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65457-2019</t>
        </is>
      </c>
      <c r="B1724" s="1" t="n">
        <v>43803</v>
      </c>
      <c r="C1724" s="1" t="n">
        <v>45662</v>
      </c>
      <c r="D1724" t="inlineStr">
        <is>
          <t>NORRBOTTENS LÄN</t>
        </is>
      </c>
      <c r="E1724" t="inlineStr">
        <is>
          <t>ÖVERTORNEÅ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66484-2019</t>
        </is>
      </c>
      <c r="B1725" s="1" t="n">
        <v>43803</v>
      </c>
      <c r="C1725" s="1" t="n">
        <v>45662</v>
      </c>
      <c r="D1725" t="inlineStr">
        <is>
          <t>NORRBOTTENS LÄN</t>
        </is>
      </c>
      <c r="E1725" t="inlineStr">
        <is>
          <t>ARJEPLOG</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65498-2019</t>
        </is>
      </c>
      <c r="B1726" s="1" t="n">
        <v>43803</v>
      </c>
      <c r="C1726" s="1" t="n">
        <v>45662</v>
      </c>
      <c r="D1726" t="inlineStr">
        <is>
          <t>NORRBOTTENS LÄN</t>
        </is>
      </c>
      <c r="E1726" t="inlineStr">
        <is>
          <t>ÖVERTORNEÅ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66486-2019</t>
        </is>
      </c>
      <c r="B1727" s="1" t="n">
        <v>43803</v>
      </c>
      <c r="C1727" s="1" t="n">
        <v>45662</v>
      </c>
      <c r="D1727" t="inlineStr">
        <is>
          <t>NORRBOTTENS LÄN</t>
        </is>
      </c>
      <c r="E1727" t="inlineStr">
        <is>
          <t>KALIX</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65753-2019</t>
        </is>
      </c>
      <c r="B1728" s="1" t="n">
        <v>43804</v>
      </c>
      <c r="C1728" s="1" t="n">
        <v>45662</v>
      </c>
      <c r="D1728" t="inlineStr">
        <is>
          <t>NORRBOTTENS LÄN</t>
        </is>
      </c>
      <c r="E1728" t="inlineStr">
        <is>
          <t>BODEN</t>
        </is>
      </c>
      <c r="F1728" t="inlineStr">
        <is>
          <t>Kommuner</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65725-2019</t>
        </is>
      </c>
      <c r="B1729" s="1" t="n">
        <v>43804</v>
      </c>
      <c r="C1729" s="1" t="n">
        <v>45662</v>
      </c>
      <c r="D1729" t="inlineStr">
        <is>
          <t>NORRBOTTENS LÄN</t>
        </is>
      </c>
      <c r="E1729" t="inlineStr">
        <is>
          <t>GÄLLIVARE</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67100-2019</t>
        </is>
      </c>
      <c r="B1730" s="1" t="n">
        <v>43805</v>
      </c>
      <c r="C1730" s="1" t="n">
        <v>45662</v>
      </c>
      <c r="D1730" t="inlineStr">
        <is>
          <t>NORRBOTTENS LÄN</t>
        </is>
      </c>
      <c r="E1730" t="inlineStr">
        <is>
          <t>ÖVERKALIX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65811-2019</t>
        </is>
      </c>
      <c r="B1731" s="1" t="n">
        <v>43805</v>
      </c>
      <c r="C1731" s="1" t="n">
        <v>45662</v>
      </c>
      <c r="D1731" t="inlineStr">
        <is>
          <t>NORRBOTTENS LÄN</t>
        </is>
      </c>
      <c r="E1731" t="inlineStr">
        <is>
          <t>LULEÅ</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67143-2019</t>
        </is>
      </c>
      <c r="B1732" s="1" t="n">
        <v>43805</v>
      </c>
      <c r="C1732" s="1" t="n">
        <v>45662</v>
      </c>
      <c r="D1732" t="inlineStr">
        <is>
          <t>NORRBOTTENS LÄN</t>
        </is>
      </c>
      <c r="E1732" t="inlineStr">
        <is>
          <t>BODEN</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67113-2019</t>
        </is>
      </c>
      <c r="B1733" s="1" t="n">
        <v>43805</v>
      </c>
      <c r="C1733" s="1" t="n">
        <v>45662</v>
      </c>
      <c r="D1733" t="inlineStr">
        <is>
          <t>NORRBOTTENS LÄN</t>
        </is>
      </c>
      <c r="E1733" t="inlineStr">
        <is>
          <t>ÖVERKALIX</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66100-2019</t>
        </is>
      </c>
      <c r="B1734" s="1" t="n">
        <v>43807</v>
      </c>
      <c r="C1734" s="1" t="n">
        <v>45662</v>
      </c>
      <c r="D1734" t="inlineStr">
        <is>
          <t>NORRBOTTENS LÄN</t>
        </is>
      </c>
      <c r="E1734" t="inlineStr">
        <is>
          <t>PITEÅ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66103-2019</t>
        </is>
      </c>
      <c r="B1735" s="1" t="n">
        <v>43807</v>
      </c>
      <c r="C1735" s="1" t="n">
        <v>45662</v>
      </c>
      <c r="D1735" t="inlineStr">
        <is>
          <t>NORRBOTTENS LÄN</t>
        </is>
      </c>
      <c r="E1735" t="inlineStr">
        <is>
          <t>BODEN</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67252-2019</t>
        </is>
      </c>
      <c r="B1736" s="1" t="n">
        <v>43808</v>
      </c>
      <c r="C1736" s="1" t="n">
        <v>45662</v>
      </c>
      <c r="D1736" t="inlineStr">
        <is>
          <t>NORRBOTTENS LÄN</t>
        </is>
      </c>
      <c r="E1736" t="inlineStr">
        <is>
          <t>KALIX</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66111-2019</t>
        </is>
      </c>
      <c r="B1737" s="1" t="n">
        <v>43808</v>
      </c>
      <c r="C1737" s="1" t="n">
        <v>45662</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66542-2019</t>
        </is>
      </c>
      <c r="B1738" s="1" t="n">
        <v>43809</v>
      </c>
      <c r="C1738" s="1" t="n">
        <v>45662</v>
      </c>
      <c r="D1738" t="inlineStr">
        <is>
          <t>NORRBOTTENS LÄN</t>
        </is>
      </c>
      <c r="E1738" t="inlineStr">
        <is>
          <t>ÖVERTORNEÅ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67653-2019</t>
        </is>
      </c>
      <c r="B1739" s="1" t="n">
        <v>43809</v>
      </c>
      <c r="C1739" s="1" t="n">
        <v>45662</v>
      </c>
      <c r="D1739" t="inlineStr">
        <is>
          <t>NORRBOTTENS LÄN</t>
        </is>
      </c>
      <c r="E1739" t="inlineStr">
        <is>
          <t>PITEÅ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66404-2019</t>
        </is>
      </c>
      <c r="B1740" s="1" t="n">
        <v>43809</v>
      </c>
      <c r="C1740" s="1" t="n">
        <v>45662</v>
      </c>
      <c r="D1740" t="inlineStr">
        <is>
          <t>NORRBOTTENS LÄN</t>
        </is>
      </c>
      <c r="E1740" t="inlineStr">
        <is>
          <t>BODEN</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66536-2019</t>
        </is>
      </c>
      <c r="B1741" s="1" t="n">
        <v>43809</v>
      </c>
      <c r="C1741" s="1" t="n">
        <v>45662</v>
      </c>
      <c r="D1741" t="inlineStr">
        <is>
          <t>NORRBOTTENS LÄN</t>
        </is>
      </c>
      <c r="E1741" t="inlineStr">
        <is>
          <t>ÖVERTORNEÅ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66409-2019</t>
        </is>
      </c>
      <c r="B1742" s="1" t="n">
        <v>43809</v>
      </c>
      <c r="C1742" s="1" t="n">
        <v>45662</v>
      </c>
      <c r="D1742" t="inlineStr">
        <is>
          <t>NORRBOTTENS LÄN</t>
        </is>
      </c>
      <c r="E1742" t="inlineStr">
        <is>
          <t>GÄLLIVARE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66403-2019</t>
        </is>
      </c>
      <c r="B1743" s="1" t="n">
        <v>43809</v>
      </c>
      <c r="C1743" s="1" t="n">
        <v>45662</v>
      </c>
      <c r="D1743" t="inlineStr">
        <is>
          <t>NORRBOTTENS LÄN</t>
        </is>
      </c>
      <c r="E1743" t="inlineStr">
        <is>
          <t>ÄLVSBYN</t>
        </is>
      </c>
      <c r="F1743" t="inlineStr">
        <is>
          <t>Sveaskog</t>
        </is>
      </c>
      <c r="G1743" t="n">
        <v>16.9</v>
      </c>
      <c r="H1743" t="n">
        <v>0</v>
      </c>
      <c r="I1743" t="n">
        <v>0</v>
      </c>
      <c r="J1743" t="n">
        <v>0</v>
      </c>
      <c r="K1743" t="n">
        <v>0</v>
      </c>
      <c r="L1743" t="n">
        <v>0</v>
      </c>
      <c r="M1743" t="n">
        <v>0</v>
      </c>
      <c r="N1743" t="n">
        <v>0</v>
      </c>
      <c r="O1743" t="n">
        <v>0</v>
      </c>
      <c r="P1743" t="n">
        <v>0</v>
      </c>
      <c r="Q1743" t="n">
        <v>0</v>
      </c>
      <c r="R1743" s="2" t="inlineStr"/>
    </row>
    <row r="1744" ht="15" customHeight="1">
      <c r="A1744" t="inlineStr">
        <is>
          <t>A 66908-2019</t>
        </is>
      </c>
      <c r="B1744" s="1" t="n">
        <v>43810</v>
      </c>
      <c r="C1744" s="1" t="n">
        <v>45662</v>
      </c>
      <c r="D1744" t="inlineStr">
        <is>
          <t>NORRBOTTENS LÄN</t>
        </is>
      </c>
      <c r="E1744" t="inlineStr">
        <is>
          <t>BODEN</t>
        </is>
      </c>
      <c r="F1744" t="inlineStr">
        <is>
          <t>Sveaskog</t>
        </is>
      </c>
      <c r="G1744" t="n">
        <v>29.2</v>
      </c>
      <c r="H1744" t="n">
        <v>0</v>
      </c>
      <c r="I1744" t="n">
        <v>0</v>
      </c>
      <c r="J1744" t="n">
        <v>0</v>
      </c>
      <c r="K1744" t="n">
        <v>0</v>
      </c>
      <c r="L1744" t="n">
        <v>0</v>
      </c>
      <c r="M1744" t="n">
        <v>0</v>
      </c>
      <c r="N1744" t="n">
        <v>0</v>
      </c>
      <c r="O1744" t="n">
        <v>0</v>
      </c>
      <c r="P1744" t="n">
        <v>0</v>
      </c>
      <c r="Q1744" t="n">
        <v>0</v>
      </c>
      <c r="R1744" s="2" t="inlineStr"/>
    </row>
    <row r="1745" ht="15" customHeight="1">
      <c r="A1745" t="inlineStr">
        <is>
          <t>A 67864-2019</t>
        </is>
      </c>
      <c r="B1745" s="1" t="n">
        <v>43810</v>
      </c>
      <c r="C1745" s="1" t="n">
        <v>45662</v>
      </c>
      <c r="D1745" t="inlineStr">
        <is>
          <t>NORRBOTTENS LÄN</t>
        </is>
      </c>
      <c r="E1745" t="inlineStr">
        <is>
          <t>ÖVERTORNEÅ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67862-2019</t>
        </is>
      </c>
      <c r="B1746" s="1" t="n">
        <v>43810</v>
      </c>
      <c r="C1746" s="1" t="n">
        <v>45662</v>
      </c>
      <c r="D1746" t="inlineStr">
        <is>
          <t>NORRBOTTENS LÄN</t>
        </is>
      </c>
      <c r="E1746" t="inlineStr">
        <is>
          <t>ÖVERTORNEÅ</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67858-2019</t>
        </is>
      </c>
      <c r="B1747" s="1" t="n">
        <v>43810</v>
      </c>
      <c r="C1747" s="1" t="n">
        <v>45662</v>
      </c>
      <c r="D1747" t="inlineStr">
        <is>
          <t>NORRBOTTENS LÄN</t>
        </is>
      </c>
      <c r="E1747" t="inlineStr">
        <is>
          <t>ÖVERTORNEÅ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67227-2019</t>
        </is>
      </c>
      <c r="B1748" s="1" t="n">
        <v>43811</v>
      </c>
      <c r="C1748" s="1" t="n">
        <v>45662</v>
      </c>
      <c r="D1748" t="inlineStr">
        <is>
          <t>NORRBOTTENS LÄN</t>
        </is>
      </c>
      <c r="E1748" t="inlineStr">
        <is>
          <t>JOKKMOKK</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68502-2019</t>
        </is>
      </c>
      <c r="B1749" s="1" t="n">
        <v>43811</v>
      </c>
      <c r="C1749" s="1" t="n">
        <v>45662</v>
      </c>
      <c r="D1749" t="inlineStr">
        <is>
          <t>NORRBOTTENS LÄN</t>
        </is>
      </c>
      <c r="E1749" t="inlineStr">
        <is>
          <t>GÄLLIVARE</t>
        </is>
      </c>
      <c r="F1749" t="inlineStr">
        <is>
          <t>Sveaskog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68576-2019</t>
        </is>
      </c>
      <c r="B1750" s="1" t="n">
        <v>43812</v>
      </c>
      <c r="C1750" s="1" t="n">
        <v>45662</v>
      </c>
      <c r="D1750" t="inlineStr">
        <is>
          <t>NORRBOTTENS LÄN</t>
        </is>
      </c>
      <c r="E1750" t="inlineStr">
        <is>
          <t>GÄLLIVARE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67809-2019</t>
        </is>
      </c>
      <c r="B1751" s="1" t="n">
        <v>43815</v>
      </c>
      <c r="C1751" s="1" t="n">
        <v>45662</v>
      </c>
      <c r="D1751" t="inlineStr">
        <is>
          <t>NORRBOTTENS LÄN</t>
        </is>
      </c>
      <c r="E1751" t="inlineStr">
        <is>
          <t>JOKKMOKK</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67830-2019</t>
        </is>
      </c>
      <c r="B1752" s="1" t="n">
        <v>43815</v>
      </c>
      <c r="C1752" s="1" t="n">
        <v>45662</v>
      </c>
      <c r="D1752" t="inlineStr">
        <is>
          <t>NORRBOTTENS LÄN</t>
        </is>
      </c>
      <c r="E1752" t="inlineStr">
        <is>
          <t>PAJALA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320-2020</t>
        </is>
      </c>
      <c r="B1753" s="1" t="n">
        <v>43816</v>
      </c>
      <c r="C1753" s="1" t="n">
        <v>45662</v>
      </c>
      <c r="D1753" t="inlineStr">
        <is>
          <t>NORRBOTTENS LÄN</t>
        </is>
      </c>
      <c r="E1753" t="inlineStr">
        <is>
          <t>PAJALA</t>
        </is>
      </c>
      <c r="G1753" t="n">
        <v>16.8</v>
      </c>
      <c r="H1753" t="n">
        <v>0</v>
      </c>
      <c r="I1753" t="n">
        <v>0</v>
      </c>
      <c r="J1753" t="n">
        <v>0</v>
      </c>
      <c r="K1753" t="n">
        <v>0</v>
      </c>
      <c r="L1753" t="n">
        <v>0</v>
      </c>
      <c r="M1753" t="n">
        <v>0</v>
      </c>
      <c r="N1753" t="n">
        <v>0</v>
      </c>
      <c r="O1753" t="n">
        <v>0</v>
      </c>
      <c r="P1753" t="n">
        <v>0</v>
      </c>
      <c r="Q1753" t="n">
        <v>0</v>
      </c>
      <c r="R1753" s="2" t="inlineStr"/>
    </row>
    <row r="1754" ht="15" customHeight="1">
      <c r="A1754" t="inlineStr">
        <is>
          <t>A 413-2020</t>
        </is>
      </c>
      <c r="B1754" s="1" t="n">
        <v>43816</v>
      </c>
      <c r="C1754" s="1" t="n">
        <v>45662</v>
      </c>
      <c r="D1754" t="inlineStr">
        <is>
          <t>NORRBOTTENS LÄN</t>
        </is>
      </c>
      <c r="E1754" t="inlineStr">
        <is>
          <t>PAJALA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68009-2019</t>
        </is>
      </c>
      <c r="B1755" s="1" t="n">
        <v>43816</v>
      </c>
      <c r="C1755" s="1" t="n">
        <v>45662</v>
      </c>
      <c r="D1755" t="inlineStr">
        <is>
          <t>NORRBOTTENS LÄN</t>
        </is>
      </c>
      <c r="E1755" t="inlineStr">
        <is>
          <t>KALIX</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67938-2019</t>
        </is>
      </c>
      <c r="B1756" s="1" t="n">
        <v>43816</v>
      </c>
      <c r="C1756" s="1" t="n">
        <v>45662</v>
      </c>
      <c r="D1756" t="inlineStr">
        <is>
          <t>NORRBOTTENS LÄN</t>
        </is>
      </c>
      <c r="E1756" t="inlineStr">
        <is>
          <t>BODEN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602-2020</t>
        </is>
      </c>
      <c r="B1757" s="1" t="n">
        <v>43817</v>
      </c>
      <c r="C1757" s="1" t="n">
        <v>45662</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68297-2019</t>
        </is>
      </c>
      <c r="B1758" s="1" t="n">
        <v>43817</v>
      </c>
      <c r="C1758" s="1" t="n">
        <v>45662</v>
      </c>
      <c r="D1758" t="inlineStr">
        <is>
          <t>NORRBOTTENS LÄN</t>
        </is>
      </c>
      <c r="E1758" t="inlineStr">
        <is>
          <t>GÄLLIVARE</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68307-2019</t>
        </is>
      </c>
      <c r="B1759" s="1" t="n">
        <v>43817</v>
      </c>
      <c r="C1759" s="1" t="n">
        <v>45662</v>
      </c>
      <c r="D1759" t="inlineStr">
        <is>
          <t>NORRBOTTENS LÄN</t>
        </is>
      </c>
      <c r="E1759" t="inlineStr">
        <is>
          <t>JOKKMOKK</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68225-2019</t>
        </is>
      </c>
      <c r="B1760" s="1" t="n">
        <v>43817</v>
      </c>
      <c r="C1760" s="1" t="n">
        <v>45662</v>
      </c>
      <c r="D1760" t="inlineStr">
        <is>
          <t>NORRBOTTENS LÄN</t>
        </is>
      </c>
      <c r="E1760" t="inlineStr">
        <is>
          <t>PITEÅ</t>
        </is>
      </c>
      <c r="F1760" t="inlineStr">
        <is>
          <t>Övriga Aktiebolag</t>
        </is>
      </c>
      <c r="G1760" t="n">
        <v>17.3</v>
      </c>
      <c r="H1760" t="n">
        <v>0</v>
      </c>
      <c r="I1760" t="n">
        <v>0</v>
      </c>
      <c r="J1760" t="n">
        <v>0</v>
      </c>
      <c r="K1760" t="n">
        <v>0</v>
      </c>
      <c r="L1760" t="n">
        <v>0</v>
      </c>
      <c r="M1760" t="n">
        <v>0</v>
      </c>
      <c r="N1760" t="n">
        <v>0</v>
      </c>
      <c r="O1760" t="n">
        <v>0</v>
      </c>
      <c r="P1760" t="n">
        <v>0</v>
      </c>
      <c r="Q1760" t="n">
        <v>0</v>
      </c>
      <c r="R1760" s="2" t="inlineStr"/>
    </row>
    <row r="1761" ht="15" customHeight="1">
      <c r="A1761" t="inlineStr">
        <is>
          <t>A 68207-2019</t>
        </is>
      </c>
      <c r="B1761" s="1" t="n">
        <v>43817</v>
      </c>
      <c r="C1761" s="1" t="n">
        <v>45662</v>
      </c>
      <c r="D1761" t="inlineStr">
        <is>
          <t>NORRBOTTENS LÄN</t>
        </is>
      </c>
      <c r="E1761" t="inlineStr">
        <is>
          <t>LULEÅ</t>
        </is>
      </c>
      <c r="F1761" t="inlineStr">
        <is>
          <t>Övriga Aktiebolag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68301-2019</t>
        </is>
      </c>
      <c r="B1762" s="1" t="n">
        <v>43817</v>
      </c>
      <c r="C1762" s="1" t="n">
        <v>45662</v>
      </c>
      <c r="D1762" t="inlineStr">
        <is>
          <t>NORRBOTTENS LÄN</t>
        </is>
      </c>
      <c r="E1762" t="inlineStr">
        <is>
          <t>JOKKMOKK</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68310-2019</t>
        </is>
      </c>
      <c r="B1763" s="1" t="n">
        <v>43817</v>
      </c>
      <c r="C1763" s="1" t="n">
        <v>45662</v>
      </c>
      <c r="D1763" t="inlineStr">
        <is>
          <t>NORRBOTTENS LÄN</t>
        </is>
      </c>
      <c r="E1763" t="inlineStr">
        <is>
          <t>JOKKMOKK</t>
        </is>
      </c>
      <c r="F1763" t="inlineStr">
        <is>
          <t>SCA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68209-2019</t>
        </is>
      </c>
      <c r="B1764" s="1" t="n">
        <v>43817</v>
      </c>
      <c r="C1764" s="1" t="n">
        <v>45662</v>
      </c>
      <c r="D1764" t="inlineStr">
        <is>
          <t>NORRBOTTENS LÄN</t>
        </is>
      </c>
      <c r="E1764" t="inlineStr">
        <is>
          <t>LULEÅ</t>
        </is>
      </c>
      <c r="F1764" t="inlineStr">
        <is>
          <t>Övriga Aktiebolag</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68991-2019</t>
        </is>
      </c>
      <c r="B1765" s="1" t="n">
        <v>43818</v>
      </c>
      <c r="C1765" s="1" t="n">
        <v>45662</v>
      </c>
      <c r="D1765" t="inlineStr">
        <is>
          <t>NORRBOTTENS LÄN</t>
        </is>
      </c>
      <c r="E1765" t="inlineStr">
        <is>
          <t>ÄLVSBYN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68569-2019</t>
        </is>
      </c>
      <c r="B1766" s="1" t="n">
        <v>43818</v>
      </c>
      <c r="C1766" s="1" t="n">
        <v>45662</v>
      </c>
      <c r="D1766" t="inlineStr">
        <is>
          <t>NORRBOTTENS LÄN</t>
        </is>
      </c>
      <c r="E1766" t="inlineStr">
        <is>
          <t>GÄLLIVARE</t>
        </is>
      </c>
      <c r="F1766" t="inlineStr">
        <is>
          <t>Sveaskog</t>
        </is>
      </c>
      <c r="G1766" t="n">
        <v>41.5</v>
      </c>
      <c r="H1766" t="n">
        <v>0</v>
      </c>
      <c r="I1766" t="n">
        <v>0</v>
      </c>
      <c r="J1766" t="n">
        <v>0</v>
      </c>
      <c r="K1766" t="n">
        <v>0</v>
      </c>
      <c r="L1766" t="n">
        <v>0</v>
      </c>
      <c r="M1766" t="n">
        <v>0</v>
      </c>
      <c r="N1766" t="n">
        <v>0</v>
      </c>
      <c r="O1766" t="n">
        <v>0</v>
      </c>
      <c r="P1766" t="n">
        <v>0</v>
      </c>
      <c r="Q1766" t="n">
        <v>0</v>
      </c>
      <c r="R1766" s="2" t="inlineStr"/>
    </row>
    <row r="1767" ht="15" customHeight="1">
      <c r="A1767" t="inlineStr">
        <is>
          <t>A 938-2020</t>
        </is>
      </c>
      <c r="B1767" s="1" t="n">
        <v>43818</v>
      </c>
      <c r="C1767" s="1" t="n">
        <v>45662</v>
      </c>
      <c r="D1767" t="inlineStr">
        <is>
          <t>NORRBOTTENS LÄN</t>
        </is>
      </c>
      <c r="E1767" t="inlineStr">
        <is>
          <t>ARVIDSJAUR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68670-2019</t>
        </is>
      </c>
      <c r="B1768" s="1" t="n">
        <v>43818</v>
      </c>
      <c r="C1768" s="1" t="n">
        <v>45662</v>
      </c>
      <c r="D1768" t="inlineStr">
        <is>
          <t>NORRBOTTENS LÄN</t>
        </is>
      </c>
      <c r="E1768" t="inlineStr">
        <is>
          <t>ÄLVSBYN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934-2020</t>
        </is>
      </c>
      <c r="B1769" s="1" t="n">
        <v>43818</v>
      </c>
      <c r="C1769" s="1" t="n">
        <v>45662</v>
      </c>
      <c r="D1769" t="inlineStr">
        <is>
          <t>NORRBOTTENS LÄN</t>
        </is>
      </c>
      <c r="E1769" t="inlineStr">
        <is>
          <t>ARVIDSJAUR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68498-2019</t>
        </is>
      </c>
      <c r="B1770" s="1" t="n">
        <v>43818</v>
      </c>
      <c r="C1770" s="1" t="n">
        <v>45662</v>
      </c>
      <c r="D1770" t="inlineStr">
        <is>
          <t>NORRBOTTENS LÄN</t>
        </is>
      </c>
      <c r="E1770" t="inlineStr">
        <is>
          <t>ÄLVSBYN</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68660-2019</t>
        </is>
      </c>
      <c r="B1771" s="1" t="n">
        <v>43819</v>
      </c>
      <c r="C1771" s="1" t="n">
        <v>45662</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68730-2019</t>
        </is>
      </c>
      <c r="B1772" s="1" t="n">
        <v>43819</v>
      </c>
      <c r="C1772" s="1" t="n">
        <v>45662</v>
      </c>
      <c r="D1772" t="inlineStr">
        <is>
          <t>NORRBOTTENS LÄN</t>
        </is>
      </c>
      <c r="E1772" t="inlineStr">
        <is>
          <t>KALIX</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68766-2019</t>
        </is>
      </c>
      <c r="B1773" s="1" t="n">
        <v>43819</v>
      </c>
      <c r="C1773" s="1" t="n">
        <v>45662</v>
      </c>
      <c r="D1773" t="inlineStr">
        <is>
          <t>NORRBOTTENS LÄN</t>
        </is>
      </c>
      <c r="E1773" t="inlineStr">
        <is>
          <t>KALIX</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687-2020</t>
        </is>
      </c>
      <c r="B1774" s="1" t="n">
        <v>43819</v>
      </c>
      <c r="C1774" s="1" t="n">
        <v>45662</v>
      </c>
      <c r="D1774" t="inlineStr">
        <is>
          <t>NORRBOTTENS LÄN</t>
        </is>
      </c>
      <c r="E1774" t="inlineStr">
        <is>
          <t>BODEN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68835-2019</t>
        </is>
      </c>
      <c r="B1775" s="1" t="n">
        <v>43819</v>
      </c>
      <c r="C1775" s="1" t="n">
        <v>45662</v>
      </c>
      <c r="D1775" t="inlineStr">
        <is>
          <t>NORRBOTTENS LÄN</t>
        </is>
      </c>
      <c r="E1775" t="inlineStr">
        <is>
          <t>ÖVERTORNEÅ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995-2020</t>
        </is>
      </c>
      <c r="B1776" s="1" t="n">
        <v>43819</v>
      </c>
      <c r="C1776" s="1" t="n">
        <v>45662</v>
      </c>
      <c r="D1776" t="inlineStr">
        <is>
          <t>NORRBOTTENS LÄN</t>
        </is>
      </c>
      <c r="E1776" t="inlineStr">
        <is>
          <t>JOKKMOKK</t>
        </is>
      </c>
      <c r="G1776" t="n">
        <v>23.9</v>
      </c>
      <c r="H1776" t="n">
        <v>0</v>
      </c>
      <c r="I1776" t="n">
        <v>0</v>
      </c>
      <c r="J1776" t="n">
        <v>0</v>
      </c>
      <c r="K1776" t="n">
        <v>0</v>
      </c>
      <c r="L1776" t="n">
        <v>0</v>
      </c>
      <c r="M1776" t="n">
        <v>0</v>
      </c>
      <c r="N1776" t="n">
        <v>0</v>
      </c>
      <c r="O1776" t="n">
        <v>0</v>
      </c>
      <c r="P1776" t="n">
        <v>0</v>
      </c>
      <c r="Q1776" t="n">
        <v>0</v>
      </c>
      <c r="R1776" s="2" t="inlineStr"/>
    </row>
    <row r="1777" ht="15" customHeight="1">
      <c r="A1777" t="inlineStr">
        <is>
          <t>A 1082-2020</t>
        </is>
      </c>
      <c r="B1777" s="1" t="n">
        <v>43822</v>
      </c>
      <c r="C1777" s="1" t="n">
        <v>45662</v>
      </c>
      <c r="D1777" t="inlineStr">
        <is>
          <t>NORRBOTTENS LÄN</t>
        </is>
      </c>
      <c r="E1777" t="inlineStr">
        <is>
          <t>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1208-2020</t>
        </is>
      </c>
      <c r="B1778" s="1" t="n">
        <v>43822</v>
      </c>
      <c r="C1778" s="1" t="n">
        <v>45662</v>
      </c>
      <c r="D1778" t="inlineStr">
        <is>
          <t>NORRBOTTENS LÄN</t>
        </is>
      </c>
      <c r="E1778" t="inlineStr">
        <is>
          <t>PITEÅ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1092-2020</t>
        </is>
      </c>
      <c r="B1779" s="1" t="n">
        <v>43822</v>
      </c>
      <c r="C1779" s="1" t="n">
        <v>45662</v>
      </c>
      <c r="D1779" t="inlineStr">
        <is>
          <t>NORRBOTTENS LÄN</t>
        </is>
      </c>
      <c r="E1779" t="inlineStr">
        <is>
          <t>KALIX</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1212-2020</t>
        </is>
      </c>
      <c r="B1780" s="1" t="n">
        <v>43822</v>
      </c>
      <c r="C1780" s="1" t="n">
        <v>45662</v>
      </c>
      <c r="D1780" t="inlineStr">
        <is>
          <t>NORRBOTTENS LÄN</t>
        </is>
      </c>
      <c r="E1780" t="inlineStr">
        <is>
          <t>PITEÅ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1518-2020</t>
        </is>
      </c>
      <c r="B1781" s="1" t="n">
        <v>43826</v>
      </c>
      <c r="C1781" s="1" t="n">
        <v>45662</v>
      </c>
      <c r="D1781" t="inlineStr">
        <is>
          <t>NORRBOTTENS LÄN</t>
        </is>
      </c>
      <c r="E1781" t="inlineStr">
        <is>
          <t>LULEÅ</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69070-2019</t>
        </is>
      </c>
      <c r="B1782" s="1" t="n">
        <v>43827</v>
      </c>
      <c r="C1782" s="1" t="n">
        <v>45662</v>
      </c>
      <c r="D1782" t="inlineStr">
        <is>
          <t>NORRBOTTENS LÄN</t>
        </is>
      </c>
      <c r="E1782" t="inlineStr">
        <is>
          <t>KALIX</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69085-2019</t>
        </is>
      </c>
      <c r="B1783" s="1" t="n">
        <v>43829</v>
      </c>
      <c r="C1783" s="1" t="n">
        <v>45662</v>
      </c>
      <c r="D1783" t="inlineStr">
        <is>
          <t>NORRBOTTENS LÄN</t>
        </is>
      </c>
      <c r="E1783" t="inlineStr">
        <is>
          <t>ÖVERTORNEÅ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1661-2020</t>
        </is>
      </c>
      <c r="B1784" s="1" t="n">
        <v>43832</v>
      </c>
      <c r="C1784" s="1" t="n">
        <v>45662</v>
      </c>
      <c r="D1784" t="inlineStr">
        <is>
          <t>NORRBOTTENS LÄN</t>
        </is>
      </c>
      <c r="E1784" t="inlineStr">
        <is>
          <t>ÄLVSBYN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1772-2020</t>
        </is>
      </c>
      <c r="B1785" s="1" t="n">
        <v>43832</v>
      </c>
      <c r="C1785" s="1" t="n">
        <v>45662</v>
      </c>
      <c r="D1785" t="inlineStr">
        <is>
          <t>NORRBOTTENS LÄN</t>
        </is>
      </c>
      <c r="E1785" t="inlineStr">
        <is>
          <t>LULEÅ</t>
        </is>
      </c>
      <c r="G1785" t="n">
        <v>16.4</v>
      </c>
      <c r="H1785" t="n">
        <v>0</v>
      </c>
      <c r="I1785" t="n">
        <v>0</v>
      </c>
      <c r="J1785" t="n">
        <v>0</v>
      </c>
      <c r="K1785" t="n">
        <v>0</v>
      </c>
      <c r="L1785" t="n">
        <v>0</v>
      </c>
      <c r="M1785" t="n">
        <v>0</v>
      </c>
      <c r="N1785" t="n">
        <v>0</v>
      </c>
      <c r="O1785" t="n">
        <v>0</v>
      </c>
      <c r="P1785" t="n">
        <v>0</v>
      </c>
      <c r="Q1785" t="n">
        <v>0</v>
      </c>
      <c r="R1785" s="2" t="inlineStr"/>
    </row>
    <row r="1786" ht="15" customHeight="1">
      <c r="A1786" t="inlineStr">
        <is>
          <t>A 179-2020</t>
        </is>
      </c>
      <c r="B1786" s="1" t="n">
        <v>43833</v>
      </c>
      <c r="C1786" s="1" t="n">
        <v>45662</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1759-2020</t>
        </is>
      </c>
      <c r="B1787" s="1" t="n">
        <v>43833</v>
      </c>
      <c r="C1787" s="1" t="n">
        <v>45662</v>
      </c>
      <c r="D1787" t="inlineStr">
        <is>
          <t>NORRBOTTENS LÄN</t>
        </is>
      </c>
      <c r="E1787" t="inlineStr">
        <is>
          <t>LULEÅ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1769-2020</t>
        </is>
      </c>
      <c r="B1788" s="1" t="n">
        <v>43833</v>
      </c>
      <c r="C1788" s="1" t="n">
        <v>45662</v>
      </c>
      <c r="D1788" t="inlineStr">
        <is>
          <t>NORRBOTTENS LÄN</t>
        </is>
      </c>
      <c r="E1788" t="inlineStr">
        <is>
          <t>LULEÅ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816-2020</t>
        </is>
      </c>
      <c r="B1789" s="1" t="n">
        <v>43838</v>
      </c>
      <c r="C1789" s="1" t="n">
        <v>45662</v>
      </c>
      <c r="D1789" t="inlineStr">
        <is>
          <t>NORRBOTTENS LÄN</t>
        </is>
      </c>
      <c r="E1789" t="inlineStr">
        <is>
          <t>ARJEPLOG</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725-2020</t>
        </is>
      </c>
      <c r="B1790" s="1" t="n">
        <v>43838</v>
      </c>
      <c r="C1790" s="1" t="n">
        <v>45662</v>
      </c>
      <c r="D1790" t="inlineStr">
        <is>
          <t>NORRBOTTENS LÄN</t>
        </is>
      </c>
      <c r="E1790" t="inlineStr">
        <is>
          <t>LULEÅ</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815-2020</t>
        </is>
      </c>
      <c r="B1791" s="1" t="n">
        <v>43838</v>
      </c>
      <c r="C1791" s="1" t="n">
        <v>45662</v>
      </c>
      <c r="D1791" t="inlineStr">
        <is>
          <t>NORRBOTTENS LÄN</t>
        </is>
      </c>
      <c r="E1791" t="inlineStr">
        <is>
          <t>ARJEPLOG</t>
        </is>
      </c>
      <c r="F1791" t="inlineStr">
        <is>
          <t>SCA</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1932-2020</t>
        </is>
      </c>
      <c r="B1792" s="1" t="n">
        <v>43838</v>
      </c>
      <c r="C1792" s="1" t="n">
        <v>45662</v>
      </c>
      <c r="D1792" t="inlineStr">
        <is>
          <t>NORRBOTTENS LÄN</t>
        </is>
      </c>
      <c r="E1792" t="inlineStr">
        <is>
          <t>LULEÅ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796-2020</t>
        </is>
      </c>
      <c r="B1793" s="1" t="n">
        <v>43838</v>
      </c>
      <c r="C1793" s="1" t="n">
        <v>45662</v>
      </c>
      <c r="D1793" t="inlineStr">
        <is>
          <t>NORRBOTTENS LÄN</t>
        </is>
      </c>
      <c r="E1793" t="inlineStr">
        <is>
          <t>LULEÅ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2133-2020</t>
        </is>
      </c>
      <c r="B1794" s="1" t="n">
        <v>43839</v>
      </c>
      <c r="C1794" s="1" t="n">
        <v>45662</v>
      </c>
      <c r="D1794" t="inlineStr">
        <is>
          <t>NORRBOTTENS LÄN</t>
        </is>
      </c>
      <c r="E1794" t="inlineStr">
        <is>
          <t>ÄLVSBYN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2129-2020</t>
        </is>
      </c>
      <c r="B1795" s="1" t="n">
        <v>43839</v>
      </c>
      <c r="C1795" s="1" t="n">
        <v>45662</v>
      </c>
      <c r="D1795" t="inlineStr">
        <is>
          <t>NORRBOTTENS LÄN</t>
        </is>
      </c>
      <c r="E1795" t="inlineStr">
        <is>
          <t>ÄLVSBYN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1266-2020</t>
        </is>
      </c>
      <c r="B1796" s="1" t="n">
        <v>43840</v>
      </c>
      <c r="C1796" s="1" t="n">
        <v>45662</v>
      </c>
      <c r="D1796" t="inlineStr">
        <is>
          <t>NORRBOTTENS LÄN</t>
        </is>
      </c>
      <c r="E1796" t="inlineStr">
        <is>
          <t>LULEÅ</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1560-2020</t>
        </is>
      </c>
      <c r="B1797" s="1" t="n">
        <v>43843</v>
      </c>
      <c r="C1797" s="1" t="n">
        <v>45662</v>
      </c>
      <c r="D1797" t="inlineStr">
        <is>
          <t>NORRBOTTENS LÄN</t>
        </is>
      </c>
      <c r="E1797" t="inlineStr">
        <is>
          <t>BODEN</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1359-2020</t>
        </is>
      </c>
      <c r="B1798" s="1" t="n">
        <v>43843</v>
      </c>
      <c r="C1798" s="1" t="n">
        <v>45662</v>
      </c>
      <c r="D1798" t="inlineStr">
        <is>
          <t>NORRBOTTENS LÄN</t>
        </is>
      </c>
      <c r="E1798" t="inlineStr">
        <is>
          <t>ÖVERKALIX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1402-2020</t>
        </is>
      </c>
      <c r="B1799" s="1" t="n">
        <v>43843</v>
      </c>
      <c r="C1799" s="1" t="n">
        <v>45662</v>
      </c>
      <c r="D1799" t="inlineStr">
        <is>
          <t>NORRBOTTENS LÄN</t>
        </is>
      </c>
      <c r="E1799" t="inlineStr">
        <is>
          <t>KALIX</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2837-2020</t>
        </is>
      </c>
      <c r="B1800" s="1" t="n">
        <v>43843</v>
      </c>
      <c r="C1800" s="1" t="n">
        <v>45662</v>
      </c>
      <c r="D1800" t="inlineStr">
        <is>
          <t>NORRBOTTENS LÄN</t>
        </is>
      </c>
      <c r="E1800" t="inlineStr">
        <is>
          <t>GÄLLIVARE</t>
        </is>
      </c>
      <c r="F1800" t="inlineStr">
        <is>
          <t>Sveaskog</t>
        </is>
      </c>
      <c r="G1800" t="n">
        <v>21.7</v>
      </c>
      <c r="H1800" t="n">
        <v>0</v>
      </c>
      <c r="I1800" t="n">
        <v>0</v>
      </c>
      <c r="J1800" t="n">
        <v>0</v>
      </c>
      <c r="K1800" t="n">
        <v>0</v>
      </c>
      <c r="L1800" t="n">
        <v>0</v>
      </c>
      <c r="M1800" t="n">
        <v>0</v>
      </c>
      <c r="N1800" t="n">
        <v>0</v>
      </c>
      <c r="O1800" t="n">
        <v>0</v>
      </c>
      <c r="P1800" t="n">
        <v>0</v>
      </c>
      <c r="Q1800" t="n">
        <v>0</v>
      </c>
      <c r="R1800" s="2" t="inlineStr"/>
    </row>
    <row r="1801" ht="15" customHeight="1">
      <c r="A1801" t="inlineStr">
        <is>
          <t>A 2578-2020</t>
        </is>
      </c>
      <c r="B1801" s="1" t="n">
        <v>43843</v>
      </c>
      <c r="C1801" s="1" t="n">
        <v>45662</v>
      </c>
      <c r="D1801" t="inlineStr">
        <is>
          <t>NORRBOTTENS LÄN</t>
        </is>
      </c>
      <c r="E1801" t="inlineStr">
        <is>
          <t>LULEÅ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2761-2020</t>
        </is>
      </c>
      <c r="B1802" s="1" t="n">
        <v>43843</v>
      </c>
      <c r="C1802" s="1" t="n">
        <v>45662</v>
      </c>
      <c r="D1802" t="inlineStr">
        <is>
          <t>NORRBOTTENS LÄN</t>
        </is>
      </c>
      <c r="E1802" t="inlineStr">
        <is>
          <t>GÄLLIVARE</t>
        </is>
      </c>
      <c r="F1802" t="inlineStr">
        <is>
          <t>Sveaskog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2804-2020</t>
        </is>
      </c>
      <c r="B1803" s="1" t="n">
        <v>43843</v>
      </c>
      <c r="C1803" s="1" t="n">
        <v>45662</v>
      </c>
      <c r="D1803" t="inlineStr">
        <is>
          <t>NORRBOTTENS LÄN</t>
        </is>
      </c>
      <c r="E1803" t="inlineStr">
        <is>
          <t>GÄLLIVARE</t>
        </is>
      </c>
      <c r="F1803" t="inlineStr">
        <is>
          <t>Sveaskog</t>
        </is>
      </c>
      <c r="G1803" t="n">
        <v>58.1</v>
      </c>
      <c r="H1803" t="n">
        <v>0</v>
      </c>
      <c r="I1803" t="n">
        <v>0</v>
      </c>
      <c r="J1803" t="n">
        <v>0</v>
      </c>
      <c r="K1803" t="n">
        <v>0</v>
      </c>
      <c r="L1803" t="n">
        <v>0</v>
      </c>
      <c r="M1803" t="n">
        <v>0</v>
      </c>
      <c r="N1803" t="n">
        <v>0</v>
      </c>
      <c r="O1803" t="n">
        <v>0</v>
      </c>
      <c r="P1803" t="n">
        <v>0</v>
      </c>
      <c r="Q1803" t="n">
        <v>0</v>
      </c>
      <c r="R1803" s="2" t="inlineStr"/>
    </row>
    <row r="1804" ht="15" customHeight="1">
      <c r="A1804" t="inlineStr">
        <is>
          <t>A 2768-2020</t>
        </is>
      </c>
      <c r="B1804" s="1" t="n">
        <v>43843</v>
      </c>
      <c r="C1804" s="1" t="n">
        <v>45662</v>
      </c>
      <c r="D1804" t="inlineStr">
        <is>
          <t>NORRBOTTENS LÄN</t>
        </is>
      </c>
      <c r="E1804" t="inlineStr">
        <is>
          <t>GÄLLIVARE</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2816-2020</t>
        </is>
      </c>
      <c r="B1805" s="1" t="n">
        <v>43843</v>
      </c>
      <c r="C1805" s="1" t="n">
        <v>45662</v>
      </c>
      <c r="D1805" t="inlineStr">
        <is>
          <t>NORRBOTTENS LÄN</t>
        </is>
      </c>
      <c r="E1805" t="inlineStr">
        <is>
          <t>GÄLLIVARE</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1435-2020</t>
        </is>
      </c>
      <c r="B1806" s="1" t="n">
        <v>43843</v>
      </c>
      <c r="C1806" s="1" t="n">
        <v>45662</v>
      </c>
      <c r="D1806" t="inlineStr">
        <is>
          <t>NORRBOTTENS LÄN</t>
        </is>
      </c>
      <c r="E1806" t="inlineStr">
        <is>
          <t>LULEÅ</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1621-2020</t>
        </is>
      </c>
      <c r="B1807" s="1" t="n">
        <v>43844</v>
      </c>
      <c r="C1807" s="1" t="n">
        <v>45662</v>
      </c>
      <c r="D1807" t="inlineStr">
        <is>
          <t>NORRBOTTENS LÄN</t>
        </is>
      </c>
      <c r="E1807" t="inlineStr">
        <is>
          <t>ARVIDSJAUR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1839-2020</t>
        </is>
      </c>
      <c r="B1808" s="1" t="n">
        <v>43844</v>
      </c>
      <c r="C1808" s="1" t="n">
        <v>45662</v>
      </c>
      <c r="D1808" t="inlineStr">
        <is>
          <t>NORRBOTTENS LÄN</t>
        </is>
      </c>
      <c r="E1808" t="inlineStr">
        <is>
          <t>ÖVERKALIX</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1723-2020</t>
        </is>
      </c>
      <c r="B1809" s="1" t="n">
        <v>43844</v>
      </c>
      <c r="C1809" s="1" t="n">
        <v>45662</v>
      </c>
      <c r="D1809" t="inlineStr">
        <is>
          <t>NORRBOTTENS LÄN</t>
        </is>
      </c>
      <c r="E1809" t="inlineStr">
        <is>
          <t>GÄLLIVARE</t>
        </is>
      </c>
      <c r="F1809" t="inlineStr">
        <is>
          <t>Sveaskog</t>
        </is>
      </c>
      <c r="G1809" t="n">
        <v>16.9</v>
      </c>
      <c r="H1809" t="n">
        <v>0</v>
      </c>
      <c r="I1809" t="n">
        <v>0</v>
      </c>
      <c r="J1809" t="n">
        <v>0</v>
      </c>
      <c r="K1809" t="n">
        <v>0</v>
      </c>
      <c r="L1809" t="n">
        <v>0</v>
      </c>
      <c r="M1809" t="n">
        <v>0</v>
      </c>
      <c r="N1809" t="n">
        <v>0</v>
      </c>
      <c r="O1809" t="n">
        <v>0</v>
      </c>
      <c r="P1809" t="n">
        <v>0</v>
      </c>
      <c r="Q1809" t="n">
        <v>0</v>
      </c>
      <c r="R1809" s="2" t="inlineStr"/>
    </row>
    <row r="1810" ht="15" customHeight="1">
      <c r="A1810" t="inlineStr">
        <is>
          <t>A 1836-2020</t>
        </is>
      </c>
      <c r="B1810" s="1" t="n">
        <v>43844</v>
      </c>
      <c r="C1810" s="1" t="n">
        <v>45662</v>
      </c>
      <c r="D1810" t="inlineStr">
        <is>
          <t>NORRBOTTENS LÄN</t>
        </is>
      </c>
      <c r="E1810" t="inlineStr">
        <is>
          <t>ÖVERKALIX</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1849-2020</t>
        </is>
      </c>
      <c r="B1811" s="1" t="n">
        <v>43844</v>
      </c>
      <c r="C1811" s="1" t="n">
        <v>45662</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1832-2020</t>
        </is>
      </c>
      <c r="B1812" s="1" t="n">
        <v>43844</v>
      </c>
      <c r="C1812" s="1" t="n">
        <v>45662</v>
      </c>
      <c r="D1812" t="inlineStr">
        <is>
          <t>NORRBOTTENS LÄN</t>
        </is>
      </c>
      <c r="E1812" t="inlineStr">
        <is>
          <t>ÖVERKALIX</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3694-2020</t>
        </is>
      </c>
      <c r="B1813" s="1" t="n">
        <v>43845</v>
      </c>
      <c r="C1813" s="1" t="n">
        <v>45662</v>
      </c>
      <c r="D1813" t="inlineStr">
        <is>
          <t>NORRBOTTENS LÄN</t>
        </is>
      </c>
      <c r="E1813" t="inlineStr">
        <is>
          <t>ÖVERKALIX</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2275-2020</t>
        </is>
      </c>
      <c r="B1814" s="1" t="n">
        <v>43846</v>
      </c>
      <c r="C1814" s="1" t="n">
        <v>45662</v>
      </c>
      <c r="D1814" t="inlineStr">
        <is>
          <t>NORRBOTTENS LÄN</t>
        </is>
      </c>
      <c r="E1814" t="inlineStr">
        <is>
          <t>PITEÅ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2378-2020</t>
        </is>
      </c>
      <c r="B1815" s="1" t="n">
        <v>43846</v>
      </c>
      <c r="C1815" s="1" t="n">
        <v>45662</v>
      </c>
      <c r="D1815" t="inlineStr">
        <is>
          <t>NORRBOTTENS LÄN</t>
        </is>
      </c>
      <c r="E1815" t="inlineStr">
        <is>
          <t>LULEÅ</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2375-2020</t>
        </is>
      </c>
      <c r="B1816" s="1" t="n">
        <v>43846</v>
      </c>
      <c r="C1816" s="1" t="n">
        <v>45662</v>
      </c>
      <c r="D1816" t="inlineStr">
        <is>
          <t>NORRBOTTENS LÄN</t>
        </is>
      </c>
      <c r="E1816" t="inlineStr">
        <is>
          <t>PAJALA</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3902-2020</t>
        </is>
      </c>
      <c r="B1817" s="1" t="n">
        <v>43846</v>
      </c>
      <c r="C1817" s="1" t="n">
        <v>45662</v>
      </c>
      <c r="D1817" t="inlineStr">
        <is>
          <t>NORRBOTTENS LÄN</t>
        </is>
      </c>
      <c r="E1817" t="inlineStr">
        <is>
          <t>ARVIDSJAUR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2439-2020</t>
        </is>
      </c>
      <c r="B1818" s="1" t="n">
        <v>43847</v>
      </c>
      <c r="C1818" s="1" t="n">
        <v>45662</v>
      </c>
      <c r="D1818" t="inlineStr">
        <is>
          <t>NORRBOTTENS LÄN</t>
        </is>
      </c>
      <c r="E1818" t="inlineStr">
        <is>
          <t>HAPARANDA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2558-2020</t>
        </is>
      </c>
      <c r="B1819" s="1" t="n">
        <v>43847</v>
      </c>
      <c r="C1819" s="1" t="n">
        <v>45662</v>
      </c>
      <c r="D1819" t="inlineStr">
        <is>
          <t>NORRBOTTENS LÄN</t>
        </is>
      </c>
      <c r="E1819" t="inlineStr">
        <is>
          <t>LULEÅ</t>
        </is>
      </c>
      <c r="F1819" t="inlineStr">
        <is>
          <t>Kyrkan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2430-2020</t>
        </is>
      </c>
      <c r="B1820" s="1" t="n">
        <v>43847</v>
      </c>
      <c r="C1820" s="1" t="n">
        <v>45662</v>
      </c>
      <c r="D1820" t="inlineStr">
        <is>
          <t>NORRBOTTENS LÄN</t>
        </is>
      </c>
      <c r="E1820" t="inlineStr">
        <is>
          <t>HAPARANDA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2719-2020</t>
        </is>
      </c>
      <c r="B1821" s="1" t="n">
        <v>43850</v>
      </c>
      <c r="C1821" s="1" t="n">
        <v>45662</v>
      </c>
      <c r="D1821" t="inlineStr">
        <is>
          <t>NORRBOTTENS LÄN</t>
        </is>
      </c>
      <c r="E1821" t="inlineStr">
        <is>
          <t>PAJALA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2901-2020</t>
        </is>
      </c>
      <c r="B1822" s="1" t="n">
        <v>43850</v>
      </c>
      <c r="C1822" s="1" t="n">
        <v>45662</v>
      </c>
      <c r="D1822" t="inlineStr">
        <is>
          <t>NORRBOTTENS LÄN</t>
        </is>
      </c>
      <c r="E1822" t="inlineStr">
        <is>
          <t>BODEN</t>
        </is>
      </c>
      <c r="F1822" t="inlineStr">
        <is>
          <t>Övriga statliga verk och myndigheter</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4433-2020</t>
        </is>
      </c>
      <c r="B1823" s="1" t="n">
        <v>43850</v>
      </c>
      <c r="C1823" s="1" t="n">
        <v>45662</v>
      </c>
      <c r="D1823" t="inlineStr">
        <is>
          <t>NORRBOTTENS LÄN</t>
        </is>
      </c>
      <c r="E1823" t="inlineStr">
        <is>
          <t>ARVIDSJAUR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4568-2020</t>
        </is>
      </c>
      <c r="B1824" s="1" t="n">
        <v>43850</v>
      </c>
      <c r="C1824" s="1" t="n">
        <v>45662</v>
      </c>
      <c r="D1824" t="inlineStr">
        <is>
          <t>NORRBOTTENS LÄN</t>
        </is>
      </c>
      <c r="E1824" t="inlineStr">
        <is>
          <t>ARVIDSJAUR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4478-2020</t>
        </is>
      </c>
      <c r="B1825" s="1" t="n">
        <v>43850</v>
      </c>
      <c r="C1825" s="1" t="n">
        <v>45662</v>
      </c>
      <c r="D1825" t="inlineStr">
        <is>
          <t>NORRBOTTENS LÄN</t>
        </is>
      </c>
      <c r="E1825" t="inlineStr">
        <is>
          <t>HAPARANDA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2946-2020</t>
        </is>
      </c>
      <c r="B1826" s="1" t="n">
        <v>43850</v>
      </c>
      <c r="C1826" s="1" t="n">
        <v>45662</v>
      </c>
      <c r="D1826" t="inlineStr">
        <is>
          <t>NORRBOTTENS LÄN</t>
        </is>
      </c>
      <c r="E1826" t="inlineStr">
        <is>
          <t>KALIX</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2894-2020</t>
        </is>
      </c>
      <c r="B1827" s="1" t="n">
        <v>43850</v>
      </c>
      <c r="C1827" s="1" t="n">
        <v>45662</v>
      </c>
      <c r="D1827" t="inlineStr">
        <is>
          <t>NORRBOTTENS LÄN</t>
        </is>
      </c>
      <c r="E1827" t="inlineStr">
        <is>
          <t>BODEN</t>
        </is>
      </c>
      <c r="F1827" t="inlineStr">
        <is>
          <t>Övriga statliga verk och myndigheter</t>
        </is>
      </c>
      <c r="G1827" t="n">
        <v>19.1</v>
      </c>
      <c r="H1827" t="n">
        <v>0</v>
      </c>
      <c r="I1827" t="n">
        <v>0</v>
      </c>
      <c r="J1827" t="n">
        <v>0</v>
      </c>
      <c r="K1827" t="n">
        <v>0</v>
      </c>
      <c r="L1827" t="n">
        <v>0</v>
      </c>
      <c r="M1827" t="n">
        <v>0</v>
      </c>
      <c r="N1827" t="n">
        <v>0</v>
      </c>
      <c r="O1827" t="n">
        <v>0</v>
      </c>
      <c r="P1827" t="n">
        <v>0</v>
      </c>
      <c r="Q1827" t="n">
        <v>0</v>
      </c>
      <c r="R1827" s="2" t="inlineStr"/>
    </row>
    <row r="1828" ht="15" customHeight="1">
      <c r="A1828" t="inlineStr">
        <is>
          <t>A 3336-2020</t>
        </is>
      </c>
      <c r="B1828" s="1" t="n">
        <v>43852</v>
      </c>
      <c r="C1828" s="1" t="n">
        <v>45662</v>
      </c>
      <c r="D1828" t="inlineStr">
        <is>
          <t>NORRBOTTENS LÄN</t>
        </is>
      </c>
      <c r="E1828" t="inlineStr">
        <is>
          <t>HAPARANDA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3412-2020</t>
        </is>
      </c>
      <c r="B1829" s="1" t="n">
        <v>43852</v>
      </c>
      <c r="C1829" s="1" t="n">
        <v>45662</v>
      </c>
      <c r="D1829" t="inlineStr">
        <is>
          <t>NORRBOTTENS LÄN</t>
        </is>
      </c>
      <c r="E1829" t="inlineStr">
        <is>
          <t>HAPARANDA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3303-2020</t>
        </is>
      </c>
      <c r="B1830" s="1" t="n">
        <v>43852</v>
      </c>
      <c r="C1830" s="1" t="n">
        <v>45662</v>
      </c>
      <c r="D1830" t="inlineStr">
        <is>
          <t>NORRBOTTENS LÄN</t>
        </is>
      </c>
      <c r="E1830" t="inlineStr">
        <is>
          <t>LULEÅ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3308-2020</t>
        </is>
      </c>
      <c r="B1831" s="1" t="n">
        <v>43852</v>
      </c>
      <c r="C1831" s="1" t="n">
        <v>45662</v>
      </c>
      <c r="D1831" t="inlineStr">
        <is>
          <t>NORRBOTTENS LÄN</t>
        </is>
      </c>
      <c r="E1831" t="inlineStr">
        <is>
          <t>HAPARANDA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4680-2020</t>
        </is>
      </c>
      <c r="B1832" s="1" t="n">
        <v>43852</v>
      </c>
      <c r="C1832" s="1" t="n">
        <v>45662</v>
      </c>
      <c r="D1832" t="inlineStr">
        <is>
          <t>NORRBOTTENS LÄN</t>
        </is>
      </c>
      <c r="E1832" t="inlineStr">
        <is>
          <t>JOKKMOKK</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4785-2020</t>
        </is>
      </c>
      <c r="B1833" s="1" t="n">
        <v>43852</v>
      </c>
      <c r="C1833" s="1" t="n">
        <v>45662</v>
      </c>
      <c r="D1833" t="inlineStr">
        <is>
          <t>NORRBOTTENS LÄN</t>
        </is>
      </c>
      <c r="E1833" t="inlineStr">
        <is>
          <t>PITEÅ</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4882-2020</t>
        </is>
      </c>
      <c r="B1834" s="1" t="n">
        <v>43852</v>
      </c>
      <c r="C1834" s="1" t="n">
        <v>45662</v>
      </c>
      <c r="D1834" t="inlineStr">
        <is>
          <t>NORRBOTTENS LÄN</t>
        </is>
      </c>
      <c r="E1834" t="inlineStr">
        <is>
          <t>ÖVERTORNEÅ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4667-2020</t>
        </is>
      </c>
      <c r="B1835" s="1" t="n">
        <v>43852</v>
      </c>
      <c r="C1835" s="1" t="n">
        <v>45662</v>
      </c>
      <c r="D1835" t="inlineStr">
        <is>
          <t>NORRBOTTENS LÄN</t>
        </is>
      </c>
      <c r="E1835" t="inlineStr">
        <is>
          <t>ÖVERKALIX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3361-2020</t>
        </is>
      </c>
      <c r="B1836" s="1" t="n">
        <v>43852</v>
      </c>
      <c r="C1836" s="1" t="n">
        <v>45662</v>
      </c>
      <c r="D1836" t="inlineStr">
        <is>
          <t>NORRBOTTENS LÄN</t>
        </is>
      </c>
      <c r="E1836" t="inlineStr">
        <is>
          <t>HAPARANDA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3320-2020</t>
        </is>
      </c>
      <c r="B1837" s="1" t="n">
        <v>43852</v>
      </c>
      <c r="C1837" s="1" t="n">
        <v>45662</v>
      </c>
      <c r="D1837" t="inlineStr">
        <is>
          <t>NORRBOTTENS LÄN</t>
        </is>
      </c>
      <c r="E1837" t="inlineStr">
        <is>
          <t>HAPARANDA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5010-2020</t>
        </is>
      </c>
      <c r="B1838" s="1" t="n">
        <v>43853</v>
      </c>
      <c r="C1838" s="1" t="n">
        <v>45662</v>
      </c>
      <c r="D1838" t="inlineStr">
        <is>
          <t>NORRBOTTENS LÄN</t>
        </is>
      </c>
      <c r="E1838" t="inlineStr">
        <is>
          <t>PAJALA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5146-2020</t>
        </is>
      </c>
      <c r="B1839" s="1" t="n">
        <v>43853</v>
      </c>
      <c r="C1839" s="1" t="n">
        <v>45662</v>
      </c>
      <c r="D1839" t="inlineStr">
        <is>
          <t>NORRBOTTENS LÄN</t>
        </is>
      </c>
      <c r="E1839" t="inlineStr">
        <is>
          <t>PITEÅ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3707-2020</t>
        </is>
      </c>
      <c r="B1840" s="1" t="n">
        <v>43853</v>
      </c>
      <c r="C1840" s="1" t="n">
        <v>45662</v>
      </c>
      <c r="D1840" t="inlineStr">
        <is>
          <t>NORRBOTTENS LÄN</t>
        </is>
      </c>
      <c r="E1840" t="inlineStr">
        <is>
          <t>LULEÅ</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3669-2020</t>
        </is>
      </c>
      <c r="B1841" s="1" t="n">
        <v>43853</v>
      </c>
      <c r="C1841" s="1" t="n">
        <v>45662</v>
      </c>
      <c r="D1841" t="inlineStr">
        <is>
          <t>NORRBOTTENS LÄN</t>
        </is>
      </c>
      <c r="E1841" t="inlineStr">
        <is>
          <t>BODEN</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4997-2020</t>
        </is>
      </c>
      <c r="B1842" s="1" t="n">
        <v>43853</v>
      </c>
      <c r="C1842" s="1" t="n">
        <v>45662</v>
      </c>
      <c r="D1842" t="inlineStr">
        <is>
          <t>NORRBOTTENS LÄN</t>
        </is>
      </c>
      <c r="E1842" t="inlineStr">
        <is>
          <t>PAJALA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4223-2020</t>
        </is>
      </c>
      <c r="B1843" s="1" t="n">
        <v>43854</v>
      </c>
      <c r="C1843" s="1" t="n">
        <v>45662</v>
      </c>
      <c r="D1843" t="inlineStr">
        <is>
          <t>NORRBOTTENS LÄN</t>
        </is>
      </c>
      <c r="E1843" t="inlineStr">
        <is>
          <t>BODEN</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3807-2020</t>
        </is>
      </c>
      <c r="B1844" s="1" t="n">
        <v>43854</v>
      </c>
      <c r="C1844" s="1" t="n">
        <v>45662</v>
      </c>
      <c r="D1844" t="inlineStr">
        <is>
          <t>NORRBOTTENS LÄN</t>
        </is>
      </c>
      <c r="E1844" t="inlineStr">
        <is>
          <t>PITEÅ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5296-2020</t>
        </is>
      </c>
      <c r="B1845" s="1" t="n">
        <v>43854</v>
      </c>
      <c r="C1845" s="1" t="n">
        <v>45662</v>
      </c>
      <c r="D1845" t="inlineStr">
        <is>
          <t>NORRBOTTENS LÄN</t>
        </is>
      </c>
      <c r="E1845" t="inlineStr">
        <is>
          <t>KIRUNA</t>
        </is>
      </c>
      <c r="F1845" t="inlineStr">
        <is>
          <t>Allmännings- och besparingsskogar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4966-2020</t>
        </is>
      </c>
      <c r="B1846" s="1" t="n">
        <v>43857</v>
      </c>
      <c r="C1846" s="1" t="n">
        <v>45662</v>
      </c>
      <c r="D1846" t="inlineStr">
        <is>
          <t>NORRBOTTENS LÄN</t>
        </is>
      </c>
      <c r="E1846" t="inlineStr">
        <is>
          <t>KIRUNA</t>
        </is>
      </c>
      <c r="F1846" t="inlineStr">
        <is>
          <t>Kommuner</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4963-2020</t>
        </is>
      </c>
      <c r="B1847" s="1" t="n">
        <v>43857</v>
      </c>
      <c r="C1847" s="1" t="n">
        <v>45662</v>
      </c>
      <c r="D1847" t="inlineStr">
        <is>
          <t>NORRBOTTENS LÄN</t>
        </is>
      </c>
      <c r="E1847" t="inlineStr">
        <is>
          <t>KIRUNA</t>
        </is>
      </c>
      <c r="F1847" t="inlineStr">
        <is>
          <t>Övriga statliga verk och myndigheter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5276-2020</t>
        </is>
      </c>
      <c r="B1848" s="1" t="n">
        <v>43857</v>
      </c>
      <c r="C1848" s="1" t="n">
        <v>45662</v>
      </c>
      <c r="D1848" t="inlineStr">
        <is>
          <t>NORRBOTTENS LÄN</t>
        </is>
      </c>
      <c r="E1848" t="inlineStr">
        <is>
          <t>ÖVERTORNEÅ</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4962-2020</t>
        </is>
      </c>
      <c r="B1849" s="1" t="n">
        <v>43857</v>
      </c>
      <c r="C1849" s="1" t="n">
        <v>45662</v>
      </c>
      <c r="D1849" t="inlineStr">
        <is>
          <t>NORRBOTTENS LÄN</t>
        </is>
      </c>
      <c r="E1849" t="inlineStr">
        <is>
          <t>KIRUNA</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5469-2020</t>
        </is>
      </c>
      <c r="B1850" s="1" t="n">
        <v>43858</v>
      </c>
      <c r="C1850" s="1" t="n">
        <v>45662</v>
      </c>
      <c r="D1850" t="inlineStr">
        <is>
          <t>NORRBOTTENS LÄN</t>
        </is>
      </c>
      <c r="E1850" t="inlineStr">
        <is>
          <t>ÖVERTORNEÅ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4725-2020</t>
        </is>
      </c>
      <c r="B1851" s="1" t="n">
        <v>43858</v>
      </c>
      <c r="C1851" s="1" t="n">
        <v>45662</v>
      </c>
      <c r="D1851" t="inlineStr">
        <is>
          <t>NORRBOTTENS LÄN</t>
        </is>
      </c>
      <c r="E1851" t="inlineStr">
        <is>
          <t>ÖVERTORNEÅ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5463-2020</t>
        </is>
      </c>
      <c r="B1852" s="1" t="n">
        <v>43858</v>
      </c>
      <c r="C1852" s="1" t="n">
        <v>45662</v>
      </c>
      <c r="D1852" t="inlineStr">
        <is>
          <t>NORRBOTTENS LÄN</t>
        </is>
      </c>
      <c r="E1852" t="inlineStr">
        <is>
          <t>ÖVERTORNEÅ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4793-2020</t>
        </is>
      </c>
      <c r="B1853" s="1" t="n">
        <v>43859</v>
      </c>
      <c r="C1853" s="1" t="n">
        <v>45662</v>
      </c>
      <c r="D1853" t="inlineStr">
        <is>
          <t>NORRBOTTENS LÄN</t>
        </is>
      </c>
      <c r="E1853" t="inlineStr">
        <is>
          <t>PITEÅ</t>
        </is>
      </c>
      <c r="F1853" t="inlineStr">
        <is>
          <t>Kommuner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4795-2020</t>
        </is>
      </c>
      <c r="B1854" s="1" t="n">
        <v>43859</v>
      </c>
      <c r="C1854" s="1" t="n">
        <v>45662</v>
      </c>
      <c r="D1854" t="inlineStr">
        <is>
          <t>NORRBOTTENS LÄN</t>
        </is>
      </c>
      <c r="E1854" t="inlineStr">
        <is>
          <t>PITEÅ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5014-2020</t>
        </is>
      </c>
      <c r="B1855" s="1" t="n">
        <v>43859</v>
      </c>
      <c r="C1855" s="1" t="n">
        <v>45662</v>
      </c>
      <c r="D1855" t="inlineStr">
        <is>
          <t>NORRBOTTENS LÄN</t>
        </is>
      </c>
      <c r="E1855" t="inlineStr">
        <is>
          <t>PITEÅ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5526-2020</t>
        </is>
      </c>
      <c r="B1856" s="1" t="n">
        <v>43859</v>
      </c>
      <c r="C1856" s="1" t="n">
        <v>45662</v>
      </c>
      <c r="D1856" t="inlineStr">
        <is>
          <t>NORRBOTTENS LÄN</t>
        </is>
      </c>
      <c r="E1856" t="inlineStr">
        <is>
          <t>BODEN</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5471-2020</t>
        </is>
      </c>
      <c r="B1857" s="1" t="n">
        <v>43859</v>
      </c>
      <c r="C1857" s="1" t="n">
        <v>45662</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5475-2020</t>
        </is>
      </c>
      <c r="B1858" s="1" t="n">
        <v>43859</v>
      </c>
      <c r="C1858" s="1" t="n">
        <v>45662</v>
      </c>
      <c r="D1858" t="inlineStr">
        <is>
          <t>NORRBOTTENS LÄN</t>
        </is>
      </c>
      <c r="E1858" t="inlineStr">
        <is>
          <t>PITEÅ</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5322-2020</t>
        </is>
      </c>
      <c r="B1859" s="1" t="n">
        <v>43860</v>
      </c>
      <c r="C1859" s="1" t="n">
        <v>45662</v>
      </c>
      <c r="D1859" t="inlineStr">
        <is>
          <t>NORRBOTTENS LÄN</t>
        </is>
      </c>
      <c r="E1859" t="inlineStr">
        <is>
          <t>LULEÅ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5267-2020</t>
        </is>
      </c>
      <c r="B1860" s="1" t="n">
        <v>43860</v>
      </c>
      <c r="C1860" s="1" t="n">
        <v>45662</v>
      </c>
      <c r="D1860" t="inlineStr">
        <is>
          <t>NORRBOTTENS LÄN</t>
        </is>
      </c>
      <c r="E1860" t="inlineStr">
        <is>
          <t>PITEÅ</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5361-2020</t>
        </is>
      </c>
      <c r="B1861" s="1" t="n">
        <v>43860</v>
      </c>
      <c r="C1861" s="1" t="n">
        <v>45662</v>
      </c>
      <c r="D1861" t="inlineStr">
        <is>
          <t>NORRBOTTENS LÄN</t>
        </is>
      </c>
      <c r="E1861" t="inlineStr">
        <is>
          <t>ÖVERKALIX</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5419-2020</t>
        </is>
      </c>
      <c r="B1862" s="1" t="n">
        <v>43860</v>
      </c>
      <c r="C1862" s="1" t="n">
        <v>45662</v>
      </c>
      <c r="D1862" t="inlineStr">
        <is>
          <t>NORRBOTTENS LÄN</t>
        </is>
      </c>
      <c r="E1862" t="inlineStr">
        <is>
          <t>LULEÅ</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5853-2020</t>
        </is>
      </c>
      <c r="B1863" s="1" t="n">
        <v>43861</v>
      </c>
      <c r="C1863" s="1" t="n">
        <v>45662</v>
      </c>
      <c r="D1863" t="inlineStr">
        <is>
          <t>NORRBOTTENS LÄN</t>
        </is>
      </c>
      <c r="E1863" t="inlineStr">
        <is>
          <t>PAJALA</t>
        </is>
      </c>
      <c r="G1863" t="n">
        <v>13.9</v>
      </c>
      <c r="H1863" t="n">
        <v>0</v>
      </c>
      <c r="I1863" t="n">
        <v>0</v>
      </c>
      <c r="J1863" t="n">
        <v>0</v>
      </c>
      <c r="K1863" t="n">
        <v>0</v>
      </c>
      <c r="L1863" t="n">
        <v>0</v>
      </c>
      <c r="M1863" t="n">
        <v>0</v>
      </c>
      <c r="N1863" t="n">
        <v>0</v>
      </c>
      <c r="O1863" t="n">
        <v>0</v>
      </c>
      <c r="P1863" t="n">
        <v>0</v>
      </c>
      <c r="Q1863" t="n">
        <v>0</v>
      </c>
      <c r="R1863" s="2" t="inlineStr"/>
    </row>
    <row r="1864" ht="15" customHeight="1">
      <c r="A1864" t="inlineStr">
        <is>
          <t>A 5892-2020</t>
        </is>
      </c>
      <c r="B1864" s="1" t="n">
        <v>43861</v>
      </c>
      <c r="C1864" s="1" t="n">
        <v>45662</v>
      </c>
      <c r="D1864" t="inlineStr">
        <is>
          <t>NORRBOTTENS LÄN</t>
        </is>
      </c>
      <c r="E1864" t="inlineStr">
        <is>
          <t>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18460-2020</t>
        </is>
      </c>
      <c r="B1865" s="1" t="n">
        <v>43861</v>
      </c>
      <c r="C1865" s="1" t="n">
        <v>45662</v>
      </c>
      <c r="D1865" t="inlineStr">
        <is>
          <t>NORRBOTTENS LÄN</t>
        </is>
      </c>
      <c r="E1865" t="inlineStr">
        <is>
          <t>PAJALA</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5844-2020</t>
        </is>
      </c>
      <c r="B1866" s="1" t="n">
        <v>43861</v>
      </c>
      <c r="C1866" s="1" t="n">
        <v>45662</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5873-2020</t>
        </is>
      </c>
      <c r="B1867" s="1" t="n">
        <v>43861</v>
      </c>
      <c r="C1867" s="1" t="n">
        <v>45662</v>
      </c>
      <c r="D1867" t="inlineStr">
        <is>
          <t>NORRBOTTENS LÄN</t>
        </is>
      </c>
      <c r="E1867" t="inlineStr">
        <is>
          <t>HAPARANDA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5784-2020</t>
        </is>
      </c>
      <c r="B1868" s="1" t="n">
        <v>43864</v>
      </c>
      <c r="C1868" s="1" t="n">
        <v>45662</v>
      </c>
      <c r="D1868" t="inlineStr">
        <is>
          <t>NORRBOTTENS LÄN</t>
        </is>
      </c>
      <c r="E1868" t="inlineStr">
        <is>
          <t>ÖVERTORNEÅ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5782-2020</t>
        </is>
      </c>
      <c r="B1869" s="1" t="n">
        <v>43864</v>
      </c>
      <c r="C1869" s="1" t="n">
        <v>45662</v>
      </c>
      <c r="D1869" t="inlineStr">
        <is>
          <t>NORRBOTTENS LÄN</t>
        </is>
      </c>
      <c r="E1869" t="inlineStr">
        <is>
          <t>ÖVERTORNEÅ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6132-2020</t>
        </is>
      </c>
      <c r="B1870" s="1" t="n">
        <v>43864</v>
      </c>
      <c r="C1870" s="1" t="n">
        <v>45662</v>
      </c>
      <c r="D1870" t="inlineStr">
        <is>
          <t>NORRBOTTENS LÄN</t>
        </is>
      </c>
      <c r="E1870" t="inlineStr">
        <is>
          <t>ÖVERTORNEÅ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6131-2020</t>
        </is>
      </c>
      <c r="B1871" s="1" t="n">
        <v>43864</v>
      </c>
      <c r="C1871" s="1" t="n">
        <v>45662</v>
      </c>
      <c r="D1871" t="inlineStr">
        <is>
          <t>NORRBOTTENS LÄN</t>
        </is>
      </c>
      <c r="E1871" t="inlineStr">
        <is>
          <t>ÖVERTORNEÅ</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6093-2020</t>
        </is>
      </c>
      <c r="B1872" s="1" t="n">
        <v>43864</v>
      </c>
      <c r="C1872" s="1" t="n">
        <v>45662</v>
      </c>
      <c r="D1872" t="inlineStr">
        <is>
          <t>NORRBOTTENS LÄN</t>
        </is>
      </c>
      <c r="E1872" t="inlineStr">
        <is>
          <t>KALIX</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6218-2020</t>
        </is>
      </c>
      <c r="B1873" s="1" t="n">
        <v>43865</v>
      </c>
      <c r="C1873" s="1" t="n">
        <v>45662</v>
      </c>
      <c r="D1873" t="inlineStr">
        <is>
          <t>NORRBOTTENS LÄN</t>
        </is>
      </c>
      <c r="E1873" t="inlineStr">
        <is>
          <t>KALIX</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6516-2020</t>
        </is>
      </c>
      <c r="B1874" s="1" t="n">
        <v>43865</v>
      </c>
      <c r="C1874" s="1" t="n">
        <v>45662</v>
      </c>
      <c r="D1874" t="inlineStr">
        <is>
          <t>NORRBOTTENS LÄN</t>
        </is>
      </c>
      <c r="E1874" t="inlineStr">
        <is>
          <t>BODEN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6350-2020</t>
        </is>
      </c>
      <c r="B1875" s="1" t="n">
        <v>43866</v>
      </c>
      <c r="C1875" s="1" t="n">
        <v>45662</v>
      </c>
      <c r="D1875" t="inlineStr">
        <is>
          <t>NORRBOTTENS LÄN</t>
        </is>
      </c>
      <c r="E1875" t="inlineStr">
        <is>
          <t>KALIX</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6644-2020</t>
        </is>
      </c>
      <c r="B1876" s="1" t="n">
        <v>43867</v>
      </c>
      <c r="C1876" s="1" t="n">
        <v>45662</v>
      </c>
      <c r="D1876" t="inlineStr">
        <is>
          <t>NORRBOTTENS LÄN</t>
        </is>
      </c>
      <c r="E1876" t="inlineStr">
        <is>
          <t>LULEÅ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6641-2020</t>
        </is>
      </c>
      <c r="B1877" s="1" t="n">
        <v>43867</v>
      </c>
      <c r="C1877" s="1" t="n">
        <v>45662</v>
      </c>
      <c r="D1877" t="inlineStr">
        <is>
          <t>NORRBOTTENS LÄN</t>
        </is>
      </c>
      <c r="E1877" t="inlineStr">
        <is>
          <t>LULEÅ</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6878-2020</t>
        </is>
      </c>
      <c r="B1878" s="1" t="n">
        <v>43867</v>
      </c>
      <c r="C1878" s="1" t="n">
        <v>45662</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6889-2020</t>
        </is>
      </c>
      <c r="B1879" s="1" t="n">
        <v>43867</v>
      </c>
      <c r="C1879" s="1" t="n">
        <v>45662</v>
      </c>
      <c r="D1879" t="inlineStr">
        <is>
          <t>NORRBOTTENS LÄN</t>
        </is>
      </c>
      <c r="E1879" t="inlineStr">
        <is>
          <t>HAPARANDA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7015-2020</t>
        </is>
      </c>
      <c r="B1880" s="1" t="n">
        <v>43867</v>
      </c>
      <c r="C1880" s="1" t="n">
        <v>45662</v>
      </c>
      <c r="D1880" t="inlineStr">
        <is>
          <t>NORRBOTTENS LÄN</t>
        </is>
      </c>
      <c r="E1880" t="inlineStr">
        <is>
          <t>PAJALA</t>
        </is>
      </c>
      <c r="F1880" t="inlineStr">
        <is>
          <t>Allmännings- och besparingsskogar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7019-2020</t>
        </is>
      </c>
      <c r="B1881" s="1" t="n">
        <v>43868</v>
      </c>
      <c r="C1881" s="1" t="n">
        <v>45662</v>
      </c>
      <c r="D1881" t="inlineStr">
        <is>
          <t>NORRBOTTENS LÄN</t>
        </is>
      </c>
      <c r="E1881" t="inlineStr">
        <is>
          <t>ÄLVSBYN</t>
        </is>
      </c>
      <c r="F1881" t="inlineStr">
        <is>
          <t>Övriga Aktiebolag</t>
        </is>
      </c>
      <c r="G1881" t="n">
        <v>16.3</v>
      </c>
      <c r="H1881" t="n">
        <v>0</v>
      </c>
      <c r="I1881" t="n">
        <v>0</v>
      </c>
      <c r="J1881" t="n">
        <v>0</v>
      </c>
      <c r="K1881" t="n">
        <v>0</v>
      </c>
      <c r="L1881" t="n">
        <v>0</v>
      </c>
      <c r="M1881" t="n">
        <v>0</v>
      </c>
      <c r="N1881" t="n">
        <v>0</v>
      </c>
      <c r="O1881" t="n">
        <v>0</v>
      </c>
      <c r="P1881" t="n">
        <v>0</v>
      </c>
      <c r="Q1881" t="n">
        <v>0</v>
      </c>
      <c r="R1881" s="2" t="inlineStr"/>
    </row>
    <row r="1882" ht="15" customHeight="1">
      <c r="A1882" t="inlineStr">
        <is>
          <t>A 7295-2020</t>
        </is>
      </c>
      <c r="B1882" s="1" t="n">
        <v>43868</v>
      </c>
      <c r="C1882" s="1" t="n">
        <v>45662</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7263-2020</t>
        </is>
      </c>
      <c r="B1883" s="1" t="n">
        <v>43868</v>
      </c>
      <c r="C1883" s="1" t="n">
        <v>45662</v>
      </c>
      <c r="D1883" t="inlineStr">
        <is>
          <t>NORRBOTTENS LÄN</t>
        </is>
      </c>
      <c r="E1883" t="inlineStr">
        <is>
          <t>PITEÅ</t>
        </is>
      </c>
      <c r="G1883" t="n">
        <v>21.5</v>
      </c>
      <c r="H1883" t="n">
        <v>0</v>
      </c>
      <c r="I1883" t="n">
        <v>0</v>
      </c>
      <c r="J1883" t="n">
        <v>0</v>
      </c>
      <c r="K1883" t="n">
        <v>0</v>
      </c>
      <c r="L1883" t="n">
        <v>0</v>
      </c>
      <c r="M1883" t="n">
        <v>0</v>
      </c>
      <c r="N1883" t="n">
        <v>0</v>
      </c>
      <c r="O1883" t="n">
        <v>0</v>
      </c>
      <c r="P1883" t="n">
        <v>0</v>
      </c>
      <c r="Q1883" t="n">
        <v>0</v>
      </c>
      <c r="R1883" s="2" t="inlineStr"/>
    </row>
    <row r="1884" ht="15" customHeight="1">
      <c r="A1884" t="inlineStr">
        <is>
          <t>A 7299-2020</t>
        </is>
      </c>
      <c r="B1884" s="1" t="n">
        <v>43868</v>
      </c>
      <c r="C1884" s="1" t="n">
        <v>45662</v>
      </c>
      <c r="D1884" t="inlineStr">
        <is>
          <t>NORRBOTTENS LÄN</t>
        </is>
      </c>
      <c r="E1884" t="inlineStr">
        <is>
          <t>LULEÅ</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7137-2020</t>
        </is>
      </c>
      <c r="B1885" s="1" t="n">
        <v>43869</v>
      </c>
      <c r="C1885" s="1" t="n">
        <v>45662</v>
      </c>
      <c r="D1885" t="inlineStr">
        <is>
          <t>NORRBOTTENS LÄN</t>
        </is>
      </c>
      <c r="E1885" t="inlineStr">
        <is>
          <t>LULEÅ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7559-2020</t>
        </is>
      </c>
      <c r="B1886" s="1" t="n">
        <v>43871</v>
      </c>
      <c r="C1886" s="1" t="n">
        <v>45662</v>
      </c>
      <c r="D1886" t="inlineStr">
        <is>
          <t>NORRBOTTENS LÄN</t>
        </is>
      </c>
      <c r="E1886" t="inlineStr">
        <is>
          <t>LULEÅ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7525-2020</t>
        </is>
      </c>
      <c r="B1887" s="1" t="n">
        <v>43872</v>
      </c>
      <c r="C1887" s="1" t="n">
        <v>45662</v>
      </c>
      <c r="D1887" t="inlineStr">
        <is>
          <t>NORRBOTTENS LÄN</t>
        </is>
      </c>
      <c r="E1887" t="inlineStr">
        <is>
          <t>KALIX</t>
        </is>
      </c>
      <c r="F1887" t="inlineStr">
        <is>
          <t>Övriga statliga verk och myndigheter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8041-2020</t>
        </is>
      </c>
      <c r="B1888" s="1" t="n">
        <v>43873</v>
      </c>
      <c r="C1888" s="1" t="n">
        <v>45662</v>
      </c>
      <c r="D1888" t="inlineStr">
        <is>
          <t>NORRBOTTENS LÄN</t>
        </is>
      </c>
      <c r="E1888" t="inlineStr">
        <is>
          <t>ÖVERTORNEÅ</t>
        </is>
      </c>
      <c r="G1888" t="n">
        <v>27.6</v>
      </c>
      <c r="H1888" t="n">
        <v>0</v>
      </c>
      <c r="I1888" t="n">
        <v>0</v>
      </c>
      <c r="J1888" t="n">
        <v>0</v>
      </c>
      <c r="K1888" t="n">
        <v>0</v>
      </c>
      <c r="L1888" t="n">
        <v>0</v>
      </c>
      <c r="M1888" t="n">
        <v>0</v>
      </c>
      <c r="N1888" t="n">
        <v>0</v>
      </c>
      <c r="O1888" t="n">
        <v>0</v>
      </c>
      <c r="P1888" t="n">
        <v>0</v>
      </c>
      <c r="Q1888" t="n">
        <v>0</v>
      </c>
      <c r="R1888" s="2" t="inlineStr"/>
    </row>
    <row r="1889" ht="15" customHeight="1">
      <c r="A1889" t="inlineStr">
        <is>
          <t>A 8096-2020</t>
        </is>
      </c>
      <c r="B1889" s="1" t="n">
        <v>43874</v>
      </c>
      <c r="C1889" s="1" t="n">
        <v>45662</v>
      </c>
      <c r="D1889" t="inlineStr">
        <is>
          <t>NORRBOTTENS LÄN</t>
        </is>
      </c>
      <c r="E1889" t="inlineStr">
        <is>
          <t>BODEN</t>
        </is>
      </c>
      <c r="F1889" t="inlineStr">
        <is>
          <t>Övriga statliga verk och myndigheter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8046-2020</t>
        </is>
      </c>
      <c r="B1890" s="1" t="n">
        <v>43874</v>
      </c>
      <c r="C1890" s="1" t="n">
        <v>45662</v>
      </c>
      <c r="D1890" t="inlineStr">
        <is>
          <t>NORRBOTTENS LÄN</t>
        </is>
      </c>
      <c r="E1890" t="inlineStr">
        <is>
          <t>PITEÅ</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8582-2020</t>
        </is>
      </c>
      <c r="B1891" s="1" t="n">
        <v>43875</v>
      </c>
      <c r="C1891" s="1" t="n">
        <v>45662</v>
      </c>
      <c r="D1891" t="inlineStr">
        <is>
          <t>NORRBOTTENS LÄN</t>
        </is>
      </c>
      <c r="E1891" t="inlineStr">
        <is>
          <t>ÖVERKALIX</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8575-2020</t>
        </is>
      </c>
      <c r="B1892" s="1" t="n">
        <v>43875</v>
      </c>
      <c r="C1892" s="1" t="n">
        <v>45662</v>
      </c>
      <c r="D1892" t="inlineStr">
        <is>
          <t>NORRBOTTENS LÄN</t>
        </is>
      </c>
      <c r="E1892" t="inlineStr">
        <is>
          <t>GÄLLIVARE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8572-2020</t>
        </is>
      </c>
      <c r="B1893" s="1" t="n">
        <v>43875</v>
      </c>
      <c r="C1893" s="1" t="n">
        <v>45662</v>
      </c>
      <c r="D1893" t="inlineStr">
        <is>
          <t>NORRBOTTENS LÄN</t>
        </is>
      </c>
      <c r="E1893" t="inlineStr">
        <is>
          <t>GÄLLIVARE</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8617-2020</t>
        </is>
      </c>
      <c r="B1894" s="1" t="n">
        <v>43875</v>
      </c>
      <c r="C1894" s="1" t="n">
        <v>45662</v>
      </c>
      <c r="D1894" t="inlineStr">
        <is>
          <t>NORRBOTTENS LÄN</t>
        </is>
      </c>
      <c r="E1894" t="inlineStr">
        <is>
          <t>LULEÅ</t>
        </is>
      </c>
      <c r="G1894" t="n">
        <v>21.8</v>
      </c>
      <c r="H1894" t="n">
        <v>0</v>
      </c>
      <c r="I1894" t="n">
        <v>0</v>
      </c>
      <c r="J1894" t="n">
        <v>0</v>
      </c>
      <c r="K1894" t="n">
        <v>0</v>
      </c>
      <c r="L1894" t="n">
        <v>0</v>
      </c>
      <c r="M1894" t="n">
        <v>0</v>
      </c>
      <c r="N1894" t="n">
        <v>0</v>
      </c>
      <c r="O1894" t="n">
        <v>0</v>
      </c>
      <c r="P1894" t="n">
        <v>0</v>
      </c>
      <c r="Q1894" t="n">
        <v>0</v>
      </c>
      <c r="R1894" s="2" t="inlineStr"/>
    </row>
    <row r="1895" ht="15" customHeight="1">
      <c r="A1895" t="inlineStr">
        <is>
          <t>A 8650-2020</t>
        </is>
      </c>
      <c r="B1895" s="1" t="n">
        <v>43878</v>
      </c>
      <c r="C1895" s="1" t="n">
        <v>45662</v>
      </c>
      <c r="D1895" t="inlineStr">
        <is>
          <t>NORRBOTTENS LÄN</t>
        </is>
      </c>
      <c r="E1895" t="inlineStr">
        <is>
          <t>PITEÅ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9111-2020</t>
        </is>
      </c>
      <c r="B1896" s="1" t="n">
        <v>43879</v>
      </c>
      <c r="C1896" s="1" t="n">
        <v>45662</v>
      </c>
      <c r="D1896" t="inlineStr">
        <is>
          <t>NORRBOTTENS LÄN</t>
        </is>
      </c>
      <c r="E1896" t="inlineStr">
        <is>
          <t>HAPARANDA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9110-2020</t>
        </is>
      </c>
      <c r="B1897" s="1" t="n">
        <v>43879</v>
      </c>
      <c r="C1897" s="1" t="n">
        <v>45662</v>
      </c>
      <c r="D1897" t="inlineStr">
        <is>
          <t>NORRBOTTENS LÄN</t>
        </is>
      </c>
      <c r="E1897" t="inlineStr">
        <is>
          <t>HAPARANDA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9108-2020</t>
        </is>
      </c>
      <c r="B1898" s="1" t="n">
        <v>43879</v>
      </c>
      <c r="C1898" s="1" t="n">
        <v>45662</v>
      </c>
      <c r="D1898" t="inlineStr">
        <is>
          <t>NORRBOTTENS LÄN</t>
        </is>
      </c>
      <c r="E1898" t="inlineStr">
        <is>
          <t>HAPARANDA</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9376-2020</t>
        </is>
      </c>
      <c r="B1899" s="1" t="n">
        <v>43880</v>
      </c>
      <c r="C1899" s="1" t="n">
        <v>45662</v>
      </c>
      <c r="D1899" t="inlineStr">
        <is>
          <t>NORRBOTTENS LÄN</t>
        </is>
      </c>
      <c r="E1899" t="inlineStr">
        <is>
          <t>ARVIDSJAUR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9596-2020</t>
        </is>
      </c>
      <c r="B1900" s="1" t="n">
        <v>43880</v>
      </c>
      <c r="C1900" s="1" t="n">
        <v>45662</v>
      </c>
      <c r="D1900" t="inlineStr">
        <is>
          <t>NORRBOTTENS LÄN</t>
        </is>
      </c>
      <c r="E1900" t="inlineStr">
        <is>
          <t>ARVIDSJAUR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9543-2020</t>
        </is>
      </c>
      <c r="B1901" s="1" t="n">
        <v>43880</v>
      </c>
      <c r="C1901" s="1" t="n">
        <v>45662</v>
      </c>
      <c r="D1901" t="inlineStr">
        <is>
          <t>NORRBOTTENS LÄN</t>
        </is>
      </c>
      <c r="E1901" t="inlineStr">
        <is>
          <t>PITEÅ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9529-2020</t>
        </is>
      </c>
      <c r="B1902" s="1" t="n">
        <v>43880</v>
      </c>
      <c r="C1902" s="1" t="n">
        <v>45662</v>
      </c>
      <c r="D1902" t="inlineStr">
        <is>
          <t>NORRBOTTENS LÄN</t>
        </is>
      </c>
      <c r="E1902" t="inlineStr">
        <is>
          <t>PITEÅ</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9871-2020</t>
        </is>
      </c>
      <c r="B1903" s="1" t="n">
        <v>43881</v>
      </c>
      <c r="C1903" s="1" t="n">
        <v>45662</v>
      </c>
      <c r="D1903" t="inlineStr">
        <is>
          <t>NORRBOTTENS LÄN</t>
        </is>
      </c>
      <c r="E1903" t="inlineStr">
        <is>
          <t>ARVIDSJAUR</t>
        </is>
      </c>
      <c r="F1903" t="inlineStr">
        <is>
          <t>Allmännings- och besparingsskogar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10644-2020</t>
        </is>
      </c>
      <c r="B1904" s="1" t="n">
        <v>43887</v>
      </c>
      <c r="C1904" s="1" t="n">
        <v>45662</v>
      </c>
      <c r="D1904" t="inlineStr">
        <is>
          <t>NORRBOTTENS LÄN</t>
        </is>
      </c>
      <c r="E1904" t="inlineStr">
        <is>
          <t>LULEÅ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10591-2020</t>
        </is>
      </c>
      <c r="B1905" s="1" t="n">
        <v>43887</v>
      </c>
      <c r="C1905" s="1" t="n">
        <v>45662</v>
      </c>
      <c r="D1905" t="inlineStr">
        <is>
          <t>NORRBOTTENS LÄN</t>
        </is>
      </c>
      <c r="E1905" t="inlineStr">
        <is>
          <t>BODEN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11758-2020</t>
        </is>
      </c>
      <c r="B1906" s="1" t="n">
        <v>43887</v>
      </c>
      <c r="C1906" s="1" t="n">
        <v>45662</v>
      </c>
      <c r="D1906" t="inlineStr">
        <is>
          <t>NORRBOTTENS LÄN</t>
        </is>
      </c>
      <c r="E1906" t="inlineStr">
        <is>
          <t>GÄLLIVARE</t>
        </is>
      </c>
      <c r="F1906" t="inlineStr">
        <is>
          <t>Övriga statliga verk och myndigheter</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10820-2020</t>
        </is>
      </c>
      <c r="B1907" s="1" t="n">
        <v>43888</v>
      </c>
      <c r="C1907" s="1" t="n">
        <v>45662</v>
      </c>
      <c r="D1907" t="inlineStr">
        <is>
          <t>NORRBOTTENS LÄN</t>
        </is>
      </c>
      <c r="E1907" t="inlineStr">
        <is>
          <t>ÖVERKALIX</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10819-2020</t>
        </is>
      </c>
      <c r="B1908" s="1" t="n">
        <v>43888</v>
      </c>
      <c r="C1908" s="1" t="n">
        <v>45662</v>
      </c>
      <c r="D1908" t="inlineStr">
        <is>
          <t>NORRBOTTENS LÄN</t>
        </is>
      </c>
      <c r="E1908" t="inlineStr">
        <is>
          <t>ÖVERKALIX</t>
        </is>
      </c>
      <c r="F1908" t="inlineStr">
        <is>
          <t>Sveaskog</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11964-2020</t>
        </is>
      </c>
      <c r="B1909" s="1" t="n">
        <v>43889</v>
      </c>
      <c r="C1909" s="1" t="n">
        <v>45662</v>
      </c>
      <c r="D1909" t="inlineStr">
        <is>
          <t>NORRBOTTENS LÄN</t>
        </is>
      </c>
      <c r="E1909" t="inlineStr">
        <is>
          <t>PITEÅ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11136-2020</t>
        </is>
      </c>
      <c r="B1910" s="1" t="n">
        <v>43890</v>
      </c>
      <c r="C1910" s="1" t="n">
        <v>45662</v>
      </c>
      <c r="D1910" t="inlineStr">
        <is>
          <t>NORRBOTTENS LÄN</t>
        </is>
      </c>
      <c r="E1910" t="inlineStr">
        <is>
          <t>GÄLLIVARE</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12491-2020</t>
        </is>
      </c>
      <c r="B1911" s="1" t="n">
        <v>43892</v>
      </c>
      <c r="C1911" s="1" t="n">
        <v>45662</v>
      </c>
      <c r="D1911" t="inlineStr">
        <is>
          <t>NORRBOTTENS LÄN</t>
        </is>
      </c>
      <c r="E1911" t="inlineStr">
        <is>
          <t>ÖVERKALIX</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11303-2020</t>
        </is>
      </c>
      <c r="B1912" s="1" t="n">
        <v>43892</v>
      </c>
      <c r="C1912" s="1" t="n">
        <v>45662</v>
      </c>
      <c r="D1912" t="inlineStr">
        <is>
          <t>NORRBOTTENS LÄN</t>
        </is>
      </c>
      <c r="E1912" t="inlineStr">
        <is>
          <t>ARJEPLOG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12438-2020</t>
        </is>
      </c>
      <c r="B1913" s="1" t="n">
        <v>43892</v>
      </c>
      <c r="C1913" s="1" t="n">
        <v>45662</v>
      </c>
      <c r="D1913" t="inlineStr">
        <is>
          <t>NORRBOTTENS LÄN</t>
        </is>
      </c>
      <c r="E1913" t="inlineStr">
        <is>
          <t>KALIX</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12480-2020</t>
        </is>
      </c>
      <c r="B1914" s="1" t="n">
        <v>43892</v>
      </c>
      <c r="C1914" s="1" t="n">
        <v>45662</v>
      </c>
      <c r="D1914" t="inlineStr">
        <is>
          <t>NORRBOTTENS LÄN</t>
        </is>
      </c>
      <c r="E1914" t="inlineStr">
        <is>
          <t>PAJALA</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11584-2020</t>
        </is>
      </c>
      <c r="B1915" s="1" t="n">
        <v>43893</v>
      </c>
      <c r="C1915" s="1" t="n">
        <v>45662</v>
      </c>
      <c r="D1915" t="inlineStr">
        <is>
          <t>NORRBOTTENS LÄN</t>
        </is>
      </c>
      <c r="E1915" t="inlineStr">
        <is>
          <t>KALIX</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13390-2020</t>
        </is>
      </c>
      <c r="B1916" s="1" t="n">
        <v>43894</v>
      </c>
      <c r="C1916" s="1" t="n">
        <v>45662</v>
      </c>
      <c r="D1916" t="inlineStr">
        <is>
          <t>NORRBOTTENS LÄN</t>
        </is>
      </c>
      <c r="E1916" t="inlineStr">
        <is>
          <t>ARVIDSJAUR</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12118-2020</t>
        </is>
      </c>
      <c r="B1917" s="1" t="n">
        <v>43895</v>
      </c>
      <c r="C1917" s="1" t="n">
        <v>45662</v>
      </c>
      <c r="D1917" t="inlineStr">
        <is>
          <t>NORRBOTTENS LÄN</t>
        </is>
      </c>
      <c r="E1917" t="inlineStr">
        <is>
          <t>PAJALA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12111-2020</t>
        </is>
      </c>
      <c r="B1918" s="1" t="n">
        <v>43895</v>
      </c>
      <c r="C1918" s="1" t="n">
        <v>45662</v>
      </c>
      <c r="D1918" t="inlineStr">
        <is>
          <t>NORRBOTTENS LÄN</t>
        </is>
      </c>
      <c r="E1918" t="inlineStr">
        <is>
          <t>PAJALA</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12326-2020</t>
        </is>
      </c>
      <c r="B1919" s="1" t="n">
        <v>43895</v>
      </c>
      <c r="C1919" s="1" t="n">
        <v>45662</v>
      </c>
      <c r="D1919" t="inlineStr">
        <is>
          <t>NORRBOTTENS LÄN</t>
        </is>
      </c>
      <c r="E1919" t="inlineStr">
        <is>
          <t>LULEÅ</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12328-2020</t>
        </is>
      </c>
      <c r="B1920" s="1" t="n">
        <v>43895</v>
      </c>
      <c r="C1920" s="1" t="n">
        <v>45662</v>
      </c>
      <c r="D1920" t="inlineStr">
        <is>
          <t>NORRBOTTENS LÄN</t>
        </is>
      </c>
      <c r="E1920" t="inlineStr">
        <is>
          <t>KALIX</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12332-2020</t>
        </is>
      </c>
      <c r="B1921" s="1" t="n">
        <v>43895</v>
      </c>
      <c r="C1921" s="1" t="n">
        <v>45662</v>
      </c>
      <c r="D1921" t="inlineStr">
        <is>
          <t>NORRBOTTENS LÄN</t>
        </is>
      </c>
      <c r="E1921" t="inlineStr">
        <is>
          <t>KALIX</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12337-2020</t>
        </is>
      </c>
      <c r="B1922" s="1" t="n">
        <v>43895</v>
      </c>
      <c r="C1922" s="1" t="n">
        <v>45662</v>
      </c>
      <c r="D1922" t="inlineStr">
        <is>
          <t>NORRBOTTENS LÄN</t>
        </is>
      </c>
      <c r="E1922" t="inlineStr">
        <is>
          <t>PITEÅ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12327-2020</t>
        </is>
      </c>
      <c r="B1923" s="1" t="n">
        <v>43895</v>
      </c>
      <c r="C1923" s="1" t="n">
        <v>45662</v>
      </c>
      <c r="D1923" t="inlineStr">
        <is>
          <t>NORRBOTTENS LÄN</t>
        </is>
      </c>
      <c r="E1923" t="inlineStr">
        <is>
          <t>KALIX</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12331-2020</t>
        </is>
      </c>
      <c r="B1924" s="1" t="n">
        <v>43895</v>
      </c>
      <c r="C1924" s="1" t="n">
        <v>45662</v>
      </c>
      <c r="D1924" t="inlineStr">
        <is>
          <t>NORRBOTTENS LÄN</t>
        </is>
      </c>
      <c r="E1924" t="inlineStr">
        <is>
          <t>KALIX</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12325-2020</t>
        </is>
      </c>
      <c r="B1925" s="1" t="n">
        <v>43895</v>
      </c>
      <c r="C1925" s="1" t="n">
        <v>45662</v>
      </c>
      <c r="D1925" t="inlineStr">
        <is>
          <t>NORRBOTTENS LÄN</t>
        </is>
      </c>
      <c r="E1925" t="inlineStr">
        <is>
          <t>LULEÅ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12329-2020</t>
        </is>
      </c>
      <c r="B1926" s="1" t="n">
        <v>43895</v>
      </c>
      <c r="C1926" s="1" t="n">
        <v>45662</v>
      </c>
      <c r="D1926" t="inlineStr">
        <is>
          <t>NORRBOTTENS LÄN</t>
        </is>
      </c>
      <c r="E1926" t="inlineStr">
        <is>
          <t>KALIX</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12334-2020</t>
        </is>
      </c>
      <c r="B1927" s="1" t="n">
        <v>43895</v>
      </c>
      <c r="C1927" s="1" t="n">
        <v>45662</v>
      </c>
      <c r="D1927" t="inlineStr">
        <is>
          <t>NORRBOTTENS LÄN</t>
        </is>
      </c>
      <c r="E1927" t="inlineStr">
        <is>
          <t>KALIX</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12330-2020</t>
        </is>
      </c>
      <c r="B1928" s="1" t="n">
        <v>43895</v>
      </c>
      <c r="C1928" s="1" t="n">
        <v>45662</v>
      </c>
      <c r="D1928" t="inlineStr">
        <is>
          <t>NORRBOTTENS LÄN</t>
        </is>
      </c>
      <c r="E1928" t="inlineStr">
        <is>
          <t>KALIX</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12521-2020</t>
        </is>
      </c>
      <c r="B1929" s="1" t="n">
        <v>43896</v>
      </c>
      <c r="C1929" s="1" t="n">
        <v>45662</v>
      </c>
      <c r="D1929" t="inlineStr">
        <is>
          <t>NORRBOTTENS LÄN</t>
        </is>
      </c>
      <c r="E1929" t="inlineStr">
        <is>
          <t>KALIX</t>
        </is>
      </c>
      <c r="F1929" t="inlineStr">
        <is>
          <t>SCA</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13601-2020</t>
        </is>
      </c>
      <c r="B1930" s="1" t="n">
        <v>43896</v>
      </c>
      <c r="C1930" s="1" t="n">
        <v>45662</v>
      </c>
      <c r="D1930" t="inlineStr">
        <is>
          <t>NORRBOTTENS LÄN</t>
        </is>
      </c>
      <c r="E1930" t="inlineStr">
        <is>
          <t>ÖVERKALIX</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12358-2020</t>
        </is>
      </c>
      <c r="B1931" s="1" t="n">
        <v>43896</v>
      </c>
      <c r="C1931" s="1" t="n">
        <v>45662</v>
      </c>
      <c r="D1931" t="inlineStr">
        <is>
          <t>NORRBOTTENS LÄN</t>
        </is>
      </c>
      <c r="E1931" t="inlineStr">
        <is>
          <t>BODEN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13596-2020</t>
        </is>
      </c>
      <c r="B1932" s="1" t="n">
        <v>43896</v>
      </c>
      <c r="C1932" s="1" t="n">
        <v>45662</v>
      </c>
      <c r="D1932" t="inlineStr">
        <is>
          <t>NORRBOTTENS LÄN</t>
        </is>
      </c>
      <c r="E1932" t="inlineStr">
        <is>
          <t>ÖVERKALIX</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13065-2020</t>
        </is>
      </c>
      <c r="B1933" s="1" t="n">
        <v>43900</v>
      </c>
      <c r="C1933" s="1" t="n">
        <v>45662</v>
      </c>
      <c r="D1933" t="inlineStr">
        <is>
          <t>NORRBOTTENS LÄN</t>
        </is>
      </c>
      <c r="E1933" t="inlineStr">
        <is>
          <t>ÖVERTORNEÅ</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14208-2020</t>
        </is>
      </c>
      <c r="B1934" s="1" t="n">
        <v>43900</v>
      </c>
      <c r="C1934" s="1" t="n">
        <v>45662</v>
      </c>
      <c r="D1934" t="inlineStr">
        <is>
          <t>NORRBOTTENS LÄN</t>
        </is>
      </c>
      <c r="E1934" t="inlineStr">
        <is>
          <t>ARVIDSJAUR</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13059-2020</t>
        </is>
      </c>
      <c r="B1935" s="1" t="n">
        <v>43900</v>
      </c>
      <c r="C1935" s="1" t="n">
        <v>45662</v>
      </c>
      <c r="D1935" t="inlineStr">
        <is>
          <t>NORRBOTTENS LÄN</t>
        </is>
      </c>
      <c r="E1935" t="inlineStr">
        <is>
          <t>ÖVERTORNEÅ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14141-2020</t>
        </is>
      </c>
      <c r="B1936" s="1" t="n">
        <v>43900</v>
      </c>
      <c r="C1936" s="1" t="n">
        <v>45662</v>
      </c>
      <c r="D1936" t="inlineStr">
        <is>
          <t>NORRBOTTENS LÄN</t>
        </is>
      </c>
      <c r="E1936" t="inlineStr">
        <is>
          <t>ARVIDSJAUR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14479-2020</t>
        </is>
      </c>
      <c r="B1937" s="1" t="n">
        <v>43901</v>
      </c>
      <c r="C1937" s="1" t="n">
        <v>45662</v>
      </c>
      <c r="D1937" t="inlineStr">
        <is>
          <t>NORRBOTTENS LÄN</t>
        </is>
      </c>
      <c r="E1937" t="inlineStr">
        <is>
          <t>KALIX</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13119-2020</t>
        </is>
      </c>
      <c r="B1938" s="1" t="n">
        <v>43901</v>
      </c>
      <c r="C1938" s="1" t="n">
        <v>45662</v>
      </c>
      <c r="D1938" t="inlineStr">
        <is>
          <t>NORRBOTTENS LÄN</t>
        </is>
      </c>
      <c r="E1938" t="inlineStr">
        <is>
          <t>BODEN</t>
        </is>
      </c>
      <c r="F1938" t="inlineStr">
        <is>
          <t>Sveaskog</t>
        </is>
      </c>
      <c r="G1938" t="n">
        <v>32.5</v>
      </c>
      <c r="H1938" t="n">
        <v>0</v>
      </c>
      <c r="I1938" t="n">
        <v>0</v>
      </c>
      <c r="J1938" t="n">
        <v>0</v>
      </c>
      <c r="K1938" t="n">
        <v>0</v>
      </c>
      <c r="L1938" t="n">
        <v>0</v>
      </c>
      <c r="M1938" t="n">
        <v>0</v>
      </c>
      <c r="N1938" t="n">
        <v>0</v>
      </c>
      <c r="O1938" t="n">
        <v>0</v>
      </c>
      <c r="P1938" t="n">
        <v>0</v>
      </c>
      <c r="Q1938" t="n">
        <v>0</v>
      </c>
      <c r="R1938" s="2" t="inlineStr"/>
    </row>
    <row r="1939" ht="15" customHeight="1">
      <c r="A1939" t="inlineStr">
        <is>
          <t>A 13123-2020</t>
        </is>
      </c>
      <c r="B1939" s="1" t="n">
        <v>43901</v>
      </c>
      <c r="C1939" s="1" t="n">
        <v>45662</v>
      </c>
      <c r="D1939" t="inlineStr">
        <is>
          <t>NORRBOTTENS LÄN</t>
        </is>
      </c>
      <c r="E1939" t="inlineStr">
        <is>
          <t>BODEN</t>
        </is>
      </c>
      <c r="F1939" t="inlineStr">
        <is>
          <t>Sveaskog</t>
        </is>
      </c>
      <c r="G1939" t="n">
        <v>41.8</v>
      </c>
      <c r="H1939" t="n">
        <v>0</v>
      </c>
      <c r="I1939" t="n">
        <v>0</v>
      </c>
      <c r="J1939" t="n">
        <v>0</v>
      </c>
      <c r="K1939" t="n">
        <v>0</v>
      </c>
      <c r="L1939" t="n">
        <v>0</v>
      </c>
      <c r="M1939" t="n">
        <v>0</v>
      </c>
      <c r="N1939" t="n">
        <v>0</v>
      </c>
      <c r="O1939" t="n">
        <v>0</v>
      </c>
      <c r="P1939" t="n">
        <v>0</v>
      </c>
      <c r="Q1939" t="n">
        <v>0</v>
      </c>
      <c r="R1939" s="2" t="inlineStr"/>
    </row>
    <row r="1940" ht="15" customHeight="1">
      <c r="A1940" t="inlineStr">
        <is>
          <t>A 13293-2020</t>
        </is>
      </c>
      <c r="B1940" s="1" t="n">
        <v>43901</v>
      </c>
      <c r="C1940" s="1" t="n">
        <v>45662</v>
      </c>
      <c r="D1940" t="inlineStr">
        <is>
          <t>NORRBOTTENS LÄN</t>
        </is>
      </c>
      <c r="E1940" t="inlineStr">
        <is>
          <t>BODEN</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14473-2020</t>
        </is>
      </c>
      <c r="B1941" s="1" t="n">
        <v>43901</v>
      </c>
      <c r="C1941" s="1" t="n">
        <v>45662</v>
      </c>
      <c r="D1941" t="inlineStr">
        <is>
          <t>NORRBOTTENS LÄN</t>
        </is>
      </c>
      <c r="E1941" t="inlineStr">
        <is>
          <t>KALIX</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14505-2020</t>
        </is>
      </c>
      <c r="B1942" s="1" t="n">
        <v>43902</v>
      </c>
      <c r="C1942" s="1" t="n">
        <v>45662</v>
      </c>
      <c r="D1942" t="inlineStr">
        <is>
          <t>NORRBOTTENS LÄN</t>
        </is>
      </c>
      <c r="E1942" t="inlineStr">
        <is>
          <t>PITEÅ</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13570-2020</t>
        </is>
      </c>
      <c r="B1943" s="1" t="n">
        <v>43902</v>
      </c>
      <c r="C1943" s="1" t="n">
        <v>45662</v>
      </c>
      <c r="D1943" t="inlineStr">
        <is>
          <t>NORRBOTTENS LÄN</t>
        </is>
      </c>
      <c r="E1943" t="inlineStr">
        <is>
          <t>PITEÅ</t>
        </is>
      </c>
      <c r="F1943" t="inlineStr">
        <is>
          <t>SCA</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14906-2020</t>
        </is>
      </c>
      <c r="B1944" s="1" t="n">
        <v>43903</v>
      </c>
      <c r="C1944" s="1" t="n">
        <v>45662</v>
      </c>
      <c r="D1944" t="inlineStr">
        <is>
          <t>NORRBOTTENS LÄN</t>
        </is>
      </c>
      <c r="E1944" t="inlineStr">
        <is>
          <t>ÖVERKALIX</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13821-2020</t>
        </is>
      </c>
      <c r="B1945" s="1" t="n">
        <v>43905</v>
      </c>
      <c r="C1945" s="1" t="n">
        <v>45662</v>
      </c>
      <c r="D1945" t="inlineStr">
        <is>
          <t>NORRBOTTENS LÄN</t>
        </is>
      </c>
      <c r="E1945" t="inlineStr">
        <is>
          <t>BODEN</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14912-2020</t>
        </is>
      </c>
      <c r="B1946" s="1" t="n">
        <v>43906</v>
      </c>
      <c r="C1946" s="1" t="n">
        <v>45662</v>
      </c>
      <c r="D1946" t="inlineStr">
        <is>
          <t>NORRBOTTENS LÄN</t>
        </is>
      </c>
      <c r="E1946" t="inlineStr">
        <is>
          <t>KALIX</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14325-2020</t>
        </is>
      </c>
      <c r="B1947" s="1" t="n">
        <v>43907</v>
      </c>
      <c r="C1947" s="1" t="n">
        <v>45662</v>
      </c>
      <c r="D1947" t="inlineStr">
        <is>
          <t>NORRBOTTENS LÄN</t>
        </is>
      </c>
      <c r="E1947" t="inlineStr">
        <is>
          <t>BODEN</t>
        </is>
      </c>
      <c r="F1947" t="inlineStr">
        <is>
          <t>SCA</t>
        </is>
      </c>
      <c r="G1947" t="n">
        <v>1.6</v>
      </c>
      <c r="H1947" t="n">
        <v>0</v>
      </c>
      <c r="I1947" t="n">
        <v>0</v>
      </c>
      <c r="J1947" t="n">
        <v>0</v>
      </c>
      <c r="K1947" t="n">
        <v>0</v>
      </c>
      <c r="L1947" t="n">
        <v>0</v>
      </c>
      <c r="M1947" t="n">
        <v>0</v>
      </c>
      <c r="N1947" t="n">
        <v>0</v>
      </c>
      <c r="O1947" t="n">
        <v>0</v>
      </c>
      <c r="P1947" t="n">
        <v>0</v>
      </c>
      <c r="Q1947" t="n">
        <v>0</v>
      </c>
      <c r="R1947" s="2" t="inlineStr"/>
      <c r="U1947">
        <f>HYPERLINK("https://klasma.github.io/Logging_2582/knärot/A 14325-2020 karta knärot.png", "A 14325-2020")</f>
        <v/>
      </c>
      <c r="V1947">
        <f>HYPERLINK("https://klasma.github.io/Logging_2582/klagomål/A 14325-2020 FSC-klagomål.docx", "A 14325-2020")</f>
        <v/>
      </c>
      <c r="W1947">
        <f>HYPERLINK("https://klasma.github.io/Logging_2582/klagomålsmail/A 14325-2020 FSC-klagomål mail.docx", "A 14325-2020")</f>
        <v/>
      </c>
      <c r="X1947">
        <f>HYPERLINK("https://klasma.github.io/Logging_2582/tillsyn/A 14325-2020 tillsynsbegäran.docx", "A 14325-2020")</f>
        <v/>
      </c>
      <c r="Y1947">
        <f>HYPERLINK("https://klasma.github.io/Logging_2582/tillsynsmail/A 14325-2020 tillsynsbegäran mail.docx", "A 14325-2020")</f>
        <v/>
      </c>
    </row>
    <row r="1948" ht="15" customHeight="1">
      <c r="A1948" t="inlineStr">
        <is>
          <t>A 16203-2020</t>
        </is>
      </c>
      <c r="B1948" s="1" t="n">
        <v>43907</v>
      </c>
      <c r="C1948" s="1" t="n">
        <v>45662</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16705-2020</t>
        </is>
      </c>
      <c r="B1949" s="1" t="n">
        <v>43908</v>
      </c>
      <c r="C1949" s="1" t="n">
        <v>45662</v>
      </c>
      <c r="D1949" t="inlineStr">
        <is>
          <t>NORRBOTTENS LÄN</t>
        </is>
      </c>
      <c r="E1949" t="inlineStr">
        <is>
          <t>ÄLVSBYN</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16621-2020</t>
        </is>
      </c>
      <c r="B1950" s="1" t="n">
        <v>43910</v>
      </c>
      <c r="C1950" s="1" t="n">
        <v>45662</v>
      </c>
      <c r="D1950" t="inlineStr">
        <is>
          <t>NORRBOTTENS LÄN</t>
        </is>
      </c>
      <c r="E1950" t="inlineStr">
        <is>
          <t>GÄLLIVARE</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16644-2020</t>
        </is>
      </c>
      <c r="B1951" s="1" t="n">
        <v>43910</v>
      </c>
      <c r="C1951" s="1" t="n">
        <v>45662</v>
      </c>
      <c r="D1951" t="inlineStr">
        <is>
          <t>NORRBOTTENS LÄN</t>
        </is>
      </c>
      <c r="E1951" t="inlineStr">
        <is>
          <t>PAJALA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15304-2020</t>
        </is>
      </c>
      <c r="B1952" s="1" t="n">
        <v>43913</v>
      </c>
      <c r="C1952" s="1" t="n">
        <v>45662</v>
      </c>
      <c r="D1952" t="inlineStr">
        <is>
          <t>NORRBOTTENS LÄN</t>
        </is>
      </c>
      <c r="E1952" t="inlineStr">
        <is>
          <t>LULEÅ</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17204-2020</t>
        </is>
      </c>
      <c r="B1953" s="1" t="n">
        <v>43913</v>
      </c>
      <c r="C1953" s="1" t="n">
        <v>45662</v>
      </c>
      <c r="D1953" t="inlineStr">
        <is>
          <t>NORRBOTTENS LÄN</t>
        </is>
      </c>
      <c r="E1953" t="inlineStr">
        <is>
          <t>ARJEPLOG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16812-2020</t>
        </is>
      </c>
      <c r="B1954" s="1" t="n">
        <v>43913</v>
      </c>
      <c r="C1954" s="1" t="n">
        <v>45662</v>
      </c>
      <c r="D1954" t="inlineStr">
        <is>
          <t>NORRBOTTENS LÄN</t>
        </is>
      </c>
      <c r="E1954" t="inlineStr">
        <is>
          <t>PITEÅ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17025-2020</t>
        </is>
      </c>
      <c r="B1955" s="1" t="n">
        <v>43913</v>
      </c>
      <c r="C1955" s="1" t="n">
        <v>45662</v>
      </c>
      <c r="D1955" t="inlineStr">
        <is>
          <t>NORRBOTTENS LÄN</t>
        </is>
      </c>
      <c r="E1955" t="inlineStr">
        <is>
          <t>ARJEPLOG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15644-2020</t>
        </is>
      </c>
      <c r="B1956" s="1" t="n">
        <v>43914</v>
      </c>
      <c r="C1956" s="1" t="n">
        <v>45662</v>
      </c>
      <c r="D1956" t="inlineStr">
        <is>
          <t>NORRBOTTENS LÄN</t>
        </is>
      </c>
      <c r="E1956" t="inlineStr">
        <is>
          <t>GÄLLIVARE</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15636-2020</t>
        </is>
      </c>
      <c r="B1957" s="1" t="n">
        <v>43914</v>
      </c>
      <c r="C1957" s="1" t="n">
        <v>45662</v>
      </c>
      <c r="D1957" t="inlineStr">
        <is>
          <t>NORRBOTTENS LÄN</t>
        </is>
      </c>
      <c r="E1957" t="inlineStr">
        <is>
          <t>GÄLLIVARE</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15642-2020</t>
        </is>
      </c>
      <c r="B1958" s="1" t="n">
        <v>43914</v>
      </c>
      <c r="C1958" s="1" t="n">
        <v>45662</v>
      </c>
      <c r="D1958" t="inlineStr">
        <is>
          <t>NORRBOTTENS LÄN</t>
        </is>
      </c>
      <c r="E1958" t="inlineStr">
        <is>
          <t>GÄLLIVARE</t>
        </is>
      </c>
      <c r="F1958" t="inlineStr">
        <is>
          <t>SCA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15637-2020</t>
        </is>
      </c>
      <c r="B1959" s="1" t="n">
        <v>43914</v>
      </c>
      <c r="C1959" s="1" t="n">
        <v>45662</v>
      </c>
      <c r="D1959" t="inlineStr">
        <is>
          <t>NORRBOTTENS LÄN</t>
        </is>
      </c>
      <c r="E1959" t="inlineStr">
        <is>
          <t>GÄLLIVARE</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15643-2020</t>
        </is>
      </c>
      <c r="B1960" s="1" t="n">
        <v>43914</v>
      </c>
      <c r="C1960" s="1" t="n">
        <v>45662</v>
      </c>
      <c r="D1960" t="inlineStr">
        <is>
          <t>NORRBOTTENS LÄN</t>
        </is>
      </c>
      <c r="E1960" t="inlineStr">
        <is>
          <t>GÄLLIVARE</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15786-2020</t>
        </is>
      </c>
      <c r="B1961" s="1" t="n">
        <v>43914</v>
      </c>
      <c r="C1961" s="1" t="n">
        <v>45662</v>
      </c>
      <c r="D1961" t="inlineStr">
        <is>
          <t>NORRBOTTENS LÄN</t>
        </is>
      </c>
      <c r="E1961" t="inlineStr">
        <is>
          <t>PITEÅ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17208-2020</t>
        </is>
      </c>
      <c r="B1962" s="1" t="n">
        <v>43914</v>
      </c>
      <c r="C1962" s="1" t="n">
        <v>45662</v>
      </c>
      <c r="D1962" t="inlineStr">
        <is>
          <t>NORRBOTTENS LÄN</t>
        </is>
      </c>
      <c r="E1962" t="inlineStr">
        <is>
          <t>ARJEPLOG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17244-2020</t>
        </is>
      </c>
      <c r="B1963" s="1" t="n">
        <v>43914</v>
      </c>
      <c r="C1963" s="1" t="n">
        <v>45662</v>
      </c>
      <c r="D1963" t="inlineStr">
        <is>
          <t>NORRBOTTENS LÄN</t>
        </is>
      </c>
      <c r="E1963" t="inlineStr">
        <is>
          <t>ARJEPLOG</t>
        </is>
      </c>
      <c r="G1963" t="n">
        <v>18.3</v>
      </c>
      <c r="H1963" t="n">
        <v>0</v>
      </c>
      <c r="I1963" t="n">
        <v>0</v>
      </c>
      <c r="J1963" t="n">
        <v>0</v>
      </c>
      <c r="K1963" t="n">
        <v>0</v>
      </c>
      <c r="L1963" t="n">
        <v>0</v>
      </c>
      <c r="M1963" t="n">
        <v>0</v>
      </c>
      <c r="N1963" t="n">
        <v>0</v>
      </c>
      <c r="O1963" t="n">
        <v>0</v>
      </c>
      <c r="P1963" t="n">
        <v>0</v>
      </c>
      <c r="Q1963" t="n">
        <v>0</v>
      </c>
      <c r="R1963" s="2" t="inlineStr"/>
    </row>
    <row r="1964" ht="15" customHeight="1">
      <c r="A1964" t="inlineStr">
        <is>
          <t>A 17744-2020</t>
        </is>
      </c>
      <c r="B1964" s="1" t="n">
        <v>43914</v>
      </c>
      <c r="C1964" s="1" t="n">
        <v>45662</v>
      </c>
      <c r="D1964" t="inlineStr">
        <is>
          <t>NORRBOTTENS LÄN</t>
        </is>
      </c>
      <c r="E1964" t="inlineStr">
        <is>
          <t>ARJEPLOG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17761-2020</t>
        </is>
      </c>
      <c r="B1965" s="1" t="n">
        <v>43914</v>
      </c>
      <c r="C1965" s="1" t="n">
        <v>45662</v>
      </c>
      <c r="D1965" t="inlineStr">
        <is>
          <t>NORRBOTTENS LÄN</t>
        </is>
      </c>
      <c r="E1965" t="inlineStr">
        <is>
          <t>ARJEPLOG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15646-2020</t>
        </is>
      </c>
      <c r="B1966" s="1" t="n">
        <v>43914</v>
      </c>
      <c r="C1966" s="1" t="n">
        <v>45662</v>
      </c>
      <c r="D1966" t="inlineStr">
        <is>
          <t>NORRBOTTENS LÄN</t>
        </is>
      </c>
      <c r="E1966" t="inlineStr">
        <is>
          <t>ÖVERKALIX</t>
        </is>
      </c>
      <c r="F1966" t="inlineStr">
        <is>
          <t>SCA</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15895-2020</t>
        </is>
      </c>
      <c r="B1967" s="1" t="n">
        <v>43915</v>
      </c>
      <c r="C1967" s="1" t="n">
        <v>45662</v>
      </c>
      <c r="D1967" t="inlineStr">
        <is>
          <t>NORRBOTTENS LÄN</t>
        </is>
      </c>
      <c r="E1967" t="inlineStr">
        <is>
          <t>KALIX</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16162-2020</t>
        </is>
      </c>
      <c r="B1968" s="1" t="n">
        <v>43916</v>
      </c>
      <c r="C1968" s="1" t="n">
        <v>45662</v>
      </c>
      <c r="D1968" t="inlineStr">
        <is>
          <t>NORRBOTTENS LÄN</t>
        </is>
      </c>
      <c r="E1968" t="inlineStr">
        <is>
          <t>GÄLLIVARE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16161-2020</t>
        </is>
      </c>
      <c r="B1969" s="1" t="n">
        <v>43916</v>
      </c>
      <c r="C1969" s="1" t="n">
        <v>45662</v>
      </c>
      <c r="D1969" t="inlineStr">
        <is>
          <t>NORRBOTTENS LÄN</t>
        </is>
      </c>
      <c r="E1969" t="inlineStr">
        <is>
          <t>GÄLLIVARE</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16164-2020</t>
        </is>
      </c>
      <c r="B1970" s="1" t="n">
        <v>43916</v>
      </c>
      <c r="C1970" s="1" t="n">
        <v>45662</v>
      </c>
      <c r="D1970" t="inlineStr">
        <is>
          <t>NORRBOTTENS LÄN</t>
        </is>
      </c>
      <c r="E1970" t="inlineStr">
        <is>
          <t>GÄLLIVARE</t>
        </is>
      </c>
      <c r="F1970" t="inlineStr">
        <is>
          <t>SCA</t>
        </is>
      </c>
      <c r="G1970" t="n">
        <v>11.8</v>
      </c>
      <c r="H1970" t="n">
        <v>0</v>
      </c>
      <c r="I1970" t="n">
        <v>0</v>
      </c>
      <c r="J1970" t="n">
        <v>0</v>
      </c>
      <c r="K1970" t="n">
        <v>0</v>
      </c>
      <c r="L1970" t="n">
        <v>0</v>
      </c>
      <c r="M1970" t="n">
        <v>0</v>
      </c>
      <c r="N1970" t="n">
        <v>0</v>
      </c>
      <c r="O1970" t="n">
        <v>0</v>
      </c>
      <c r="P1970" t="n">
        <v>0</v>
      </c>
      <c r="Q1970" t="n">
        <v>0</v>
      </c>
      <c r="R1970" s="2" t="inlineStr"/>
    </row>
    <row r="1971" ht="15" customHeight="1">
      <c r="A1971" t="inlineStr">
        <is>
          <t>A 17246-2020</t>
        </is>
      </c>
      <c r="B1971" s="1" t="n">
        <v>43916</v>
      </c>
      <c r="C1971" s="1" t="n">
        <v>45662</v>
      </c>
      <c r="D1971" t="inlineStr">
        <is>
          <t>NORRBOTTENS LÄN</t>
        </is>
      </c>
      <c r="E1971" t="inlineStr">
        <is>
          <t>KIRUNA</t>
        </is>
      </c>
      <c r="G1971" t="n">
        <v>52.4</v>
      </c>
      <c r="H1971" t="n">
        <v>0</v>
      </c>
      <c r="I1971" t="n">
        <v>0</v>
      </c>
      <c r="J1971" t="n">
        <v>0</v>
      </c>
      <c r="K1971" t="n">
        <v>0</v>
      </c>
      <c r="L1971" t="n">
        <v>0</v>
      </c>
      <c r="M1971" t="n">
        <v>0</v>
      </c>
      <c r="N1971" t="n">
        <v>0</v>
      </c>
      <c r="O1971" t="n">
        <v>0</v>
      </c>
      <c r="P1971" t="n">
        <v>0</v>
      </c>
      <c r="Q1971" t="n">
        <v>0</v>
      </c>
      <c r="R1971" s="2" t="inlineStr"/>
    </row>
    <row r="1972" ht="15" customHeight="1">
      <c r="A1972" t="inlineStr">
        <is>
          <t>A 16163-2020</t>
        </is>
      </c>
      <c r="B1972" s="1" t="n">
        <v>43916</v>
      </c>
      <c r="C1972" s="1" t="n">
        <v>45662</v>
      </c>
      <c r="D1972" t="inlineStr">
        <is>
          <t>NORRBOTTENS LÄN</t>
        </is>
      </c>
      <c r="E1972" t="inlineStr">
        <is>
          <t>GÄLLIVARE</t>
        </is>
      </c>
      <c r="F1972" t="inlineStr">
        <is>
          <t>SCA</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15932-2020</t>
        </is>
      </c>
      <c r="B1973" s="1" t="n">
        <v>43916</v>
      </c>
      <c r="C1973" s="1" t="n">
        <v>45662</v>
      </c>
      <c r="D1973" t="inlineStr">
        <is>
          <t>NORRBOTTENS LÄN</t>
        </is>
      </c>
      <c r="E1973" t="inlineStr">
        <is>
          <t>KALIX</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17438-2020</t>
        </is>
      </c>
      <c r="B1974" s="1" t="n">
        <v>43917</v>
      </c>
      <c r="C1974" s="1" t="n">
        <v>45662</v>
      </c>
      <c r="D1974" t="inlineStr">
        <is>
          <t>NORRBOTTENS LÄN</t>
        </is>
      </c>
      <c r="E1974" t="inlineStr">
        <is>
          <t>KALIX</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16424-2020</t>
        </is>
      </c>
      <c r="B1975" s="1" t="n">
        <v>43919</v>
      </c>
      <c r="C1975" s="1" t="n">
        <v>45662</v>
      </c>
      <c r="D1975" t="inlineStr">
        <is>
          <t>NORRBOTTENS LÄN</t>
        </is>
      </c>
      <c r="E1975" t="inlineStr">
        <is>
          <t>GÄLLIVARE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16779-2020</t>
        </is>
      </c>
      <c r="B1976" s="1" t="n">
        <v>43920</v>
      </c>
      <c r="C1976" s="1" t="n">
        <v>45662</v>
      </c>
      <c r="D1976" t="inlineStr">
        <is>
          <t>NORRBOTTENS LÄN</t>
        </is>
      </c>
      <c r="E1976" t="inlineStr">
        <is>
          <t>LULEÅ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17074-2020</t>
        </is>
      </c>
      <c r="B1977" s="1" t="n">
        <v>43921</v>
      </c>
      <c r="C1977" s="1" t="n">
        <v>45662</v>
      </c>
      <c r="D1977" t="inlineStr">
        <is>
          <t>NORRBOTTENS LÄN</t>
        </is>
      </c>
      <c r="E1977" t="inlineStr">
        <is>
          <t>KIRUNA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17085-2020</t>
        </is>
      </c>
      <c r="B1978" s="1" t="n">
        <v>43921</v>
      </c>
      <c r="C1978" s="1" t="n">
        <v>45662</v>
      </c>
      <c r="D1978" t="inlineStr">
        <is>
          <t>NORRBOTTENS LÄN</t>
        </is>
      </c>
      <c r="E1978" t="inlineStr">
        <is>
          <t>ÖVERKALIX</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17073-2020</t>
        </is>
      </c>
      <c r="B1979" s="1" t="n">
        <v>43921</v>
      </c>
      <c r="C1979" s="1" t="n">
        <v>45662</v>
      </c>
      <c r="D1979" t="inlineStr">
        <is>
          <t>NORRBOTTENS LÄN</t>
        </is>
      </c>
      <c r="E1979" t="inlineStr">
        <is>
          <t>KIRUNA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17071-2020</t>
        </is>
      </c>
      <c r="B1980" s="1" t="n">
        <v>43921</v>
      </c>
      <c r="C1980" s="1" t="n">
        <v>45662</v>
      </c>
      <c r="D1980" t="inlineStr">
        <is>
          <t>NORRBOTTENS LÄN</t>
        </is>
      </c>
      <c r="E1980" t="inlineStr">
        <is>
          <t>KIRUNA</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17070-2020</t>
        </is>
      </c>
      <c r="B1981" s="1" t="n">
        <v>43921</v>
      </c>
      <c r="C1981" s="1" t="n">
        <v>45662</v>
      </c>
      <c r="D1981" t="inlineStr">
        <is>
          <t>NORRBOTTENS LÄN</t>
        </is>
      </c>
      <c r="E1981" t="inlineStr">
        <is>
          <t>KIRUNA</t>
        </is>
      </c>
      <c r="G1981" t="n">
        <v>33.9</v>
      </c>
      <c r="H1981" t="n">
        <v>0</v>
      </c>
      <c r="I1981" t="n">
        <v>0</v>
      </c>
      <c r="J1981" t="n">
        <v>0</v>
      </c>
      <c r="K1981" t="n">
        <v>0</v>
      </c>
      <c r="L1981" t="n">
        <v>0</v>
      </c>
      <c r="M1981" t="n">
        <v>0</v>
      </c>
      <c r="N1981" t="n">
        <v>0</v>
      </c>
      <c r="O1981" t="n">
        <v>0</v>
      </c>
      <c r="P1981" t="n">
        <v>0</v>
      </c>
      <c r="Q1981" t="n">
        <v>0</v>
      </c>
      <c r="R1981" s="2" t="inlineStr"/>
    </row>
    <row r="1982" ht="15" customHeight="1">
      <c r="A1982" t="inlineStr">
        <is>
          <t>A 17746-2020</t>
        </is>
      </c>
      <c r="B1982" s="1" t="n">
        <v>43922</v>
      </c>
      <c r="C1982" s="1" t="n">
        <v>45662</v>
      </c>
      <c r="D1982" t="inlineStr">
        <is>
          <t>NORRBOTTENS LÄN</t>
        </is>
      </c>
      <c r="E1982" t="inlineStr">
        <is>
          <t>BODEN</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17308-2020</t>
        </is>
      </c>
      <c r="B1983" s="1" t="n">
        <v>43922</v>
      </c>
      <c r="C1983" s="1" t="n">
        <v>45662</v>
      </c>
      <c r="D1983" t="inlineStr">
        <is>
          <t>NORRBOTTENS LÄN</t>
        </is>
      </c>
      <c r="E1983" t="inlineStr">
        <is>
          <t>LULEÅ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17786-2020</t>
        </is>
      </c>
      <c r="B1984" s="1" t="n">
        <v>43922</v>
      </c>
      <c r="C1984" s="1" t="n">
        <v>45662</v>
      </c>
      <c r="D1984" t="inlineStr">
        <is>
          <t>NORRBOTTENS LÄN</t>
        </is>
      </c>
      <c r="E1984" t="inlineStr">
        <is>
          <t>ÄLVSBYN</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17696-2020</t>
        </is>
      </c>
      <c r="B1985" s="1" t="n">
        <v>43923</v>
      </c>
      <c r="C1985" s="1" t="n">
        <v>45662</v>
      </c>
      <c r="D1985" t="inlineStr">
        <is>
          <t>NORRBOTTENS LÄN</t>
        </is>
      </c>
      <c r="E1985" t="inlineStr">
        <is>
          <t>KALIX</t>
        </is>
      </c>
      <c r="F1985" t="inlineStr">
        <is>
          <t>SCA</t>
        </is>
      </c>
      <c r="G1985" t="n">
        <v>66.59999999999999</v>
      </c>
      <c r="H1985" t="n">
        <v>0</v>
      </c>
      <c r="I1985" t="n">
        <v>0</v>
      </c>
      <c r="J1985" t="n">
        <v>0</v>
      </c>
      <c r="K1985" t="n">
        <v>0</v>
      </c>
      <c r="L1985" t="n">
        <v>0</v>
      </c>
      <c r="M1985" t="n">
        <v>0</v>
      </c>
      <c r="N1985" t="n">
        <v>0</v>
      </c>
      <c r="O1985" t="n">
        <v>0</v>
      </c>
      <c r="P1985" t="n">
        <v>0</v>
      </c>
      <c r="Q1985" t="n">
        <v>0</v>
      </c>
      <c r="R1985" s="2" t="inlineStr"/>
    </row>
    <row r="1986" ht="15" customHeight="1">
      <c r="A1986" t="inlineStr">
        <is>
          <t>A 17835-2020</t>
        </is>
      </c>
      <c r="B1986" s="1" t="n">
        <v>43923</v>
      </c>
      <c r="C1986" s="1" t="n">
        <v>45662</v>
      </c>
      <c r="D1986" t="inlineStr">
        <is>
          <t>NORRBOTTENS LÄN</t>
        </is>
      </c>
      <c r="E1986" t="inlineStr">
        <is>
          <t>HAPARANDA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17836-2020</t>
        </is>
      </c>
      <c r="B1987" s="1" t="n">
        <v>43923</v>
      </c>
      <c r="C1987" s="1" t="n">
        <v>45662</v>
      </c>
      <c r="D1987" t="inlineStr">
        <is>
          <t>NORRBOTTENS LÄN</t>
        </is>
      </c>
      <c r="E1987" t="inlineStr">
        <is>
          <t>HAPARANDA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18143-2020</t>
        </is>
      </c>
      <c r="B1988" s="1" t="n">
        <v>43924</v>
      </c>
      <c r="C1988" s="1" t="n">
        <v>45662</v>
      </c>
      <c r="D1988" t="inlineStr">
        <is>
          <t>NORRBOTTENS LÄN</t>
        </is>
      </c>
      <c r="E1988" t="inlineStr">
        <is>
          <t>LULEÅ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18549-2020</t>
        </is>
      </c>
      <c r="B1989" s="1" t="n">
        <v>43927</v>
      </c>
      <c r="C1989" s="1" t="n">
        <v>45662</v>
      </c>
      <c r="D1989" t="inlineStr">
        <is>
          <t>NORRBOTTENS LÄN</t>
        </is>
      </c>
      <c r="E1989" t="inlineStr">
        <is>
          <t>LULEÅ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18031-2020</t>
        </is>
      </c>
      <c r="B1990" s="1" t="n">
        <v>43927</v>
      </c>
      <c r="C1990" s="1" t="n">
        <v>45662</v>
      </c>
      <c r="D1990" t="inlineStr">
        <is>
          <t>NORRBOTTENS LÄN</t>
        </is>
      </c>
      <c r="E1990" t="inlineStr">
        <is>
          <t>BODEN</t>
        </is>
      </c>
      <c r="F1990" t="inlineStr">
        <is>
          <t>Övriga statliga verk och myndigheter</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18554-2020</t>
        </is>
      </c>
      <c r="B1991" s="1" t="n">
        <v>43927</v>
      </c>
      <c r="C1991" s="1" t="n">
        <v>45662</v>
      </c>
      <c r="D1991" t="inlineStr">
        <is>
          <t>NORRBOTTENS LÄN</t>
        </is>
      </c>
      <c r="E1991" t="inlineStr">
        <is>
          <t>LULEÅ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18027-2020</t>
        </is>
      </c>
      <c r="B1992" s="1" t="n">
        <v>43927</v>
      </c>
      <c r="C1992" s="1" t="n">
        <v>45662</v>
      </c>
      <c r="D1992" t="inlineStr">
        <is>
          <t>NORRBOTTENS LÄN</t>
        </is>
      </c>
      <c r="E1992" t="inlineStr">
        <is>
          <t>BODEN</t>
        </is>
      </c>
      <c r="F1992" t="inlineStr">
        <is>
          <t>Övriga statliga verk och myndigheter</t>
        </is>
      </c>
      <c r="G1992" t="n">
        <v>17.8</v>
      </c>
      <c r="H1992" t="n">
        <v>0</v>
      </c>
      <c r="I1992" t="n">
        <v>0</v>
      </c>
      <c r="J1992" t="n">
        <v>0</v>
      </c>
      <c r="K1992" t="n">
        <v>0</v>
      </c>
      <c r="L1992" t="n">
        <v>0</v>
      </c>
      <c r="M1992" t="n">
        <v>0</v>
      </c>
      <c r="N1992" t="n">
        <v>0</v>
      </c>
      <c r="O1992" t="n">
        <v>0</v>
      </c>
      <c r="P1992" t="n">
        <v>0</v>
      </c>
      <c r="Q1992" t="n">
        <v>0</v>
      </c>
      <c r="R1992" s="2" t="inlineStr"/>
    </row>
    <row r="1993" ht="15" customHeight="1">
      <c r="A1993" t="inlineStr">
        <is>
          <t>A 18299-2020</t>
        </is>
      </c>
      <c r="B1993" s="1" t="n">
        <v>43927</v>
      </c>
      <c r="C1993" s="1" t="n">
        <v>45662</v>
      </c>
      <c r="D1993" t="inlineStr">
        <is>
          <t>NORRBOTTENS LÄN</t>
        </is>
      </c>
      <c r="E1993" t="inlineStr">
        <is>
          <t>LULEÅ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18383-2020</t>
        </is>
      </c>
      <c r="B1994" s="1" t="n">
        <v>43927</v>
      </c>
      <c r="C1994" s="1" t="n">
        <v>45662</v>
      </c>
      <c r="D1994" t="inlineStr">
        <is>
          <t>NORRBOTTENS LÄN</t>
        </is>
      </c>
      <c r="E1994" t="inlineStr">
        <is>
          <t>PITEÅ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18213-2020</t>
        </is>
      </c>
      <c r="B1995" s="1" t="n">
        <v>43927</v>
      </c>
      <c r="C1995" s="1" t="n">
        <v>45662</v>
      </c>
      <c r="D1995" t="inlineStr">
        <is>
          <t>NORRBOTTENS LÄN</t>
        </is>
      </c>
      <c r="E1995" t="inlineStr">
        <is>
          <t>GÄLLIVARE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18276-2020</t>
        </is>
      </c>
      <c r="B1996" s="1" t="n">
        <v>43927</v>
      </c>
      <c r="C1996" s="1" t="n">
        <v>45662</v>
      </c>
      <c r="D1996" t="inlineStr">
        <is>
          <t>NORRBOTTENS LÄN</t>
        </is>
      </c>
      <c r="E1996" t="inlineStr">
        <is>
          <t>LULEÅ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18203-2020</t>
        </is>
      </c>
      <c r="B1997" s="1" t="n">
        <v>43927</v>
      </c>
      <c r="C1997" s="1" t="n">
        <v>45662</v>
      </c>
      <c r="D1997" t="inlineStr">
        <is>
          <t>NORRBOTTENS LÄN</t>
        </is>
      </c>
      <c r="E1997" t="inlineStr">
        <is>
          <t>GÄLLIVARE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18303-2020</t>
        </is>
      </c>
      <c r="B1998" s="1" t="n">
        <v>43927</v>
      </c>
      <c r="C1998" s="1" t="n">
        <v>45662</v>
      </c>
      <c r="D1998" t="inlineStr">
        <is>
          <t>NORRBOTTENS LÄN</t>
        </is>
      </c>
      <c r="E1998" t="inlineStr">
        <is>
          <t>LULEÅ</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18214-2020</t>
        </is>
      </c>
      <c r="B1999" s="1" t="n">
        <v>43927</v>
      </c>
      <c r="C1999" s="1" t="n">
        <v>45662</v>
      </c>
      <c r="D1999" t="inlineStr">
        <is>
          <t>NORRBOTTENS LÄN</t>
        </is>
      </c>
      <c r="E1999" t="inlineStr">
        <is>
          <t>GÄLLIVARE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18278-2020</t>
        </is>
      </c>
      <c r="B2000" s="1" t="n">
        <v>43927</v>
      </c>
      <c r="C2000" s="1" t="n">
        <v>45662</v>
      </c>
      <c r="D2000" t="inlineStr">
        <is>
          <t>NORRBOTTENS LÄN</t>
        </is>
      </c>
      <c r="E2000" t="inlineStr">
        <is>
          <t>LULEÅ</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18839-2020</t>
        </is>
      </c>
      <c r="B2001" s="1" t="n">
        <v>43929</v>
      </c>
      <c r="C2001" s="1" t="n">
        <v>45662</v>
      </c>
      <c r="D2001" t="inlineStr">
        <is>
          <t>NORRBOTTENS LÄN</t>
        </is>
      </c>
      <c r="E2001" t="inlineStr">
        <is>
          <t>PITEÅ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20504-2020</t>
        </is>
      </c>
      <c r="B2002" s="1" t="n">
        <v>43929</v>
      </c>
      <c r="C2002" s="1" t="n">
        <v>45662</v>
      </c>
      <c r="D2002" t="inlineStr">
        <is>
          <t>NORRBOTTENS LÄN</t>
        </is>
      </c>
      <c r="E2002" t="inlineStr">
        <is>
          <t>PITEÅ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18866-2020</t>
        </is>
      </c>
      <c r="B2003" s="1" t="n">
        <v>43930</v>
      </c>
      <c r="C2003" s="1" t="n">
        <v>45662</v>
      </c>
      <c r="D2003" t="inlineStr">
        <is>
          <t>NORRBOTTENS LÄN</t>
        </is>
      </c>
      <c r="E2003" t="inlineStr">
        <is>
          <t>ÄLVSBYN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18789-2020</t>
        </is>
      </c>
      <c r="B2004" s="1" t="n">
        <v>43931</v>
      </c>
      <c r="C2004" s="1" t="n">
        <v>45662</v>
      </c>
      <c r="D2004" t="inlineStr">
        <is>
          <t>NORRBOTTENS LÄN</t>
        </is>
      </c>
      <c r="E2004" t="inlineStr">
        <is>
          <t>PITEÅ</t>
        </is>
      </c>
      <c r="F2004" t="inlineStr">
        <is>
          <t>Övriga Aktiebolag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18992-2020</t>
        </is>
      </c>
      <c r="B2005" s="1" t="n">
        <v>43935</v>
      </c>
      <c r="C2005" s="1" t="n">
        <v>45662</v>
      </c>
      <c r="D2005" t="inlineStr">
        <is>
          <t>NORRBOTTENS LÄN</t>
        </is>
      </c>
      <c r="E2005" t="inlineStr">
        <is>
          <t>JOKKMOKK</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19068-2020</t>
        </is>
      </c>
      <c r="B2006" s="1" t="n">
        <v>43936</v>
      </c>
      <c r="C2006" s="1" t="n">
        <v>45662</v>
      </c>
      <c r="D2006" t="inlineStr">
        <is>
          <t>NORRBOTTENS LÄN</t>
        </is>
      </c>
      <c r="E2006" t="inlineStr">
        <is>
          <t>BODEN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19058-2020</t>
        </is>
      </c>
      <c r="B2007" s="1" t="n">
        <v>43936</v>
      </c>
      <c r="C2007" s="1" t="n">
        <v>45662</v>
      </c>
      <c r="D2007" t="inlineStr">
        <is>
          <t>NORRBOTTENS LÄN</t>
        </is>
      </c>
      <c r="E2007" t="inlineStr">
        <is>
          <t>ÖVERTORNEÅ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19629-2020</t>
        </is>
      </c>
      <c r="B2008" s="1" t="n">
        <v>43936</v>
      </c>
      <c r="C2008" s="1" t="n">
        <v>45662</v>
      </c>
      <c r="D2008" t="inlineStr">
        <is>
          <t>NORRBOTTENS LÄN</t>
        </is>
      </c>
      <c r="E2008" t="inlineStr">
        <is>
          <t>HAPARANDA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19150-2020</t>
        </is>
      </c>
      <c r="B2009" s="1" t="n">
        <v>43936</v>
      </c>
      <c r="C2009" s="1" t="n">
        <v>45662</v>
      </c>
      <c r="D2009" t="inlineStr">
        <is>
          <t>NORRBOTTENS LÄN</t>
        </is>
      </c>
      <c r="E2009" t="inlineStr">
        <is>
          <t>JOKKMOKK</t>
        </is>
      </c>
      <c r="F2009" t="inlineStr">
        <is>
          <t>Naturvårdsverket</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19632-2020</t>
        </is>
      </c>
      <c r="B2010" s="1" t="n">
        <v>43936</v>
      </c>
      <c r="C2010" s="1" t="n">
        <v>45662</v>
      </c>
      <c r="D2010" t="inlineStr">
        <is>
          <t>NORRBOTTENS LÄN</t>
        </is>
      </c>
      <c r="E2010" t="inlineStr">
        <is>
          <t>KIRUNA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19298-2020</t>
        </is>
      </c>
      <c r="B2011" s="1" t="n">
        <v>43937</v>
      </c>
      <c r="C2011" s="1" t="n">
        <v>45662</v>
      </c>
      <c r="D2011" t="inlineStr">
        <is>
          <t>NORRBOTTENS LÄN</t>
        </is>
      </c>
      <c r="E2011" t="inlineStr">
        <is>
          <t>PAJALA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19704-2020</t>
        </is>
      </c>
      <c r="B2012" s="1" t="n">
        <v>43937</v>
      </c>
      <c r="C2012" s="1" t="n">
        <v>45662</v>
      </c>
      <c r="D2012" t="inlineStr">
        <is>
          <t>NORRBOTTENS LÄN</t>
        </is>
      </c>
      <c r="E2012" t="inlineStr">
        <is>
          <t>PAJALA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19399-2020</t>
        </is>
      </c>
      <c r="B2013" s="1" t="n">
        <v>43938</v>
      </c>
      <c r="C2013" s="1" t="n">
        <v>45662</v>
      </c>
      <c r="D2013" t="inlineStr">
        <is>
          <t>NORRBOTTENS LÄN</t>
        </is>
      </c>
      <c r="E2013" t="inlineStr">
        <is>
          <t>ÖVERKALIX</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19841-2020</t>
        </is>
      </c>
      <c r="B2014" s="1" t="n">
        <v>43938</v>
      </c>
      <c r="C2014" s="1" t="n">
        <v>45662</v>
      </c>
      <c r="D2014" t="inlineStr">
        <is>
          <t>NORRBOTTENS LÄN</t>
        </is>
      </c>
      <c r="E2014" t="inlineStr">
        <is>
          <t>HAPARANDA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19348-2020</t>
        </is>
      </c>
      <c r="B2015" s="1" t="n">
        <v>43938</v>
      </c>
      <c r="C2015" s="1" t="n">
        <v>45662</v>
      </c>
      <c r="D2015" t="inlineStr">
        <is>
          <t>NORRBOTTENS LÄN</t>
        </is>
      </c>
      <c r="E2015" t="inlineStr">
        <is>
          <t>PAJALA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19838-2020</t>
        </is>
      </c>
      <c r="B2016" s="1" t="n">
        <v>43938</v>
      </c>
      <c r="C2016" s="1" t="n">
        <v>45662</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19674-2020</t>
        </is>
      </c>
      <c r="B2017" s="1" t="n">
        <v>43941</v>
      </c>
      <c r="C2017" s="1" t="n">
        <v>45662</v>
      </c>
      <c r="D2017" t="inlineStr">
        <is>
          <t>NORRBOTTENS LÄN</t>
        </is>
      </c>
      <c r="E2017" t="inlineStr">
        <is>
          <t>KALIX</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19853-2020</t>
        </is>
      </c>
      <c r="B2018" s="1" t="n">
        <v>43941</v>
      </c>
      <c r="C2018" s="1" t="n">
        <v>45662</v>
      </c>
      <c r="D2018" t="inlineStr">
        <is>
          <t>NORRBOTTENS LÄN</t>
        </is>
      </c>
      <c r="E2018" t="inlineStr">
        <is>
          <t>PAJALA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19755-2020</t>
        </is>
      </c>
      <c r="B2019" s="1" t="n">
        <v>43941</v>
      </c>
      <c r="C2019" s="1" t="n">
        <v>45662</v>
      </c>
      <c r="D2019" t="inlineStr">
        <is>
          <t>NORRBOTTENS LÄN</t>
        </is>
      </c>
      <c r="E2019" t="inlineStr">
        <is>
          <t>PAJALA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19978-2020</t>
        </is>
      </c>
      <c r="B2020" s="1" t="n">
        <v>43943</v>
      </c>
      <c r="C2020" s="1" t="n">
        <v>45662</v>
      </c>
      <c r="D2020" t="inlineStr">
        <is>
          <t>NORRBOTTENS LÄN</t>
        </is>
      </c>
      <c r="E2020" t="inlineStr">
        <is>
          <t>ÖVERTORNEÅ</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19981-2020</t>
        </is>
      </c>
      <c r="B2021" s="1" t="n">
        <v>43943</v>
      </c>
      <c r="C2021" s="1" t="n">
        <v>45662</v>
      </c>
      <c r="D2021" t="inlineStr">
        <is>
          <t>NORRBOTTENS LÄN</t>
        </is>
      </c>
      <c r="E2021" t="inlineStr">
        <is>
          <t>ÖVERTORNEÅ</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20301-2020</t>
        </is>
      </c>
      <c r="B2022" s="1" t="n">
        <v>43944</v>
      </c>
      <c r="C2022" s="1" t="n">
        <v>45662</v>
      </c>
      <c r="D2022" t="inlineStr">
        <is>
          <t>NORRBOTTENS LÄN</t>
        </is>
      </c>
      <c r="E2022" t="inlineStr">
        <is>
          <t>ARVIDSJAUR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20418-2020</t>
        </is>
      </c>
      <c r="B2023" s="1" t="n">
        <v>43945</v>
      </c>
      <c r="C2023" s="1" t="n">
        <v>45662</v>
      </c>
      <c r="D2023" t="inlineStr">
        <is>
          <t>NORRBOTTENS LÄN</t>
        </is>
      </c>
      <c r="E2023" t="inlineStr">
        <is>
          <t>ÖVERTORNEÅ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20430-2020</t>
        </is>
      </c>
      <c r="B2024" s="1" t="n">
        <v>43945</v>
      </c>
      <c r="C2024" s="1" t="n">
        <v>45662</v>
      </c>
      <c r="D2024" t="inlineStr">
        <is>
          <t>NORRBOTTENS LÄN</t>
        </is>
      </c>
      <c r="E2024" t="inlineStr">
        <is>
          <t>ÖVERKALIX</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20484-2020</t>
        </is>
      </c>
      <c r="B2025" s="1" t="n">
        <v>43948</v>
      </c>
      <c r="C2025" s="1" t="n">
        <v>45662</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20481-2020</t>
        </is>
      </c>
      <c r="B2026" s="1" t="n">
        <v>43948</v>
      </c>
      <c r="C2026" s="1" t="n">
        <v>45662</v>
      </c>
      <c r="D2026" t="inlineStr">
        <is>
          <t>NORRBOTTENS LÄN</t>
        </is>
      </c>
      <c r="E2026" t="inlineStr">
        <is>
          <t>HAPARANDA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21140-2020</t>
        </is>
      </c>
      <c r="B2027" s="1" t="n">
        <v>43950</v>
      </c>
      <c r="C2027" s="1" t="n">
        <v>45662</v>
      </c>
      <c r="D2027" t="inlineStr">
        <is>
          <t>NORRBOTTENS LÄN</t>
        </is>
      </c>
      <c r="E2027" t="inlineStr">
        <is>
          <t>PITEÅ</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22175-2020</t>
        </is>
      </c>
      <c r="B2028" s="1" t="n">
        <v>43956</v>
      </c>
      <c r="C2028" s="1" t="n">
        <v>45662</v>
      </c>
      <c r="D2028" t="inlineStr">
        <is>
          <t>NORRBOTTENS LÄN</t>
        </is>
      </c>
      <c r="E2028" t="inlineStr">
        <is>
          <t>KALIX</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21770-2020</t>
        </is>
      </c>
      <c r="B2029" s="1" t="n">
        <v>43957</v>
      </c>
      <c r="C2029" s="1" t="n">
        <v>45662</v>
      </c>
      <c r="D2029" t="inlineStr">
        <is>
          <t>NORRBOTTENS LÄN</t>
        </is>
      </c>
      <c r="E2029" t="inlineStr">
        <is>
          <t>PITEÅ</t>
        </is>
      </c>
      <c r="F2029" t="inlineStr">
        <is>
          <t>SCA</t>
        </is>
      </c>
      <c r="G2029" t="n">
        <v>33.7</v>
      </c>
      <c r="H2029" t="n">
        <v>0</v>
      </c>
      <c r="I2029" t="n">
        <v>0</v>
      </c>
      <c r="J2029" t="n">
        <v>0</v>
      </c>
      <c r="K2029" t="n">
        <v>0</v>
      </c>
      <c r="L2029" t="n">
        <v>0</v>
      </c>
      <c r="M2029" t="n">
        <v>0</v>
      </c>
      <c r="N2029" t="n">
        <v>0</v>
      </c>
      <c r="O2029" t="n">
        <v>0</v>
      </c>
      <c r="P2029" t="n">
        <v>0</v>
      </c>
      <c r="Q2029" t="n">
        <v>0</v>
      </c>
      <c r="R2029" s="2" t="inlineStr"/>
    </row>
    <row r="2030" ht="15" customHeight="1">
      <c r="A2030" t="inlineStr">
        <is>
          <t>A 22779-2020</t>
        </is>
      </c>
      <c r="B2030" s="1" t="n">
        <v>43958</v>
      </c>
      <c r="C2030" s="1" t="n">
        <v>45662</v>
      </c>
      <c r="D2030" t="inlineStr">
        <is>
          <t>NORRBOTTENS LÄN</t>
        </is>
      </c>
      <c r="E2030" t="inlineStr">
        <is>
          <t>GÄLLIVARE</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22504-2020</t>
        </is>
      </c>
      <c r="B2031" s="1" t="n">
        <v>43958</v>
      </c>
      <c r="C2031" s="1" t="n">
        <v>45662</v>
      </c>
      <c r="D2031" t="inlineStr">
        <is>
          <t>NORRBOTTENS LÄN</t>
        </is>
      </c>
      <c r="E2031" t="inlineStr">
        <is>
          <t>PITEÅ</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22780-2020</t>
        </is>
      </c>
      <c r="B2032" s="1" t="n">
        <v>43958</v>
      </c>
      <c r="C2032" s="1" t="n">
        <v>45662</v>
      </c>
      <c r="D2032" t="inlineStr">
        <is>
          <t>NORRBOTTENS LÄN</t>
        </is>
      </c>
      <c r="E2032" t="inlineStr">
        <is>
          <t>GÄLLIVARE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22786-2020</t>
        </is>
      </c>
      <c r="B2033" s="1" t="n">
        <v>43958</v>
      </c>
      <c r="C2033" s="1" t="n">
        <v>45662</v>
      </c>
      <c r="D2033" t="inlineStr">
        <is>
          <t>NORRBOTTENS LÄN</t>
        </is>
      </c>
      <c r="E2033" t="inlineStr">
        <is>
          <t>GÄLLIVARE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21968-2020</t>
        </is>
      </c>
      <c r="B2034" s="1" t="n">
        <v>43958</v>
      </c>
      <c r="C2034" s="1" t="n">
        <v>45662</v>
      </c>
      <c r="D2034" t="inlineStr">
        <is>
          <t>NORRBOTTENS LÄN</t>
        </is>
      </c>
      <c r="E2034" t="inlineStr">
        <is>
          <t>ÖVERKALIX</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22774-2020</t>
        </is>
      </c>
      <c r="B2035" s="1" t="n">
        <v>43958</v>
      </c>
      <c r="C2035" s="1" t="n">
        <v>45662</v>
      </c>
      <c r="D2035" t="inlineStr">
        <is>
          <t>NORRBOTTENS LÄN</t>
        </is>
      </c>
      <c r="E2035" t="inlineStr">
        <is>
          <t>GÄLLIVARE</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22784-2020</t>
        </is>
      </c>
      <c r="B2036" s="1" t="n">
        <v>43958</v>
      </c>
      <c r="C2036" s="1" t="n">
        <v>45662</v>
      </c>
      <c r="D2036" t="inlineStr">
        <is>
          <t>NORRBOTTENS LÄN</t>
        </is>
      </c>
      <c r="E2036" t="inlineStr">
        <is>
          <t>GÄLLIVARE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22426-2020</t>
        </is>
      </c>
      <c r="B2037" s="1" t="n">
        <v>43958</v>
      </c>
      <c r="C2037" s="1" t="n">
        <v>45662</v>
      </c>
      <c r="D2037" t="inlineStr">
        <is>
          <t>NORRBOTTENS LÄN</t>
        </is>
      </c>
      <c r="E2037" t="inlineStr">
        <is>
          <t>BODEN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22508-2020</t>
        </is>
      </c>
      <c r="B2038" s="1" t="n">
        <v>43958</v>
      </c>
      <c r="C2038" s="1" t="n">
        <v>45662</v>
      </c>
      <c r="D2038" t="inlineStr">
        <is>
          <t>NORRBOTTENS LÄN</t>
        </is>
      </c>
      <c r="E2038" t="inlineStr">
        <is>
          <t>PITEÅ</t>
        </is>
      </c>
      <c r="G2038" t="n">
        <v>33.8</v>
      </c>
      <c r="H2038" t="n">
        <v>0</v>
      </c>
      <c r="I2038" t="n">
        <v>0</v>
      </c>
      <c r="J2038" t="n">
        <v>0</v>
      </c>
      <c r="K2038" t="n">
        <v>0</v>
      </c>
      <c r="L2038" t="n">
        <v>0</v>
      </c>
      <c r="M2038" t="n">
        <v>0</v>
      </c>
      <c r="N2038" t="n">
        <v>0</v>
      </c>
      <c r="O2038" t="n">
        <v>0</v>
      </c>
      <c r="P2038" t="n">
        <v>0</v>
      </c>
      <c r="Q2038" t="n">
        <v>0</v>
      </c>
      <c r="R2038" s="2" t="inlineStr"/>
    </row>
    <row r="2039" ht="15" customHeight="1">
      <c r="A2039" t="inlineStr">
        <is>
          <t>A 22782-2020</t>
        </is>
      </c>
      <c r="B2039" s="1" t="n">
        <v>43958</v>
      </c>
      <c r="C2039" s="1" t="n">
        <v>45662</v>
      </c>
      <c r="D2039" t="inlineStr">
        <is>
          <t>NORRBOTTENS LÄN</t>
        </is>
      </c>
      <c r="E2039" t="inlineStr">
        <is>
          <t>GÄLLIVARE</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22177-2020</t>
        </is>
      </c>
      <c r="B2040" s="1" t="n">
        <v>43959</v>
      </c>
      <c r="C2040" s="1" t="n">
        <v>45662</v>
      </c>
      <c r="D2040" t="inlineStr">
        <is>
          <t>NORRBOTTENS LÄN</t>
        </is>
      </c>
      <c r="E2040" t="inlineStr">
        <is>
          <t>GÄLLIVARE</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22620-2020</t>
        </is>
      </c>
      <c r="B2041" s="1" t="n">
        <v>43959</v>
      </c>
      <c r="C2041" s="1" t="n">
        <v>45662</v>
      </c>
      <c r="D2041" t="inlineStr">
        <is>
          <t>NORRBOTTENS LÄN</t>
        </is>
      </c>
      <c r="E2041" t="inlineStr">
        <is>
          <t>PITEÅ</t>
        </is>
      </c>
      <c r="G2041" t="n">
        <v>25.2</v>
      </c>
      <c r="H2041" t="n">
        <v>0</v>
      </c>
      <c r="I2041" t="n">
        <v>0</v>
      </c>
      <c r="J2041" t="n">
        <v>0</v>
      </c>
      <c r="K2041" t="n">
        <v>0</v>
      </c>
      <c r="L2041" t="n">
        <v>0</v>
      </c>
      <c r="M2041" t="n">
        <v>0</v>
      </c>
      <c r="N2041" t="n">
        <v>0</v>
      </c>
      <c r="O2041" t="n">
        <v>0</v>
      </c>
      <c r="P2041" t="n">
        <v>0</v>
      </c>
      <c r="Q2041" t="n">
        <v>0</v>
      </c>
      <c r="R2041" s="2" t="inlineStr"/>
    </row>
    <row r="2042" ht="15" customHeight="1">
      <c r="A2042" t="inlineStr">
        <is>
          <t>A 22285-2020</t>
        </is>
      </c>
      <c r="B2042" s="1" t="n">
        <v>43962</v>
      </c>
      <c r="C2042" s="1" t="n">
        <v>45662</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22292-2020</t>
        </is>
      </c>
      <c r="B2043" s="1" t="n">
        <v>43962</v>
      </c>
      <c r="C2043" s="1" t="n">
        <v>45662</v>
      </c>
      <c r="D2043" t="inlineStr">
        <is>
          <t>NORRBOTTENS LÄN</t>
        </is>
      </c>
      <c r="E2043" t="inlineStr">
        <is>
          <t>PITEÅ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22288-2020</t>
        </is>
      </c>
      <c r="B2044" s="1" t="n">
        <v>43962</v>
      </c>
      <c r="C2044" s="1" t="n">
        <v>45662</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22291-2020</t>
        </is>
      </c>
      <c r="B2045" s="1" t="n">
        <v>43962</v>
      </c>
      <c r="C2045" s="1" t="n">
        <v>45662</v>
      </c>
      <c r="D2045" t="inlineStr">
        <is>
          <t>NORRBOTTENS LÄN</t>
        </is>
      </c>
      <c r="E2045" t="inlineStr">
        <is>
          <t>PITEÅ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22710-2020</t>
        </is>
      </c>
      <c r="B2046" s="1" t="n">
        <v>43962</v>
      </c>
      <c r="C2046" s="1" t="n">
        <v>45662</v>
      </c>
      <c r="D2046" t="inlineStr">
        <is>
          <t>NORRBOTTENS LÄN</t>
        </is>
      </c>
      <c r="E2046" t="inlineStr">
        <is>
          <t>LULEÅ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22470-2020</t>
        </is>
      </c>
      <c r="B2047" s="1" t="n">
        <v>43963</v>
      </c>
      <c r="C2047" s="1" t="n">
        <v>45662</v>
      </c>
      <c r="D2047" t="inlineStr">
        <is>
          <t>NORRBOTTENS LÄN</t>
        </is>
      </c>
      <c r="E2047" t="inlineStr">
        <is>
          <t>ÄLVSBYN</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22844-2020</t>
        </is>
      </c>
      <c r="B2048" s="1" t="n">
        <v>43964</v>
      </c>
      <c r="C2048" s="1" t="n">
        <v>45662</v>
      </c>
      <c r="D2048" t="inlineStr">
        <is>
          <t>NORRBOTTENS LÄN</t>
        </is>
      </c>
      <c r="E2048" t="inlineStr">
        <is>
          <t>BODEN</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22846-2020</t>
        </is>
      </c>
      <c r="B2049" s="1" t="n">
        <v>43964</v>
      </c>
      <c r="C2049" s="1" t="n">
        <v>45662</v>
      </c>
      <c r="D2049" t="inlineStr">
        <is>
          <t>NORRBOTTENS LÄN</t>
        </is>
      </c>
      <c r="E2049" t="inlineStr">
        <is>
          <t>BODEN</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22933-2020</t>
        </is>
      </c>
      <c r="B2050" s="1" t="n">
        <v>43964</v>
      </c>
      <c r="C2050" s="1" t="n">
        <v>45662</v>
      </c>
      <c r="D2050" t="inlineStr">
        <is>
          <t>NORRBOTTENS LÄN</t>
        </is>
      </c>
      <c r="E2050" t="inlineStr">
        <is>
          <t>ARVIDSJAUR</t>
        </is>
      </c>
      <c r="F2050" t="inlineStr">
        <is>
          <t>Allmännings- och besparingsskogar</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22953-2020</t>
        </is>
      </c>
      <c r="B2051" s="1" t="n">
        <v>43964</v>
      </c>
      <c r="C2051" s="1" t="n">
        <v>45662</v>
      </c>
      <c r="D2051" t="inlineStr">
        <is>
          <t>NORRBOTTENS LÄN</t>
        </is>
      </c>
      <c r="E2051" t="inlineStr">
        <is>
          <t>ARVIDSJAUR</t>
        </is>
      </c>
      <c r="F2051" t="inlineStr">
        <is>
          <t>Allmännings- och besparingsskogar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23063-2020</t>
        </is>
      </c>
      <c r="B2052" s="1" t="n">
        <v>43965</v>
      </c>
      <c r="C2052" s="1" t="n">
        <v>45662</v>
      </c>
      <c r="D2052" t="inlineStr">
        <is>
          <t>NORRBOTTENS LÄN</t>
        </is>
      </c>
      <c r="E2052" t="inlineStr">
        <is>
          <t>KALIX</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23105-2020</t>
        </is>
      </c>
      <c r="B2053" s="1" t="n">
        <v>43965</v>
      </c>
      <c r="C2053" s="1" t="n">
        <v>45662</v>
      </c>
      <c r="D2053" t="inlineStr">
        <is>
          <t>NORRBOTTENS LÄN</t>
        </is>
      </c>
      <c r="E2053" t="inlineStr">
        <is>
          <t>BODEN</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23192-2020</t>
        </is>
      </c>
      <c r="B2054" s="1" t="n">
        <v>43966</v>
      </c>
      <c r="C2054" s="1" t="n">
        <v>45662</v>
      </c>
      <c r="D2054" t="inlineStr">
        <is>
          <t>NORRBOTTENS LÄN</t>
        </is>
      </c>
      <c r="E2054" t="inlineStr">
        <is>
          <t>PAJALA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23399-2020</t>
        </is>
      </c>
      <c r="B2055" s="1" t="n">
        <v>43968</v>
      </c>
      <c r="C2055" s="1" t="n">
        <v>45662</v>
      </c>
      <c r="D2055" t="inlineStr">
        <is>
          <t>NORRBOTTENS LÄN</t>
        </is>
      </c>
      <c r="E2055" t="inlineStr">
        <is>
          <t>PAJALA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23602-2020</t>
        </is>
      </c>
      <c r="B2056" s="1" t="n">
        <v>43969</v>
      </c>
      <c r="C2056" s="1" t="n">
        <v>45662</v>
      </c>
      <c r="D2056" t="inlineStr">
        <is>
          <t>NORRBOTTENS LÄN</t>
        </is>
      </c>
      <c r="E2056" t="inlineStr">
        <is>
          <t>PAJALA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23630-2020</t>
        </is>
      </c>
      <c r="B2057" s="1" t="n">
        <v>43969</v>
      </c>
      <c r="C2057" s="1" t="n">
        <v>45662</v>
      </c>
      <c r="D2057" t="inlineStr">
        <is>
          <t>NORRBOTTENS LÄN</t>
        </is>
      </c>
      <c r="E2057" t="inlineStr">
        <is>
          <t>PAJALA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23639-2020</t>
        </is>
      </c>
      <c r="B2058" s="1" t="n">
        <v>43969</v>
      </c>
      <c r="C2058" s="1" t="n">
        <v>45662</v>
      </c>
      <c r="D2058" t="inlineStr">
        <is>
          <t>NORRBOTTENS LÄN</t>
        </is>
      </c>
      <c r="E2058" t="inlineStr">
        <is>
          <t>ÖVERKALIX</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23735-2020</t>
        </is>
      </c>
      <c r="B2059" s="1" t="n">
        <v>43970</v>
      </c>
      <c r="C2059" s="1" t="n">
        <v>45662</v>
      </c>
      <c r="D2059" t="inlineStr">
        <is>
          <t>NORRBOTTENS LÄN</t>
        </is>
      </c>
      <c r="E2059" t="inlineStr">
        <is>
          <t>PITEÅ</t>
        </is>
      </c>
      <c r="F2059" t="inlineStr">
        <is>
          <t>Sveaskog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24385-2020</t>
        </is>
      </c>
      <c r="B2060" s="1" t="n">
        <v>43970</v>
      </c>
      <c r="C2060" s="1" t="n">
        <v>45662</v>
      </c>
      <c r="D2060" t="inlineStr">
        <is>
          <t>NORRBOTTENS LÄN</t>
        </is>
      </c>
      <c r="E2060" t="inlineStr">
        <is>
          <t>KALIX</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23997-2020</t>
        </is>
      </c>
      <c r="B2061" s="1" t="n">
        <v>43971</v>
      </c>
      <c r="C2061" s="1" t="n">
        <v>45662</v>
      </c>
      <c r="D2061" t="inlineStr">
        <is>
          <t>NORRBOTTENS LÄN</t>
        </is>
      </c>
      <c r="E2061" t="inlineStr">
        <is>
          <t>PITEÅ</t>
        </is>
      </c>
      <c r="F2061" t="inlineStr">
        <is>
          <t>Övriga Aktiebolag</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24026-2020</t>
        </is>
      </c>
      <c r="B2062" s="1" t="n">
        <v>43971</v>
      </c>
      <c r="C2062" s="1" t="n">
        <v>45662</v>
      </c>
      <c r="D2062" t="inlineStr">
        <is>
          <t>NORRBOTTENS LÄN</t>
        </is>
      </c>
      <c r="E2062" t="inlineStr">
        <is>
          <t>BODEN</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24055-2020</t>
        </is>
      </c>
      <c r="B2063" s="1" t="n">
        <v>43971</v>
      </c>
      <c r="C2063" s="1" t="n">
        <v>45662</v>
      </c>
      <c r="D2063" t="inlineStr">
        <is>
          <t>NORRBOTTENS LÄN</t>
        </is>
      </c>
      <c r="E2063" t="inlineStr">
        <is>
          <t>JOKKMOKK</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24354-2020</t>
        </is>
      </c>
      <c r="B2064" s="1" t="n">
        <v>43976</v>
      </c>
      <c r="C2064" s="1" t="n">
        <v>45662</v>
      </c>
      <c r="D2064" t="inlineStr">
        <is>
          <t>NORRBOTTENS LÄN</t>
        </is>
      </c>
      <c r="E2064" t="inlineStr">
        <is>
          <t>ÖVERKALIX</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24368-2020</t>
        </is>
      </c>
      <c r="B2065" s="1" t="n">
        <v>43976</v>
      </c>
      <c r="C2065" s="1" t="n">
        <v>45662</v>
      </c>
      <c r="D2065" t="inlineStr">
        <is>
          <t>NORRBOTTENS LÄN</t>
        </is>
      </c>
      <c r="E2065" t="inlineStr">
        <is>
          <t>PAJALA</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24232-2020</t>
        </is>
      </c>
      <c r="B2066" s="1" t="n">
        <v>43976</v>
      </c>
      <c r="C2066" s="1" t="n">
        <v>45662</v>
      </c>
      <c r="D2066" t="inlineStr">
        <is>
          <t>NORRBOTTENS LÄN</t>
        </is>
      </c>
      <c r="E2066" t="inlineStr">
        <is>
          <t>ARVIDSJAUR</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24241-2020</t>
        </is>
      </c>
      <c r="B2067" s="1" t="n">
        <v>43976</v>
      </c>
      <c r="C2067" s="1" t="n">
        <v>45662</v>
      </c>
      <c r="D2067" t="inlineStr">
        <is>
          <t>NORRBOTTENS LÄN</t>
        </is>
      </c>
      <c r="E2067" t="inlineStr">
        <is>
          <t>GÄLLIVARE</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24358-2020</t>
        </is>
      </c>
      <c r="B2068" s="1" t="n">
        <v>43976</v>
      </c>
      <c r="C2068" s="1" t="n">
        <v>45662</v>
      </c>
      <c r="D2068" t="inlineStr">
        <is>
          <t>NORRBOTTENS LÄN</t>
        </is>
      </c>
      <c r="E2068" t="inlineStr">
        <is>
          <t>PAJALA</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24524-2020</t>
        </is>
      </c>
      <c r="B2069" s="1" t="n">
        <v>43976</v>
      </c>
      <c r="C2069" s="1" t="n">
        <v>45662</v>
      </c>
      <c r="D2069" t="inlineStr">
        <is>
          <t>NORRBOTTENS LÄN</t>
        </is>
      </c>
      <c r="E2069" t="inlineStr">
        <is>
          <t>PITEÅ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24422-2020</t>
        </is>
      </c>
      <c r="B2070" s="1" t="n">
        <v>43976</v>
      </c>
      <c r="C2070" s="1" t="n">
        <v>45662</v>
      </c>
      <c r="D2070" t="inlineStr">
        <is>
          <t>NORRBOTTENS LÄN</t>
        </is>
      </c>
      <c r="E2070" t="inlineStr">
        <is>
          <t>JOKKMOKK</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24660-2020</t>
        </is>
      </c>
      <c r="B2071" s="1" t="n">
        <v>43977</v>
      </c>
      <c r="C2071" s="1" t="n">
        <v>45662</v>
      </c>
      <c r="D2071" t="inlineStr">
        <is>
          <t>NORRBOTTENS LÄN</t>
        </is>
      </c>
      <c r="E2071" t="inlineStr">
        <is>
          <t>ÖVERKALIX</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24790-2020</t>
        </is>
      </c>
      <c r="B2072" s="1" t="n">
        <v>43978</v>
      </c>
      <c r="C2072" s="1" t="n">
        <v>45662</v>
      </c>
      <c r="D2072" t="inlineStr">
        <is>
          <t>NORRBOTTENS LÄN</t>
        </is>
      </c>
      <c r="E2072" t="inlineStr">
        <is>
          <t>PAJALA</t>
        </is>
      </c>
      <c r="F2072" t="inlineStr">
        <is>
          <t>Sveaskog</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25139-2020</t>
        </is>
      </c>
      <c r="B2073" s="1" t="n">
        <v>43979</v>
      </c>
      <c r="C2073" s="1" t="n">
        <v>45662</v>
      </c>
      <c r="D2073" t="inlineStr">
        <is>
          <t>NORRBOTTENS LÄN</t>
        </is>
      </c>
      <c r="E2073" t="inlineStr">
        <is>
          <t>ARJEPLOG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25001-2020</t>
        </is>
      </c>
      <c r="B2074" s="1" t="n">
        <v>43979</v>
      </c>
      <c r="C2074" s="1" t="n">
        <v>45662</v>
      </c>
      <c r="D2074" t="inlineStr">
        <is>
          <t>NORRBOTTENS LÄN</t>
        </is>
      </c>
      <c r="E2074" t="inlineStr">
        <is>
          <t>PITEÅ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25027-2020</t>
        </is>
      </c>
      <c r="B2075" s="1" t="n">
        <v>43979</v>
      </c>
      <c r="C2075" s="1" t="n">
        <v>45662</v>
      </c>
      <c r="D2075" t="inlineStr">
        <is>
          <t>NORRBOTTENS LÄN</t>
        </is>
      </c>
      <c r="E2075" t="inlineStr">
        <is>
          <t>PITEÅ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25031-2020</t>
        </is>
      </c>
      <c r="B2076" s="1" t="n">
        <v>43979</v>
      </c>
      <c r="C2076" s="1" t="n">
        <v>45662</v>
      </c>
      <c r="D2076" t="inlineStr">
        <is>
          <t>NORRBOTTENS LÄN</t>
        </is>
      </c>
      <c r="E2076" t="inlineStr">
        <is>
          <t>PITEÅ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25105-2020</t>
        </is>
      </c>
      <c r="B2077" s="1" t="n">
        <v>43979</v>
      </c>
      <c r="C2077" s="1" t="n">
        <v>45662</v>
      </c>
      <c r="D2077" t="inlineStr">
        <is>
          <t>NORRBOTTENS LÄN</t>
        </is>
      </c>
      <c r="E2077" t="inlineStr">
        <is>
          <t>BODEN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25277-2020</t>
        </is>
      </c>
      <c r="B2078" s="1" t="n">
        <v>43979</v>
      </c>
      <c r="C2078" s="1" t="n">
        <v>45662</v>
      </c>
      <c r="D2078" t="inlineStr">
        <is>
          <t>NORRBOTTENS LÄN</t>
        </is>
      </c>
      <c r="E2078" t="inlineStr">
        <is>
          <t>PAJALA</t>
        </is>
      </c>
      <c r="F2078" t="inlineStr">
        <is>
          <t>Allmännings- och besparingsskogar</t>
        </is>
      </c>
      <c r="G2078" t="n">
        <v>17.1</v>
      </c>
      <c r="H2078" t="n">
        <v>0</v>
      </c>
      <c r="I2078" t="n">
        <v>0</v>
      </c>
      <c r="J2078" t="n">
        <v>0</v>
      </c>
      <c r="K2078" t="n">
        <v>0</v>
      </c>
      <c r="L2078" t="n">
        <v>0</v>
      </c>
      <c r="M2078" t="n">
        <v>0</v>
      </c>
      <c r="N2078" t="n">
        <v>0</v>
      </c>
      <c r="O2078" t="n">
        <v>0</v>
      </c>
      <c r="P2078" t="n">
        <v>0</v>
      </c>
      <c r="Q2078" t="n">
        <v>0</v>
      </c>
      <c r="R2078" s="2" t="inlineStr"/>
    </row>
    <row r="2079" ht="15" customHeight="1">
      <c r="A2079" t="inlineStr">
        <is>
          <t>A 25163-2020</t>
        </is>
      </c>
      <c r="B2079" s="1" t="n">
        <v>43980</v>
      </c>
      <c r="C2079" s="1" t="n">
        <v>45662</v>
      </c>
      <c r="D2079" t="inlineStr">
        <is>
          <t>NORRBOTTENS LÄN</t>
        </is>
      </c>
      <c r="E2079" t="inlineStr">
        <is>
          <t>JOKKMOKK</t>
        </is>
      </c>
      <c r="F2079" t="inlineStr">
        <is>
          <t>Sveaskog</t>
        </is>
      </c>
      <c r="G2079" t="n">
        <v>17.4</v>
      </c>
      <c r="H2079" t="n">
        <v>0</v>
      </c>
      <c r="I2079" t="n">
        <v>0</v>
      </c>
      <c r="J2079" t="n">
        <v>0</v>
      </c>
      <c r="K2079" t="n">
        <v>0</v>
      </c>
      <c r="L2079" t="n">
        <v>0</v>
      </c>
      <c r="M2079" t="n">
        <v>0</v>
      </c>
      <c r="N2079" t="n">
        <v>0</v>
      </c>
      <c r="O2079" t="n">
        <v>0</v>
      </c>
      <c r="P2079" t="n">
        <v>0</v>
      </c>
      <c r="Q2079" t="n">
        <v>0</v>
      </c>
      <c r="R2079" s="2" t="inlineStr"/>
    </row>
    <row r="2080" ht="15" customHeight="1">
      <c r="A2080" t="inlineStr">
        <is>
          <t>A 25319-2020</t>
        </is>
      </c>
      <c r="B2080" s="1" t="n">
        <v>43980</v>
      </c>
      <c r="C2080" s="1" t="n">
        <v>45662</v>
      </c>
      <c r="D2080" t="inlineStr">
        <is>
          <t>NORRBOTTENS LÄN</t>
        </is>
      </c>
      <c r="E2080" t="inlineStr">
        <is>
          <t>PAJALA</t>
        </is>
      </c>
      <c r="F2080" t="inlineStr">
        <is>
          <t>Sveaskog</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25305-2020</t>
        </is>
      </c>
      <c r="B2081" s="1" t="n">
        <v>43980</v>
      </c>
      <c r="C2081" s="1" t="n">
        <v>45662</v>
      </c>
      <c r="D2081" t="inlineStr">
        <is>
          <t>NORRBOTTENS LÄN</t>
        </is>
      </c>
      <c r="E2081" t="inlineStr">
        <is>
          <t>JOKKMOKK</t>
        </is>
      </c>
      <c r="F2081" t="inlineStr">
        <is>
          <t>Sveaskog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25323-2020</t>
        </is>
      </c>
      <c r="B2082" s="1" t="n">
        <v>43980</v>
      </c>
      <c r="C2082" s="1" t="n">
        <v>45662</v>
      </c>
      <c r="D2082" t="inlineStr">
        <is>
          <t>NORRBOTTENS LÄN</t>
        </is>
      </c>
      <c r="E2082" t="inlineStr">
        <is>
          <t>PAJALA</t>
        </is>
      </c>
      <c r="F2082" t="inlineStr">
        <is>
          <t>Sveaskog</t>
        </is>
      </c>
      <c r="G2082" t="n">
        <v>16.7</v>
      </c>
      <c r="H2082" t="n">
        <v>0</v>
      </c>
      <c r="I2082" t="n">
        <v>0</v>
      </c>
      <c r="J2082" t="n">
        <v>0</v>
      </c>
      <c r="K2082" t="n">
        <v>0</v>
      </c>
      <c r="L2082" t="n">
        <v>0</v>
      </c>
      <c r="M2082" t="n">
        <v>0</v>
      </c>
      <c r="N2082" t="n">
        <v>0</v>
      </c>
      <c r="O2082" t="n">
        <v>0</v>
      </c>
      <c r="P2082" t="n">
        <v>0</v>
      </c>
      <c r="Q2082" t="n">
        <v>0</v>
      </c>
      <c r="R2082" s="2" t="inlineStr"/>
    </row>
    <row r="2083" ht="15" customHeight="1">
      <c r="A2083" t="inlineStr">
        <is>
          <t>A 25346-2020</t>
        </is>
      </c>
      <c r="B2083" s="1" t="n">
        <v>43980</v>
      </c>
      <c r="C2083" s="1" t="n">
        <v>45662</v>
      </c>
      <c r="D2083" t="inlineStr">
        <is>
          <t>NORRBOTTENS LÄN</t>
        </is>
      </c>
      <c r="E2083" t="inlineStr">
        <is>
          <t>PAJALA</t>
        </is>
      </c>
      <c r="F2083" t="inlineStr">
        <is>
          <t>Allmännings- och besparingsskogar</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25439-2020</t>
        </is>
      </c>
      <c r="B2084" s="1" t="n">
        <v>43983</v>
      </c>
      <c r="C2084" s="1" t="n">
        <v>45662</v>
      </c>
      <c r="D2084" t="inlineStr">
        <is>
          <t>NORRBOTTENS LÄN</t>
        </is>
      </c>
      <c r="E2084" t="inlineStr">
        <is>
          <t>BODEN</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25541-2020</t>
        </is>
      </c>
      <c r="B2085" s="1" t="n">
        <v>43983</v>
      </c>
      <c r="C2085" s="1" t="n">
        <v>45662</v>
      </c>
      <c r="D2085" t="inlineStr">
        <is>
          <t>NORRBOTTENS LÄN</t>
        </is>
      </c>
      <c r="E2085" t="inlineStr">
        <is>
          <t>BODEN</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25446-2020</t>
        </is>
      </c>
      <c r="B2086" s="1" t="n">
        <v>43983</v>
      </c>
      <c r="C2086" s="1" t="n">
        <v>45662</v>
      </c>
      <c r="D2086" t="inlineStr">
        <is>
          <t>NORRBOTTENS LÄN</t>
        </is>
      </c>
      <c r="E2086" t="inlineStr">
        <is>
          <t>BODEN</t>
        </is>
      </c>
      <c r="F2086" t="inlineStr">
        <is>
          <t>Sveaskog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25449-2020</t>
        </is>
      </c>
      <c r="B2087" s="1" t="n">
        <v>43983</v>
      </c>
      <c r="C2087" s="1" t="n">
        <v>45662</v>
      </c>
      <c r="D2087" t="inlineStr">
        <is>
          <t>NORRBOTTENS LÄN</t>
        </is>
      </c>
      <c r="E2087" t="inlineStr">
        <is>
          <t>BODEN</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25731-2020</t>
        </is>
      </c>
      <c r="B2088" s="1" t="n">
        <v>43984</v>
      </c>
      <c r="C2088" s="1" t="n">
        <v>45662</v>
      </c>
      <c r="D2088" t="inlineStr">
        <is>
          <t>NORRBOTTENS LÄN</t>
        </is>
      </c>
      <c r="E2088" t="inlineStr">
        <is>
          <t>PITEÅ</t>
        </is>
      </c>
      <c r="F2088" t="inlineStr">
        <is>
          <t>Övriga Aktiebolag</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26066-2020</t>
        </is>
      </c>
      <c r="B2089" s="1" t="n">
        <v>43984</v>
      </c>
      <c r="C2089" s="1" t="n">
        <v>45662</v>
      </c>
      <c r="D2089" t="inlineStr">
        <is>
          <t>NORRBOTTENS LÄN</t>
        </is>
      </c>
      <c r="E2089" t="inlineStr">
        <is>
          <t>PITEÅ</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26076-2020</t>
        </is>
      </c>
      <c r="B2090" s="1" t="n">
        <v>43985</v>
      </c>
      <c r="C2090" s="1" t="n">
        <v>45662</v>
      </c>
      <c r="D2090" t="inlineStr">
        <is>
          <t>NORRBOTTENS LÄN</t>
        </is>
      </c>
      <c r="E2090" t="inlineStr">
        <is>
          <t>KALIX</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26062-2020</t>
        </is>
      </c>
      <c r="B2091" s="1" t="n">
        <v>43985</v>
      </c>
      <c r="C2091" s="1" t="n">
        <v>45662</v>
      </c>
      <c r="D2091" t="inlineStr">
        <is>
          <t>NORRBOTTENS LÄN</t>
        </is>
      </c>
      <c r="E2091" t="inlineStr">
        <is>
          <t>LULEÅ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26201-2020</t>
        </is>
      </c>
      <c r="B2092" s="1" t="n">
        <v>43986</v>
      </c>
      <c r="C2092" s="1" t="n">
        <v>45662</v>
      </c>
      <c r="D2092" t="inlineStr">
        <is>
          <t>NORRBOTTENS LÄN</t>
        </is>
      </c>
      <c r="E2092" t="inlineStr">
        <is>
          <t>ARVIDSJAUR</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26594-2020</t>
        </is>
      </c>
      <c r="B2093" s="1" t="n">
        <v>43986</v>
      </c>
      <c r="C2093" s="1" t="n">
        <v>45662</v>
      </c>
      <c r="D2093" t="inlineStr">
        <is>
          <t>NORRBOTTENS LÄN</t>
        </is>
      </c>
      <c r="E2093" t="inlineStr">
        <is>
          <t>HAPARANDA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26315-2020</t>
        </is>
      </c>
      <c r="B2094" s="1" t="n">
        <v>43986</v>
      </c>
      <c r="C2094" s="1" t="n">
        <v>45662</v>
      </c>
      <c r="D2094" t="inlineStr">
        <is>
          <t>NORRBOTTENS LÄN</t>
        </is>
      </c>
      <c r="E2094" t="inlineStr">
        <is>
          <t>ÖVERTORNEÅ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26312-2020</t>
        </is>
      </c>
      <c r="B2095" s="1" t="n">
        <v>43986</v>
      </c>
      <c r="C2095" s="1" t="n">
        <v>45662</v>
      </c>
      <c r="D2095" t="inlineStr">
        <is>
          <t>NORRBOTTENS LÄN</t>
        </is>
      </c>
      <c r="E2095" t="inlineStr">
        <is>
          <t>ÖVERTORNEÅ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26593-2020</t>
        </is>
      </c>
      <c r="B2096" s="1" t="n">
        <v>43986</v>
      </c>
      <c r="C2096" s="1" t="n">
        <v>45662</v>
      </c>
      <c r="D2096" t="inlineStr">
        <is>
          <t>NORRBOTTENS LÄN</t>
        </is>
      </c>
      <c r="E2096" t="inlineStr">
        <is>
          <t>HAPARANDA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26588-2020</t>
        </is>
      </c>
      <c r="B2097" s="1" t="n">
        <v>43986</v>
      </c>
      <c r="C2097" s="1" t="n">
        <v>45662</v>
      </c>
      <c r="D2097" t="inlineStr">
        <is>
          <t>NORRBOTTENS LÄN</t>
        </is>
      </c>
      <c r="E2097" t="inlineStr">
        <is>
          <t>KALIX</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26850-2020</t>
        </is>
      </c>
      <c r="B2098" s="1" t="n">
        <v>43987</v>
      </c>
      <c r="C2098" s="1" t="n">
        <v>45662</v>
      </c>
      <c r="D2098" t="inlineStr">
        <is>
          <t>NORRBOTTENS LÄN</t>
        </is>
      </c>
      <c r="E2098" t="inlineStr">
        <is>
          <t>GÄLLIVARE</t>
        </is>
      </c>
      <c r="F2098" t="inlineStr">
        <is>
          <t>Allmännings- och besparingsskogar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27058-2020</t>
        </is>
      </c>
      <c r="B2099" s="1" t="n">
        <v>43987</v>
      </c>
      <c r="C2099" s="1" t="n">
        <v>45662</v>
      </c>
      <c r="D2099" t="inlineStr">
        <is>
          <t>NORRBOTTENS LÄN</t>
        </is>
      </c>
      <c r="E2099" t="inlineStr">
        <is>
          <t>JOKKMOKK</t>
        </is>
      </c>
      <c r="F2099" t="inlineStr">
        <is>
          <t>Allmännings- och besparingsskogar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26866-2020</t>
        </is>
      </c>
      <c r="B2100" s="1" t="n">
        <v>43987</v>
      </c>
      <c r="C2100" s="1" t="n">
        <v>45662</v>
      </c>
      <c r="D2100" t="inlineStr">
        <is>
          <t>NORRBOTTENS LÄN</t>
        </is>
      </c>
      <c r="E2100" t="inlineStr">
        <is>
          <t>ÖVERKALIX</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26846-2020</t>
        </is>
      </c>
      <c r="B2101" s="1" t="n">
        <v>43987</v>
      </c>
      <c r="C2101" s="1" t="n">
        <v>45662</v>
      </c>
      <c r="D2101" t="inlineStr">
        <is>
          <t>NORRBOTTENS LÄN</t>
        </is>
      </c>
      <c r="E2101" t="inlineStr">
        <is>
          <t>PAJALA</t>
        </is>
      </c>
      <c r="F2101" t="inlineStr">
        <is>
          <t>Allmännings- och besparingsskogar</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26853-2020</t>
        </is>
      </c>
      <c r="B2102" s="1" t="n">
        <v>43987</v>
      </c>
      <c r="C2102" s="1" t="n">
        <v>45662</v>
      </c>
      <c r="D2102" t="inlineStr">
        <is>
          <t>NORRBOTTENS LÄN</t>
        </is>
      </c>
      <c r="E2102" t="inlineStr">
        <is>
          <t>PITEÅ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26768-2020</t>
        </is>
      </c>
      <c r="B2103" s="1" t="n">
        <v>43990</v>
      </c>
      <c r="C2103" s="1" t="n">
        <v>45662</v>
      </c>
      <c r="D2103" t="inlineStr">
        <is>
          <t>NORRBOTTENS LÄN</t>
        </is>
      </c>
      <c r="E2103" t="inlineStr">
        <is>
          <t>PITEÅ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26916-2020</t>
        </is>
      </c>
      <c r="B2104" s="1" t="n">
        <v>43990</v>
      </c>
      <c r="C2104" s="1" t="n">
        <v>45662</v>
      </c>
      <c r="D2104" t="inlineStr">
        <is>
          <t>NORRBOTTENS LÄN</t>
        </is>
      </c>
      <c r="E2104" t="inlineStr">
        <is>
          <t>BODEN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26795-2020</t>
        </is>
      </c>
      <c r="B2105" s="1" t="n">
        <v>43990</v>
      </c>
      <c r="C2105" s="1" t="n">
        <v>45662</v>
      </c>
      <c r="D2105" t="inlineStr">
        <is>
          <t>NORRBOTTENS LÄN</t>
        </is>
      </c>
      <c r="E2105" t="inlineStr">
        <is>
          <t>ÖVERKALIX</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27137-2020</t>
        </is>
      </c>
      <c r="B2106" s="1" t="n">
        <v>43991</v>
      </c>
      <c r="C2106" s="1" t="n">
        <v>45662</v>
      </c>
      <c r="D2106" t="inlineStr">
        <is>
          <t>NORRBOTTENS LÄN</t>
        </is>
      </c>
      <c r="E2106" t="inlineStr">
        <is>
          <t>PAJALA</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27148-2020</t>
        </is>
      </c>
      <c r="B2107" s="1" t="n">
        <v>43991</v>
      </c>
      <c r="C2107" s="1" t="n">
        <v>45662</v>
      </c>
      <c r="D2107" t="inlineStr">
        <is>
          <t>NORRBOTTENS LÄN</t>
        </is>
      </c>
      <c r="E2107" t="inlineStr">
        <is>
          <t>PAJALA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27092-2020</t>
        </is>
      </c>
      <c r="B2108" s="1" t="n">
        <v>43991</v>
      </c>
      <c r="C2108" s="1" t="n">
        <v>45662</v>
      </c>
      <c r="D2108" t="inlineStr">
        <is>
          <t>NORRBOTTENS LÄN</t>
        </is>
      </c>
      <c r="E2108" t="inlineStr">
        <is>
          <t>ÖVERKALIX</t>
        </is>
      </c>
      <c r="F2108" t="inlineStr">
        <is>
          <t>Sveaskog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27143-2020</t>
        </is>
      </c>
      <c r="B2109" s="1" t="n">
        <v>43991</v>
      </c>
      <c r="C2109" s="1" t="n">
        <v>45662</v>
      </c>
      <c r="D2109" t="inlineStr">
        <is>
          <t>NORRBOTTENS LÄN</t>
        </is>
      </c>
      <c r="E2109" t="inlineStr">
        <is>
          <t>PAJALA</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27165-2020</t>
        </is>
      </c>
      <c r="B2110" s="1" t="n">
        <v>43991</v>
      </c>
      <c r="C2110" s="1" t="n">
        <v>45662</v>
      </c>
      <c r="D2110" t="inlineStr">
        <is>
          <t>NORRBOTTENS LÄN</t>
        </is>
      </c>
      <c r="E2110" t="inlineStr">
        <is>
          <t>JOKKMOKK</t>
        </is>
      </c>
      <c r="F2110" t="inlineStr">
        <is>
          <t>Sveaskog</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27153-2020</t>
        </is>
      </c>
      <c r="B2111" s="1" t="n">
        <v>43991</v>
      </c>
      <c r="C2111" s="1" t="n">
        <v>45662</v>
      </c>
      <c r="D2111" t="inlineStr">
        <is>
          <t>NORRBOTTENS LÄN</t>
        </is>
      </c>
      <c r="E2111" t="inlineStr">
        <is>
          <t>PAJALA</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27552-2020</t>
        </is>
      </c>
      <c r="B2112" s="1" t="n">
        <v>43991</v>
      </c>
      <c r="C2112" s="1" t="n">
        <v>45662</v>
      </c>
      <c r="D2112" t="inlineStr">
        <is>
          <t>NORRBOTTENS LÄN</t>
        </is>
      </c>
      <c r="E2112" t="inlineStr">
        <is>
          <t>KALIX</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27135-2020</t>
        </is>
      </c>
      <c r="B2113" s="1" t="n">
        <v>43991</v>
      </c>
      <c r="C2113" s="1" t="n">
        <v>45662</v>
      </c>
      <c r="D2113" t="inlineStr">
        <is>
          <t>NORRBOTTENS LÄN</t>
        </is>
      </c>
      <c r="E2113" t="inlineStr">
        <is>
          <t>PAJALA</t>
        </is>
      </c>
      <c r="F2113" t="inlineStr">
        <is>
          <t>Sveaskog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27417-2020</t>
        </is>
      </c>
      <c r="B2114" s="1" t="n">
        <v>43992</v>
      </c>
      <c r="C2114" s="1" t="n">
        <v>45662</v>
      </c>
      <c r="D2114" t="inlineStr">
        <is>
          <t>NORRBOTTENS LÄN</t>
        </is>
      </c>
      <c r="E2114" t="inlineStr">
        <is>
          <t>LULEÅ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27782-2020</t>
        </is>
      </c>
      <c r="B2115" s="1" t="n">
        <v>43994</v>
      </c>
      <c r="C2115" s="1" t="n">
        <v>45662</v>
      </c>
      <c r="D2115" t="inlineStr">
        <is>
          <t>NORRBOTTENS LÄN</t>
        </is>
      </c>
      <c r="E2115" t="inlineStr">
        <is>
          <t>HAPARANDA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27800-2020</t>
        </is>
      </c>
      <c r="B2116" s="1" t="n">
        <v>43994</v>
      </c>
      <c r="C2116" s="1" t="n">
        <v>45662</v>
      </c>
      <c r="D2116" t="inlineStr">
        <is>
          <t>NORRBOTTENS LÄN</t>
        </is>
      </c>
      <c r="E2116" t="inlineStr">
        <is>
          <t>PITEÅ</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27876-2020</t>
        </is>
      </c>
      <c r="B2117" s="1" t="n">
        <v>43994</v>
      </c>
      <c r="C2117" s="1" t="n">
        <v>45662</v>
      </c>
      <c r="D2117" t="inlineStr">
        <is>
          <t>NORRBOTTENS LÄN</t>
        </is>
      </c>
      <c r="E2117" t="inlineStr">
        <is>
          <t>BODEN</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27798-2020</t>
        </is>
      </c>
      <c r="B2118" s="1" t="n">
        <v>43994</v>
      </c>
      <c r="C2118" s="1" t="n">
        <v>45662</v>
      </c>
      <c r="D2118" t="inlineStr">
        <is>
          <t>NORRBOTTENS LÄN</t>
        </is>
      </c>
      <c r="E2118" t="inlineStr">
        <is>
          <t>HAPARANDA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27913-2020</t>
        </is>
      </c>
      <c r="B2119" s="1" t="n">
        <v>43997</v>
      </c>
      <c r="C2119" s="1" t="n">
        <v>45662</v>
      </c>
      <c r="D2119" t="inlineStr">
        <is>
          <t>NORRBOTTENS LÄN</t>
        </is>
      </c>
      <c r="E2119" t="inlineStr">
        <is>
          <t>PAJALA</t>
        </is>
      </c>
      <c r="G2119" t="n">
        <v>17.6</v>
      </c>
      <c r="H2119" t="n">
        <v>0</v>
      </c>
      <c r="I2119" t="n">
        <v>0</v>
      </c>
      <c r="J2119" t="n">
        <v>0</v>
      </c>
      <c r="K2119" t="n">
        <v>0</v>
      </c>
      <c r="L2119" t="n">
        <v>0</v>
      </c>
      <c r="M2119" t="n">
        <v>0</v>
      </c>
      <c r="N2119" t="n">
        <v>0</v>
      </c>
      <c r="O2119" t="n">
        <v>0</v>
      </c>
      <c r="P2119" t="n">
        <v>0</v>
      </c>
      <c r="Q2119" t="n">
        <v>0</v>
      </c>
      <c r="R2119" s="2" t="inlineStr"/>
    </row>
    <row r="2120" ht="15" customHeight="1">
      <c r="A2120" t="inlineStr">
        <is>
          <t>A 27914-2020</t>
        </is>
      </c>
      <c r="B2120" s="1" t="n">
        <v>43997</v>
      </c>
      <c r="C2120" s="1" t="n">
        <v>45662</v>
      </c>
      <c r="D2120" t="inlineStr">
        <is>
          <t>NORRBOTTENS LÄN</t>
        </is>
      </c>
      <c r="E2120" t="inlineStr">
        <is>
          <t>PAJALA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28402-2020</t>
        </is>
      </c>
      <c r="B2121" s="1" t="n">
        <v>43997</v>
      </c>
      <c r="C2121" s="1" t="n">
        <v>45662</v>
      </c>
      <c r="D2121" t="inlineStr">
        <is>
          <t>NORRBOTTENS LÄN</t>
        </is>
      </c>
      <c r="E2121" t="inlineStr">
        <is>
          <t>PITEÅ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28202-2020</t>
        </is>
      </c>
      <c r="B2122" s="1" t="n">
        <v>43997</v>
      </c>
      <c r="C2122" s="1" t="n">
        <v>45662</v>
      </c>
      <c r="D2122" t="inlineStr">
        <is>
          <t>NORRBOTTENS LÄN</t>
        </is>
      </c>
      <c r="E2122" t="inlineStr">
        <is>
          <t>BODEN</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28488-2020</t>
        </is>
      </c>
      <c r="B2123" s="1" t="n">
        <v>43998</v>
      </c>
      <c r="C2123" s="1" t="n">
        <v>45662</v>
      </c>
      <c r="D2123" t="inlineStr">
        <is>
          <t>NORRBOTTENS LÄN</t>
        </is>
      </c>
      <c r="E2123" t="inlineStr">
        <is>
          <t>BODEN</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29223-2020</t>
        </is>
      </c>
      <c r="B2124" s="1" t="n">
        <v>43999</v>
      </c>
      <c r="C2124" s="1" t="n">
        <v>45662</v>
      </c>
      <c r="D2124" t="inlineStr">
        <is>
          <t>NORRBOTTENS LÄN</t>
        </is>
      </c>
      <c r="E2124" t="inlineStr">
        <is>
          <t>PITEÅ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28855-2020</t>
        </is>
      </c>
      <c r="B2125" s="1" t="n">
        <v>44000</v>
      </c>
      <c r="C2125" s="1" t="n">
        <v>45662</v>
      </c>
      <c r="D2125" t="inlineStr">
        <is>
          <t>NORRBOTTENS LÄN</t>
        </is>
      </c>
      <c r="E2125" t="inlineStr">
        <is>
          <t>PITEÅ</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29403-2020</t>
        </is>
      </c>
      <c r="B2126" s="1" t="n">
        <v>44000</v>
      </c>
      <c r="C2126" s="1" t="n">
        <v>45662</v>
      </c>
      <c r="D2126" t="inlineStr">
        <is>
          <t>NORRBOTTENS LÄN</t>
        </is>
      </c>
      <c r="E2126" t="inlineStr">
        <is>
          <t>HAPARANDA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29247-2020</t>
        </is>
      </c>
      <c r="B2127" s="1" t="n">
        <v>44004</v>
      </c>
      <c r="C2127" s="1" t="n">
        <v>45662</v>
      </c>
      <c r="D2127" t="inlineStr">
        <is>
          <t>NORRBOTTENS LÄN</t>
        </is>
      </c>
      <c r="E2127" t="inlineStr">
        <is>
          <t>BODEN</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29220-2020</t>
        </is>
      </c>
      <c r="B2128" s="1" t="n">
        <v>44004</v>
      </c>
      <c r="C2128" s="1" t="n">
        <v>45662</v>
      </c>
      <c r="D2128" t="inlineStr">
        <is>
          <t>NORRBOTTENS LÄN</t>
        </is>
      </c>
      <c r="E2128" t="inlineStr">
        <is>
          <t>ÖVERTORNEÅ</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29589-2020</t>
        </is>
      </c>
      <c r="B2129" s="1" t="n">
        <v>44004</v>
      </c>
      <c r="C2129" s="1" t="n">
        <v>45662</v>
      </c>
      <c r="D2129" t="inlineStr">
        <is>
          <t>NORRBOTTENS LÄN</t>
        </is>
      </c>
      <c r="E2129" t="inlineStr">
        <is>
          <t>GÄLLIVARE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29567-2020</t>
        </is>
      </c>
      <c r="B2130" s="1" t="n">
        <v>44005</v>
      </c>
      <c r="C2130" s="1" t="n">
        <v>45662</v>
      </c>
      <c r="D2130" t="inlineStr">
        <is>
          <t>NORRBOTTENS LÄN</t>
        </is>
      </c>
      <c r="E2130" t="inlineStr">
        <is>
          <t>BODEN</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29610-2020</t>
        </is>
      </c>
      <c r="B2131" s="1" t="n">
        <v>44005</v>
      </c>
      <c r="C2131" s="1" t="n">
        <v>45662</v>
      </c>
      <c r="D2131" t="inlineStr">
        <is>
          <t>NORRBOTTENS LÄN</t>
        </is>
      </c>
      <c r="E2131" t="inlineStr">
        <is>
          <t>BODEN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29627-2020</t>
        </is>
      </c>
      <c r="B2132" s="1" t="n">
        <v>44005</v>
      </c>
      <c r="C2132" s="1" t="n">
        <v>45662</v>
      </c>
      <c r="D2132" t="inlineStr">
        <is>
          <t>NORRBOTTENS LÄN</t>
        </is>
      </c>
      <c r="E2132" t="inlineStr">
        <is>
          <t>KALIX</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29659-2020</t>
        </is>
      </c>
      <c r="B2133" s="1" t="n">
        <v>44005</v>
      </c>
      <c r="C2133" s="1" t="n">
        <v>45662</v>
      </c>
      <c r="D2133" t="inlineStr">
        <is>
          <t>NORRBOTTENS LÄN</t>
        </is>
      </c>
      <c r="E2133" t="inlineStr">
        <is>
          <t>BODEN</t>
        </is>
      </c>
      <c r="F2133" t="inlineStr">
        <is>
          <t>Sveaskog</t>
        </is>
      </c>
      <c r="G2133" t="n">
        <v>66.90000000000001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29622-2020</t>
        </is>
      </c>
      <c r="B2134" s="1" t="n">
        <v>44005</v>
      </c>
      <c r="C2134" s="1" t="n">
        <v>45662</v>
      </c>
      <c r="D2134" t="inlineStr">
        <is>
          <t>NORRBOTTENS LÄN</t>
        </is>
      </c>
      <c r="E2134" t="inlineStr">
        <is>
          <t>BODEN</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29798-2020</t>
        </is>
      </c>
      <c r="B2135" s="1" t="n">
        <v>44005</v>
      </c>
      <c r="C2135" s="1" t="n">
        <v>45662</v>
      </c>
      <c r="D2135" t="inlineStr">
        <is>
          <t>NORRBOTTENS LÄN</t>
        </is>
      </c>
      <c r="E2135" t="inlineStr">
        <is>
          <t>JOKKMOKK</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30119-2020</t>
        </is>
      </c>
      <c r="B2136" s="1" t="n">
        <v>44006</v>
      </c>
      <c r="C2136" s="1" t="n">
        <v>45662</v>
      </c>
      <c r="D2136" t="inlineStr">
        <is>
          <t>NORRBOTTENS LÄN</t>
        </is>
      </c>
      <c r="E2136" t="inlineStr">
        <is>
          <t>PITEÅ</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30049-2020</t>
        </is>
      </c>
      <c r="B2137" s="1" t="n">
        <v>44006</v>
      </c>
      <c r="C2137" s="1" t="n">
        <v>45662</v>
      </c>
      <c r="D2137" t="inlineStr">
        <is>
          <t>NORRBOTTENS LÄN</t>
        </is>
      </c>
      <c r="E2137" t="inlineStr">
        <is>
          <t>LULEÅ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29981-2020</t>
        </is>
      </c>
      <c r="B2138" s="1" t="n">
        <v>44006</v>
      </c>
      <c r="C2138" s="1" t="n">
        <v>45662</v>
      </c>
      <c r="D2138" t="inlineStr">
        <is>
          <t>NORRBOTTENS LÄN</t>
        </is>
      </c>
      <c r="E2138" t="inlineStr">
        <is>
          <t>GÄLLIVARE</t>
        </is>
      </c>
      <c r="F2138" t="inlineStr">
        <is>
          <t>Allmännings- och besparingsskogar</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30135-2020</t>
        </is>
      </c>
      <c r="B2139" s="1" t="n">
        <v>44006</v>
      </c>
      <c r="C2139" s="1" t="n">
        <v>45662</v>
      </c>
      <c r="D2139" t="inlineStr">
        <is>
          <t>NORRBOTTENS LÄN</t>
        </is>
      </c>
      <c r="E2139" t="inlineStr">
        <is>
          <t>PITEÅ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30276-2020</t>
        </is>
      </c>
      <c r="B2140" s="1" t="n">
        <v>44007</v>
      </c>
      <c r="C2140" s="1" t="n">
        <v>45662</v>
      </c>
      <c r="D2140" t="inlineStr">
        <is>
          <t>NORRBOTTENS LÄN</t>
        </is>
      </c>
      <c r="E2140" t="inlineStr">
        <is>
          <t>KALIX</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30283-2020</t>
        </is>
      </c>
      <c r="B2141" s="1" t="n">
        <v>44007</v>
      </c>
      <c r="C2141" s="1" t="n">
        <v>45662</v>
      </c>
      <c r="D2141" t="inlineStr">
        <is>
          <t>NORRBOTTENS LÄN</t>
        </is>
      </c>
      <c r="E2141" t="inlineStr">
        <is>
          <t>PITEÅ</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30334-2020</t>
        </is>
      </c>
      <c r="B2142" s="1" t="n">
        <v>44007</v>
      </c>
      <c r="C2142" s="1" t="n">
        <v>45662</v>
      </c>
      <c r="D2142" t="inlineStr">
        <is>
          <t>NORRBOTTENS LÄN</t>
        </is>
      </c>
      <c r="E2142" t="inlineStr">
        <is>
          <t>BODEN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30307-2020</t>
        </is>
      </c>
      <c r="B2143" s="1" t="n">
        <v>44007</v>
      </c>
      <c r="C2143" s="1" t="n">
        <v>45662</v>
      </c>
      <c r="D2143" t="inlineStr">
        <is>
          <t>NORRBOTTENS LÄN</t>
        </is>
      </c>
      <c r="E2143" t="inlineStr">
        <is>
          <t>BODEN</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30326-2020</t>
        </is>
      </c>
      <c r="B2144" s="1" t="n">
        <v>44007</v>
      </c>
      <c r="C2144" s="1" t="n">
        <v>45662</v>
      </c>
      <c r="D2144" t="inlineStr">
        <is>
          <t>NORRBOTTENS LÄN</t>
        </is>
      </c>
      <c r="E2144" t="inlineStr">
        <is>
          <t>BODEN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30336-2020</t>
        </is>
      </c>
      <c r="B2145" s="1" t="n">
        <v>44007</v>
      </c>
      <c r="C2145" s="1" t="n">
        <v>45662</v>
      </c>
      <c r="D2145" t="inlineStr">
        <is>
          <t>NORRBOTTENS LÄN</t>
        </is>
      </c>
      <c r="E2145" t="inlineStr">
        <is>
          <t>LULEÅ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30341-2020</t>
        </is>
      </c>
      <c r="B2146" s="1" t="n">
        <v>44007</v>
      </c>
      <c r="C2146" s="1" t="n">
        <v>45662</v>
      </c>
      <c r="D2146" t="inlineStr">
        <is>
          <t>NORRBOTTENS LÄN</t>
        </is>
      </c>
      <c r="E2146" t="inlineStr">
        <is>
          <t>LULEÅ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30417-2020</t>
        </is>
      </c>
      <c r="B2147" s="1" t="n">
        <v>44007</v>
      </c>
      <c r="C2147" s="1" t="n">
        <v>45662</v>
      </c>
      <c r="D2147" t="inlineStr">
        <is>
          <t>NORRBOTTENS LÄN</t>
        </is>
      </c>
      <c r="E2147" t="inlineStr">
        <is>
          <t>HAPARANDA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30397-2020</t>
        </is>
      </c>
      <c r="B2148" s="1" t="n">
        <v>44007</v>
      </c>
      <c r="C2148" s="1" t="n">
        <v>45662</v>
      </c>
      <c r="D2148" t="inlineStr">
        <is>
          <t>NORRBOTTENS LÄN</t>
        </is>
      </c>
      <c r="E2148" t="inlineStr">
        <is>
          <t>ARJEPLOG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30433-2020</t>
        </is>
      </c>
      <c r="B2149" s="1" t="n">
        <v>44007</v>
      </c>
      <c r="C2149" s="1" t="n">
        <v>45662</v>
      </c>
      <c r="D2149" t="inlineStr">
        <is>
          <t>NORRBOTTENS LÄN</t>
        </is>
      </c>
      <c r="E2149" t="inlineStr">
        <is>
          <t>PITEÅ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30535-2020</t>
        </is>
      </c>
      <c r="B2150" s="1" t="n">
        <v>44007</v>
      </c>
      <c r="C2150" s="1" t="n">
        <v>45662</v>
      </c>
      <c r="D2150" t="inlineStr">
        <is>
          <t>NORRBOTTENS LÄN</t>
        </is>
      </c>
      <c r="E2150" t="inlineStr">
        <is>
          <t>KALIX</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30582-2020</t>
        </is>
      </c>
      <c r="B2151" s="1" t="n">
        <v>44008</v>
      </c>
      <c r="C2151" s="1" t="n">
        <v>45662</v>
      </c>
      <c r="D2151" t="inlineStr">
        <is>
          <t>NORRBOTTENS LÄN</t>
        </is>
      </c>
      <c r="E2151" t="inlineStr">
        <is>
          <t>ÖVERTORNEÅ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30565-2020</t>
        </is>
      </c>
      <c r="B2152" s="1" t="n">
        <v>44008</v>
      </c>
      <c r="C2152" s="1" t="n">
        <v>45662</v>
      </c>
      <c r="D2152" t="inlineStr">
        <is>
          <t>NORRBOTTENS LÄN</t>
        </is>
      </c>
      <c r="E2152" t="inlineStr">
        <is>
          <t>BODEN</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30583-2020</t>
        </is>
      </c>
      <c r="B2153" s="1" t="n">
        <v>44008</v>
      </c>
      <c r="C2153" s="1" t="n">
        <v>45662</v>
      </c>
      <c r="D2153" t="inlineStr">
        <is>
          <t>NORRBOTTENS LÄN</t>
        </is>
      </c>
      <c r="E2153" t="inlineStr">
        <is>
          <t>ÖVERTORNEÅ</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30837-2020</t>
        </is>
      </c>
      <c r="B2154" s="1" t="n">
        <v>44008</v>
      </c>
      <c r="C2154" s="1" t="n">
        <v>45662</v>
      </c>
      <c r="D2154" t="inlineStr">
        <is>
          <t>NORRBOTTENS LÄN</t>
        </is>
      </c>
      <c r="E2154" t="inlineStr">
        <is>
          <t>HAPARANDA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30971-2020</t>
        </is>
      </c>
      <c r="B2155" s="1" t="n">
        <v>44011</v>
      </c>
      <c r="C2155" s="1" t="n">
        <v>45662</v>
      </c>
      <c r="D2155" t="inlineStr">
        <is>
          <t>NORRBOTTENS LÄN</t>
        </is>
      </c>
      <c r="E2155" t="inlineStr">
        <is>
          <t>ÖVERKALIX</t>
        </is>
      </c>
      <c r="F2155" t="inlineStr">
        <is>
          <t>Sveaskog</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31195-2020</t>
        </is>
      </c>
      <c r="B2156" s="1" t="n">
        <v>44011</v>
      </c>
      <c r="C2156" s="1" t="n">
        <v>45662</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30809-2020</t>
        </is>
      </c>
      <c r="B2157" s="1" t="n">
        <v>44011</v>
      </c>
      <c r="C2157" s="1" t="n">
        <v>45662</v>
      </c>
      <c r="D2157" t="inlineStr">
        <is>
          <t>NORRBOTTENS LÄN</t>
        </is>
      </c>
      <c r="E2157" t="inlineStr">
        <is>
          <t>JOKKMOKK</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31065-2020</t>
        </is>
      </c>
      <c r="B2158" s="1" t="n">
        <v>44012</v>
      </c>
      <c r="C2158" s="1" t="n">
        <v>45662</v>
      </c>
      <c r="D2158" t="inlineStr">
        <is>
          <t>NORRBOTTENS LÄN</t>
        </is>
      </c>
      <c r="E2158" t="inlineStr">
        <is>
          <t>ÖVERKALIX</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31218-2020</t>
        </is>
      </c>
      <c r="B2159" s="1" t="n">
        <v>44012</v>
      </c>
      <c r="C2159" s="1" t="n">
        <v>45662</v>
      </c>
      <c r="D2159" t="inlineStr">
        <is>
          <t>NORRBOTTENS LÄN</t>
        </is>
      </c>
      <c r="E2159" t="inlineStr">
        <is>
          <t>PAJALA</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31241-2020</t>
        </is>
      </c>
      <c r="B2160" s="1" t="n">
        <v>44012</v>
      </c>
      <c r="C2160" s="1" t="n">
        <v>45662</v>
      </c>
      <c r="D2160" t="inlineStr">
        <is>
          <t>NORRBOTTENS LÄN</t>
        </is>
      </c>
      <c r="E2160" t="inlineStr">
        <is>
          <t>ÄLVSBYN</t>
        </is>
      </c>
      <c r="F2160" t="inlineStr">
        <is>
          <t>Sveaskog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31178-2020</t>
        </is>
      </c>
      <c r="B2161" s="1" t="n">
        <v>44012</v>
      </c>
      <c r="C2161" s="1" t="n">
        <v>45662</v>
      </c>
      <c r="D2161" t="inlineStr">
        <is>
          <t>NORRBOTTENS LÄN</t>
        </is>
      </c>
      <c r="E2161" t="inlineStr">
        <is>
          <t>PAJALA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31200-2020</t>
        </is>
      </c>
      <c r="B2162" s="1" t="n">
        <v>44012</v>
      </c>
      <c r="C2162" s="1" t="n">
        <v>45662</v>
      </c>
      <c r="D2162" t="inlineStr">
        <is>
          <t>NORRBOTTENS LÄN</t>
        </is>
      </c>
      <c r="E2162" t="inlineStr">
        <is>
          <t>HAPARANDA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31326-2020</t>
        </is>
      </c>
      <c r="B2163" s="1" t="n">
        <v>44012</v>
      </c>
      <c r="C2163" s="1" t="n">
        <v>45662</v>
      </c>
      <c r="D2163" t="inlineStr">
        <is>
          <t>NORRBOTTENS LÄN</t>
        </is>
      </c>
      <c r="E2163" t="inlineStr">
        <is>
          <t>PITEÅ</t>
        </is>
      </c>
      <c r="F2163" t="inlineStr">
        <is>
          <t>SCA</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31333-2020</t>
        </is>
      </c>
      <c r="B2164" s="1" t="n">
        <v>44012</v>
      </c>
      <c r="C2164" s="1" t="n">
        <v>45662</v>
      </c>
      <c r="D2164" t="inlineStr">
        <is>
          <t>NORRBOTTENS LÄN</t>
        </is>
      </c>
      <c r="E2164" t="inlineStr">
        <is>
          <t>ARVIDSJAUR</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31412-2020</t>
        </is>
      </c>
      <c r="B2165" s="1" t="n">
        <v>44012</v>
      </c>
      <c r="C2165" s="1" t="n">
        <v>45662</v>
      </c>
      <c r="D2165" t="inlineStr">
        <is>
          <t>NORRBOTTENS LÄN</t>
        </is>
      </c>
      <c r="E2165" t="inlineStr">
        <is>
          <t>KALIX</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31177-2020</t>
        </is>
      </c>
      <c r="B2166" s="1" t="n">
        <v>44012</v>
      </c>
      <c r="C2166" s="1" t="n">
        <v>45662</v>
      </c>
      <c r="D2166" t="inlineStr">
        <is>
          <t>NORRBOTTENS LÄN</t>
        </is>
      </c>
      <c r="E2166" t="inlineStr">
        <is>
          <t>PAJALA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31429-2020</t>
        </is>
      </c>
      <c r="B2167" s="1" t="n">
        <v>44013</v>
      </c>
      <c r="C2167" s="1" t="n">
        <v>45662</v>
      </c>
      <c r="D2167" t="inlineStr">
        <is>
          <t>NORRBOTTENS LÄN</t>
        </is>
      </c>
      <c r="E2167" t="inlineStr">
        <is>
          <t>BODEN</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31555-2020</t>
        </is>
      </c>
      <c r="B2168" s="1" t="n">
        <v>44013</v>
      </c>
      <c r="C2168" s="1" t="n">
        <v>45662</v>
      </c>
      <c r="D2168" t="inlineStr">
        <is>
          <t>NORRBOTTENS LÄN</t>
        </is>
      </c>
      <c r="E2168" t="inlineStr">
        <is>
          <t>ÖVERTORNEÅ</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31544-2020</t>
        </is>
      </c>
      <c r="B2169" s="1" t="n">
        <v>44013</v>
      </c>
      <c r="C2169" s="1" t="n">
        <v>45662</v>
      </c>
      <c r="D2169" t="inlineStr">
        <is>
          <t>NORRBOTTENS LÄN</t>
        </is>
      </c>
      <c r="E2169" t="inlineStr">
        <is>
          <t>KALIX</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31972-2020</t>
        </is>
      </c>
      <c r="B2170" s="1" t="n">
        <v>44014</v>
      </c>
      <c r="C2170" s="1" t="n">
        <v>45662</v>
      </c>
      <c r="D2170" t="inlineStr">
        <is>
          <t>NORRBOTTENS LÄN</t>
        </is>
      </c>
      <c r="E2170" t="inlineStr">
        <is>
          <t>LULEÅ</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31978-2020</t>
        </is>
      </c>
      <c r="B2171" s="1" t="n">
        <v>44015</v>
      </c>
      <c r="C2171" s="1" t="n">
        <v>45662</v>
      </c>
      <c r="D2171" t="inlineStr">
        <is>
          <t>NORRBOTTENS LÄN</t>
        </is>
      </c>
      <c r="E2171" t="inlineStr">
        <is>
          <t>BODEN</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32141-2020</t>
        </is>
      </c>
      <c r="B2172" s="1" t="n">
        <v>44015</v>
      </c>
      <c r="C2172" s="1" t="n">
        <v>45662</v>
      </c>
      <c r="D2172" t="inlineStr">
        <is>
          <t>NORRBOTTENS LÄN</t>
        </is>
      </c>
      <c r="E2172" t="inlineStr">
        <is>
          <t>PAJALA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32075-2020</t>
        </is>
      </c>
      <c r="B2173" s="1" t="n">
        <v>44015</v>
      </c>
      <c r="C2173" s="1" t="n">
        <v>45662</v>
      </c>
      <c r="D2173" t="inlineStr">
        <is>
          <t>NORRBOTTENS LÄN</t>
        </is>
      </c>
      <c r="E2173" t="inlineStr">
        <is>
          <t>ÖVERTORNEÅ</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32151-2020</t>
        </is>
      </c>
      <c r="B2174" s="1" t="n">
        <v>44015</v>
      </c>
      <c r="C2174" s="1" t="n">
        <v>45662</v>
      </c>
      <c r="D2174" t="inlineStr">
        <is>
          <t>NORRBOTTENS LÄN</t>
        </is>
      </c>
      <c r="E2174" t="inlineStr">
        <is>
          <t>BODEN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32190-2020</t>
        </is>
      </c>
      <c r="B2175" s="1" t="n">
        <v>44015</v>
      </c>
      <c r="C2175" s="1" t="n">
        <v>45662</v>
      </c>
      <c r="D2175" t="inlineStr">
        <is>
          <t>NORRBOTTENS LÄN</t>
        </is>
      </c>
      <c r="E2175" t="inlineStr">
        <is>
          <t>ARVIDSJAUR</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32424-2020</t>
        </is>
      </c>
      <c r="B2176" s="1" t="n">
        <v>44015</v>
      </c>
      <c r="C2176" s="1" t="n">
        <v>45662</v>
      </c>
      <c r="D2176" t="inlineStr">
        <is>
          <t>NORRBOTTENS LÄN</t>
        </is>
      </c>
      <c r="E2176" t="inlineStr">
        <is>
          <t>BODEN</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32381-2020</t>
        </is>
      </c>
      <c r="B2177" s="1" t="n">
        <v>44018</v>
      </c>
      <c r="C2177" s="1" t="n">
        <v>45662</v>
      </c>
      <c r="D2177" t="inlineStr">
        <is>
          <t>NORRBOTTENS LÄN</t>
        </is>
      </c>
      <c r="E2177" t="inlineStr">
        <is>
          <t>KALIX</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32700-2020</t>
        </is>
      </c>
      <c r="B2178" s="1" t="n">
        <v>44018</v>
      </c>
      <c r="C2178" s="1" t="n">
        <v>45662</v>
      </c>
      <c r="D2178" t="inlineStr">
        <is>
          <t>NORRBOTTENS LÄN</t>
        </is>
      </c>
      <c r="E2178" t="inlineStr">
        <is>
          <t>PAJALA</t>
        </is>
      </c>
      <c r="F2178" t="inlineStr">
        <is>
          <t>Allmännings- och besparingsskogar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32679-2020</t>
        </is>
      </c>
      <c r="B2179" s="1" t="n">
        <v>44018</v>
      </c>
      <c r="C2179" s="1" t="n">
        <v>45662</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32683-2020</t>
        </is>
      </c>
      <c r="B2180" s="1" t="n">
        <v>44018</v>
      </c>
      <c r="C2180" s="1" t="n">
        <v>45662</v>
      </c>
      <c r="D2180" t="inlineStr">
        <is>
          <t>NORRBOTTENS LÄN</t>
        </is>
      </c>
      <c r="E2180" t="inlineStr">
        <is>
          <t>KALIX</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32761-2020</t>
        </is>
      </c>
      <c r="B2181" s="1" t="n">
        <v>44020</v>
      </c>
      <c r="C2181" s="1" t="n">
        <v>45662</v>
      </c>
      <c r="D2181" t="inlineStr">
        <is>
          <t>NORRBOTTENS LÄN</t>
        </is>
      </c>
      <c r="E2181" t="inlineStr">
        <is>
          <t>LULEÅ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32776-2020</t>
        </is>
      </c>
      <c r="B2182" s="1" t="n">
        <v>44019</v>
      </c>
      <c r="C2182" s="1" t="n">
        <v>45662</v>
      </c>
      <c r="D2182" t="inlineStr">
        <is>
          <t>NORRBOTTENS LÄN</t>
        </is>
      </c>
      <c r="E2182" t="inlineStr">
        <is>
          <t>GÄLLIVARE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32777-2020</t>
        </is>
      </c>
      <c r="B2183" s="1" t="n">
        <v>44020</v>
      </c>
      <c r="C2183" s="1" t="n">
        <v>45662</v>
      </c>
      <c r="D2183" t="inlineStr">
        <is>
          <t>NORRBOTTENS LÄN</t>
        </is>
      </c>
      <c r="E2183" t="inlineStr">
        <is>
          <t>PAJALA</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32911-2020</t>
        </is>
      </c>
      <c r="B2184" s="1" t="n">
        <v>44020</v>
      </c>
      <c r="C2184" s="1" t="n">
        <v>45662</v>
      </c>
      <c r="D2184" t="inlineStr">
        <is>
          <t>NORRBOTTENS LÄN</t>
        </is>
      </c>
      <c r="E2184" t="inlineStr">
        <is>
          <t>PITEÅ</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32985-2020</t>
        </is>
      </c>
      <c r="B2185" s="1" t="n">
        <v>44020</v>
      </c>
      <c r="C2185" s="1" t="n">
        <v>45662</v>
      </c>
      <c r="D2185" t="inlineStr">
        <is>
          <t>NORRBOTTENS LÄN</t>
        </is>
      </c>
      <c r="E2185" t="inlineStr">
        <is>
          <t>BODEN</t>
        </is>
      </c>
      <c r="F2185" t="inlineStr">
        <is>
          <t>Sveaskog</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33005-2020</t>
        </is>
      </c>
      <c r="B2186" s="1" t="n">
        <v>44020</v>
      </c>
      <c r="C2186" s="1" t="n">
        <v>45662</v>
      </c>
      <c r="D2186" t="inlineStr">
        <is>
          <t>NORRBOTTENS LÄN</t>
        </is>
      </c>
      <c r="E2186" t="inlineStr">
        <is>
          <t>PITEÅ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33219-2020</t>
        </is>
      </c>
      <c r="B2187" s="1" t="n">
        <v>44020</v>
      </c>
      <c r="C2187" s="1" t="n">
        <v>45662</v>
      </c>
      <c r="D2187" t="inlineStr">
        <is>
          <t>NORRBOTTENS LÄN</t>
        </is>
      </c>
      <c r="E2187" t="inlineStr">
        <is>
          <t>ARJEPLOG</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32920-2020</t>
        </is>
      </c>
      <c r="B2188" s="1" t="n">
        <v>44020</v>
      </c>
      <c r="C2188" s="1" t="n">
        <v>45662</v>
      </c>
      <c r="D2188" t="inlineStr">
        <is>
          <t>NORRBOTTENS LÄN</t>
        </is>
      </c>
      <c r="E2188" t="inlineStr">
        <is>
          <t>PITEÅ</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33034-2020</t>
        </is>
      </c>
      <c r="B2189" s="1" t="n">
        <v>44021</v>
      </c>
      <c r="C2189" s="1" t="n">
        <v>45662</v>
      </c>
      <c r="D2189" t="inlineStr">
        <is>
          <t>NORRBOTTENS LÄN</t>
        </is>
      </c>
      <c r="E2189" t="inlineStr">
        <is>
          <t>BODEN</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33130-2020</t>
        </is>
      </c>
      <c r="B2190" s="1" t="n">
        <v>44021</v>
      </c>
      <c r="C2190" s="1" t="n">
        <v>45662</v>
      </c>
      <c r="D2190" t="inlineStr">
        <is>
          <t>NORRBOTTENS LÄN</t>
        </is>
      </c>
      <c r="E2190" t="inlineStr">
        <is>
          <t>PAJALA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33042-2020</t>
        </is>
      </c>
      <c r="B2191" s="1" t="n">
        <v>44021</v>
      </c>
      <c r="C2191" s="1" t="n">
        <v>45662</v>
      </c>
      <c r="D2191" t="inlineStr">
        <is>
          <t>NORRBOTTENS LÄN</t>
        </is>
      </c>
      <c r="E2191" t="inlineStr">
        <is>
          <t>ARVIDSJAUR</t>
        </is>
      </c>
      <c r="F2191" t="inlineStr">
        <is>
          <t>Sveaskog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33319-2020</t>
        </is>
      </c>
      <c r="B2192" s="1" t="n">
        <v>44022</v>
      </c>
      <c r="C2192" s="1" t="n">
        <v>45662</v>
      </c>
      <c r="D2192" t="inlineStr">
        <is>
          <t>NORRBOTTENS LÄN</t>
        </is>
      </c>
      <c r="E2192" t="inlineStr">
        <is>
          <t>BODEN</t>
        </is>
      </c>
      <c r="F2192" t="inlineStr">
        <is>
          <t>Sveaskog</t>
        </is>
      </c>
      <c r="G2192" t="n">
        <v>13.5</v>
      </c>
      <c r="H2192" t="n">
        <v>0</v>
      </c>
      <c r="I2192" t="n">
        <v>0</v>
      </c>
      <c r="J2192" t="n">
        <v>0</v>
      </c>
      <c r="K2192" t="n">
        <v>0</v>
      </c>
      <c r="L2192" t="n">
        <v>0</v>
      </c>
      <c r="M2192" t="n">
        <v>0</v>
      </c>
      <c r="N2192" t="n">
        <v>0</v>
      </c>
      <c r="O2192" t="n">
        <v>0</v>
      </c>
      <c r="P2192" t="n">
        <v>0</v>
      </c>
      <c r="Q2192" t="n">
        <v>0</v>
      </c>
      <c r="R2192" s="2" t="inlineStr"/>
    </row>
    <row r="2193" ht="15" customHeight="1">
      <c r="A2193" t="inlineStr">
        <is>
          <t>A 33730-2020</t>
        </is>
      </c>
      <c r="B2193" s="1" t="n">
        <v>44022</v>
      </c>
      <c r="C2193" s="1" t="n">
        <v>45662</v>
      </c>
      <c r="D2193" t="inlineStr">
        <is>
          <t>NORRBOTTENS LÄN</t>
        </is>
      </c>
      <c r="E2193" t="inlineStr">
        <is>
          <t>JOKKMOKK</t>
        </is>
      </c>
      <c r="F2193" t="inlineStr">
        <is>
          <t>Övriga Aktiebolag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33605-2020</t>
        </is>
      </c>
      <c r="B2194" s="1" t="n">
        <v>44025</v>
      </c>
      <c r="C2194" s="1" t="n">
        <v>45662</v>
      </c>
      <c r="D2194" t="inlineStr">
        <is>
          <t>NORRBOTTENS LÄN</t>
        </is>
      </c>
      <c r="E2194" t="inlineStr">
        <is>
          <t>PAJALA</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33601-2020</t>
        </is>
      </c>
      <c r="B2195" s="1" t="n">
        <v>44025</v>
      </c>
      <c r="C2195" s="1" t="n">
        <v>45662</v>
      </c>
      <c r="D2195" t="inlineStr">
        <is>
          <t>NORRBOTTENS LÄN</t>
        </is>
      </c>
      <c r="E2195" t="inlineStr">
        <is>
          <t>PAJALA</t>
        </is>
      </c>
      <c r="F2195" t="inlineStr">
        <is>
          <t>Sveaskog</t>
        </is>
      </c>
      <c r="G2195" t="n">
        <v>32.2</v>
      </c>
      <c r="H2195" t="n">
        <v>0</v>
      </c>
      <c r="I2195" t="n">
        <v>0</v>
      </c>
      <c r="J2195" t="n">
        <v>0</v>
      </c>
      <c r="K2195" t="n">
        <v>0</v>
      </c>
      <c r="L2195" t="n">
        <v>0</v>
      </c>
      <c r="M2195" t="n">
        <v>0</v>
      </c>
      <c r="N2195" t="n">
        <v>0</v>
      </c>
      <c r="O2195" t="n">
        <v>0</v>
      </c>
      <c r="P2195" t="n">
        <v>0</v>
      </c>
      <c r="Q2195" t="n">
        <v>0</v>
      </c>
      <c r="R2195" s="2" t="inlineStr"/>
    </row>
    <row r="2196" ht="15" customHeight="1">
      <c r="A2196" t="inlineStr">
        <is>
          <t>A 33603-2020</t>
        </is>
      </c>
      <c r="B2196" s="1" t="n">
        <v>44025</v>
      </c>
      <c r="C2196" s="1" t="n">
        <v>45662</v>
      </c>
      <c r="D2196" t="inlineStr">
        <is>
          <t>NORRBOTTENS LÄN</t>
        </is>
      </c>
      <c r="E2196" t="inlineStr">
        <is>
          <t>PAJALA</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33595-2020</t>
        </is>
      </c>
      <c r="B2197" s="1" t="n">
        <v>44025</v>
      </c>
      <c r="C2197" s="1" t="n">
        <v>45662</v>
      </c>
      <c r="D2197" t="inlineStr">
        <is>
          <t>NORRBOTTENS LÄN</t>
        </is>
      </c>
      <c r="E2197" t="inlineStr">
        <is>
          <t>GÄLLIVARE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33604-2020</t>
        </is>
      </c>
      <c r="B2198" s="1" t="n">
        <v>44025</v>
      </c>
      <c r="C2198" s="1" t="n">
        <v>45662</v>
      </c>
      <c r="D2198" t="inlineStr">
        <is>
          <t>NORRBOTTENS LÄN</t>
        </is>
      </c>
      <c r="E2198" t="inlineStr">
        <is>
          <t>PAJALA</t>
        </is>
      </c>
      <c r="F2198" t="inlineStr">
        <is>
          <t>Sveaskog</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33813-2020</t>
        </is>
      </c>
      <c r="B2199" s="1" t="n">
        <v>44025</v>
      </c>
      <c r="C2199" s="1" t="n">
        <v>45662</v>
      </c>
      <c r="D2199" t="inlineStr">
        <is>
          <t>NORRBOTTENS LÄN</t>
        </is>
      </c>
      <c r="E2199" t="inlineStr">
        <is>
          <t>PAJALA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33704-2020</t>
        </is>
      </c>
      <c r="B2200" s="1" t="n">
        <v>44026</v>
      </c>
      <c r="C2200" s="1" t="n">
        <v>45662</v>
      </c>
      <c r="D2200" t="inlineStr">
        <is>
          <t>NORRBOTTENS LÄN</t>
        </is>
      </c>
      <c r="E2200" t="inlineStr">
        <is>
          <t>ÖVERKALIX</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33717-2020</t>
        </is>
      </c>
      <c r="B2201" s="1" t="n">
        <v>44026</v>
      </c>
      <c r="C2201" s="1" t="n">
        <v>45662</v>
      </c>
      <c r="D2201" t="inlineStr">
        <is>
          <t>NORRBOTTENS LÄN</t>
        </is>
      </c>
      <c r="E2201" t="inlineStr">
        <is>
          <t>ARJEPLOG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33718-2020</t>
        </is>
      </c>
      <c r="B2202" s="1" t="n">
        <v>44026</v>
      </c>
      <c r="C2202" s="1" t="n">
        <v>45662</v>
      </c>
      <c r="D2202" t="inlineStr">
        <is>
          <t>NORRBOTTENS LÄN</t>
        </is>
      </c>
      <c r="E2202" t="inlineStr">
        <is>
          <t>ÖVERKALIX</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33720-2020</t>
        </is>
      </c>
      <c r="B2203" s="1" t="n">
        <v>44026</v>
      </c>
      <c r="C2203" s="1" t="n">
        <v>45662</v>
      </c>
      <c r="D2203" t="inlineStr">
        <is>
          <t>NORRBOTTENS LÄN</t>
        </is>
      </c>
      <c r="E2203" t="inlineStr">
        <is>
          <t>ARJEPLOG</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33794-2020</t>
        </is>
      </c>
      <c r="B2204" s="1" t="n">
        <v>44026</v>
      </c>
      <c r="C2204" s="1" t="n">
        <v>45662</v>
      </c>
      <c r="D2204" t="inlineStr">
        <is>
          <t>NORRBOTTENS LÄN</t>
        </is>
      </c>
      <c r="E2204" t="inlineStr">
        <is>
          <t>PITEÅ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33713-2020</t>
        </is>
      </c>
      <c r="B2205" s="1" t="n">
        <v>44026</v>
      </c>
      <c r="C2205" s="1" t="n">
        <v>45662</v>
      </c>
      <c r="D2205" t="inlineStr">
        <is>
          <t>NORRBOTTENS LÄN</t>
        </is>
      </c>
      <c r="E2205" t="inlineStr">
        <is>
          <t>ÖVERKALIX</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34348-2020</t>
        </is>
      </c>
      <c r="B2206" s="1" t="n">
        <v>44028</v>
      </c>
      <c r="C2206" s="1" t="n">
        <v>45662</v>
      </c>
      <c r="D2206" t="inlineStr">
        <is>
          <t>NORRBOTTENS LÄN</t>
        </is>
      </c>
      <c r="E2206" t="inlineStr">
        <is>
          <t>PAJALA</t>
        </is>
      </c>
      <c r="F2206" t="inlineStr">
        <is>
          <t>Allmännings- och besparingsskogar</t>
        </is>
      </c>
      <c r="G2206" t="n">
        <v>38.1</v>
      </c>
      <c r="H2206" t="n">
        <v>0</v>
      </c>
      <c r="I2206" t="n">
        <v>0</v>
      </c>
      <c r="J2206" t="n">
        <v>0</v>
      </c>
      <c r="K2206" t="n">
        <v>0</v>
      </c>
      <c r="L2206" t="n">
        <v>0</v>
      </c>
      <c r="M2206" t="n">
        <v>0</v>
      </c>
      <c r="N2206" t="n">
        <v>0</v>
      </c>
      <c r="O2206" t="n">
        <v>0</v>
      </c>
      <c r="P2206" t="n">
        <v>0</v>
      </c>
      <c r="Q2206" t="n">
        <v>0</v>
      </c>
      <c r="R2206" s="2" t="inlineStr"/>
    </row>
    <row r="2207" ht="15" customHeight="1">
      <c r="A2207" t="inlineStr">
        <is>
          <t>A 33981-2020</t>
        </is>
      </c>
      <c r="B2207" s="1" t="n">
        <v>44028</v>
      </c>
      <c r="C2207" s="1" t="n">
        <v>45662</v>
      </c>
      <c r="D2207" t="inlineStr">
        <is>
          <t>NORRBOTTENS LÄN</t>
        </is>
      </c>
      <c r="E2207" t="inlineStr">
        <is>
          <t>GÄLLIVARE</t>
        </is>
      </c>
      <c r="F2207" t="inlineStr">
        <is>
          <t>Sveaskog</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34264-2020</t>
        </is>
      </c>
      <c r="B2208" s="1" t="n">
        <v>44029</v>
      </c>
      <c r="C2208" s="1" t="n">
        <v>45662</v>
      </c>
      <c r="D2208" t="inlineStr">
        <is>
          <t>NORRBOTTENS LÄN</t>
        </is>
      </c>
      <c r="E2208" t="inlineStr">
        <is>
          <t>BODEN</t>
        </is>
      </c>
      <c r="F2208" t="inlineStr">
        <is>
          <t>SCA</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34256-2020</t>
        </is>
      </c>
      <c r="B2209" s="1" t="n">
        <v>44029</v>
      </c>
      <c r="C2209" s="1" t="n">
        <v>45662</v>
      </c>
      <c r="D2209" t="inlineStr">
        <is>
          <t>NORRBOTTENS LÄN</t>
        </is>
      </c>
      <c r="E2209" t="inlineStr">
        <is>
          <t>LULEÅ</t>
        </is>
      </c>
      <c r="F2209" t="inlineStr">
        <is>
          <t>SCA</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34267-2020</t>
        </is>
      </c>
      <c r="B2210" s="1" t="n">
        <v>44029</v>
      </c>
      <c r="C2210" s="1" t="n">
        <v>45662</v>
      </c>
      <c r="D2210" t="inlineStr">
        <is>
          <t>NORRBOTTENS LÄN</t>
        </is>
      </c>
      <c r="E2210" t="inlineStr">
        <is>
          <t>BODEN</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34445-2020</t>
        </is>
      </c>
      <c r="B2211" s="1" t="n">
        <v>44029</v>
      </c>
      <c r="C2211" s="1" t="n">
        <v>45662</v>
      </c>
      <c r="D2211" t="inlineStr">
        <is>
          <t>NORRBOTTENS LÄN</t>
        </is>
      </c>
      <c r="E2211" t="inlineStr">
        <is>
          <t>JOKKMOKK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34257-2020</t>
        </is>
      </c>
      <c r="B2212" s="1" t="n">
        <v>44030</v>
      </c>
      <c r="C2212" s="1" t="n">
        <v>45662</v>
      </c>
      <c r="D2212" t="inlineStr">
        <is>
          <t>NORRBOTTENS LÄN</t>
        </is>
      </c>
      <c r="E2212" t="inlineStr">
        <is>
          <t>LULEÅ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34266-2020</t>
        </is>
      </c>
      <c r="B2213" s="1" t="n">
        <v>44029</v>
      </c>
      <c r="C2213" s="1" t="n">
        <v>45662</v>
      </c>
      <c r="D2213" t="inlineStr">
        <is>
          <t>NORRBOTTENS LÄN</t>
        </is>
      </c>
      <c r="E2213" t="inlineStr">
        <is>
          <t>BODEN</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34645-2020</t>
        </is>
      </c>
      <c r="B2214" s="1" t="n">
        <v>44034</v>
      </c>
      <c r="C2214" s="1" t="n">
        <v>45662</v>
      </c>
      <c r="D2214" t="inlineStr">
        <is>
          <t>NORRBOTTENS LÄN</t>
        </is>
      </c>
      <c r="E2214" t="inlineStr">
        <is>
          <t>PAJALA</t>
        </is>
      </c>
      <c r="F2214" t="inlineStr">
        <is>
          <t>Allmännings- och besparingsskogar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34649-2020</t>
        </is>
      </c>
      <c r="B2215" s="1" t="n">
        <v>44034</v>
      </c>
      <c r="C2215" s="1" t="n">
        <v>45662</v>
      </c>
      <c r="D2215" t="inlineStr">
        <is>
          <t>NORRBOTTENS LÄN</t>
        </is>
      </c>
      <c r="E2215" t="inlineStr">
        <is>
          <t>PAJALA</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34643-2020</t>
        </is>
      </c>
      <c r="B2216" s="1" t="n">
        <v>44034</v>
      </c>
      <c r="C2216" s="1" t="n">
        <v>45662</v>
      </c>
      <c r="D2216" t="inlineStr">
        <is>
          <t>NORRBOTTENS LÄN</t>
        </is>
      </c>
      <c r="E2216" t="inlineStr">
        <is>
          <t>PAJALA</t>
        </is>
      </c>
      <c r="F2216" t="inlineStr">
        <is>
          <t>Allmännings- och besparingsskogar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34647-2020</t>
        </is>
      </c>
      <c r="B2217" s="1" t="n">
        <v>44034</v>
      </c>
      <c r="C2217" s="1" t="n">
        <v>45662</v>
      </c>
      <c r="D2217" t="inlineStr">
        <is>
          <t>NORRBOTTENS LÄN</t>
        </is>
      </c>
      <c r="E2217" t="inlineStr">
        <is>
          <t>PAJALA</t>
        </is>
      </c>
      <c r="F2217" t="inlineStr">
        <is>
          <t>Allmännings- och besparingsskogar</t>
        </is>
      </c>
      <c r="G2217" t="n">
        <v>30</v>
      </c>
      <c r="H2217" t="n">
        <v>0</v>
      </c>
      <c r="I2217" t="n">
        <v>0</v>
      </c>
      <c r="J2217" t="n">
        <v>0</v>
      </c>
      <c r="K2217" t="n">
        <v>0</v>
      </c>
      <c r="L2217" t="n">
        <v>0</v>
      </c>
      <c r="M2217" t="n">
        <v>0</v>
      </c>
      <c r="N2217" t="n">
        <v>0</v>
      </c>
      <c r="O2217" t="n">
        <v>0</v>
      </c>
      <c r="P2217" t="n">
        <v>0</v>
      </c>
      <c r="Q2217" t="n">
        <v>0</v>
      </c>
      <c r="R2217" s="2" t="inlineStr"/>
    </row>
    <row r="2218" ht="15" customHeight="1">
      <c r="A2218" t="inlineStr">
        <is>
          <t>A 34664-2020</t>
        </is>
      </c>
      <c r="B2218" s="1" t="n">
        <v>44034</v>
      </c>
      <c r="C2218" s="1" t="n">
        <v>45662</v>
      </c>
      <c r="D2218" t="inlineStr">
        <is>
          <t>NORRBOTTENS LÄN</t>
        </is>
      </c>
      <c r="E2218" t="inlineStr">
        <is>
          <t>ÖVERKALIX</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34663-2020</t>
        </is>
      </c>
      <c r="B2219" s="1" t="n">
        <v>44034</v>
      </c>
      <c r="C2219" s="1" t="n">
        <v>45662</v>
      </c>
      <c r="D2219" t="inlineStr">
        <is>
          <t>NORRBOTTENS LÄN</t>
        </is>
      </c>
      <c r="E2219" t="inlineStr">
        <is>
          <t>GÄLLIVARE</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34744-2020</t>
        </is>
      </c>
      <c r="B2220" s="1" t="n">
        <v>44035</v>
      </c>
      <c r="C2220" s="1" t="n">
        <v>45662</v>
      </c>
      <c r="D2220" t="inlineStr">
        <is>
          <t>NORRBOTTENS LÄN</t>
        </is>
      </c>
      <c r="E2220" t="inlineStr">
        <is>
          <t>PITEÅ</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34790-2020</t>
        </is>
      </c>
      <c r="B2221" s="1" t="n">
        <v>44035</v>
      </c>
      <c r="C2221" s="1" t="n">
        <v>45662</v>
      </c>
      <c r="D2221" t="inlineStr">
        <is>
          <t>NORRBOTTENS LÄN</t>
        </is>
      </c>
      <c r="E2221" t="inlineStr">
        <is>
          <t>BODEN</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34786-2020</t>
        </is>
      </c>
      <c r="B2222" s="1" t="n">
        <v>44035</v>
      </c>
      <c r="C2222" s="1" t="n">
        <v>45662</v>
      </c>
      <c r="D2222" t="inlineStr">
        <is>
          <t>NORRBOTTENS LÄN</t>
        </is>
      </c>
      <c r="E2222" t="inlineStr">
        <is>
          <t>BODEN</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34791-2020</t>
        </is>
      </c>
      <c r="B2223" s="1" t="n">
        <v>44035</v>
      </c>
      <c r="C2223" s="1" t="n">
        <v>45662</v>
      </c>
      <c r="D2223" t="inlineStr">
        <is>
          <t>NORRBOTTENS LÄN</t>
        </is>
      </c>
      <c r="E2223" t="inlineStr">
        <is>
          <t>BODEN</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34788-2020</t>
        </is>
      </c>
      <c r="B2224" s="1" t="n">
        <v>44035</v>
      </c>
      <c r="C2224" s="1" t="n">
        <v>45662</v>
      </c>
      <c r="D2224" t="inlineStr">
        <is>
          <t>NORRBOTTENS LÄN</t>
        </is>
      </c>
      <c r="E2224" t="inlineStr">
        <is>
          <t>BODEN</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34792-2020</t>
        </is>
      </c>
      <c r="B2225" s="1" t="n">
        <v>44035</v>
      </c>
      <c r="C2225" s="1" t="n">
        <v>45662</v>
      </c>
      <c r="D2225" t="inlineStr">
        <is>
          <t>NORRBOTTENS LÄN</t>
        </is>
      </c>
      <c r="E2225" t="inlineStr">
        <is>
          <t>BODEN</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34795-2020</t>
        </is>
      </c>
      <c r="B2226" s="1" t="n">
        <v>44035</v>
      </c>
      <c r="C2226" s="1" t="n">
        <v>45662</v>
      </c>
      <c r="D2226" t="inlineStr">
        <is>
          <t>NORRBOTTENS LÄN</t>
        </is>
      </c>
      <c r="E2226" t="inlineStr">
        <is>
          <t>BODEN</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34789-2020</t>
        </is>
      </c>
      <c r="B2227" s="1" t="n">
        <v>44035</v>
      </c>
      <c r="C2227" s="1" t="n">
        <v>45662</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34793-2020</t>
        </is>
      </c>
      <c r="B2228" s="1" t="n">
        <v>44035</v>
      </c>
      <c r="C2228" s="1" t="n">
        <v>45662</v>
      </c>
      <c r="D2228" t="inlineStr">
        <is>
          <t>NORRBOTTENS LÄN</t>
        </is>
      </c>
      <c r="E2228" t="inlineStr">
        <is>
          <t>BODEN</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35013-2020</t>
        </is>
      </c>
      <c r="B2229" s="1" t="n">
        <v>44039</v>
      </c>
      <c r="C2229" s="1" t="n">
        <v>45662</v>
      </c>
      <c r="D2229" t="inlineStr">
        <is>
          <t>NORRBOTTENS LÄN</t>
        </is>
      </c>
      <c r="E2229" t="inlineStr">
        <is>
          <t>PAJALA</t>
        </is>
      </c>
      <c r="F2229" t="inlineStr">
        <is>
          <t>Allmännings- och besparingsskogar</t>
        </is>
      </c>
      <c r="G2229" t="n">
        <v>23.3</v>
      </c>
      <c r="H2229" t="n">
        <v>0</v>
      </c>
      <c r="I2229" t="n">
        <v>0</v>
      </c>
      <c r="J2229" t="n">
        <v>0</v>
      </c>
      <c r="K2229" t="n">
        <v>0</v>
      </c>
      <c r="L2229" t="n">
        <v>0</v>
      </c>
      <c r="M2229" t="n">
        <v>0</v>
      </c>
      <c r="N2229" t="n">
        <v>0</v>
      </c>
      <c r="O2229" t="n">
        <v>0</v>
      </c>
      <c r="P2229" t="n">
        <v>0</v>
      </c>
      <c r="Q2229" t="n">
        <v>0</v>
      </c>
      <c r="R2229" s="2" t="inlineStr"/>
    </row>
    <row r="2230" ht="15" customHeight="1">
      <c r="A2230" t="inlineStr">
        <is>
          <t>A 35323-2020</t>
        </is>
      </c>
      <c r="B2230" s="1" t="n">
        <v>44041</v>
      </c>
      <c r="C2230" s="1" t="n">
        <v>45662</v>
      </c>
      <c r="D2230" t="inlineStr">
        <is>
          <t>NORRBOTTENS LÄN</t>
        </is>
      </c>
      <c r="E2230" t="inlineStr">
        <is>
          <t>ÄLVSBYN</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35701-2020</t>
        </is>
      </c>
      <c r="B2231" s="1" t="n">
        <v>44046</v>
      </c>
      <c r="C2231" s="1" t="n">
        <v>45662</v>
      </c>
      <c r="D2231" t="inlineStr">
        <is>
          <t>NORRBOTTENS LÄN</t>
        </is>
      </c>
      <c r="E2231" t="inlineStr">
        <is>
          <t>BODEN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35784-2020</t>
        </is>
      </c>
      <c r="B2232" s="1" t="n">
        <v>44046</v>
      </c>
      <c r="C2232" s="1" t="n">
        <v>45662</v>
      </c>
      <c r="D2232" t="inlineStr">
        <is>
          <t>NORRBOTTENS LÄN</t>
        </is>
      </c>
      <c r="E2232" t="inlineStr">
        <is>
          <t>ARVIDSJAUR</t>
        </is>
      </c>
      <c r="F2232" t="inlineStr">
        <is>
          <t>Övriga Aktiebolag</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35903-2020</t>
        </is>
      </c>
      <c r="B2233" s="1" t="n">
        <v>44047</v>
      </c>
      <c r="C2233" s="1" t="n">
        <v>45662</v>
      </c>
      <c r="D2233" t="inlineStr">
        <is>
          <t>NORRBOTTENS LÄN</t>
        </is>
      </c>
      <c r="E2233" t="inlineStr">
        <is>
          <t>BODEN</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36084-2020</t>
        </is>
      </c>
      <c r="B2234" s="1" t="n">
        <v>44048</v>
      </c>
      <c r="C2234" s="1" t="n">
        <v>45662</v>
      </c>
      <c r="D2234" t="inlineStr">
        <is>
          <t>NORRBOTTENS LÄN</t>
        </is>
      </c>
      <c r="E2234" t="inlineStr">
        <is>
          <t>PAJALA</t>
        </is>
      </c>
      <c r="F2234" t="inlineStr">
        <is>
          <t>Allmännings- och besparingsskogar</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36211-2020</t>
        </is>
      </c>
      <c r="B2235" s="1" t="n">
        <v>44048</v>
      </c>
      <c r="C2235" s="1" t="n">
        <v>45662</v>
      </c>
      <c r="D2235" t="inlineStr">
        <is>
          <t>NORRBOTTENS LÄN</t>
        </is>
      </c>
      <c r="E2235" t="inlineStr">
        <is>
          <t>PAJALA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36333-2020</t>
        </is>
      </c>
      <c r="B2236" s="1" t="n">
        <v>44049</v>
      </c>
      <c r="C2236" s="1" t="n">
        <v>45662</v>
      </c>
      <c r="D2236" t="inlineStr">
        <is>
          <t>NORRBOTTENS LÄN</t>
        </is>
      </c>
      <c r="E2236" t="inlineStr">
        <is>
          <t>GÄLLIVARE</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36416-2020</t>
        </is>
      </c>
      <c r="B2237" s="1" t="n">
        <v>44049</v>
      </c>
      <c r="C2237" s="1" t="n">
        <v>45662</v>
      </c>
      <c r="D2237" t="inlineStr">
        <is>
          <t>NORRBOTTENS LÄN</t>
        </is>
      </c>
      <c r="E2237" t="inlineStr">
        <is>
          <t>PITEÅ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36530-2020</t>
        </is>
      </c>
      <c r="B2238" s="1" t="n">
        <v>44050</v>
      </c>
      <c r="C2238" s="1" t="n">
        <v>45662</v>
      </c>
      <c r="D2238" t="inlineStr">
        <is>
          <t>NORRBOTTENS LÄN</t>
        </is>
      </c>
      <c r="E2238" t="inlineStr">
        <is>
          <t>KALIX</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36651-2020</t>
        </is>
      </c>
      <c r="B2239" s="1" t="n">
        <v>44050</v>
      </c>
      <c r="C2239" s="1" t="n">
        <v>45662</v>
      </c>
      <c r="D2239" t="inlineStr">
        <is>
          <t>NORRBOTTENS LÄN</t>
        </is>
      </c>
      <c r="E2239" t="inlineStr">
        <is>
          <t>BODEN</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36515-2020</t>
        </is>
      </c>
      <c r="B2240" s="1" t="n">
        <v>44050</v>
      </c>
      <c r="C2240" s="1" t="n">
        <v>45662</v>
      </c>
      <c r="D2240" t="inlineStr">
        <is>
          <t>NORRBOTTENS LÄN</t>
        </is>
      </c>
      <c r="E2240" t="inlineStr">
        <is>
          <t>BODEN</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36578-2020</t>
        </is>
      </c>
      <c r="B2241" s="1" t="n">
        <v>44050</v>
      </c>
      <c r="C2241" s="1" t="n">
        <v>45662</v>
      </c>
      <c r="D2241" t="inlineStr">
        <is>
          <t>NORRBOTTENS LÄN</t>
        </is>
      </c>
      <c r="E2241" t="inlineStr">
        <is>
          <t>GÄLLIVARE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36653-2020</t>
        </is>
      </c>
      <c r="B2242" s="1" t="n">
        <v>44051</v>
      </c>
      <c r="C2242" s="1" t="n">
        <v>45662</v>
      </c>
      <c r="D2242" t="inlineStr">
        <is>
          <t>NORRBOTTENS LÄN</t>
        </is>
      </c>
      <c r="E2242" t="inlineStr">
        <is>
          <t>BODEN</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36549-2020</t>
        </is>
      </c>
      <c r="B2243" s="1" t="n">
        <v>44050</v>
      </c>
      <c r="C2243" s="1" t="n">
        <v>45662</v>
      </c>
      <c r="D2243" t="inlineStr">
        <is>
          <t>NORRBOTTENS LÄN</t>
        </is>
      </c>
      <c r="E2243" t="inlineStr">
        <is>
          <t>LULEÅ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36649-2020</t>
        </is>
      </c>
      <c r="B2244" s="1" t="n">
        <v>44051</v>
      </c>
      <c r="C2244" s="1" t="n">
        <v>45662</v>
      </c>
      <c r="D2244" t="inlineStr">
        <is>
          <t>NORRBOTTENS LÄN</t>
        </is>
      </c>
      <c r="E2244" t="inlineStr">
        <is>
          <t>ÖVERKALIX</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36929-2020</t>
        </is>
      </c>
      <c r="B2245" s="1" t="n">
        <v>44053</v>
      </c>
      <c r="C2245" s="1" t="n">
        <v>45662</v>
      </c>
      <c r="D2245" t="inlineStr">
        <is>
          <t>NORRBOTTENS LÄN</t>
        </is>
      </c>
      <c r="E2245" t="inlineStr">
        <is>
          <t>LULEÅ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36960-2020</t>
        </is>
      </c>
      <c r="B2246" s="1" t="n">
        <v>44053</v>
      </c>
      <c r="C2246" s="1" t="n">
        <v>45662</v>
      </c>
      <c r="D2246" t="inlineStr">
        <is>
          <t>NORRBOTTENS LÄN</t>
        </is>
      </c>
      <c r="E2246" t="inlineStr">
        <is>
          <t>BODEN</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36984-2020</t>
        </is>
      </c>
      <c r="B2247" s="1" t="n">
        <v>44054</v>
      </c>
      <c r="C2247" s="1" t="n">
        <v>45662</v>
      </c>
      <c r="D2247" t="inlineStr">
        <is>
          <t>NORRBOTTENS LÄN</t>
        </is>
      </c>
      <c r="E2247" t="inlineStr">
        <is>
          <t>BODEN</t>
        </is>
      </c>
      <c r="F2247" t="inlineStr">
        <is>
          <t>Övriga Aktiebolag</t>
        </is>
      </c>
      <c r="G2247" t="n">
        <v>44.4</v>
      </c>
      <c r="H2247" t="n">
        <v>0</v>
      </c>
      <c r="I2247" t="n">
        <v>0</v>
      </c>
      <c r="J2247" t="n">
        <v>0</v>
      </c>
      <c r="K2247" t="n">
        <v>0</v>
      </c>
      <c r="L2247" t="n">
        <v>0</v>
      </c>
      <c r="M2247" t="n">
        <v>0</v>
      </c>
      <c r="N2247" t="n">
        <v>0</v>
      </c>
      <c r="O2247" t="n">
        <v>0</v>
      </c>
      <c r="P2247" t="n">
        <v>0</v>
      </c>
      <c r="Q2247" t="n">
        <v>0</v>
      </c>
      <c r="R2247" s="2" t="inlineStr"/>
    </row>
    <row r="2248" ht="15" customHeight="1">
      <c r="A2248" t="inlineStr">
        <is>
          <t>A 37195-2020</t>
        </is>
      </c>
      <c r="B2248" s="1" t="n">
        <v>44054</v>
      </c>
      <c r="C2248" s="1" t="n">
        <v>45662</v>
      </c>
      <c r="D2248" t="inlineStr">
        <is>
          <t>NORRBOTTENS LÄN</t>
        </is>
      </c>
      <c r="E2248" t="inlineStr">
        <is>
          <t>KALIX</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37392-2020</t>
        </is>
      </c>
      <c r="B2249" s="1" t="n">
        <v>44055</v>
      </c>
      <c r="C2249" s="1" t="n">
        <v>45662</v>
      </c>
      <c r="D2249" t="inlineStr">
        <is>
          <t>NORRBOTTENS LÄN</t>
        </is>
      </c>
      <c r="E2249" t="inlineStr">
        <is>
          <t>GÄLLIVARE</t>
        </is>
      </c>
      <c r="F2249" t="inlineStr">
        <is>
          <t>Allmännings- och besparingsskogar</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37727-2020</t>
        </is>
      </c>
      <c r="B2250" s="1" t="n">
        <v>44056</v>
      </c>
      <c r="C2250" s="1" t="n">
        <v>45662</v>
      </c>
      <c r="D2250" t="inlineStr">
        <is>
          <t>NORRBOTTENS LÄN</t>
        </is>
      </c>
      <c r="E2250" t="inlineStr">
        <is>
          <t>ARVIDSJAUR</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37886-2020</t>
        </is>
      </c>
      <c r="B2251" s="1" t="n">
        <v>44057</v>
      </c>
      <c r="C2251" s="1" t="n">
        <v>45662</v>
      </c>
      <c r="D2251" t="inlineStr">
        <is>
          <t>NORRBOTTENS LÄN</t>
        </is>
      </c>
      <c r="E2251" t="inlineStr">
        <is>
          <t>BODEN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37955-2020</t>
        </is>
      </c>
      <c r="B2252" s="1" t="n">
        <v>44057</v>
      </c>
      <c r="C2252" s="1" t="n">
        <v>45662</v>
      </c>
      <c r="D2252" t="inlineStr">
        <is>
          <t>NORRBOTTENS LÄN</t>
        </is>
      </c>
      <c r="E2252" t="inlineStr">
        <is>
          <t>ÄLVSBYN</t>
        </is>
      </c>
      <c r="F2252" t="inlineStr">
        <is>
          <t>Sveaskog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38115-2020</t>
        </is>
      </c>
      <c r="B2253" s="1" t="n">
        <v>44058</v>
      </c>
      <c r="C2253" s="1" t="n">
        <v>45662</v>
      </c>
      <c r="D2253" t="inlineStr">
        <is>
          <t>NORRBOTTENS LÄN</t>
        </is>
      </c>
      <c r="E2253" t="inlineStr">
        <is>
          <t>GÄLLIVARE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38114-2020</t>
        </is>
      </c>
      <c r="B2254" s="1" t="n">
        <v>44058</v>
      </c>
      <c r="C2254" s="1" t="n">
        <v>45662</v>
      </c>
      <c r="D2254" t="inlineStr">
        <is>
          <t>NORRBOTTENS LÄN</t>
        </is>
      </c>
      <c r="E2254" t="inlineStr">
        <is>
          <t>GÄLLIVARE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38241-2020</t>
        </is>
      </c>
      <c r="B2255" s="1" t="n">
        <v>44060</v>
      </c>
      <c r="C2255" s="1" t="n">
        <v>45662</v>
      </c>
      <c r="D2255" t="inlineStr">
        <is>
          <t>NORRBOTTENS LÄN</t>
        </is>
      </c>
      <c r="E2255" t="inlineStr">
        <is>
          <t>ÖVERTORNEÅ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38337-2020</t>
        </is>
      </c>
      <c r="B2256" s="1" t="n">
        <v>44060</v>
      </c>
      <c r="C2256" s="1" t="n">
        <v>45662</v>
      </c>
      <c r="D2256" t="inlineStr">
        <is>
          <t>NORRBOTTENS LÄN</t>
        </is>
      </c>
      <c r="E2256" t="inlineStr">
        <is>
          <t>PAJALA</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38254-2020</t>
        </is>
      </c>
      <c r="B2257" s="1" t="n">
        <v>44060</v>
      </c>
      <c r="C2257" s="1" t="n">
        <v>45662</v>
      </c>
      <c r="D2257" t="inlineStr">
        <is>
          <t>NORRBOTTENS LÄN</t>
        </is>
      </c>
      <c r="E2257" t="inlineStr">
        <is>
          <t>JOKKMOKK</t>
        </is>
      </c>
      <c r="F2257" t="inlineStr">
        <is>
          <t>Allmännings- och besparingsskogar</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38331-2020</t>
        </is>
      </c>
      <c r="B2258" s="1" t="n">
        <v>44060</v>
      </c>
      <c r="C2258" s="1" t="n">
        <v>45662</v>
      </c>
      <c r="D2258" t="inlineStr">
        <is>
          <t>NORRBOTTENS LÄN</t>
        </is>
      </c>
      <c r="E2258" t="inlineStr">
        <is>
          <t>KIRUNA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38638-2020</t>
        </is>
      </c>
      <c r="B2259" s="1" t="n">
        <v>44061</v>
      </c>
      <c r="C2259" s="1" t="n">
        <v>45662</v>
      </c>
      <c r="D2259" t="inlineStr">
        <is>
          <t>NORRBOTTENS LÄN</t>
        </is>
      </c>
      <c r="E2259" t="inlineStr">
        <is>
          <t>JOKKMOKK</t>
        </is>
      </c>
      <c r="F2259" t="inlineStr">
        <is>
          <t>Övriga Aktiebolag</t>
        </is>
      </c>
      <c r="G2259" t="n">
        <v>22.2</v>
      </c>
      <c r="H2259" t="n">
        <v>0</v>
      </c>
      <c r="I2259" t="n">
        <v>0</v>
      </c>
      <c r="J2259" t="n">
        <v>0</v>
      </c>
      <c r="K2259" t="n">
        <v>0</v>
      </c>
      <c r="L2259" t="n">
        <v>0</v>
      </c>
      <c r="M2259" t="n">
        <v>0</v>
      </c>
      <c r="N2259" t="n">
        <v>0</v>
      </c>
      <c r="O2259" t="n">
        <v>0</v>
      </c>
      <c r="P2259" t="n">
        <v>0</v>
      </c>
      <c r="Q2259" t="n">
        <v>0</v>
      </c>
      <c r="R2259" s="2" t="inlineStr"/>
    </row>
    <row r="2260" ht="15" customHeight="1">
      <c r="A2260" t="inlineStr">
        <is>
          <t>A 38711-2020</t>
        </is>
      </c>
      <c r="B2260" s="1" t="n">
        <v>44061</v>
      </c>
      <c r="C2260" s="1" t="n">
        <v>45662</v>
      </c>
      <c r="D2260" t="inlineStr">
        <is>
          <t>NORRBOTTENS LÄN</t>
        </is>
      </c>
      <c r="E2260" t="inlineStr">
        <is>
          <t>JOKKMOKK</t>
        </is>
      </c>
      <c r="F2260" t="inlineStr">
        <is>
          <t>Övriga statliga verk och myndigheter</t>
        </is>
      </c>
      <c r="G2260" t="n">
        <v>16.1</v>
      </c>
      <c r="H2260" t="n">
        <v>0</v>
      </c>
      <c r="I2260" t="n">
        <v>0</v>
      </c>
      <c r="J2260" t="n">
        <v>0</v>
      </c>
      <c r="K2260" t="n">
        <v>0</v>
      </c>
      <c r="L2260" t="n">
        <v>0</v>
      </c>
      <c r="M2260" t="n">
        <v>0</v>
      </c>
      <c r="N2260" t="n">
        <v>0</v>
      </c>
      <c r="O2260" t="n">
        <v>0</v>
      </c>
      <c r="P2260" t="n">
        <v>0</v>
      </c>
      <c r="Q2260" t="n">
        <v>0</v>
      </c>
      <c r="R2260" s="2" t="inlineStr"/>
    </row>
    <row r="2261" ht="15" customHeight="1">
      <c r="A2261" t="inlineStr">
        <is>
          <t>A 38733-2020</t>
        </is>
      </c>
      <c r="B2261" s="1" t="n">
        <v>44061</v>
      </c>
      <c r="C2261" s="1" t="n">
        <v>45662</v>
      </c>
      <c r="D2261" t="inlineStr">
        <is>
          <t>NORRBOTTENS LÄN</t>
        </is>
      </c>
      <c r="E2261" t="inlineStr">
        <is>
          <t>KALIX</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38813-2020</t>
        </is>
      </c>
      <c r="B2262" s="1" t="n">
        <v>44061</v>
      </c>
      <c r="C2262" s="1" t="n">
        <v>45662</v>
      </c>
      <c r="D2262" t="inlineStr">
        <is>
          <t>NORRBOTTENS LÄN</t>
        </is>
      </c>
      <c r="E2262" t="inlineStr">
        <is>
          <t>KIRUNA</t>
        </is>
      </c>
      <c r="G2262" t="n">
        <v>26.9</v>
      </c>
      <c r="H2262" t="n">
        <v>0</v>
      </c>
      <c r="I2262" t="n">
        <v>0</v>
      </c>
      <c r="J2262" t="n">
        <v>0</v>
      </c>
      <c r="K2262" t="n">
        <v>0</v>
      </c>
      <c r="L2262" t="n">
        <v>0</v>
      </c>
      <c r="M2262" t="n">
        <v>0</v>
      </c>
      <c r="N2262" t="n">
        <v>0</v>
      </c>
      <c r="O2262" t="n">
        <v>0</v>
      </c>
      <c r="P2262" t="n">
        <v>0</v>
      </c>
      <c r="Q2262" t="n">
        <v>0</v>
      </c>
      <c r="R2262" s="2" t="inlineStr"/>
    </row>
    <row r="2263" ht="15" customHeight="1">
      <c r="A2263" t="inlineStr">
        <is>
          <t>A 39020-2020</t>
        </is>
      </c>
      <c r="B2263" s="1" t="n">
        <v>44062</v>
      </c>
      <c r="C2263" s="1" t="n">
        <v>45662</v>
      </c>
      <c r="D2263" t="inlineStr">
        <is>
          <t>NORRBOTTENS LÄN</t>
        </is>
      </c>
      <c r="E2263" t="inlineStr">
        <is>
          <t>PAJALA</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38878-2020</t>
        </is>
      </c>
      <c r="B2264" s="1" t="n">
        <v>44062</v>
      </c>
      <c r="C2264" s="1" t="n">
        <v>45662</v>
      </c>
      <c r="D2264" t="inlineStr">
        <is>
          <t>NORRBOTTENS LÄN</t>
        </is>
      </c>
      <c r="E2264" t="inlineStr">
        <is>
          <t>PAJALA</t>
        </is>
      </c>
      <c r="F2264" t="inlineStr">
        <is>
          <t>Allmännings- och besparingsskogar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38991-2020</t>
        </is>
      </c>
      <c r="B2265" s="1" t="n">
        <v>44062</v>
      </c>
      <c r="C2265" s="1" t="n">
        <v>45662</v>
      </c>
      <c r="D2265" t="inlineStr">
        <is>
          <t>NORRBOTTENS LÄN</t>
        </is>
      </c>
      <c r="E2265" t="inlineStr">
        <is>
          <t>BODEN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39085-2020</t>
        </is>
      </c>
      <c r="B2266" s="1" t="n">
        <v>44062</v>
      </c>
      <c r="C2266" s="1" t="n">
        <v>45662</v>
      </c>
      <c r="D2266" t="inlineStr">
        <is>
          <t>NORRBOTTENS LÄN</t>
        </is>
      </c>
      <c r="E2266" t="inlineStr">
        <is>
          <t>JOKKMOKK</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39046-2020</t>
        </is>
      </c>
      <c r="B2267" s="1" t="n">
        <v>44063</v>
      </c>
      <c r="C2267" s="1" t="n">
        <v>45662</v>
      </c>
      <c r="D2267" t="inlineStr">
        <is>
          <t>NORRBOTTENS LÄN</t>
        </is>
      </c>
      <c r="E2267" t="inlineStr">
        <is>
          <t>PITEÅ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39099-2020</t>
        </is>
      </c>
      <c r="B2268" s="1" t="n">
        <v>44063</v>
      </c>
      <c r="C2268" s="1" t="n">
        <v>45662</v>
      </c>
      <c r="D2268" t="inlineStr">
        <is>
          <t>NORRBOTTENS LÄN</t>
        </is>
      </c>
      <c r="E2268" t="inlineStr">
        <is>
          <t>PAJALA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39169-2020</t>
        </is>
      </c>
      <c r="B2269" s="1" t="n">
        <v>44063</v>
      </c>
      <c r="C2269" s="1" t="n">
        <v>45662</v>
      </c>
      <c r="D2269" t="inlineStr">
        <is>
          <t>NORRBOTTENS LÄN</t>
        </is>
      </c>
      <c r="E2269" t="inlineStr">
        <is>
          <t>LULEÅ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39248-2020</t>
        </is>
      </c>
      <c r="B2270" s="1" t="n">
        <v>44063</v>
      </c>
      <c r="C2270" s="1" t="n">
        <v>45662</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39319-2020</t>
        </is>
      </c>
      <c r="B2271" s="1" t="n">
        <v>44063</v>
      </c>
      <c r="C2271" s="1" t="n">
        <v>45662</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39330-2020</t>
        </is>
      </c>
      <c r="B2272" s="1" t="n">
        <v>44063</v>
      </c>
      <c r="C2272" s="1" t="n">
        <v>45662</v>
      </c>
      <c r="D2272" t="inlineStr">
        <is>
          <t>NORRBOTTENS LÄN</t>
        </is>
      </c>
      <c r="E2272" t="inlineStr">
        <is>
          <t>GÄLLIVARE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39331-2020</t>
        </is>
      </c>
      <c r="B2273" s="1" t="n">
        <v>44063</v>
      </c>
      <c r="C2273" s="1" t="n">
        <v>45662</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39416-2020</t>
        </is>
      </c>
      <c r="B2274" s="1" t="n">
        <v>44064</v>
      </c>
      <c r="C2274" s="1" t="n">
        <v>45662</v>
      </c>
      <c r="D2274" t="inlineStr">
        <is>
          <t>NORRBOTTENS LÄN</t>
        </is>
      </c>
      <c r="E2274" t="inlineStr">
        <is>
          <t>KALIX</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39843-2020</t>
        </is>
      </c>
      <c r="B2275" s="1" t="n">
        <v>44064</v>
      </c>
      <c r="C2275" s="1" t="n">
        <v>45662</v>
      </c>
      <c r="D2275" t="inlineStr">
        <is>
          <t>NORRBOTTENS LÄN</t>
        </is>
      </c>
      <c r="E2275" t="inlineStr">
        <is>
          <t>BODEN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40058-2020</t>
        </is>
      </c>
      <c r="B2276" s="1" t="n">
        <v>44067</v>
      </c>
      <c r="C2276" s="1" t="n">
        <v>45662</v>
      </c>
      <c r="D2276" t="inlineStr">
        <is>
          <t>NORRBOTTENS LÄN</t>
        </is>
      </c>
      <c r="E2276" t="inlineStr">
        <is>
          <t>PITEÅ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40076-2020</t>
        </is>
      </c>
      <c r="B2277" s="1" t="n">
        <v>44067</v>
      </c>
      <c r="C2277" s="1" t="n">
        <v>45662</v>
      </c>
      <c r="D2277" t="inlineStr">
        <is>
          <t>NORRBOTTENS LÄN</t>
        </is>
      </c>
      <c r="E2277" t="inlineStr">
        <is>
          <t>PITEÅ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40110-2020</t>
        </is>
      </c>
      <c r="B2278" s="1" t="n">
        <v>44067</v>
      </c>
      <c r="C2278" s="1" t="n">
        <v>45662</v>
      </c>
      <c r="D2278" t="inlineStr">
        <is>
          <t>NORRBOTTENS LÄN</t>
        </is>
      </c>
      <c r="E2278" t="inlineStr">
        <is>
          <t>JOKKMOKK</t>
        </is>
      </c>
      <c r="F2278" t="inlineStr">
        <is>
          <t>Övriga Aktiebolag</t>
        </is>
      </c>
      <c r="G2278" t="n">
        <v>14.4</v>
      </c>
      <c r="H2278" t="n">
        <v>0</v>
      </c>
      <c r="I2278" t="n">
        <v>0</v>
      </c>
      <c r="J2278" t="n">
        <v>0</v>
      </c>
      <c r="K2278" t="n">
        <v>0</v>
      </c>
      <c r="L2278" t="n">
        <v>0</v>
      </c>
      <c r="M2278" t="n">
        <v>0</v>
      </c>
      <c r="N2278" t="n">
        <v>0</v>
      </c>
      <c r="O2278" t="n">
        <v>0</v>
      </c>
      <c r="P2278" t="n">
        <v>0</v>
      </c>
      <c r="Q2278" t="n">
        <v>0</v>
      </c>
      <c r="R2278" s="2" t="inlineStr"/>
    </row>
    <row r="2279" ht="15" customHeight="1">
      <c r="A2279" t="inlineStr">
        <is>
          <t>A 40282-2020</t>
        </is>
      </c>
      <c r="B2279" s="1" t="n">
        <v>44067</v>
      </c>
      <c r="C2279" s="1" t="n">
        <v>45662</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40122-2020</t>
        </is>
      </c>
      <c r="B2280" s="1" t="n">
        <v>44068</v>
      </c>
      <c r="C2280" s="1" t="n">
        <v>45662</v>
      </c>
      <c r="D2280" t="inlineStr">
        <is>
          <t>NORRBOTTENS LÄN</t>
        </is>
      </c>
      <c r="E2280" t="inlineStr">
        <is>
          <t>PITEÅ</t>
        </is>
      </c>
      <c r="F2280" t="inlineStr">
        <is>
          <t>Sveaskog</t>
        </is>
      </c>
      <c r="G2280" t="n">
        <v>36.9</v>
      </c>
      <c r="H2280" t="n">
        <v>0</v>
      </c>
      <c r="I2280" t="n">
        <v>0</v>
      </c>
      <c r="J2280" t="n">
        <v>0</v>
      </c>
      <c r="K2280" t="n">
        <v>0</v>
      </c>
      <c r="L2280" t="n">
        <v>0</v>
      </c>
      <c r="M2280" t="n">
        <v>0</v>
      </c>
      <c r="N2280" t="n">
        <v>0</v>
      </c>
      <c r="O2280" t="n">
        <v>0</v>
      </c>
      <c r="P2280" t="n">
        <v>0</v>
      </c>
      <c r="Q2280" t="n">
        <v>0</v>
      </c>
      <c r="R2280" s="2" t="inlineStr"/>
    </row>
    <row r="2281" ht="15" customHeight="1">
      <c r="A2281" t="inlineStr">
        <is>
          <t>A 41466-2020</t>
        </is>
      </c>
      <c r="B2281" s="1" t="n">
        <v>44069</v>
      </c>
      <c r="C2281" s="1" t="n">
        <v>45662</v>
      </c>
      <c r="D2281" t="inlineStr">
        <is>
          <t>NORRBOTTENS LÄN</t>
        </is>
      </c>
      <c r="E2281" t="inlineStr">
        <is>
          <t>PITEÅ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41072-2020</t>
        </is>
      </c>
      <c r="B2282" s="1" t="n">
        <v>44069</v>
      </c>
      <c r="C2282" s="1" t="n">
        <v>45662</v>
      </c>
      <c r="D2282" t="inlineStr">
        <is>
          <t>NORRBOTTENS LÄN</t>
        </is>
      </c>
      <c r="E2282" t="inlineStr">
        <is>
          <t>LULEÅ</t>
        </is>
      </c>
      <c r="G2282" t="n">
        <v>21.3</v>
      </c>
      <c r="H2282" t="n">
        <v>0</v>
      </c>
      <c r="I2282" t="n">
        <v>0</v>
      </c>
      <c r="J2282" t="n">
        <v>0</v>
      </c>
      <c r="K2282" t="n">
        <v>0</v>
      </c>
      <c r="L2282" t="n">
        <v>0</v>
      </c>
      <c r="M2282" t="n">
        <v>0</v>
      </c>
      <c r="N2282" t="n">
        <v>0</v>
      </c>
      <c r="O2282" t="n">
        <v>0</v>
      </c>
      <c r="P2282" t="n">
        <v>0</v>
      </c>
      <c r="Q2282" t="n">
        <v>0</v>
      </c>
      <c r="R2282" s="2" t="inlineStr"/>
    </row>
    <row r="2283" ht="15" customHeight="1">
      <c r="A2283" t="inlineStr">
        <is>
          <t>A 40896-2020</t>
        </is>
      </c>
      <c r="B2283" s="1" t="n">
        <v>44070</v>
      </c>
      <c r="C2283" s="1" t="n">
        <v>45662</v>
      </c>
      <c r="D2283" t="inlineStr">
        <is>
          <t>NORRBOTTENS LÄN</t>
        </is>
      </c>
      <c r="E2283" t="inlineStr">
        <is>
          <t>LULEÅ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40899-2020</t>
        </is>
      </c>
      <c r="B2284" s="1" t="n">
        <v>44070</v>
      </c>
      <c r="C2284" s="1" t="n">
        <v>45662</v>
      </c>
      <c r="D2284" t="inlineStr">
        <is>
          <t>NORRBOTTENS LÄN</t>
        </is>
      </c>
      <c r="E2284" t="inlineStr">
        <is>
          <t>GÄLLIVARE</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41021-2020</t>
        </is>
      </c>
      <c r="B2285" s="1" t="n">
        <v>44070</v>
      </c>
      <c r="C2285" s="1" t="n">
        <v>45662</v>
      </c>
      <c r="D2285" t="inlineStr">
        <is>
          <t>NORRBOTTENS LÄN</t>
        </is>
      </c>
      <c r="E2285" t="inlineStr">
        <is>
          <t>BODEN</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41736-2020</t>
        </is>
      </c>
      <c r="B2286" s="1" t="n">
        <v>44070</v>
      </c>
      <c r="C2286" s="1" t="n">
        <v>45662</v>
      </c>
      <c r="D2286" t="inlineStr">
        <is>
          <t>NORRBOTTENS LÄN</t>
        </is>
      </c>
      <c r="E2286" t="inlineStr">
        <is>
          <t>GÄLLIVARE</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41728-2020</t>
        </is>
      </c>
      <c r="B2287" s="1" t="n">
        <v>44070</v>
      </c>
      <c r="C2287" s="1" t="n">
        <v>45662</v>
      </c>
      <c r="D2287" t="inlineStr">
        <is>
          <t>NORRBOTTENS LÄN</t>
        </is>
      </c>
      <c r="E2287" t="inlineStr">
        <is>
          <t>PITEÅ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41692-2020</t>
        </is>
      </c>
      <c r="B2288" s="1" t="n">
        <v>44070</v>
      </c>
      <c r="C2288" s="1" t="n">
        <v>45662</v>
      </c>
      <c r="D2288" t="inlineStr">
        <is>
          <t>NORRBOTTENS LÄN</t>
        </is>
      </c>
      <c r="E2288" t="inlineStr">
        <is>
          <t>GÄLLIVARE</t>
        </is>
      </c>
      <c r="F2288" t="inlineStr">
        <is>
          <t>Allmännings- och besparingsskogar</t>
        </is>
      </c>
      <c r="G2288" t="n">
        <v>27.7</v>
      </c>
      <c r="H2288" t="n">
        <v>0</v>
      </c>
      <c r="I2288" t="n">
        <v>0</v>
      </c>
      <c r="J2288" t="n">
        <v>0</v>
      </c>
      <c r="K2288" t="n">
        <v>0</v>
      </c>
      <c r="L2288" t="n">
        <v>0</v>
      </c>
      <c r="M2288" t="n">
        <v>0</v>
      </c>
      <c r="N2288" t="n">
        <v>0</v>
      </c>
      <c r="O2288" t="n">
        <v>0</v>
      </c>
      <c r="P2288" t="n">
        <v>0</v>
      </c>
      <c r="Q2288" t="n">
        <v>0</v>
      </c>
      <c r="R2288" s="2" t="inlineStr"/>
    </row>
    <row r="2289" ht="15" customHeight="1">
      <c r="A2289" t="inlineStr">
        <is>
          <t>A 41915-2020</t>
        </is>
      </c>
      <c r="B2289" s="1" t="n">
        <v>44071</v>
      </c>
      <c r="C2289" s="1" t="n">
        <v>45662</v>
      </c>
      <c r="D2289" t="inlineStr">
        <is>
          <t>NORRBOTTENS LÄN</t>
        </is>
      </c>
      <c r="E2289" t="inlineStr">
        <is>
          <t>HAPARANDA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41922-2020</t>
        </is>
      </c>
      <c r="B2290" s="1" t="n">
        <v>44071</v>
      </c>
      <c r="C2290" s="1" t="n">
        <v>45662</v>
      </c>
      <c r="D2290" t="inlineStr">
        <is>
          <t>NORRBOTTENS LÄN</t>
        </is>
      </c>
      <c r="E2290" t="inlineStr">
        <is>
          <t>HAPARANDA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41796-2020</t>
        </is>
      </c>
      <c r="B2291" s="1" t="n">
        <v>44071</v>
      </c>
      <c r="C2291" s="1" t="n">
        <v>45662</v>
      </c>
      <c r="D2291" t="inlineStr">
        <is>
          <t>NORRBOTTENS LÄN</t>
        </is>
      </c>
      <c r="E2291" t="inlineStr">
        <is>
          <t>PAJALA</t>
        </is>
      </c>
      <c r="F2291" t="inlineStr">
        <is>
          <t>Allmännings- och besparingsskogar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41651-2020</t>
        </is>
      </c>
      <c r="B2292" s="1" t="n">
        <v>44074</v>
      </c>
      <c r="C2292" s="1" t="n">
        <v>45662</v>
      </c>
      <c r="D2292" t="inlineStr">
        <is>
          <t>NORRBOTTENS LÄN</t>
        </is>
      </c>
      <c r="E2292" t="inlineStr">
        <is>
          <t>ÖVERTORNEÅ</t>
        </is>
      </c>
      <c r="F2292" t="inlineStr">
        <is>
          <t>Sveaskog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41787-2020</t>
        </is>
      </c>
      <c r="B2293" s="1" t="n">
        <v>44074</v>
      </c>
      <c r="C2293" s="1" t="n">
        <v>45662</v>
      </c>
      <c r="D2293" t="inlineStr">
        <is>
          <t>NORRBOTTENS LÄN</t>
        </is>
      </c>
      <c r="E2293" t="inlineStr">
        <is>
          <t>PAJALA</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41864-2020</t>
        </is>
      </c>
      <c r="B2294" s="1" t="n">
        <v>44074</v>
      </c>
      <c r="C2294" s="1" t="n">
        <v>45662</v>
      </c>
      <c r="D2294" t="inlineStr">
        <is>
          <t>NORRBOTTENS LÄN</t>
        </is>
      </c>
      <c r="E2294" t="inlineStr">
        <is>
          <t>LULEÅ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42390-2020</t>
        </is>
      </c>
      <c r="B2295" s="1" t="n">
        <v>44074</v>
      </c>
      <c r="C2295" s="1" t="n">
        <v>45662</v>
      </c>
      <c r="D2295" t="inlineStr">
        <is>
          <t>NORRBOTTENS LÄN</t>
        </is>
      </c>
      <c r="E2295" t="inlineStr">
        <is>
          <t>PITEÅ</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41990-2020</t>
        </is>
      </c>
      <c r="B2296" s="1" t="n">
        <v>44075</v>
      </c>
      <c r="C2296" s="1" t="n">
        <v>45662</v>
      </c>
      <c r="D2296" t="inlineStr">
        <is>
          <t>NORRBOTTENS LÄN</t>
        </is>
      </c>
      <c r="E2296" t="inlineStr">
        <is>
          <t>LULEÅ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41985-2020</t>
        </is>
      </c>
      <c r="B2297" s="1" t="n">
        <v>44075</v>
      </c>
      <c r="C2297" s="1" t="n">
        <v>45662</v>
      </c>
      <c r="D2297" t="inlineStr">
        <is>
          <t>NORRBOTTENS LÄN</t>
        </is>
      </c>
      <c r="E2297" t="inlineStr">
        <is>
          <t>BODEN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42177-2020</t>
        </is>
      </c>
      <c r="B2298" s="1" t="n">
        <v>44075</v>
      </c>
      <c r="C2298" s="1" t="n">
        <v>45662</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42684-2020</t>
        </is>
      </c>
      <c r="B2299" s="1" t="n">
        <v>44075</v>
      </c>
      <c r="C2299" s="1" t="n">
        <v>45662</v>
      </c>
      <c r="D2299" t="inlineStr">
        <is>
          <t>NORRBOTTENS LÄN</t>
        </is>
      </c>
      <c r="E2299" t="inlineStr">
        <is>
          <t>ARVIDSJAUR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42176-2020</t>
        </is>
      </c>
      <c r="B2300" s="1" t="n">
        <v>44075</v>
      </c>
      <c r="C2300" s="1" t="n">
        <v>45662</v>
      </c>
      <c r="D2300" t="inlineStr">
        <is>
          <t>NORRBOTTENS LÄN</t>
        </is>
      </c>
      <c r="E2300" t="inlineStr">
        <is>
          <t>LULEÅ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42691-2020</t>
        </is>
      </c>
      <c r="B2301" s="1" t="n">
        <v>44075</v>
      </c>
      <c r="C2301" s="1" t="n">
        <v>45662</v>
      </c>
      <c r="D2301" t="inlineStr">
        <is>
          <t>NORRBOTTENS LÄN</t>
        </is>
      </c>
      <c r="E2301" t="inlineStr">
        <is>
          <t>PITEÅ</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42394-2020</t>
        </is>
      </c>
      <c r="B2302" s="1" t="n">
        <v>44076</v>
      </c>
      <c r="C2302" s="1" t="n">
        <v>45662</v>
      </c>
      <c r="D2302" t="inlineStr">
        <is>
          <t>NORRBOTTENS LÄN</t>
        </is>
      </c>
      <c r="E2302" t="inlineStr">
        <is>
          <t>ARVIDSJAUR</t>
        </is>
      </c>
      <c r="F2302" t="inlineStr">
        <is>
          <t>Sveaskog</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42227-2020</t>
        </is>
      </c>
      <c r="B2303" s="1" t="n">
        <v>44076</v>
      </c>
      <c r="C2303" s="1" t="n">
        <v>45662</v>
      </c>
      <c r="D2303" t="inlineStr">
        <is>
          <t>NORRBOTTENS LÄN</t>
        </is>
      </c>
      <c r="E2303" t="inlineStr">
        <is>
          <t>ARVIDSJAUR</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42704-2020</t>
        </is>
      </c>
      <c r="B2304" s="1" t="n">
        <v>44077</v>
      </c>
      <c r="C2304" s="1" t="n">
        <v>45662</v>
      </c>
      <c r="D2304" t="inlineStr">
        <is>
          <t>NORRBOTTENS LÄN</t>
        </is>
      </c>
      <c r="E2304" t="inlineStr">
        <is>
          <t>KALIX</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42624-2020</t>
        </is>
      </c>
      <c r="B2305" s="1" t="n">
        <v>44077</v>
      </c>
      <c r="C2305" s="1" t="n">
        <v>45662</v>
      </c>
      <c r="D2305" t="inlineStr">
        <is>
          <t>NORRBOTTENS LÄN</t>
        </is>
      </c>
      <c r="E2305" t="inlineStr">
        <is>
          <t>BODEN</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42618-2020</t>
        </is>
      </c>
      <c r="B2306" s="1" t="n">
        <v>44077</v>
      </c>
      <c r="C2306" s="1" t="n">
        <v>45662</v>
      </c>
      <c r="D2306" t="inlineStr">
        <is>
          <t>NORRBOTTENS LÄN</t>
        </is>
      </c>
      <c r="E2306" t="inlineStr">
        <is>
          <t>BODEN</t>
        </is>
      </c>
      <c r="F2306" t="inlineStr">
        <is>
          <t>Sveaskog</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43562-2020</t>
        </is>
      </c>
      <c r="B2307" s="1" t="n">
        <v>44077</v>
      </c>
      <c r="C2307" s="1" t="n">
        <v>45662</v>
      </c>
      <c r="D2307" t="inlineStr">
        <is>
          <t>NORRBOTTENS LÄN</t>
        </is>
      </c>
      <c r="E2307" t="inlineStr">
        <is>
          <t>ÖVERTORNEÅ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43556-2020</t>
        </is>
      </c>
      <c r="B2308" s="1" t="n">
        <v>44077</v>
      </c>
      <c r="C2308" s="1" t="n">
        <v>45662</v>
      </c>
      <c r="D2308" t="inlineStr">
        <is>
          <t>NORRBOTTENS LÄN</t>
        </is>
      </c>
      <c r="E2308" t="inlineStr">
        <is>
          <t>LULEÅ</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42781-2020</t>
        </is>
      </c>
      <c r="B2309" s="1" t="n">
        <v>44078</v>
      </c>
      <c r="C2309" s="1" t="n">
        <v>45662</v>
      </c>
      <c r="D2309" t="inlineStr">
        <is>
          <t>NORRBOTTENS LÄN</t>
        </is>
      </c>
      <c r="E2309" t="inlineStr">
        <is>
          <t>HAPARANDA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42911-2020</t>
        </is>
      </c>
      <c r="B2310" s="1" t="n">
        <v>44078</v>
      </c>
      <c r="C2310" s="1" t="n">
        <v>45662</v>
      </c>
      <c r="D2310" t="inlineStr">
        <is>
          <t>NORRBOTTENS LÄN</t>
        </is>
      </c>
      <c r="E2310" t="inlineStr">
        <is>
          <t>PITEÅ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42939-2020</t>
        </is>
      </c>
      <c r="B2311" s="1" t="n">
        <v>44078</v>
      </c>
      <c r="C2311" s="1" t="n">
        <v>45662</v>
      </c>
      <c r="D2311" t="inlineStr">
        <is>
          <t>NORRBOTTENS LÄN</t>
        </is>
      </c>
      <c r="E2311" t="inlineStr">
        <is>
          <t>LULEÅ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43121-2020</t>
        </is>
      </c>
      <c r="B2312" s="1" t="n">
        <v>44079</v>
      </c>
      <c r="C2312" s="1" t="n">
        <v>45662</v>
      </c>
      <c r="D2312" t="inlineStr">
        <is>
          <t>NORRBOTTENS LÄN</t>
        </is>
      </c>
      <c r="E2312" t="inlineStr">
        <is>
          <t>PAJALA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43125-2020</t>
        </is>
      </c>
      <c r="B2313" s="1" t="n">
        <v>44079</v>
      </c>
      <c r="C2313" s="1" t="n">
        <v>45662</v>
      </c>
      <c r="D2313" t="inlineStr">
        <is>
          <t>NORRBOTTENS LÄN</t>
        </is>
      </c>
      <c r="E2313" t="inlineStr">
        <is>
          <t>PAJALA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43123-2020</t>
        </is>
      </c>
      <c r="B2314" s="1" t="n">
        <v>44079</v>
      </c>
      <c r="C2314" s="1" t="n">
        <v>45662</v>
      </c>
      <c r="D2314" t="inlineStr">
        <is>
          <t>NORRBOTTENS LÄN</t>
        </is>
      </c>
      <c r="E2314" t="inlineStr">
        <is>
          <t>PAJALA</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43120-2020</t>
        </is>
      </c>
      <c r="B2315" s="1" t="n">
        <v>44079</v>
      </c>
      <c r="C2315" s="1" t="n">
        <v>45662</v>
      </c>
      <c r="D2315" t="inlineStr">
        <is>
          <t>NORRBOTTENS LÄN</t>
        </is>
      </c>
      <c r="E2315" t="inlineStr">
        <is>
          <t>PAJALA</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43124-2020</t>
        </is>
      </c>
      <c r="B2316" s="1" t="n">
        <v>44079</v>
      </c>
      <c r="C2316" s="1" t="n">
        <v>45662</v>
      </c>
      <c r="D2316" t="inlineStr">
        <is>
          <t>NORRBOTTENS LÄN</t>
        </is>
      </c>
      <c r="E2316" t="inlineStr">
        <is>
          <t>PAJALA</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43122-2020</t>
        </is>
      </c>
      <c r="B2317" s="1" t="n">
        <v>44079</v>
      </c>
      <c r="C2317" s="1" t="n">
        <v>45662</v>
      </c>
      <c r="D2317" t="inlineStr">
        <is>
          <t>NORRBOTTENS LÄN</t>
        </is>
      </c>
      <c r="E2317" t="inlineStr">
        <is>
          <t>PAJALA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43437-2020</t>
        </is>
      </c>
      <c r="B2318" s="1" t="n">
        <v>44081</v>
      </c>
      <c r="C2318" s="1" t="n">
        <v>45662</v>
      </c>
      <c r="D2318" t="inlineStr">
        <is>
          <t>NORRBOTTENS LÄN</t>
        </is>
      </c>
      <c r="E2318" t="inlineStr">
        <is>
          <t>PAJALA</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43453-2020</t>
        </is>
      </c>
      <c r="B2319" s="1" t="n">
        <v>44082</v>
      </c>
      <c r="C2319" s="1" t="n">
        <v>45662</v>
      </c>
      <c r="D2319" t="inlineStr">
        <is>
          <t>NORRBOTTENS LÄN</t>
        </is>
      </c>
      <c r="E2319" t="inlineStr">
        <is>
          <t>ÖVERKALIX</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43909-2020</t>
        </is>
      </c>
      <c r="B2320" s="1" t="n">
        <v>44081</v>
      </c>
      <c r="C2320" s="1" t="n">
        <v>45662</v>
      </c>
      <c r="D2320" t="inlineStr">
        <is>
          <t>NORRBOTTENS LÄN</t>
        </is>
      </c>
      <c r="E2320" t="inlineStr">
        <is>
          <t>GÄLLIVARE</t>
        </is>
      </c>
      <c r="G2320" t="n">
        <v>14.2</v>
      </c>
      <c r="H2320" t="n">
        <v>0</v>
      </c>
      <c r="I2320" t="n">
        <v>0</v>
      </c>
      <c r="J2320" t="n">
        <v>0</v>
      </c>
      <c r="K2320" t="n">
        <v>0</v>
      </c>
      <c r="L2320" t="n">
        <v>0</v>
      </c>
      <c r="M2320" t="n">
        <v>0</v>
      </c>
      <c r="N2320" t="n">
        <v>0</v>
      </c>
      <c r="O2320" t="n">
        <v>0</v>
      </c>
      <c r="P2320" t="n">
        <v>0</v>
      </c>
      <c r="Q2320" t="n">
        <v>0</v>
      </c>
      <c r="R2320" s="2" t="inlineStr"/>
    </row>
    <row r="2321" ht="15" customHeight="1">
      <c r="A2321" t="inlineStr">
        <is>
          <t>A 43910-2020</t>
        </is>
      </c>
      <c r="B2321" s="1" t="n">
        <v>44081</v>
      </c>
      <c r="C2321" s="1" t="n">
        <v>45662</v>
      </c>
      <c r="D2321" t="inlineStr">
        <is>
          <t>NORRBOTTENS LÄN</t>
        </is>
      </c>
      <c r="E2321" t="inlineStr">
        <is>
          <t>GÄLLIVARE</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44087-2020</t>
        </is>
      </c>
      <c r="B2322" s="1" t="n">
        <v>44081</v>
      </c>
      <c r="C2322" s="1" t="n">
        <v>45662</v>
      </c>
      <c r="D2322" t="inlineStr">
        <is>
          <t>NORRBOTTENS LÄN</t>
        </is>
      </c>
      <c r="E2322" t="inlineStr">
        <is>
          <t>ARVIDSJAUR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43771-2020</t>
        </is>
      </c>
      <c r="B2323" s="1" t="n">
        <v>44082</v>
      </c>
      <c r="C2323" s="1" t="n">
        <v>45662</v>
      </c>
      <c r="D2323" t="inlineStr">
        <is>
          <t>NORRBOTTENS LÄN</t>
        </is>
      </c>
      <c r="E2323" t="inlineStr">
        <is>
          <t>PAJALA</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43475-2020</t>
        </is>
      </c>
      <c r="B2324" s="1" t="n">
        <v>44082</v>
      </c>
      <c r="C2324" s="1" t="n">
        <v>45662</v>
      </c>
      <c r="D2324" t="inlineStr">
        <is>
          <t>NORRBOTTENS LÄN</t>
        </is>
      </c>
      <c r="E2324" t="inlineStr">
        <is>
          <t>ARVIDSJAUR</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43661-2020</t>
        </is>
      </c>
      <c r="B2325" s="1" t="n">
        <v>44082</v>
      </c>
      <c r="C2325" s="1" t="n">
        <v>45662</v>
      </c>
      <c r="D2325" t="inlineStr">
        <is>
          <t>NORRBOTTENS LÄN</t>
        </is>
      </c>
      <c r="E2325" t="inlineStr">
        <is>
          <t>ÖVERKALIX</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43753-2020</t>
        </is>
      </c>
      <c r="B2326" s="1" t="n">
        <v>44082</v>
      </c>
      <c r="C2326" s="1" t="n">
        <v>45662</v>
      </c>
      <c r="D2326" t="inlineStr">
        <is>
          <t>NORRBOTTENS LÄN</t>
        </is>
      </c>
      <c r="E2326" t="inlineStr">
        <is>
          <t>ARVIDSJAUR</t>
        </is>
      </c>
      <c r="F2326" t="inlineStr">
        <is>
          <t>Sveaskog</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43836-2020</t>
        </is>
      </c>
      <c r="B2327" s="1" t="n">
        <v>44082</v>
      </c>
      <c r="C2327" s="1" t="n">
        <v>45662</v>
      </c>
      <c r="D2327" t="inlineStr">
        <is>
          <t>NORRBOTTENS LÄN</t>
        </is>
      </c>
      <c r="E2327" t="inlineStr">
        <is>
          <t>ÖVERKALIX</t>
        </is>
      </c>
      <c r="F2327" t="inlineStr">
        <is>
          <t>SCA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45041-2020</t>
        </is>
      </c>
      <c r="B2328" s="1" t="n">
        <v>44083</v>
      </c>
      <c r="C2328" s="1" t="n">
        <v>45662</v>
      </c>
      <c r="D2328" t="inlineStr">
        <is>
          <t>NORRBOTTENS LÄN</t>
        </is>
      </c>
      <c r="E2328" t="inlineStr">
        <is>
          <t>PITEÅ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45002-2020</t>
        </is>
      </c>
      <c r="B2329" s="1" t="n">
        <v>44083</v>
      </c>
      <c r="C2329" s="1" t="n">
        <v>45662</v>
      </c>
      <c r="D2329" t="inlineStr">
        <is>
          <t>NORRBOTTENS LÄN</t>
        </is>
      </c>
      <c r="E2329" t="inlineStr">
        <is>
          <t>PAJALA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45017-2020</t>
        </is>
      </c>
      <c r="B2330" s="1" t="n">
        <v>44083</v>
      </c>
      <c r="C2330" s="1" t="n">
        <v>45662</v>
      </c>
      <c r="D2330" t="inlineStr">
        <is>
          <t>NORRBOTTENS LÄN</t>
        </is>
      </c>
      <c r="E2330" t="inlineStr">
        <is>
          <t>PITEÅ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44294-2020</t>
        </is>
      </c>
      <c r="B2331" s="1" t="n">
        <v>44084</v>
      </c>
      <c r="C2331" s="1" t="n">
        <v>45662</v>
      </c>
      <c r="D2331" t="inlineStr">
        <is>
          <t>NORRBOTTENS LÄN</t>
        </is>
      </c>
      <c r="E2331" t="inlineStr">
        <is>
          <t>KALIX</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44523-2020</t>
        </is>
      </c>
      <c r="B2332" s="1" t="n">
        <v>44085</v>
      </c>
      <c r="C2332" s="1" t="n">
        <v>45662</v>
      </c>
      <c r="D2332" t="inlineStr">
        <is>
          <t>NORRBOTTENS LÄN</t>
        </is>
      </c>
      <c r="E2332" t="inlineStr">
        <is>
          <t>ÄLVSBYN</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44685-2020</t>
        </is>
      </c>
      <c r="B2333" s="1" t="n">
        <v>44085</v>
      </c>
      <c r="C2333" s="1" t="n">
        <v>45662</v>
      </c>
      <c r="D2333" t="inlineStr">
        <is>
          <t>NORRBOTTENS LÄN</t>
        </is>
      </c>
      <c r="E2333" t="inlineStr">
        <is>
          <t>ÄLVSBYN</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44682-2020</t>
        </is>
      </c>
      <c r="B2334" s="1" t="n">
        <v>44085</v>
      </c>
      <c r="C2334" s="1" t="n">
        <v>45662</v>
      </c>
      <c r="D2334" t="inlineStr">
        <is>
          <t>NORRBOTTENS LÄN</t>
        </is>
      </c>
      <c r="E2334" t="inlineStr">
        <is>
          <t>ÄLVSBYN</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44716-2020</t>
        </is>
      </c>
      <c r="B2335" s="1" t="n">
        <v>44085</v>
      </c>
      <c r="C2335" s="1" t="n">
        <v>45662</v>
      </c>
      <c r="D2335" t="inlineStr">
        <is>
          <t>NORRBOTTENS LÄN</t>
        </is>
      </c>
      <c r="E2335" t="inlineStr">
        <is>
          <t>ÄLVSBYN</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45353-2020</t>
        </is>
      </c>
      <c r="B2336" s="1" t="n">
        <v>44085</v>
      </c>
      <c r="C2336" s="1" t="n">
        <v>45662</v>
      </c>
      <c r="D2336" t="inlineStr">
        <is>
          <t>NORRBOTTENS LÄN</t>
        </is>
      </c>
      <c r="E2336" t="inlineStr">
        <is>
          <t>KALIX</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44756-2020</t>
        </is>
      </c>
      <c r="B2337" s="1" t="n">
        <v>44085</v>
      </c>
      <c r="C2337" s="1" t="n">
        <v>45662</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44758-2020</t>
        </is>
      </c>
      <c r="B2338" s="1" t="n">
        <v>44085</v>
      </c>
      <c r="C2338" s="1" t="n">
        <v>45662</v>
      </c>
      <c r="D2338" t="inlineStr">
        <is>
          <t>NORRBOTTENS LÄN</t>
        </is>
      </c>
      <c r="E2338" t="inlineStr">
        <is>
          <t>ÄLVSBYN</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45361-2020</t>
        </is>
      </c>
      <c r="B2339" s="1" t="n">
        <v>44085</v>
      </c>
      <c r="C2339" s="1" t="n">
        <v>45662</v>
      </c>
      <c r="D2339" t="inlineStr">
        <is>
          <t>NORRBOTTENS LÄN</t>
        </is>
      </c>
      <c r="E2339" t="inlineStr">
        <is>
          <t>ÖVERKALIX</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44862-2020</t>
        </is>
      </c>
      <c r="B2340" s="1" t="n">
        <v>44087</v>
      </c>
      <c r="C2340" s="1" t="n">
        <v>45662</v>
      </c>
      <c r="D2340" t="inlineStr">
        <is>
          <t>NORRBOTTENS LÄN</t>
        </is>
      </c>
      <c r="E2340" t="inlineStr">
        <is>
          <t>PITEÅ</t>
        </is>
      </c>
      <c r="G2340" t="n">
        <v>19.4</v>
      </c>
      <c r="H2340" t="n">
        <v>0</v>
      </c>
      <c r="I2340" t="n">
        <v>0</v>
      </c>
      <c r="J2340" t="n">
        <v>0</v>
      </c>
      <c r="K2340" t="n">
        <v>0</v>
      </c>
      <c r="L2340" t="n">
        <v>0</v>
      </c>
      <c r="M2340" t="n">
        <v>0</v>
      </c>
      <c r="N2340" t="n">
        <v>0</v>
      </c>
      <c r="O2340" t="n">
        <v>0</v>
      </c>
      <c r="P2340" t="n">
        <v>0</v>
      </c>
      <c r="Q2340" t="n">
        <v>0</v>
      </c>
      <c r="R2340" s="2" t="inlineStr"/>
    </row>
    <row r="2341" ht="15" customHeight="1">
      <c r="A2341" t="inlineStr">
        <is>
          <t>A 44942-2020</t>
        </is>
      </c>
      <c r="B2341" s="1" t="n">
        <v>44088</v>
      </c>
      <c r="C2341" s="1" t="n">
        <v>45662</v>
      </c>
      <c r="D2341" t="inlineStr">
        <is>
          <t>NORRBOTTENS LÄN</t>
        </is>
      </c>
      <c r="E2341" t="inlineStr">
        <is>
          <t>PAJALA</t>
        </is>
      </c>
      <c r="G2341" t="n">
        <v>21.5</v>
      </c>
      <c r="H2341" t="n">
        <v>0</v>
      </c>
      <c r="I2341" t="n">
        <v>0</v>
      </c>
      <c r="J2341" t="n">
        <v>0</v>
      </c>
      <c r="K2341" t="n">
        <v>0</v>
      </c>
      <c r="L2341" t="n">
        <v>0</v>
      </c>
      <c r="M2341" t="n">
        <v>0</v>
      </c>
      <c r="N2341" t="n">
        <v>0</v>
      </c>
      <c r="O2341" t="n">
        <v>0</v>
      </c>
      <c r="P2341" t="n">
        <v>0</v>
      </c>
      <c r="Q2341" t="n">
        <v>0</v>
      </c>
      <c r="R2341" s="2" t="inlineStr"/>
    </row>
    <row r="2342" ht="15" customHeight="1">
      <c r="A2342" t="inlineStr">
        <is>
          <t>A 45245-2020</t>
        </is>
      </c>
      <c r="B2342" s="1" t="n">
        <v>44088</v>
      </c>
      <c r="C2342" s="1" t="n">
        <v>45662</v>
      </c>
      <c r="D2342" t="inlineStr">
        <is>
          <t>NORRBOTTENS LÄN</t>
        </is>
      </c>
      <c r="E2342" t="inlineStr">
        <is>
          <t>PITEÅ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45945-2020</t>
        </is>
      </c>
      <c r="B2343" s="1" t="n">
        <v>44088</v>
      </c>
      <c r="C2343" s="1" t="n">
        <v>45662</v>
      </c>
      <c r="D2343" t="inlineStr">
        <is>
          <t>NORRBOTTENS LÄN</t>
        </is>
      </c>
      <c r="E2343" t="inlineStr">
        <is>
          <t>PITEÅ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45246-2020</t>
        </is>
      </c>
      <c r="B2344" s="1" t="n">
        <v>44088</v>
      </c>
      <c r="C2344" s="1" t="n">
        <v>45662</v>
      </c>
      <c r="D2344" t="inlineStr">
        <is>
          <t>NORRBOTTENS LÄN</t>
        </is>
      </c>
      <c r="E2344" t="inlineStr">
        <is>
          <t>PITEÅ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46097-2020</t>
        </is>
      </c>
      <c r="B2345" s="1" t="n">
        <v>44088</v>
      </c>
      <c r="C2345" s="1" t="n">
        <v>45662</v>
      </c>
      <c r="D2345" t="inlineStr">
        <is>
          <t>NORRBOTTENS LÄN</t>
        </is>
      </c>
      <c r="E2345" t="inlineStr">
        <is>
          <t>JOKKMOKK</t>
        </is>
      </c>
      <c r="F2345" t="inlineStr">
        <is>
          <t>Övriga Aktiebolag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45916-2020</t>
        </is>
      </c>
      <c r="B2346" s="1" t="n">
        <v>44088</v>
      </c>
      <c r="C2346" s="1" t="n">
        <v>45662</v>
      </c>
      <c r="D2346" t="inlineStr">
        <is>
          <t>NORRBOTTENS LÄN</t>
        </is>
      </c>
      <c r="E2346" t="inlineStr">
        <is>
          <t>KALIX</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46904-2020</t>
        </is>
      </c>
      <c r="B2347" s="1" t="n">
        <v>44089</v>
      </c>
      <c r="C2347" s="1" t="n">
        <v>45662</v>
      </c>
      <c r="D2347" t="inlineStr">
        <is>
          <t>NORRBOTTENS LÄN</t>
        </is>
      </c>
      <c r="E2347" t="inlineStr">
        <is>
          <t>ARVIDSJAUR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45627-2020</t>
        </is>
      </c>
      <c r="B2348" s="1" t="n">
        <v>44090</v>
      </c>
      <c r="C2348" s="1" t="n">
        <v>45662</v>
      </c>
      <c r="D2348" t="inlineStr">
        <is>
          <t>NORRBOTTENS LÄN</t>
        </is>
      </c>
      <c r="E2348" t="inlineStr">
        <is>
          <t>ÄLVSBYN</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45673-2020</t>
        </is>
      </c>
      <c r="B2349" s="1" t="n">
        <v>44090</v>
      </c>
      <c r="C2349" s="1" t="n">
        <v>45662</v>
      </c>
      <c r="D2349" t="inlineStr">
        <is>
          <t>NORRBOTTENS LÄN</t>
        </is>
      </c>
      <c r="E2349" t="inlineStr">
        <is>
          <t>ÖVERTORNEÅ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45716-2020</t>
        </is>
      </c>
      <c r="B2350" s="1" t="n">
        <v>44090</v>
      </c>
      <c r="C2350" s="1" t="n">
        <v>45662</v>
      </c>
      <c r="D2350" t="inlineStr">
        <is>
          <t>NORRBOTTENS LÄN</t>
        </is>
      </c>
      <c r="E2350" t="inlineStr">
        <is>
          <t>ÖVERTORNEÅ</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45676-2020</t>
        </is>
      </c>
      <c r="B2351" s="1" t="n">
        <v>44090</v>
      </c>
      <c r="C2351" s="1" t="n">
        <v>45662</v>
      </c>
      <c r="D2351" t="inlineStr">
        <is>
          <t>NORRBOTTENS LÄN</t>
        </is>
      </c>
      <c r="E2351" t="inlineStr">
        <is>
          <t>BODEN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46779-2020</t>
        </is>
      </c>
      <c r="B2352" s="1" t="n">
        <v>44090</v>
      </c>
      <c r="C2352" s="1" t="n">
        <v>45662</v>
      </c>
      <c r="D2352" t="inlineStr">
        <is>
          <t>NORRBOTTENS LÄN</t>
        </is>
      </c>
      <c r="E2352" t="inlineStr">
        <is>
          <t>JOKKMOKK</t>
        </is>
      </c>
      <c r="F2352" t="inlineStr">
        <is>
          <t>Allmännings- och besparingsskogar</t>
        </is>
      </c>
      <c r="G2352" t="n">
        <v>21.7</v>
      </c>
      <c r="H2352" t="n">
        <v>0</v>
      </c>
      <c r="I2352" t="n">
        <v>0</v>
      </c>
      <c r="J2352" t="n">
        <v>0</v>
      </c>
      <c r="K2352" t="n">
        <v>0</v>
      </c>
      <c r="L2352" t="n">
        <v>0</v>
      </c>
      <c r="M2352" t="n">
        <v>0</v>
      </c>
      <c r="N2352" t="n">
        <v>0</v>
      </c>
      <c r="O2352" t="n">
        <v>0</v>
      </c>
      <c r="P2352" t="n">
        <v>0</v>
      </c>
      <c r="Q2352" t="n">
        <v>0</v>
      </c>
      <c r="R2352" s="2" t="inlineStr"/>
    </row>
    <row r="2353" ht="15" customHeight="1">
      <c r="A2353" t="inlineStr">
        <is>
          <t>A 46133-2020</t>
        </is>
      </c>
      <c r="B2353" s="1" t="n">
        <v>44091</v>
      </c>
      <c r="C2353" s="1" t="n">
        <v>45662</v>
      </c>
      <c r="D2353" t="inlineStr">
        <is>
          <t>NORRBOTTENS LÄN</t>
        </is>
      </c>
      <c r="E2353" t="inlineStr">
        <is>
          <t>GÄLLIVARE</t>
        </is>
      </c>
      <c r="F2353" t="inlineStr">
        <is>
          <t>SCA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45860-2020</t>
        </is>
      </c>
      <c r="B2354" s="1" t="n">
        <v>44091</v>
      </c>
      <c r="C2354" s="1" t="n">
        <v>45662</v>
      </c>
      <c r="D2354" t="inlineStr">
        <is>
          <t>NORRBOTTENS LÄN</t>
        </is>
      </c>
      <c r="E2354" t="inlineStr">
        <is>
          <t>PAJALA</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46131-2020</t>
        </is>
      </c>
      <c r="B2355" s="1" t="n">
        <v>44091</v>
      </c>
      <c r="C2355" s="1" t="n">
        <v>45662</v>
      </c>
      <c r="D2355" t="inlineStr">
        <is>
          <t>NORRBOTTENS LÄN</t>
        </is>
      </c>
      <c r="E2355" t="inlineStr">
        <is>
          <t>GÄLLIVARE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46299-2020</t>
        </is>
      </c>
      <c r="B2356" s="1" t="n">
        <v>44092</v>
      </c>
      <c r="C2356" s="1" t="n">
        <v>45662</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46292-2020</t>
        </is>
      </c>
      <c r="B2357" s="1" t="n">
        <v>44092</v>
      </c>
      <c r="C2357" s="1" t="n">
        <v>45662</v>
      </c>
      <c r="D2357" t="inlineStr">
        <is>
          <t>NORRBOTTENS LÄN</t>
        </is>
      </c>
      <c r="E2357" t="inlineStr">
        <is>
          <t>BODEN</t>
        </is>
      </c>
      <c r="F2357" t="inlineStr">
        <is>
          <t>Sveaskog</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46333-2020</t>
        </is>
      </c>
      <c r="B2358" s="1" t="n">
        <v>44092</v>
      </c>
      <c r="C2358" s="1" t="n">
        <v>45662</v>
      </c>
      <c r="D2358" t="inlineStr">
        <is>
          <t>NORRBOTTENS LÄN</t>
        </is>
      </c>
      <c r="E2358" t="inlineStr">
        <is>
          <t>ARVIDSJAUR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46368-2020</t>
        </is>
      </c>
      <c r="B2359" s="1" t="n">
        <v>44092</v>
      </c>
      <c r="C2359" s="1" t="n">
        <v>45662</v>
      </c>
      <c r="D2359" t="inlineStr">
        <is>
          <t>NORRBOTTENS LÄN</t>
        </is>
      </c>
      <c r="E2359" t="inlineStr">
        <is>
          <t>GÄLLIVARE</t>
        </is>
      </c>
      <c r="F2359" t="inlineStr">
        <is>
          <t>SCA</t>
        </is>
      </c>
      <c r="G2359" t="n">
        <v>45.9</v>
      </c>
      <c r="H2359" t="n">
        <v>0</v>
      </c>
      <c r="I2359" t="n">
        <v>0</v>
      </c>
      <c r="J2359" t="n">
        <v>0</v>
      </c>
      <c r="K2359" t="n">
        <v>0</v>
      </c>
      <c r="L2359" t="n">
        <v>0</v>
      </c>
      <c r="M2359" t="n">
        <v>0</v>
      </c>
      <c r="N2359" t="n">
        <v>0</v>
      </c>
      <c r="O2359" t="n">
        <v>0</v>
      </c>
      <c r="P2359" t="n">
        <v>0</v>
      </c>
      <c r="Q2359" t="n">
        <v>0</v>
      </c>
      <c r="R2359" s="2" t="inlineStr"/>
    </row>
    <row r="2360" ht="15" customHeight="1">
      <c r="A2360" t="inlineStr">
        <is>
          <t>A 46375-2020</t>
        </is>
      </c>
      <c r="B2360" s="1" t="n">
        <v>44092</v>
      </c>
      <c r="C2360" s="1" t="n">
        <v>45662</v>
      </c>
      <c r="D2360" t="inlineStr">
        <is>
          <t>NORRBOTTENS LÄN</t>
        </is>
      </c>
      <c r="E2360" t="inlineStr">
        <is>
          <t>JOKKMOKK</t>
        </is>
      </c>
      <c r="F2360" t="inlineStr">
        <is>
          <t>SCA</t>
        </is>
      </c>
      <c r="G2360" t="n">
        <v>25.4</v>
      </c>
      <c r="H2360" t="n">
        <v>0</v>
      </c>
      <c r="I2360" t="n">
        <v>0</v>
      </c>
      <c r="J2360" t="n">
        <v>0</v>
      </c>
      <c r="K2360" t="n">
        <v>0</v>
      </c>
      <c r="L2360" t="n">
        <v>0</v>
      </c>
      <c r="M2360" t="n">
        <v>0</v>
      </c>
      <c r="N2360" t="n">
        <v>0</v>
      </c>
      <c r="O2360" t="n">
        <v>0</v>
      </c>
      <c r="P2360" t="n">
        <v>0</v>
      </c>
      <c r="Q2360" t="n">
        <v>0</v>
      </c>
      <c r="R2360" s="2" t="inlineStr"/>
    </row>
    <row r="2361" ht="15" customHeight="1">
      <c r="A2361" t="inlineStr">
        <is>
          <t>A 46330-2020</t>
        </is>
      </c>
      <c r="B2361" s="1" t="n">
        <v>44092</v>
      </c>
      <c r="C2361" s="1" t="n">
        <v>45662</v>
      </c>
      <c r="D2361" t="inlineStr">
        <is>
          <t>NORRBOTTENS LÄN</t>
        </is>
      </c>
      <c r="E2361" t="inlineStr">
        <is>
          <t>ARVIDSJAUR</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46343-2020</t>
        </is>
      </c>
      <c r="B2362" s="1" t="n">
        <v>44092</v>
      </c>
      <c r="C2362" s="1" t="n">
        <v>45662</v>
      </c>
      <c r="D2362" t="inlineStr">
        <is>
          <t>NORRBOTTENS LÄN</t>
        </is>
      </c>
      <c r="E2362" t="inlineStr">
        <is>
          <t>KIRUNA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46372-2020</t>
        </is>
      </c>
      <c r="B2363" s="1" t="n">
        <v>44092</v>
      </c>
      <c r="C2363" s="1" t="n">
        <v>45662</v>
      </c>
      <c r="D2363" t="inlineStr">
        <is>
          <t>NORRBOTTENS LÄN</t>
        </is>
      </c>
      <c r="E2363" t="inlineStr">
        <is>
          <t>ÖVERKALIX</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47189-2020</t>
        </is>
      </c>
      <c r="B2364" s="1" t="n">
        <v>44092</v>
      </c>
      <c r="C2364" s="1" t="n">
        <v>45662</v>
      </c>
      <c r="D2364" t="inlineStr">
        <is>
          <t>NORRBOTTENS LÄN</t>
        </is>
      </c>
      <c r="E2364" t="inlineStr">
        <is>
          <t>ARVIDSJAUR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47356-2020</t>
        </is>
      </c>
      <c r="B2365" s="1" t="n">
        <v>44092</v>
      </c>
      <c r="C2365" s="1" t="n">
        <v>45662</v>
      </c>
      <c r="D2365" t="inlineStr">
        <is>
          <t>NORRBOTTENS LÄN</t>
        </is>
      </c>
      <c r="E2365" t="inlineStr">
        <is>
          <t>PITEÅ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47343-2020</t>
        </is>
      </c>
      <c r="B2366" s="1" t="n">
        <v>44092</v>
      </c>
      <c r="C2366" s="1" t="n">
        <v>45662</v>
      </c>
      <c r="D2366" t="inlineStr">
        <is>
          <t>NORRBOTTENS LÄN</t>
        </is>
      </c>
      <c r="E2366" t="inlineStr">
        <is>
          <t>PITEÅ</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47365-2020</t>
        </is>
      </c>
      <c r="B2367" s="1" t="n">
        <v>44092</v>
      </c>
      <c r="C2367" s="1" t="n">
        <v>45662</v>
      </c>
      <c r="D2367" t="inlineStr">
        <is>
          <t>NORRBOTTENS LÄN</t>
        </is>
      </c>
      <c r="E2367" t="inlineStr">
        <is>
          <t>PITEÅ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46395-2020</t>
        </is>
      </c>
      <c r="B2368" s="1" t="n">
        <v>44094</v>
      </c>
      <c r="C2368" s="1" t="n">
        <v>45662</v>
      </c>
      <c r="D2368" t="inlineStr">
        <is>
          <t>NORRBOTTENS LÄN</t>
        </is>
      </c>
      <c r="E2368" t="inlineStr">
        <is>
          <t>LULEÅ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47397-2020</t>
        </is>
      </c>
      <c r="B2369" s="1" t="n">
        <v>44095</v>
      </c>
      <c r="C2369" s="1" t="n">
        <v>45662</v>
      </c>
      <c r="D2369" t="inlineStr">
        <is>
          <t>NORRBOTTENS LÄN</t>
        </is>
      </c>
      <c r="E2369" t="inlineStr">
        <is>
          <t>JOKKMOKK</t>
        </is>
      </c>
      <c r="F2369" t="inlineStr">
        <is>
          <t>Allmännings- och besparingsskogar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47591-2020</t>
        </is>
      </c>
      <c r="B2370" s="1" t="n">
        <v>44095</v>
      </c>
      <c r="C2370" s="1" t="n">
        <v>45662</v>
      </c>
      <c r="D2370" t="inlineStr">
        <is>
          <t>NORRBOTTENS LÄN</t>
        </is>
      </c>
      <c r="E2370" t="inlineStr">
        <is>
          <t>PITEÅ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47311-2020</t>
        </is>
      </c>
      <c r="B2371" s="1" t="n">
        <v>44095</v>
      </c>
      <c r="C2371" s="1" t="n">
        <v>45662</v>
      </c>
      <c r="D2371" t="inlineStr">
        <is>
          <t>NORRBOTTENS LÄN</t>
        </is>
      </c>
      <c r="E2371" t="inlineStr">
        <is>
          <t>GÄLLIVARE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46781-2020</t>
        </is>
      </c>
      <c r="B2372" s="1" t="n">
        <v>44096</v>
      </c>
      <c r="C2372" s="1" t="n">
        <v>45662</v>
      </c>
      <c r="D2372" t="inlineStr">
        <is>
          <t>NORRBOTTENS LÄN</t>
        </is>
      </c>
      <c r="E2372" t="inlineStr">
        <is>
          <t>PAJALA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47252-2020</t>
        </is>
      </c>
      <c r="B2373" s="1" t="n">
        <v>44096</v>
      </c>
      <c r="C2373" s="1" t="n">
        <v>45662</v>
      </c>
      <c r="D2373" t="inlineStr">
        <is>
          <t>NORRBOTTENS LÄN</t>
        </is>
      </c>
      <c r="E2373" t="inlineStr">
        <is>
          <t>JOKKMOKK</t>
        </is>
      </c>
      <c r="F2373" t="inlineStr">
        <is>
          <t>Övriga Aktiebolag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47063-2020</t>
        </is>
      </c>
      <c r="B2374" s="1" t="n">
        <v>44096</v>
      </c>
      <c r="C2374" s="1" t="n">
        <v>45662</v>
      </c>
      <c r="D2374" t="inlineStr">
        <is>
          <t>NORRBOTTENS LÄN</t>
        </is>
      </c>
      <c r="E2374" t="inlineStr">
        <is>
          <t>LULEÅ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47379-2020</t>
        </is>
      </c>
      <c r="B2375" s="1" t="n">
        <v>44097</v>
      </c>
      <c r="C2375" s="1" t="n">
        <v>45662</v>
      </c>
      <c r="D2375" t="inlineStr">
        <is>
          <t>NORRBOTTENS LÄN</t>
        </is>
      </c>
      <c r="E2375" t="inlineStr">
        <is>
          <t>GÄLLIVARE</t>
        </is>
      </c>
      <c r="F2375" t="inlineStr">
        <is>
          <t>Sveaskog</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48215-2020</t>
        </is>
      </c>
      <c r="B2376" s="1" t="n">
        <v>44097</v>
      </c>
      <c r="C2376" s="1" t="n">
        <v>45662</v>
      </c>
      <c r="D2376" t="inlineStr">
        <is>
          <t>NORRBOTTENS LÄN</t>
        </is>
      </c>
      <c r="E2376" t="inlineStr">
        <is>
          <t>PAJALA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48547-2020</t>
        </is>
      </c>
      <c r="B2377" s="1" t="n">
        <v>44098</v>
      </c>
      <c r="C2377" s="1" t="n">
        <v>45662</v>
      </c>
      <c r="D2377" t="inlineStr">
        <is>
          <t>NORRBOTTENS LÄN</t>
        </is>
      </c>
      <c r="E2377" t="inlineStr">
        <is>
          <t>KALIX</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48544-2020</t>
        </is>
      </c>
      <c r="B2378" s="1" t="n">
        <v>44098</v>
      </c>
      <c r="C2378" s="1" t="n">
        <v>45662</v>
      </c>
      <c r="D2378" t="inlineStr">
        <is>
          <t>NORRBOTTENS LÄN</t>
        </is>
      </c>
      <c r="E2378" t="inlineStr">
        <is>
          <t>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48585-2020</t>
        </is>
      </c>
      <c r="B2379" s="1" t="n">
        <v>44098</v>
      </c>
      <c r="C2379" s="1" t="n">
        <v>45662</v>
      </c>
      <c r="D2379" t="inlineStr">
        <is>
          <t>NORRBOTTENS LÄN</t>
        </is>
      </c>
      <c r="E2379" t="inlineStr">
        <is>
          <t>ÖVERKALIX</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48338-2020</t>
        </is>
      </c>
      <c r="B2380" s="1" t="n">
        <v>44098</v>
      </c>
      <c r="C2380" s="1" t="n">
        <v>45662</v>
      </c>
      <c r="D2380" t="inlineStr">
        <is>
          <t>NORRBOTTENS LÄN</t>
        </is>
      </c>
      <c r="E2380" t="inlineStr">
        <is>
          <t>JOKKMOKK</t>
        </is>
      </c>
      <c r="F2380" t="inlineStr">
        <is>
          <t>Allmännings- och besparingsskogar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48771-2020</t>
        </is>
      </c>
      <c r="B2381" s="1" t="n">
        <v>44099</v>
      </c>
      <c r="C2381" s="1" t="n">
        <v>45662</v>
      </c>
      <c r="D2381" t="inlineStr">
        <is>
          <t>NORRBOTTENS LÄN</t>
        </is>
      </c>
      <c r="E2381" t="inlineStr">
        <is>
          <t>PITEÅ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49210-2020</t>
        </is>
      </c>
      <c r="B2382" s="1" t="n">
        <v>44099</v>
      </c>
      <c r="C2382" s="1" t="n">
        <v>45662</v>
      </c>
      <c r="D2382" t="inlineStr">
        <is>
          <t>NORRBOTTENS LÄN</t>
        </is>
      </c>
      <c r="E2382" t="inlineStr">
        <is>
          <t>KALIX</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48777-2020</t>
        </is>
      </c>
      <c r="B2383" s="1" t="n">
        <v>44099</v>
      </c>
      <c r="C2383" s="1" t="n">
        <v>45662</v>
      </c>
      <c r="D2383" t="inlineStr">
        <is>
          <t>NORRBOTTENS LÄN</t>
        </is>
      </c>
      <c r="E2383" t="inlineStr">
        <is>
          <t>BODEN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48770-2020</t>
        </is>
      </c>
      <c r="B2384" s="1" t="n">
        <v>44099</v>
      </c>
      <c r="C2384" s="1" t="n">
        <v>45662</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48778-2020</t>
        </is>
      </c>
      <c r="B2385" s="1" t="n">
        <v>44099</v>
      </c>
      <c r="C2385" s="1" t="n">
        <v>45662</v>
      </c>
      <c r="D2385" t="inlineStr">
        <is>
          <t>NORRBOTTENS LÄN</t>
        </is>
      </c>
      <c r="E2385" t="inlineStr">
        <is>
          <t>PITEÅ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49575-2020</t>
        </is>
      </c>
      <c r="B2386" s="1" t="n">
        <v>44099</v>
      </c>
      <c r="C2386" s="1" t="n">
        <v>45662</v>
      </c>
      <c r="D2386" t="inlineStr">
        <is>
          <t>NORRBOTTENS LÄN</t>
        </is>
      </c>
      <c r="E2386" t="inlineStr">
        <is>
          <t>HAPARANDA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48769-2020</t>
        </is>
      </c>
      <c r="B2387" s="1" t="n">
        <v>44099</v>
      </c>
      <c r="C2387" s="1" t="n">
        <v>45662</v>
      </c>
      <c r="D2387" t="inlineStr">
        <is>
          <t>NORRBOTTENS LÄN</t>
        </is>
      </c>
      <c r="E2387" t="inlineStr">
        <is>
          <t>PITEÅ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49586-2020</t>
        </is>
      </c>
      <c r="B2388" s="1" t="n">
        <v>44099</v>
      </c>
      <c r="C2388" s="1" t="n">
        <v>45662</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48463-2020</t>
        </is>
      </c>
      <c r="B2389" s="1" t="n">
        <v>44102</v>
      </c>
      <c r="C2389" s="1" t="n">
        <v>45662</v>
      </c>
      <c r="D2389" t="inlineStr">
        <is>
          <t>NORRBOTTENS LÄN</t>
        </is>
      </c>
      <c r="E2389" t="inlineStr">
        <is>
          <t>JOKKMOKK</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49319-2020</t>
        </is>
      </c>
      <c r="B2390" s="1" t="n">
        <v>44102</v>
      </c>
      <c r="C2390" s="1" t="n">
        <v>45662</v>
      </c>
      <c r="D2390" t="inlineStr">
        <is>
          <t>NORRBOTTENS LÄN</t>
        </is>
      </c>
      <c r="E2390" t="inlineStr">
        <is>
          <t>ÄLVSBYN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48790-2020</t>
        </is>
      </c>
      <c r="B2391" s="1" t="n">
        <v>44103</v>
      </c>
      <c r="C2391" s="1" t="n">
        <v>45662</v>
      </c>
      <c r="D2391" t="inlineStr">
        <is>
          <t>NORRBOTTENS LÄN</t>
        </is>
      </c>
      <c r="E2391" t="inlineStr">
        <is>
          <t>PITEÅ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49730-2020</t>
        </is>
      </c>
      <c r="B2392" s="1" t="n">
        <v>44103</v>
      </c>
      <c r="C2392" s="1" t="n">
        <v>45662</v>
      </c>
      <c r="D2392" t="inlineStr">
        <is>
          <t>NORRBOTTENS LÄN</t>
        </is>
      </c>
      <c r="E2392" t="inlineStr">
        <is>
          <t>ÄLVSBYN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49742-2020</t>
        </is>
      </c>
      <c r="B2393" s="1" t="n">
        <v>44103</v>
      </c>
      <c r="C2393" s="1" t="n">
        <v>45662</v>
      </c>
      <c r="D2393" t="inlineStr">
        <is>
          <t>NORRBOTTENS LÄN</t>
        </is>
      </c>
      <c r="E2393" t="inlineStr">
        <is>
          <t>PITEÅ</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50054-2020</t>
        </is>
      </c>
      <c r="B2394" s="1" t="n">
        <v>44104</v>
      </c>
      <c r="C2394" s="1" t="n">
        <v>45662</v>
      </c>
      <c r="D2394" t="inlineStr">
        <is>
          <t>NORRBOTTENS LÄN</t>
        </is>
      </c>
      <c r="E2394" t="inlineStr">
        <is>
          <t>KALIX</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49013-2020</t>
        </is>
      </c>
      <c r="B2395" s="1" t="n">
        <v>44104</v>
      </c>
      <c r="C2395" s="1" t="n">
        <v>45662</v>
      </c>
      <c r="D2395" t="inlineStr">
        <is>
          <t>NORRBOTTENS LÄN</t>
        </is>
      </c>
      <c r="E2395" t="inlineStr">
        <is>
          <t>GÄLLIVARE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49019-2020</t>
        </is>
      </c>
      <c r="B2396" s="1" t="n">
        <v>44104</v>
      </c>
      <c r="C2396" s="1" t="n">
        <v>45662</v>
      </c>
      <c r="D2396" t="inlineStr">
        <is>
          <t>NORRBOTTENS LÄN</t>
        </is>
      </c>
      <c r="E2396" t="inlineStr">
        <is>
          <t>GÄLLIVARE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48971-2020</t>
        </is>
      </c>
      <c r="B2397" s="1" t="n">
        <v>44105</v>
      </c>
      <c r="C2397" s="1" t="n">
        <v>45662</v>
      </c>
      <c r="D2397" t="inlineStr">
        <is>
          <t>NORRBOTTENS LÄN</t>
        </is>
      </c>
      <c r="E2397" t="inlineStr">
        <is>
          <t>ÄLVSBYN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50902-2020</t>
        </is>
      </c>
      <c r="B2398" s="1" t="n">
        <v>44106</v>
      </c>
      <c r="C2398" s="1" t="n">
        <v>45662</v>
      </c>
      <c r="D2398" t="inlineStr">
        <is>
          <t>NORRBOTTENS LÄN</t>
        </is>
      </c>
      <c r="E2398" t="inlineStr">
        <is>
          <t>PITEÅ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50931-2020</t>
        </is>
      </c>
      <c r="B2399" s="1" t="n">
        <v>44106</v>
      </c>
      <c r="C2399" s="1" t="n">
        <v>45662</v>
      </c>
      <c r="D2399" t="inlineStr">
        <is>
          <t>NORRBOTTENS LÄN</t>
        </is>
      </c>
      <c r="E2399" t="inlineStr">
        <is>
          <t>HAPARANDA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50933-2020</t>
        </is>
      </c>
      <c r="B2400" s="1" t="n">
        <v>44106</v>
      </c>
      <c r="C2400" s="1" t="n">
        <v>45662</v>
      </c>
      <c r="D2400" t="inlineStr">
        <is>
          <t>NORRBOTTENS LÄN</t>
        </is>
      </c>
      <c r="E2400" t="inlineStr">
        <is>
          <t>HAPARANDA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51992-2020</t>
        </is>
      </c>
      <c r="B2401" s="1" t="n">
        <v>44109</v>
      </c>
      <c r="C2401" s="1" t="n">
        <v>45662</v>
      </c>
      <c r="D2401" t="inlineStr">
        <is>
          <t>NORRBOTTENS LÄN</t>
        </is>
      </c>
      <c r="E2401" t="inlineStr">
        <is>
          <t>GÄLLIVARE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50526-2020</t>
        </is>
      </c>
      <c r="B2402" s="1" t="n">
        <v>44110</v>
      </c>
      <c r="C2402" s="1" t="n">
        <v>45662</v>
      </c>
      <c r="D2402" t="inlineStr">
        <is>
          <t>NORRBOTTENS LÄN</t>
        </is>
      </c>
      <c r="E2402" t="inlineStr">
        <is>
          <t>BODEN</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50545-2020</t>
        </is>
      </c>
      <c r="B2403" s="1" t="n">
        <v>44110</v>
      </c>
      <c r="C2403" s="1" t="n">
        <v>45662</v>
      </c>
      <c r="D2403" t="inlineStr">
        <is>
          <t>NORRBOTTENS LÄN</t>
        </is>
      </c>
      <c r="E2403" t="inlineStr">
        <is>
          <t>BODEN</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50621-2020</t>
        </is>
      </c>
      <c r="B2404" s="1" t="n">
        <v>44110</v>
      </c>
      <c r="C2404" s="1" t="n">
        <v>45662</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50618-2020</t>
        </is>
      </c>
      <c r="B2405" s="1" t="n">
        <v>44110</v>
      </c>
      <c r="C2405" s="1" t="n">
        <v>45662</v>
      </c>
      <c r="D2405" t="inlineStr">
        <is>
          <t>NORRBOTTENS LÄN</t>
        </is>
      </c>
      <c r="E2405" t="inlineStr">
        <is>
          <t>BODEN</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50623-2020</t>
        </is>
      </c>
      <c r="B2406" s="1" t="n">
        <v>44110</v>
      </c>
      <c r="C2406" s="1" t="n">
        <v>45662</v>
      </c>
      <c r="D2406" t="inlineStr">
        <is>
          <t>NORRBOTTENS LÄN</t>
        </is>
      </c>
      <c r="E2406" t="inlineStr">
        <is>
          <t>BODEN</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50619-2020</t>
        </is>
      </c>
      <c r="B2407" s="1" t="n">
        <v>44110</v>
      </c>
      <c r="C2407" s="1" t="n">
        <v>45662</v>
      </c>
      <c r="D2407" t="inlineStr">
        <is>
          <t>NORRBOTTENS LÄN</t>
        </is>
      </c>
      <c r="E2407" t="inlineStr">
        <is>
          <t>KALIX</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50617-2020</t>
        </is>
      </c>
      <c r="B2408" s="1" t="n">
        <v>44110</v>
      </c>
      <c r="C2408" s="1" t="n">
        <v>45662</v>
      </c>
      <c r="D2408" t="inlineStr">
        <is>
          <t>NORRBOTTENS LÄN</t>
        </is>
      </c>
      <c r="E2408" t="inlineStr">
        <is>
          <t>BODEN</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50622-2020</t>
        </is>
      </c>
      <c r="B2409" s="1" t="n">
        <v>44110</v>
      </c>
      <c r="C2409" s="1" t="n">
        <v>45662</v>
      </c>
      <c r="D2409" t="inlineStr">
        <is>
          <t>NORRBOTTENS LÄN</t>
        </is>
      </c>
      <c r="E2409" t="inlineStr">
        <is>
          <t>LULEÅ</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50778-2020</t>
        </is>
      </c>
      <c r="B2410" s="1" t="n">
        <v>44111</v>
      </c>
      <c r="C2410" s="1" t="n">
        <v>45662</v>
      </c>
      <c r="D2410" t="inlineStr">
        <is>
          <t>NORRBOTTENS LÄN</t>
        </is>
      </c>
      <c r="E2410" t="inlineStr">
        <is>
          <t>LULEÅ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50736-2020</t>
        </is>
      </c>
      <c r="B2411" s="1" t="n">
        <v>44111</v>
      </c>
      <c r="C2411" s="1" t="n">
        <v>45662</v>
      </c>
      <c r="D2411" t="inlineStr">
        <is>
          <t>NORRBOTTENS LÄN</t>
        </is>
      </c>
      <c r="E2411" t="inlineStr">
        <is>
          <t>BODEN</t>
        </is>
      </c>
      <c r="F2411" t="inlineStr">
        <is>
          <t>Sveaskog</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50905-2020</t>
        </is>
      </c>
      <c r="B2412" s="1" t="n">
        <v>44111</v>
      </c>
      <c r="C2412" s="1" t="n">
        <v>45662</v>
      </c>
      <c r="D2412" t="inlineStr">
        <is>
          <t>NORRBOTTENS LÄN</t>
        </is>
      </c>
      <c r="E2412" t="inlineStr">
        <is>
          <t>PITEÅ</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50667-2020</t>
        </is>
      </c>
      <c r="B2413" s="1" t="n">
        <v>44111</v>
      </c>
      <c r="C2413" s="1" t="n">
        <v>45662</v>
      </c>
      <c r="D2413" t="inlineStr">
        <is>
          <t>NORRBOTTENS LÄN</t>
        </is>
      </c>
      <c r="E2413" t="inlineStr">
        <is>
          <t>ARVIDSJAUR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50678-2020</t>
        </is>
      </c>
      <c r="B2414" s="1" t="n">
        <v>44111</v>
      </c>
      <c r="C2414" s="1" t="n">
        <v>45662</v>
      </c>
      <c r="D2414" t="inlineStr">
        <is>
          <t>NORRBOTTENS LÄN</t>
        </is>
      </c>
      <c r="E2414" t="inlineStr">
        <is>
          <t>PAJALA</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50909-2020</t>
        </is>
      </c>
      <c r="B2415" s="1" t="n">
        <v>44111</v>
      </c>
      <c r="C2415" s="1" t="n">
        <v>45662</v>
      </c>
      <c r="D2415" t="inlineStr">
        <is>
          <t>NORRBOTTENS LÄN</t>
        </is>
      </c>
      <c r="E2415" t="inlineStr">
        <is>
          <t>PITEÅ</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50705-2020</t>
        </is>
      </c>
      <c r="B2416" s="1" t="n">
        <v>44111</v>
      </c>
      <c r="C2416" s="1" t="n">
        <v>45662</v>
      </c>
      <c r="D2416" t="inlineStr">
        <is>
          <t>NORRBOTTENS LÄN</t>
        </is>
      </c>
      <c r="E2416" t="inlineStr">
        <is>
          <t>LULEÅ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51020-2020</t>
        </is>
      </c>
      <c r="B2417" s="1" t="n">
        <v>44112</v>
      </c>
      <c r="C2417" s="1" t="n">
        <v>45662</v>
      </c>
      <c r="D2417" t="inlineStr">
        <is>
          <t>NORRBOTTENS LÄN</t>
        </is>
      </c>
      <c r="E2417" t="inlineStr">
        <is>
          <t>KALIX</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51128-2020</t>
        </is>
      </c>
      <c r="B2418" s="1" t="n">
        <v>44112</v>
      </c>
      <c r="C2418" s="1" t="n">
        <v>45662</v>
      </c>
      <c r="D2418" t="inlineStr">
        <is>
          <t>NORRBOTTENS LÄN</t>
        </is>
      </c>
      <c r="E2418" t="inlineStr">
        <is>
          <t>LULEÅ</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51117-2020</t>
        </is>
      </c>
      <c r="B2419" s="1" t="n">
        <v>44112</v>
      </c>
      <c r="C2419" s="1" t="n">
        <v>45662</v>
      </c>
      <c r="D2419" t="inlineStr">
        <is>
          <t>NORRBOTTENS LÄN</t>
        </is>
      </c>
      <c r="E2419" t="inlineStr">
        <is>
          <t>LULEÅ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51210-2020</t>
        </is>
      </c>
      <c r="B2420" s="1" t="n">
        <v>44112</v>
      </c>
      <c r="C2420" s="1" t="n">
        <v>45662</v>
      </c>
      <c r="D2420" t="inlineStr">
        <is>
          <t>NORRBOTTENS LÄN</t>
        </is>
      </c>
      <c r="E2420" t="inlineStr">
        <is>
          <t>LULEÅ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51582-2020</t>
        </is>
      </c>
      <c r="B2421" s="1" t="n">
        <v>44113</v>
      </c>
      <c r="C2421" s="1" t="n">
        <v>45662</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51438-2020</t>
        </is>
      </c>
      <c r="B2422" s="1" t="n">
        <v>44113</v>
      </c>
      <c r="C2422" s="1" t="n">
        <v>45662</v>
      </c>
      <c r="D2422" t="inlineStr">
        <is>
          <t>NORRBOTTENS LÄN</t>
        </is>
      </c>
      <c r="E2422" t="inlineStr">
        <is>
          <t>JOKKMOKK</t>
        </is>
      </c>
      <c r="F2422" t="inlineStr">
        <is>
          <t>Sveaskog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51436-2020</t>
        </is>
      </c>
      <c r="B2423" s="1" t="n">
        <v>44113</v>
      </c>
      <c r="C2423" s="1" t="n">
        <v>45662</v>
      </c>
      <c r="D2423" t="inlineStr">
        <is>
          <t>NORRBOTTENS LÄN</t>
        </is>
      </c>
      <c r="E2423" t="inlineStr">
        <is>
          <t>JOKKMOKK</t>
        </is>
      </c>
      <c r="F2423" t="inlineStr">
        <is>
          <t>Sveaskog</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51701-2020</t>
        </is>
      </c>
      <c r="B2424" s="1" t="n">
        <v>44113</v>
      </c>
      <c r="C2424" s="1" t="n">
        <v>45662</v>
      </c>
      <c r="D2424" t="inlineStr">
        <is>
          <t>NORRBOTTENS LÄN</t>
        </is>
      </c>
      <c r="E2424" t="inlineStr">
        <is>
          <t>GÄLLIVARE</t>
        </is>
      </c>
      <c r="F2424" t="inlineStr">
        <is>
          <t>SCA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51706-2020</t>
        </is>
      </c>
      <c r="B2425" s="1" t="n">
        <v>44113</v>
      </c>
      <c r="C2425" s="1" t="n">
        <v>45662</v>
      </c>
      <c r="D2425" t="inlineStr">
        <is>
          <t>NORRBOTTENS LÄN</t>
        </is>
      </c>
      <c r="E2425" t="inlineStr">
        <is>
          <t>GÄLLIVARE</t>
        </is>
      </c>
      <c r="F2425" t="inlineStr">
        <is>
          <t>SCA</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51700-2020</t>
        </is>
      </c>
      <c r="B2426" s="1" t="n">
        <v>44113</v>
      </c>
      <c r="C2426" s="1" t="n">
        <v>45662</v>
      </c>
      <c r="D2426" t="inlineStr">
        <is>
          <t>NORRBOTTENS LÄN</t>
        </is>
      </c>
      <c r="E2426" t="inlineStr">
        <is>
          <t>GÄLLIVARE</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51713-2020</t>
        </is>
      </c>
      <c r="B2427" s="1" t="n">
        <v>44113</v>
      </c>
      <c r="C2427" s="1" t="n">
        <v>45662</v>
      </c>
      <c r="D2427" t="inlineStr">
        <is>
          <t>NORRBOTTENS LÄN</t>
        </is>
      </c>
      <c r="E2427" t="inlineStr">
        <is>
          <t>GÄLLIVARE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52043-2020</t>
        </is>
      </c>
      <c r="B2428" s="1" t="n">
        <v>44116</v>
      </c>
      <c r="C2428" s="1" t="n">
        <v>45662</v>
      </c>
      <c r="D2428" t="inlineStr">
        <is>
          <t>NORRBOTTENS LÄN</t>
        </is>
      </c>
      <c r="E2428" t="inlineStr">
        <is>
          <t>JOKKMOKK</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52061-2020</t>
        </is>
      </c>
      <c r="B2429" s="1" t="n">
        <v>44116</v>
      </c>
      <c r="C2429" s="1" t="n">
        <v>45662</v>
      </c>
      <c r="D2429" t="inlineStr">
        <is>
          <t>NORRBOTTENS LÄN</t>
        </is>
      </c>
      <c r="E2429" t="inlineStr">
        <is>
          <t>GÄLLIVARE</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52055-2020</t>
        </is>
      </c>
      <c r="B2430" s="1" t="n">
        <v>44116</v>
      </c>
      <c r="C2430" s="1" t="n">
        <v>45662</v>
      </c>
      <c r="D2430" t="inlineStr">
        <is>
          <t>NORRBOTTENS LÄN</t>
        </is>
      </c>
      <c r="E2430" t="inlineStr">
        <is>
          <t>GÄLLIVARE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52047-2020</t>
        </is>
      </c>
      <c r="B2431" s="1" t="n">
        <v>44117</v>
      </c>
      <c r="C2431" s="1" t="n">
        <v>45662</v>
      </c>
      <c r="D2431" t="inlineStr">
        <is>
          <t>NORRBOTTENS LÄN</t>
        </is>
      </c>
      <c r="E2431" t="inlineStr">
        <is>
          <t>JOKKMOKK</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52468-2020</t>
        </is>
      </c>
      <c r="B2432" s="1" t="n">
        <v>44116</v>
      </c>
      <c r="C2432" s="1" t="n">
        <v>45662</v>
      </c>
      <c r="D2432" t="inlineStr">
        <is>
          <t>NORRBOTTENS LÄN</t>
        </is>
      </c>
      <c r="E2432" t="inlineStr">
        <is>
          <t>HAPARANDA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52459-2020</t>
        </is>
      </c>
      <c r="B2433" s="1" t="n">
        <v>44116</v>
      </c>
      <c r="C2433" s="1" t="n">
        <v>45662</v>
      </c>
      <c r="D2433" t="inlineStr">
        <is>
          <t>NORRBOTTENS LÄN</t>
        </is>
      </c>
      <c r="E2433" t="inlineStr">
        <is>
          <t>ARVIDSJAUR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52591-2020</t>
        </is>
      </c>
      <c r="B2434" s="1" t="n">
        <v>44116</v>
      </c>
      <c r="C2434" s="1" t="n">
        <v>45662</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52728-2020</t>
        </is>
      </c>
      <c r="B2435" s="1" t="n">
        <v>44117</v>
      </c>
      <c r="C2435" s="1" t="n">
        <v>45662</v>
      </c>
      <c r="D2435" t="inlineStr">
        <is>
          <t>NORRBOTTENS LÄN</t>
        </is>
      </c>
      <c r="E2435" t="inlineStr">
        <is>
          <t>PAJALA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52583-2020</t>
        </is>
      </c>
      <c r="B2436" s="1" t="n">
        <v>44118</v>
      </c>
      <c r="C2436" s="1" t="n">
        <v>45662</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52903-2020</t>
        </is>
      </c>
      <c r="B2437" s="1" t="n">
        <v>44119</v>
      </c>
      <c r="C2437" s="1" t="n">
        <v>45662</v>
      </c>
      <c r="D2437" t="inlineStr">
        <is>
          <t>NORRBOTTENS LÄN</t>
        </is>
      </c>
      <c r="E2437" t="inlineStr">
        <is>
          <t>BODEN</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53102-2020</t>
        </is>
      </c>
      <c r="B2438" s="1" t="n">
        <v>44120</v>
      </c>
      <c r="C2438" s="1" t="n">
        <v>45662</v>
      </c>
      <c r="D2438" t="inlineStr">
        <is>
          <t>NORRBOTTENS LÄN</t>
        </is>
      </c>
      <c r="E2438" t="inlineStr">
        <is>
          <t>BODEN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53065-2020</t>
        </is>
      </c>
      <c r="B2439" s="1" t="n">
        <v>44120</v>
      </c>
      <c r="C2439" s="1" t="n">
        <v>45662</v>
      </c>
      <c r="D2439" t="inlineStr">
        <is>
          <t>NORRBOTTENS LÄN</t>
        </is>
      </c>
      <c r="E2439" t="inlineStr">
        <is>
          <t>BODEN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53069-2020</t>
        </is>
      </c>
      <c r="B2440" s="1" t="n">
        <v>44120</v>
      </c>
      <c r="C2440" s="1" t="n">
        <v>45662</v>
      </c>
      <c r="D2440" t="inlineStr">
        <is>
          <t>NORRBOTTENS LÄN</t>
        </is>
      </c>
      <c r="E2440" t="inlineStr">
        <is>
          <t>BODEN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53118-2020</t>
        </is>
      </c>
      <c r="B2441" s="1" t="n">
        <v>44120</v>
      </c>
      <c r="C2441" s="1" t="n">
        <v>45662</v>
      </c>
      <c r="D2441" t="inlineStr">
        <is>
          <t>NORRBOTTENS LÄN</t>
        </is>
      </c>
      <c r="E2441" t="inlineStr">
        <is>
          <t>LULEÅ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53105-2020</t>
        </is>
      </c>
      <c r="B2442" s="1" t="n">
        <v>44120</v>
      </c>
      <c r="C2442" s="1" t="n">
        <v>45662</v>
      </c>
      <c r="D2442" t="inlineStr">
        <is>
          <t>NORRBOTTENS LÄN</t>
        </is>
      </c>
      <c r="E2442" t="inlineStr">
        <is>
          <t>LULEÅ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53398-2020</t>
        </is>
      </c>
      <c r="B2443" s="1" t="n">
        <v>44123</v>
      </c>
      <c r="C2443" s="1" t="n">
        <v>45662</v>
      </c>
      <c r="D2443" t="inlineStr">
        <is>
          <t>NORRBOTTENS LÄN</t>
        </is>
      </c>
      <c r="E2443" t="inlineStr">
        <is>
          <t>ARVIDSJAUR</t>
        </is>
      </c>
      <c r="F2443" t="inlineStr">
        <is>
          <t>Sveaskog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53481-2020</t>
        </is>
      </c>
      <c r="B2444" s="1" t="n">
        <v>44123</v>
      </c>
      <c r="C2444" s="1" t="n">
        <v>45662</v>
      </c>
      <c r="D2444" t="inlineStr">
        <is>
          <t>NORRBOTTENS LÄN</t>
        </is>
      </c>
      <c r="E2444" t="inlineStr">
        <is>
          <t>ÖVERTORNEÅ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53699-2020</t>
        </is>
      </c>
      <c r="B2445" s="1" t="n">
        <v>44123</v>
      </c>
      <c r="C2445" s="1" t="n">
        <v>45662</v>
      </c>
      <c r="D2445" t="inlineStr">
        <is>
          <t>NORRBOTTENS LÄN</t>
        </is>
      </c>
      <c r="E2445" t="inlineStr">
        <is>
          <t>PAJALA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53496-2020</t>
        </is>
      </c>
      <c r="B2446" s="1" t="n">
        <v>44123</v>
      </c>
      <c r="C2446" s="1" t="n">
        <v>45662</v>
      </c>
      <c r="D2446" t="inlineStr">
        <is>
          <t>NORRBOTTENS LÄN</t>
        </is>
      </c>
      <c r="E2446" t="inlineStr">
        <is>
          <t>PITEÅ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53747-2020</t>
        </is>
      </c>
      <c r="B2447" s="1" t="n">
        <v>44124</v>
      </c>
      <c r="C2447" s="1" t="n">
        <v>45662</v>
      </c>
      <c r="D2447" t="inlineStr">
        <is>
          <t>NORRBOTTENS LÄN</t>
        </is>
      </c>
      <c r="E2447" t="inlineStr">
        <is>
          <t>ÖVERKALIX</t>
        </is>
      </c>
      <c r="F2447" t="inlineStr">
        <is>
          <t>Sveaskog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53829-2020</t>
        </is>
      </c>
      <c r="B2448" s="1" t="n">
        <v>44124</v>
      </c>
      <c r="C2448" s="1" t="n">
        <v>45662</v>
      </c>
      <c r="D2448" t="inlineStr">
        <is>
          <t>NORRBOTTENS LÄN</t>
        </is>
      </c>
      <c r="E2448" t="inlineStr">
        <is>
          <t>BODEN</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53744-2020</t>
        </is>
      </c>
      <c r="B2449" s="1" t="n">
        <v>44124</v>
      </c>
      <c r="C2449" s="1" t="n">
        <v>45662</v>
      </c>
      <c r="D2449" t="inlineStr">
        <is>
          <t>NORRBOTTENS LÄN</t>
        </is>
      </c>
      <c r="E2449" t="inlineStr">
        <is>
          <t>BODEN</t>
        </is>
      </c>
      <c r="F2449" t="inlineStr">
        <is>
          <t>Sveaskog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54177-2020</t>
        </is>
      </c>
      <c r="B2450" s="1" t="n">
        <v>44125</v>
      </c>
      <c r="C2450" s="1" t="n">
        <v>45662</v>
      </c>
      <c r="D2450" t="inlineStr">
        <is>
          <t>NORRBOTTENS LÄN</t>
        </is>
      </c>
      <c r="E2450" t="inlineStr">
        <is>
          <t>PAJALA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54172-2020</t>
        </is>
      </c>
      <c r="B2451" s="1" t="n">
        <v>44125</v>
      </c>
      <c r="C2451" s="1" t="n">
        <v>45662</v>
      </c>
      <c r="D2451" t="inlineStr">
        <is>
          <t>NORRBOTTENS LÄN</t>
        </is>
      </c>
      <c r="E2451" t="inlineStr">
        <is>
          <t>PAJALA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54173-2020</t>
        </is>
      </c>
      <c r="B2452" s="1" t="n">
        <v>44125</v>
      </c>
      <c r="C2452" s="1" t="n">
        <v>45662</v>
      </c>
      <c r="D2452" t="inlineStr">
        <is>
          <t>NORRBOTTENS LÄN</t>
        </is>
      </c>
      <c r="E2452" t="inlineStr">
        <is>
          <t>PAJALA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54418-2020</t>
        </is>
      </c>
      <c r="B2453" s="1" t="n">
        <v>44125</v>
      </c>
      <c r="C2453" s="1" t="n">
        <v>45662</v>
      </c>
      <c r="D2453" t="inlineStr">
        <is>
          <t>NORRBOTTENS LÄN</t>
        </is>
      </c>
      <c r="E2453" t="inlineStr">
        <is>
          <t>ÄLVSBYN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53859-2020</t>
        </is>
      </c>
      <c r="B2454" s="1" t="n">
        <v>44125</v>
      </c>
      <c r="C2454" s="1" t="n">
        <v>45662</v>
      </c>
      <c r="D2454" t="inlineStr">
        <is>
          <t>NORRBOTTENS LÄN</t>
        </is>
      </c>
      <c r="E2454" t="inlineStr">
        <is>
          <t>BODEN</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54175-2020</t>
        </is>
      </c>
      <c r="B2455" s="1" t="n">
        <v>44125</v>
      </c>
      <c r="C2455" s="1" t="n">
        <v>45662</v>
      </c>
      <c r="D2455" t="inlineStr">
        <is>
          <t>NORRBOTTENS LÄN</t>
        </is>
      </c>
      <c r="E2455" t="inlineStr">
        <is>
          <t>PAJALA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54312-2020</t>
        </is>
      </c>
      <c r="B2456" s="1" t="n">
        <v>44125</v>
      </c>
      <c r="C2456" s="1" t="n">
        <v>45662</v>
      </c>
      <c r="D2456" t="inlineStr">
        <is>
          <t>NORRBOTTENS LÄN</t>
        </is>
      </c>
      <c r="E2456" t="inlineStr">
        <is>
          <t>HAPARANDA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54412-2020</t>
        </is>
      </c>
      <c r="B2457" s="1" t="n">
        <v>44125</v>
      </c>
      <c r="C2457" s="1" t="n">
        <v>45662</v>
      </c>
      <c r="D2457" t="inlineStr">
        <is>
          <t>NORRBOTTENS LÄN</t>
        </is>
      </c>
      <c r="E2457" t="inlineStr">
        <is>
          <t>ÄLVSBYN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54303-2020</t>
        </is>
      </c>
      <c r="B2458" s="1" t="n">
        <v>44126</v>
      </c>
      <c r="C2458" s="1" t="n">
        <v>45662</v>
      </c>
      <c r="D2458" t="inlineStr">
        <is>
          <t>NORRBOTTENS LÄN</t>
        </is>
      </c>
      <c r="E2458" t="inlineStr">
        <is>
          <t>PAJALA</t>
        </is>
      </c>
      <c r="G2458" t="n">
        <v>26.2</v>
      </c>
      <c r="H2458" t="n">
        <v>0</v>
      </c>
      <c r="I2458" t="n">
        <v>0</v>
      </c>
      <c r="J2458" t="n">
        <v>0</v>
      </c>
      <c r="K2458" t="n">
        <v>0</v>
      </c>
      <c r="L2458" t="n">
        <v>0</v>
      </c>
      <c r="M2458" t="n">
        <v>0</v>
      </c>
      <c r="N2458" t="n">
        <v>0</v>
      </c>
      <c r="O2458" t="n">
        <v>0</v>
      </c>
      <c r="P2458" t="n">
        <v>0</v>
      </c>
      <c r="Q2458" t="n">
        <v>0</v>
      </c>
      <c r="R2458" s="2" t="inlineStr"/>
    </row>
    <row r="2459" ht="15" customHeight="1">
      <c r="A2459" t="inlineStr">
        <is>
          <t>A 54451-2020</t>
        </is>
      </c>
      <c r="B2459" s="1" t="n">
        <v>44126</v>
      </c>
      <c r="C2459" s="1" t="n">
        <v>45662</v>
      </c>
      <c r="D2459" t="inlineStr">
        <is>
          <t>NORRBOTTENS LÄN</t>
        </is>
      </c>
      <c r="E2459" t="inlineStr">
        <is>
          <t>BODEN</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54538-2020</t>
        </is>
      </c>
      <c r="B2460" s="1" t="n">
        <v>44126</v>
      </c>
      <c r="C2460" s="1" t="n">
        <v>45662</v>
      </c>
      <c r="D2460" t="inlineStr">
        <is>
          <t>NORRBOTTENS LÄN</t>
        </is>
      </c>
      <c r="E2460" t="inlineStr">
        <is>
          <t>LULEÅ</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54594-2020</t>
        </is>
      </c>
      <c r="B2461" s="1" t="n">
        <v>44126</v>
      </c>
      <c r="C2461" s="1" t="n">
        <v>45662</v>
      </c>
      <c r="D2461" t="inlineStr">
        <is>
          <t>NORRBOTTENS LÄN</t>
        </is>
      </c>
      <c r="E2461" t="inlineStr">
        <is>
          <t>LULEÅ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54842-2020</t>
        </is>
      </c>
      <c r="B2462" s="1" t="n">
        <v>44126</v>
      </c>
      <c r="C2462" s="1" t="n">
        <v>45662</v>
      </c>
      <c r="D2462" t="inlineStr">
        <is>
          <t>NORRBOTTENS LÄN</t>
        </is>
      </c>
      <c r="E2462" t="inlineStr">
        <is>
          <t>ARVIDSJAUR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54863-2020</t>
        </is>
      </c>
      <c r="B2463" s="1" t="n">
        <v>44126</v>
      </c>
      <c r="C2463" s="1" t="n">
        <v>45662</v>
      </c>
      <c r="D2463" t="inlineStr">
        <is>
          <t>NORRBOTTENS LÄN</t>
        </is>
      </c>
      <c r="E2463" t="inlineStr">
        <is>
          <t>JOKKMOKK</t>
        </is>
      </c>
      <c r="F2463" t="inlineStr">
        <is>
          <t>Allmännings- och besparingsskogar</t>
        </is>
      </c>
      <c r="G2463" t="n">
        <v>43.3</v>
      </c>
      <c r="H2463" t="n">
        <v>0</v>
      </c>
      <c r="I2463" t="n">
        <v>0</v>
      </c>
      <c r="J2463" t="n">
        <v>0</v>
      </c>
      <c r="K2463" t="n">
        <v>0</v>
      </c>
      <c r="L2463" t="n">
        <v>0</v>
      </c>
      <c r="M2463" t="n">
        <v>0</v>
      </c>
      <c r="N2463" t="n">
        <v>0</v>
      </c>
      <c r="O2463" t="n">
        <v>0</v>
      </c>
      <c r="P2463" t="n">
        <v>0</v>
      </c>
      <c r="Q2463" t="n">
        <v>0</v>
      </c>
      <c r="R2463" s="2" t="inlineStr"/>
    </row>
    <row r="2464" ht="15" customHeight="1">
      <c r="A2464" t="inlineStr">
        <is>
          <t>A 54911-2020</t>
        </is>
      </c>
      <c r="B2464" s="1" t="n">
        <v>44127</v>
      </c>
      <c r="C2464" s="1" t="n">
        <v>45662</v>
      </c>
      <c r="D2464" t="inlineStr">
        <is>
          <t>NORRBOTTENS LÄN</t>
        </is>
      </c>
      <c r="E2464" t="inlineStr">
        <is>
          <t>ÖVERTORNEÅ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54614-2020</t>
        </is>
      </c>
      <c r="B2465" s="1" t="n">
        <v>44127</v>
      </c>
      <c r="C2465" s="1" t="n">
        <v>45662</v>
      </c>
      <c r="D2465" t="inlineStr">
        <is>
          <t>NORRBOTTENS LÄN</t>
        </is>
      </c>
      <c r="E2465" t="inlineStr">
        <is>
          <t>BODEN</t>
        </is>
      </c>
      <c r="G2465" t="n">
        <v>49.1</v>
      </c>
      <c r="H2465" t="n">
        <v>0</v>
      </c>
      <c r="I2465" t="n">
        <v>0</v>
      </c>
      <c r="J2465" t="n">
        <v>0</v>
      </c>
      <c r="K2465" t="n">
        <v>0</v>
      </c>
      <c r="L2465" t="n">
        <v>0</v>
      </c>
      <c r="M2465" t="n">
        <v>0</v>
      </c>
      <c r="N2465" t="n">
        <v>0</v>
      </c>
      <c r="O2465" t="n">
        <v>0</v>
      </c>
      <c r="P2465" t="n">
        <v>0</v>
      </c>
      <c r="Q2465" t="n">
        <v>0</v>
      </c>
      <c r="R2465" s="2" t="inlineStr"/>
    </row>
    <row r="2466" ht="15" customHeight="1">
      <c r="A2466" t="inlineStr">
        <is>
          <t>A 54726-2020</t>
        </is>
      </c>
      <c r="B2466" s="1" t="n">
        <v>44127</v>
      </c>
      <c r="C2466" s="1" t="n">
        <v>45662</v>
      </c>
      <c r="D2466" t="inlineStr">
        <is>
          <t>NORRBOTTENS LÄN</t>
        </is>
      </c>
      <c r="E2466" t="inlineStr">
        <is>
          <t>PITEÅ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55012-2020</t>
        </is>
      </c>
      <c r="B2467" s="1" t="n">
        <v>44130</v>
      </c>
      <c r="C2467" s="1" t="n">
        <v>45662</v>
      </c>
      <c r="D2467" t="inlineStr">
        <is>
          <t>NORRBOTTENS LÄN</t>
        </is>
      </c>
      <c r="E2467" t="inlineStr">
        <is>
          <t>HAPARANDA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55059-2020</t>
        </is>
      </c>
      <c r="B2468" s="1" t="n">
        <v>44130</v>
      </c>
      <c r="C2468" s="1" t="n">
        <v>45662</v>
      </c>
      <c r="D2468" t="inlineStr">
        <is>
          <t>NORRBOTTENS LÄN</t>
        </is>
      </c>
      <c r="E2468" t="inlineStr">
        <is>
          <t>BODEN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54991-2020</t>
        </is>
      </c>
      <c r="B2469" s="1" t="n">
        <v>44130</v>
      </c>
      <c r="C2469" s="1" t="n">
        <v>45662</v>
      </c>
      <c r="D2469" t="inlineStr">
        <is>
          <t>NORRBOTTENS LÄN</t>
        </is>
      </c>
      <c r="E2469" t="inlineStr">
        <is>
          <t>HAPARANDA</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55098-2020</t>
        </is>
      </c>
      <c r="B2470" s="1" t="n">
        <v>44130</v>
      </c>
      <c r="C2470" s="1" t="n">
        <v>45662</v>
      </c>
      <c r="D2470" t="inlineStr">
        <is>
          <t>NORRBOTTENS LÄN</t>
        </is>
      </c>
      <c r="E2470" t="inlineStr">
        <is>
          <t>KALIX</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55168-2020</t>
        </is>
      </c>
      <c r="B2471" s="1" t="n">
        <v>44130</v>
      </c>
      <c r="C2471" s="1" t="n">
        <v>45662</v>
      </c>
      <c r="D2471" t="inlineStr">
        <is>
          <t>NORRBOTTENS LÄN</t>
        </is>
      </c>
      <c r="E2471" t="inlineStr">
        <is>
          <t>GÄLLIVARE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55180-2020</t>
        </is>
      </c>
      <c r="B2472" s="1" t="n">
        <v>44130</v>
      </c>
      <c r="C2472" s="1" t="n">
        <v>45662</v>
      </c>
      <c r="D2472" t="inlineStr">
        <is>
          <t>NORRBOTTENS LÄN</t>
        </is>
      </c>
      <c r="E2472" t="inlineStr">
        <is>
          <t>GÄLLIVARE</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55230-2020</t>
        </is>
      </c>
      <c r="B2473" s="1" t="n">
        <v>44130</v>
      </c>
      <c r="C2473" s="1" t="n">
        <v>45662</v>
      </c>
      <c r="D2473" t="inlineStr">
        <is>
          <t>NORRBOTTENS LÄN</t>
        </is>
      </c>
      <c r="E2473" t="inlineStr">
        <is>
          <t>ÖVERTORNEÅ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55222-2020</t>
        </is>
      </c>
      <c r="B2474" s="1" t="n">
        <v>44130</v>
      </c>
      <c r="C2474" s="1" t="n">
        <v>45662</v>
      </c>
      <c r="D2474" t="inlineStr">
        <is>
          <t>NORRBOTTENS LÄN</t>
        </is>
      </c>
      <c r="E2474" t="inlineStr">
        <is>
          <t>ÖVERTORNEÅ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55105-2020</t>
        </is>
      </c>
      <c r="B2475" s="1" t="n">
        <v>44130</v>
      </c>
      <c r="C2475" s="1" t="n">
        <v>45662</v>
      </c>
      <c r="D2475" t="inlineStr">
        <is>
          <t>NORRBOTTENS LÄN</t>
        </is>
      </c>
      <c r="E2475" t="inlineStr">
        <is>
          <t>KALIX</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55300-2020</t>
        </is>
      </c>
      <c r="B2476" s="1" t="n">
        <v>44130</v>
      </c>
      <c r="C2476" s="1" t="n">
        <v>45662</v>
      </c>
      <c r="D2476" t="inlineStr">
        <is>
          <t>NORRBOTTENS LÄN</t>
        </is>
      </c>
      <c r="E2476" t="inlineStr">
        <is>
          <t>KALIX</t>
        </is>
      </c>
      <c r="G2476" t="n">
        <v>16.4</v>
      </c>
      <c r="H2476" t="n">
        <v>0</v>
      </c>
      <c r="I2476" t="n">
        <v>0</v>
      </c>
      <c r="J2476" t="n">
        <v>0</v>
      </c>
      <c r="K2476" t="n">
        <v>0</v>
      </c>
      <c r="L2476" t="n">
        <v>0</v>
      </c>
      <c r="M2476" t="n">
        <v>0</v>
      </c>
      <c r="N2476" t="n">
        <v>0</v>
      </c>
      <c r="O2476" t="n">
        <v>0</v>
      </c>
      <c r="P2476" t="n">
        <v>0</v>
      </c>
      <c r="Q2476" t="n">
        <v>0</v>
      </c>
      <c r="R2476" s="2" t="inlineStr"/>
    </row>
    <row r="2477" ht="15" customHeight="1">
      <c r="A2477" t="inlineStr">
        <is>
          <t>A 55518-2020</t>
        </is>
      </c>
      <c r="B2477" s="1" t="n">
        <v>44130</v>
      </c>
      <c r="C2477" s="1" t="n">
        <v>45662</v>
      </c>
      <c r="D2477" t="inlineStr">
        <is>
          <t>NORRBOTTENS LÄN</t>
        </is>
      </c>
      <c r="E2477" t="inlineStr">
        <is>
          <t>ÖVERTORNEÅ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55361-2020</t>
        </is>
      </c>
      <c r="B2478" s="1" t="n">
        <v>44131</v>
      </c>
      <c r="C2478" s="1" t="n">
        <v>45662</v>
      </c>
      <c r="D2478" t="inlineStr">
        <is>
          <t>NORRBOTTENS LÄN</t>
        </is>
      </c>
      <c r="E2478" t="inlineStr">
        <is>
          <t>KALIX</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55542-2020</t>
        </is>
      </c>
      <c r="B2479" s="1" t="n">
        <v>44131</v>
      </c>
      <c r="C2479" s="1" t="n">
        <v>45662</v>
      </c>
      <c r="D2479" t="inlineStr">
        <is>
          <t>NORRBOTTENS LÄN</t>
        </is>
      </c>
      <c r="E2479" t="inlineStr">
        <is>
          <t>ARVIDSJAUR</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55545-2020</t>
        </is>
      </c>
      <c r="B2480" s="1" t="n">
        <v>44131</v>
      </c>
      <c r="C2480" s="1" t="n">
        <v>45662</v>
      </c>
      <c r="D2480" t="inlineStr">
        <is>
          <t>NORRBOTTENS LÄN</t>
        </is>
      </c>
      <c r="E2480" t="inlineStr">
        <is>
          <t>PAJALA</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55873-2020</t>
        </is>
      </c>
      <c r="B2481" s="1" t="n">
        <v>44131</v>
      </c>
      <c r="C2481" s="1" t="n">
        <v>45662</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55785-2020</t>
        </is>
      </c>
      <c r="B2482" s="1" t="n">
        <v>44131</v>
      </c>
      <c r="C2482" s="1" t="n">
        <v>45662</v>
      </c>
      <c r="D2482" t="inlineStr">
        <is>
          <t>NORRBOTTENS LÄN</t>
        </is>
      </c>
      <c r="E2482" t="inlineStr">
        <is>
          <t>PAJALA</t>
        </is>
      </c>
      <c r="G2482" t="n">
        <v>22.2</v>
      </c>
      <c r="H2482" t="n">
        <v>0</v>
      </c>
      <c r="I2482" t="n">
        <v>0</v>
      </c>
      <c r="J2482" t="n">
        <v>0</v>
      </c>
      <c r="K2482" t="n">
        <v>0</v>
      </c>
      <c r="L2482" t="n">
        <v>0</v>
      </c>
      <c r="M2482" t="n">
        <v>0</v>
      </c>
      <c r="N2482" t="n">
        <v>0</v>
      </c>
      <c r="O2482" t="n">
        <v>0</v>
      </c>
      <c r="P2482" t="n">
        <v>0</v>
      </c>
      <c r="Q2482" t="n">
        <v>0</v>
      </c>
      <c r="R2482" s="2" t="inlineStr"/>
    </row>
    <row r="2483" ht="15" customHeight="1">
      <c r="A2483" t="inlineStr">
        <is>
          <t>A 55702-2020</t>
        </is>
      </c>
      <c r="B2483" s="1" t="n">
        <v>44132</v>
      </c>
      <c r="C2483" s="1" t="n">
        <v>45662</v>
      </c>
      <c r="D2483" t="inlineStr">
        <is>
          <t>NORRBOTTENS LÄN</t>
        </is>
      </c>
      <c r="E2483" t="inlineStr">
        <is>
          <t>ARVIDSJAUR</t>
        </is>
      </c>
      <c r="F2483" t="inlineStr">
        <is>
          <t>Övriga Aktiebolag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55830-2020</t>
        </is>
      </c>
      <c r="B2484" s="1" t="n">
        <v>44132</v>
      </c>
      <c r="C2484" s="1" t="n">
        <v>45662</v>
      </c>
      <c r="D2484" t="inlineStr">
        <is>
          <t>NORRBOTTENS LÄN</t>
        </is>
      </c>
      <c r="E2484" t="inlineStr">
        <is>
          <t>ARVIDSJAUR</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56024-2020</t>
        </is>
      </c>
      <c r="B2485" s="1" t="n">
        <v>44132</v>
      </c>
      <c r="C2485" s="1" t="n">
        <v>45662</v>
      </c>
      <c r="D2485" t="inlineStr">
        <is>
          <t>NORRBOTTENS LÄN</t>
        </is>
      </c>
      <c r="E2485" t="inlineStr">
        <is>
          <t>ÖVERTORNEÅ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3735-2021</t>
        </is>
      </c>
      <c r="B2486" s="1" t="n">
        <v>44132</v>
      </c>
      <c r="C2486" s="1" t="n">
        <v>45662</v>
      </c>
      <c r="D2486" t="inlineStr">
        <is>
          <t>NORRBOTTENS LÄN</t>
        </is>
      </c>
      <c r="E2486" t="inlineStr">
        <is>
          <t>PAJALA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56093-2020</t>
        </is>
      </c>
      <c r="B2487" s="1" t="n">
        <v>44132</v>
      </c>
      <c r="C2487" s="1" t="n">
        <v>45662</v>
      </c>
      <c r="D2487" t="inlineStr">
        <is>
          <t>NORRBOTTENS LÄN</t>
        </is>
      </c>
      <c r="E2487" t="inlineStr">
        <is>
          <t>PITEÅ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56125-2020</t>
        </is>
      </c>
      <c r="B2488" s="1" t="n">
        <v>44133</v>
      </c>
      <c r="C2488" s="1" t="n">
        <v>45662</v>
      </c>
      <c r="D2488" t="inlineStr">
        <is>
          <t>NORRBOTTENS LÄN</t>
        </is>
      </c>
      <c r="E2488" t="inlineStr">
        <is>
          <t>HAPARANDA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56137-2020</t>
        </is>
      </c>
      <c r="B2489" s="1" t="n">
        <v>44133</v>
      </c>
      <c r="C2489" s="1" t="n">
        <v>45662</v>
      </c>
      <c r="D2489" t="inlineStr">
        <is>
          <t>NORRBOTTENS LÄN</t>
        </is>
      </c>
      <c r="E2489" t="inlineStr">
        <is>
          <t>HAPARANDA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56116-2020</t>
        </is>
      </c>
      <c r="B2490" s="1" t="n">
        <v>44133</v>
      </c>
      <c r="C2490" s="1" t="n">
        <v>45662</v>
      </c>
      <c r="D2490" t="inlineStr">
        <is>
          <t>NORRBOTTENS LÄN</t>
        </is>
      </c>
      <c r="E2490" t="inlineStr">
        <is>
          <t>HAPARANDA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56143-2020</t>
        </is>
      </c>
      <c r="B2491" s="1" t="n">
        <v>44133</v>
      </c>
      <c r="C2491" s="1" t="n">
        <v>45662</v>
      </c>
      <c r="D2491" t="inlineStr">
        <is>
          <t>NORRBOTTENS LÄN</t>
        </is>
      </c>
      <c r="E2491" t="inlineStr">
        <is>
          <t>HAPARANDA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56086-2020</t>
        </is>
      </c>
      <c r="B2492" s="1" t="n">
        <v>44133</v>
      </c>
      <c r="C2492" s="1" t="n">
        <v>45662</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56111-2020</t>
        </is>
      </c>
      <c r="B2493" s="1" t="n">
        <v>44133</v>
      </c>
      <c r="C2493" s="1" t="n">
        <v>45662</v>
      </c>
      <c r="D2493" t="inlineStr">
        <is>
          <t>NORRBOTTENS LÄN</t>
        </is>
      </c>
      <c r="E2493" t="inlineStr">
        <is>
          <t>HAPARANDA</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56131-2020</t>
        </is>
      </c>
      <c r="B2494" s="1" t="n">
        <v>44133</v>
      </c>
      <c r="C2494" s="1" t="n">
        <v>45662</v>
      </c>
      <c r="D2494" t="inlineStr">
        <is>
          <t>NORRBOTTENS LÄN</t>
        </is>
      </c>
      <c r="E2494" t="inlineStr">
        <is>
          <t>HAPARANDA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56851-2020</t>
        </is>
      </c>
      <c r="B2495" s="1" t="n">
        <v>44133</v>
      </c>
      <c r="C2495" s="1" t="n">
        <v>45662</v>
      </c>
      <c r="D2495" t="inlineStr">
        <is>
          <t>NORRBOTTENS LÄN</t>
        </is>
      </c>
      <c r="E2495" t="inlineStr">
        <is>
          <t>JOKKMOKK</t>
        </is>
      </c>
      <c r="F2495" t="inlineStr">
        <is>
          <t>Övriga Aktiebolag</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56363-2020</t>
        </is>
      </c>
      <c r="B2496" s="1" t="n">
        <v>44135</v>
      </c>
      <c r="C2496" s="1" t="n">
        <v>45662</v>
      </c>
      <c r="D2496" t="inlineStr">
        <is>
          <t>NORRBOTTENS LÄN</t>
        </is>
      </c>
      <c r="E2496" t="inlineStr">
        <is>
          <t>ÖVERTORNEÅ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57090-2020</t>
        </is>
      </c>
      <c r="B2497" s="1" t="n">
        <v>44138</v>
      </c>
      <c r="C2497" s="1" t="n">
        <v>45662</v>
      </c>
      <c r="D2497" t="inlineStr">
        <is>
          <t>NORRBOTTENS LÄN</t>
        </is>
      </c>
      <c r="E2497" t="inlineStr">
        <is>
          <t>KALIX</t>
        </is>
      </c>
      <c r="F2497" t="inlineStr">
        <is>
          <t>SCA</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57183-2020</t>
        </is>
      </c>
      <c r="B2498" s="1" t="n">
        <v>44138</v>
      </c>
      <c r="C2498" s="1" t="n">
        <v>45662</v>
      </c>
      <c r="D2498" t="inlineStr">
        <is>
          <t>NORRBOTTENS LÄN</t>
        </is>
      </c>
      <c r="E2498" t="inlineStr">
        <is>
          <t>JOKKMOKK</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57089-2020</t>
        </is>
      </c>
      <c r="B2499" s="1" t="n">
        <v>44138</v>
      </c>
      <c r="C2499" s="1" t="n">
        <v>45662</v>
      </c>
      <c r="D2499" t="inlineStr">
        <is>
          <t>NORRBOTTENS LÄN</t>
        </is>
      </c>
      <c r="E2499" t="inlineStr">
        <is>
          <t>BODEN</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57485-2020</t>
        </is>
      </c>
      <c r="B2500" s="1" t="n">
        <v>44139</v>
      </c>
      <c r="C2500" s="1" t="n">
        <v>45662</v>
      </c>
      <c r="D2500" t="inlineStr">
        <is>
          <t>NORRBOTTENS LÄN</t>
        </is>
      </c>
      <c r="E2500" t="inlineStr">
        <is>
          <t>PITEÅ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57737-2020</t>
        </is>
      </c>
      <c r="B2501" s="1" t="n">
        <v>44140</v>
      </c>
      <c r="C2501" s="1" t="n">
        <v>45662</v>
      </c>
      <c r="D2501" t="inlineStr">
        <is>
          <t>NORRBOTTENS LÄN</t>
        </is>
      </c>
      <c r="E2501" t="inlineStr">
        <is>
          <t>JOKKMOKK</t>
        </is>
      </c>
      <c r="F2501" t="inlineStr">
        <is>
          <t>SCA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58346-2020</t>
        </is>
      </c>
      <c r="B2502" s="1" t="n">
        <v>44141</v>
      </c>
      <c r="C2502" s="1" t="n">
        <v>45662</v>
      </c>
      <c r="D2502" t="inlineStr">
        <is>
          <t>NORRBOTTENS LÄN</t>
        </is>
      </c>
      <c r="E2502" t="inlineStr">
        <is>
          <t>PITEÅ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58337-2020</t>
        </is>
      </c>
      <c r="B2503" s="1" t="n">
        <v>44141</v>
      </c>
      <c r="C2503" s="1" t="n">
        <v>45662</v>
      </c>
      <c r="D2503" t="inlineStr">
        <is>
          <t>NORRBOTTENS LÄN</t>
        </is>
      </c>
      <c r="E2503" t="inlineStr">
        <is>
          <t>PITEÅ</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57988-2020</t>
        </is>
      </c>
      <c r="B2504" s="1" t="n">
        <v>44143</v>
      </c>
      <c r="C2504" s="1" t="n">
        <v>45662</v>
      </c>
      <c r="D2504" t="inlineStr">
        <is>
          <t>NORRBOTTENS LÄN</t>
        </is>
      </c>
      <c r="E2504" t="inlineStr">
        <is>
          <t>BODEN</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58384-2020</t>
        </is>
      </c>
      <c r="B2505" s="1" t="n">
        <v>44144</v>
      </c>
      <c r="C2505" s="1" t="n">
        <v>45662</v>
      </c>
      <c r="D2505" t="inlineStr">
        <is>
          <t>NORRBOTTENS LÄN</t>
        </is>
      </c>
      <c r="E2505" t="inlineStr">
        <is>
          <t>GÄLLIVARE</t>
        </is>
      </c>
      <c r="F2505" t="inlineStr">
        <is>
          <t>Allmännings- och besparingsskogar</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58468-2020</t>
        </is>
      </c>
      <c r="B2506" s="1" t="n">
        <v>44144</v>
      </c>
      <c r="C2506" s="1" t="n">
        <v>45662</v>
      </c>
      <c r="D2506" t="inlineStr">
        <is>
          <t>NORRBOTTENS LÄN</t>
        </is>
      </c>
      <c r="E2506" t="inlineStr">
        <is>
          <t>HAPARANDA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58578-2020</t>
        </is>
      </c>
      <c r="B2507" s="1" t="n">
        <v>44144</v>
      </c>
      <c r="C2507" s="1" t="n">
        <v>45662</v>
      </c>
      <c r="D2507" t="inlineStr">
        <is>
          <t>NORRBOTTENS LÄN</t>
        </is>
      </c>
      <c r="E2507" t="inlineStr">
        <is>
          <t>JOKKMOKK</t>
        </is>
      </c>
      <c r="F2507" t="inlineStr">
        <is>
          <t>Övriga statliga verk och myndigheter</t>
        </is>
      </c>
      <c r="G2507" t="n">
        <v>20.4</v>
      </c>
      <c r="H2507" t="n">
        <v>0</v>
      </c>
      <c r="I2507" t="n">
        <v>0</v>
      </c>
      <c r="J2507" t="n">
        <v>0</v>
      </c>
      <c r="K2507" t="n">
        <v>0</v>
      </c>
      <c r="L2507" t="n">
        <v>0</v>
      </c>
      <c r="M2507" t="n">
        <v>0</v>
      </c>
      <c r="N2507" t="n">
        <v>0</v>
      </c>
      <c r="O2507" t="n">
        <v>0</v>
      </c>
      <c r="P2507" t="n">
        <v>0</v>
      </c>
      <c r="Q2507" t="n">
        <v>0</v>
      </c>
      <c r="R2507" s="2" t="inlineStr"/>
    </row>
    <row r="2508" ht="15" customHeight="1">
      <c r="A2508" t="inlineStr">
        <is>
          <t>A 58409-2020</t>
        </is>
      </c>
      <c r="B2508" s="1" t="n">
        <v>44144</v>
      </c>
      <c r="C2508" s="1" t="n">
        <v>45662</v>
      </c>
      <c r="D2508" t="inlineStr">
        <is>
          <t>NORRBOTTENS LÄN</t>
        </is>
      </c>
      <c r="E2508" t="inlineStr">
        <is>
          <t>GÄLLIVARE</t>
        </is>
      </c>
      <c r="F2508" t="inlineStr">
        <is>
          <t>Allmännings- och besparingsskogar</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59103-2020</t>
        </is>
      </c>
      <c r="B2509" s="1" t="n">
        <v>44147</v>
      </c>
      <c r="C2509" s="1" t="n">
        <v>45662</v>
      </c>
      <c r="D2509" t="inlineStr">
        <is>
          <t>NORRBOTTENS LÄN</t>
        </is>
      </c>
      <c r="E2509" t="inlineStr">
        <is>
          <t>JOKKMOKK</t>
        </is>
      </c>
      <c r="F2509" t="inlineStr">
        <is>
          <t>Allmännings- och besparingsskogar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59122-2020</t>
        </is>
      </c>
      <c r="B2510" s="1" t="n">
        <v>44147</v>
      </c>
      <c r="C2510" s="1" t="n">
        <v>45662</v>
      </c>
      <c r="D2510" t="inlineStr">
        <is>
          <t>NORRBOTTENS LÄN</t>
        </is>
      </c>
      <c r="E2510" t="inlineStr">
        <is>
          <t>PAJALA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59128-2020</t>
        </is>
      </c>
      <c r="B2511" s="1" t="n">
        <v>44147</v>
      </c>
      <c r="C2511" s="1" t="n">
        <v>45662</v>
      </c>
      <c r="D2511" t="inlineStr">
        <is>
          <t>NORRBOTTENS LÄN</t>
        </is>
      </c>
      <c r="E2511" t="inlineStr">
        <is>
          <t>PAJALA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59153-2020</t>
        </is>
      </c>
      <c r="B2512" s="1" t="n">
        <v>44147</v>
      </c>
      <c r="C2512" s="1" t="n">
        <v>45662</v>
      </c>
      <c r="D2512" t="inlineStr">
        <is>
          <t>NORRBOTTENS LÄN</t>
        </is>
      </c>
      <c r="E2512" t="inlineStr">
        <is>
          <t>ÄLVSBYN</t>
        </is>
      </c>
      <c r="F2512" t="inlineStr">
        <is>
          <t>Sveaskog</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59126-2020</t>
        </is>
      </c>
      <c r="B2513" s="1" t="n">
        <v>44147</v>
      </c>
      <c r="C2513" s="1" t="n">
        <v>45662</v>
      </c>
      <c r="D2513" t="inlineStr">
        <is>
          <t>NORRBOTTENS LÄN</t>
        </is>
      </c>
      <c r="E2513" t="inlineStr">
        <is>
          <t>PAJALA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59282-2020</t>
        </is>
      </c>
      <c r="B2514" s="1" t="n">
        <v>44147</v>
      </c>
      <c r="C2514" s="1" t="n">
        <v>45662</v>
      </c>
      <c r="D2514" t="inlineStr">
        <is>
          <t>NORRBOTTENS LÄN</t>
        </is>
      </c>
      <c r="E2514" t="inlineStr">
        <is>
          <t>PAJALA</t>
        </is>
      </c>
      <c r="G2514" t="n">
        <v>19.1</v>
      </c>
      <c r="H2514" t="n">
        <v>0</v>
      </c>
      <c r="I2514" t="n">
        <v>0</v>
      </c>
      <c r="J2514" t="n">
        <v>0</v>
      </c>
      <c r="K2514" t="n">
        <v>0</v>
      </c>
      <c r="L2514" t="n">
        <v>0</v>
      </c>
      <c r="M2514" t="n">
        <v>0</v>
      </c>
      <c r="N2514" t="n">
        <v>0</v>
      </c>
      <c r="O2514" t="n">
        <v>0</v>
      </c>
      <c r="P2514" t="n">
        <v>0</v>
      </c>
      <c r="Q2514" t="n">
        <v>0</v>
      </c>
      <c r="R2514" s="2" t="inlineStr"/>
    </row>
    <row r="2515" ht="15" customHeight="1">
      <c r="A2515" t="inlineStr">
        <is>
          <t>A 59464-2020</t>
        </is>
      </c>
      <c r="B2515" s="1" t="n">
        <v>44148</v>
      </c>
      <c r="C2515" s="1" t="n">
        <v>45662</v>
      </c>
      <c r="D2515" t="inlineStr">
        <is>
          <t>NORRBOTTENS LÄN</t>
        </is>
      </c>
      <c r="E2515" t="inlineStr">
        <is>
          <t>ÄLVSBYN</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59922-2020</t>
        </is>
      </c>
      <c r="B2516" s="1" t="n">
        <v>44148</v>
      </c>
      <c r="C2516" s="1" t="n">
        <v>45662</v>
      </c>
      <c r="D2516" t="inlineStr">
        <is>
          <t>NORRBOTTENS LÄN</t>
        </is>
      </c>
      <c r="E2516" t="inlineStr">
        <is>
          <t>ARVIDSJAUR</t>
        </is>
      </c>
      <c r="G2516" t="n">
        <v>16.1</v>
      </c>
      <c r="H2516" t="n">
        <v>0</v>
      </c>
      <c r="I2516" t="n">
        <v>0</v>
      </c>
      <c r="J2516" t="n">
        <v>0</v>
      </c>
      <c r="K2516" t="n">
        <v>0</v>
      </c>
      <c r="L2516" t="n">
        <v>0</v>
      </c>
      <c r="M2516" t="n">
        <v>0</v>
      </c>
      <c r="N2516" t="n">
        <v>0</v>
      </c>
      <c r="O2516" t="n">
        <v>0</v>
      </c>
      <c r="P2516" t="n">
        <v>0</v>
      </c>
      <c r="Q2516" t="n">
        <v>0</v>
      </c>
      <c r="R2516" s="2" t="inlineStr"/>
    </row>
    <row r="2517" ht="15" customHeight="1">
      <c r="A2517" t="inlineStr">
        <is>
          <t>A 59747-2020</t>
        </is>
      </c>
      <c r="B2517" s="1" t="n">
        <v>44148</v>
      </c>
      <c r="C2517" s="1" t="n">
        <v>45662</v>
      </c>
      <c r="D2517" t="inlineStr">
        <is>
          <t>NORRBOTTENS LÄN</t>
        </is>
      </c>
      <c r="E2517" t="inlineStr">
        <is>
          <t>LULEÅ</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59858-2020</t>
        </is>
      </c>
      <c r="B2518" s="1" t="n">
        <v>44148</v>
      </c>
      <c r="C2518" s="1" t="n">
        <v>45662</v>
      </c>
      <c r="D2518" t="inlineStr">
        <is>
          <t>NORRBOTTENS LÄN</t>
        </is>
      </c>
      <c r="E2518" t="inlineStr">
        <is>
          <t>LULEÅ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59929-2020</t>
        </is>
      </c>
      <c r="B2519" s="1" t="n">
        <v>44148</v>
      </c>
      <c r="C2519" s="1" t="n">
        <v>45662</v>
      </c>
      <c r="D2519" t="inlineStr">
        <is>
          <t>NORRBOTTENS LÄN</t>
        </is>
      </c>
      <c r="E2519" t="inlineStr">
        <is>
          <t>ARVIDSJAUR</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59775-2020</t>
        </is>
      </c>
      <c r="B2520" s="1" t="n">
        <v>44151</v>
      </c>
      <c r="C2520" s="1" t="n">
        <v>45662</v>
      </c>
      <c r="D2520" t="inlineStr">
        <is>
          <t>NORRBOTTENS LÄN</t>
        </is>
      </c>
      <c r="E2520" t="inlineStr">
        <is>
          <t>BODEN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60142-2020</t>
        </is>
      </c>
      <c r="B2521" s="1" t="n">
        <v>44151</v>
      </c>
      <c r="C2521" s="1" t="n">
        <v>45662</v>
      </c>
      <c r="D2521" t="inlineStr">
        <is>
          <t>NORRBOTTENS LÄN</t>
        </is>
      </c>
      <c r="E2521" t="inlineStr">
        <is>
          <t>JOKKMOKK</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60121-2020</t>
        </is>
      </c>
      <c r="B2522" s="1" t="n">
        <v>44151</v>
      </c>
      <c r="C2522" s="1" t="n">
        <v>45662</v>
      </c>
      <c r="D2522" t="inlineStr">
        <is>
          <t>NORRBOTTENS LÄN</t>
        </is>
      </c>
      <c r="E2522" t="inlineStr">
        <is>
          <t>PAJALA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60106-2020</t>
        </is>
      </c>
      <c r="B2523" s="1" t="n">
        <v>44151</v>
      </c>
      <c r="C2523" s="1" t="n">
        <v>45662</v>
      </c>
      <c r="D2523" t="inlineStr">
        <is>
          <t>NORRBOTTENS LÄN</t>
        </is>
      </c>
      <c r="E2523" t="inlineStr">
        <is>
          <t>PAJALA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60047-2020</t>
        </is>
      </c>
      <c r="B2524" s="1" t="n">
        <v>44151</v>
      </c>
      <c r="C2524" s="1" t="n">
        <v>45662</v>
      </c>
      <c r="D2524" t="inlineStr">
        <is>
          <t>NORRBOTTENS LÄN</t>
        </is>
      </c>
      <c r="E2524" t="inlineStr">
        <is>
          <t>BODEN</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59926-2020</t>
        </is>
      </c>
      <c r="B2525" s="1" t="n">
        <v>44151</v>
      </c>
      <c r="C2525" s="1" t="n">
        <v>45662</v>
      </c>
      <c r="D2525" t="inlineStr">
        <is>
          <t>NORRBOTTENS LÄN</t>
        </is>
      </c>
      <c r="E2525" t="inlineStr">
        <is>
          <t>ARVIDSJAUR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60115-2020</t>
        </is>
      </c>
      <c r="B2526" s="1" t="n">
        <v>44151</v>
      </c>
      <c r="C2526" s="1" t="n">
        <v>45662</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60642-2020</t>
        </is>
      </c>
      <c r="B2527" s="1" t="n">
        <v>44152</v>
      </c>
      <c r="C2527" s="1" t="n">
        <v>45662</v>
      </c>
      <c r="D2527" t="inlineStr">
        <is>
          <t>NORRBOTTENS LÄN</t>
        </is>
      </c>
      <c r="E2527" t="inlineStr">
        <is>
          <t>LULEÅ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60602-2020</t>
        </is>
      </c>
      <c r="B2528" s="1" t="n">
        <v>44153</v>
      </c>
      <c r="C2528" s="1" t="n">
        <v>45662</v>
      </c>
      <c r="D2528" t="inlineStr">
        <is>
          <t>NORRBOTTENS LÄN</t>
        </is>
      </c>
      <c r="E2528" t="inlineStr">
        <is>
          <t>ÖVERKALIX</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60984-2020</t>
        </is>
      </c>
      <c r="B2529" s="1" t="n">
        <v>44153</v>
      </c>
      <c r="C2529" s="1" t="n">
        <v>45662</v>
      </c>
      <c r="D2529" t="inlineStr">
        <is>
          <t>NORRBOTTENS LÄN</t>
        </is>
      </c>
      <c r="E2529" t="inlineStr">
        <is>
          <t>BODEN</t>
        </is>
      </c>
      <c r="F2529" t="inlineStr">
        <is>
          <t>Kyrkan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60919-2020</t>
        </is>
      </c>
      <c r="B2530" s="1" t="n">
        <v>44153</v>
      </c>
      <c r="C2530" s="1" t="n">
        <v>45662</v>
      </c>
      <c r="D2530" t="inlineStr">
        <is>
          <t>NORRBOTTENS LÄN</t>
        </is>
      </c>
      <c r="E2530" t="inlineStr">
        <is>
          <t>ÖVERTORNEÅ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60801-2020</t>
        </is>
      </c>
      <c r="B2531" s="1" t="n">
        <v>44154</v>
      </c>
      <c r="C2531" s="1" t="n">
        <v>45662</v>
      </c>
      <c r="D2531" t="inlineStr">
        <is>
          <t>NORRBOTTENS LÄN</t>
        </is>
      </c>
      <c r="E2531" t="inlineStr">
        <is>
          <t>HAPARANDA</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60979-2020</t>
        </is>
      </c>
      <c r="B2532" s="1" t="n">
        <v>44154</v>
      </c>
      <c r="C2532" s="1" t="n">
        <v>45662</v>
      </c>
      <c r="D2532" t="inlineStr">
        <is>
          <t>NORRBOTTENS LÄN</t>
        </is>
      </c>
      <c r="E2532" t="inlineStr">
        <is>
          <t>KIRUNA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60807-2020</t>
        </is>
      </c>
      <c r="B2533" s="1" t="n">
        <v>44154</v>
      </c>
      <c r="C2533" s="1" t="n">
        <v>45662</v>
      </c>
      <c r="D2533" t="inlineStr">
        <is>
          <t>NORRBOTTENS LÄN</t>
        </is>
      </c>
      <c r="E2533" t="inlineStr">
        <is>
          <t>HAPARANDA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61072-2020</t>
        </is>
      </c>
      <c r="B2534" s="1" t="n">
        <v>44154</v>
      </c>
      <c r="C2534" s="1" t="n">
        <v>45662</v>
      </c>
      <c r="D2534" t="inlineStr">
        <is>
          <t>NORRBOTTENS LÄN</t>
        </is>
      </c>
      <c r="E2534" t="inlineStr">
        <is>
          <t>LULEÅ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61328-2020</t>
        </is>
      </c>
      <c r="B2535" s="1" t="n">
        <v>44154</v>
      </c>
      <c r="C2535" s="1" t="n">
        <v>45662</v>
      </c>
      <c r="D2535" t="inlineStr">
        <is>
          <t>NORRBOTTENS LÄN</t>
        </is>
      </c>
      <c r="E2535" t="inlineStr">
        <is>
          <t>BODEN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61272-2020</t>
        </is>
      </c>
      <c r="B2536" s="1" t="n">
        <v>44154</v>
      </c>
      <c r="C2536" s="1" t="n">
        <v>45662</v>
      </c>
      <c r="D2536" t="inlineStr">
        <is>
          <t>NORRBOTTENS LÄN</t>
        </is>
      </c>
      <c r="E2536" t="inlineStr">
        <is>
          <t>ARJEPLOG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61050-2020</t>
        </is>
      </c>
      <c r="B2537" s="1" t="n">
        <v>44154</v>
      </c>
      <c r="C2537" s="1" t="n">
        <v>45662</v>
      </c>
      <c r="D2537" t="inlineStr">
        <is>
          <t>NORRBOTTENS LÄN</t>
        </is>
      </c>
      <c r="E2537" t="inlineStr">
        <is>
          <t>ARJEPLOG</t>
        </is>
      </c>
      <c r="F2537" t="inlineStr">
        <is>
          <t>Övriga statliga verk och myndigheter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61598-2020</t>
        </is>
      </c>
      <c r="B2538" s="1" t="n">
        <v>44154</v>
      </c>
      <c r="C2538" s="1" t="n">
        <v>45662</v>
      </c>
      <c r="D2538" t="inlineStr">
        <is>
          <t>NORRBOTTENS LÄN</t>
        </is>
      </c>
      <c r="E2538" t="inlineStr">
        <is>
          <t>LULEÅ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61600-2020</t>
        </is>
      </c>
      <c r="B2539" s="1" t="n">
        <v>44154</v>
      </c>
      <c r="C2539" s="1" t="n">
        <v>45662</v>
      </c>
      <c r="D2539" t="inlineStr">
        <is>
          <t>NORRBOTTENS LÄN</t>
        </is>
      </c>
      <c r="E2539" t="inlineStr">
        <is>
          <t>LULEÅ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61895-2020</t>
        </is>
      </c>
      <c r="B2540" s="1" t="n">
        <v>44155</v>
      </c>
      <c r="C2540" s="1" t="n">
        <v>45662</v>
      </c>
      <c r="D2540" t="inlineStr">
        <is>
          <t>NORRBOTTENS LÄN</t>
        </is>
      </c>
      <c r="E2540" t="inlineStr">
        <is>
          <t>PAJALA</t>
        </is>
      </c>
      <c r="G2540" t="n">
        <v>20.1</v>
      </c>
      <c r="H2540" t="n">
        <v>0</v>
      </c>
      <c r="I2540" t="n">
        <v>0</v>
      </c>
      <c r="J2540" t="n">
        <v>0</v>
      </c>
      <c r="K2540" t="n">
        <v>0</v>
      </c>
      <c r="L2540" t="n">
        <v>0</v>
      </c>
      <c r="M2540" t="n">
        <v>0</v>
      </c>
      <c r="N2540" t="n">
        <v>0</v>
      </c>
      <c r="O2540" t="n">
        <v>0</v>
      </c>
      <c r="P2540" t="n">
        <v>0</v>
      </c>
      <c r="Q2540" t="n">
        <v>0</v>
      </c>
      <c r="R2540" s="2" t="inlineStr"/>
    </row>
    <row r="2541" ht="15" customHeight="1">
      <c r="A2541" t="inlineStr">
        <is>
          <t>A 61948-2020</t>
        </is>
      </c>
      <c r="B2541" s="1" t="n">
        <v>44155</v>
      </c>
      <c r="C2541" s="1" t="n">
        <v>45662</v>
      </c>
      <c r="D2541" t="inlineStr">
        <is>
          <t>NORRBOTTENS LÄN</t>
        </is>
      </c>
      <c r="E2541" t="inlineStr">
        <is>
          <t>PITEÅ</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61490-2020</t>
        </is>
      </c>
      <c r="B2542" s="1" t="n">
        <v>44158</v>
      </c>
      <c r="C2542" s="1" t="n">
        <v>45662</v>
      </c>
      <c r="D2542" t="inlineStr">
        <is>
          <t>NORRBOTTENS LÄN</t>
        </is>
      </c>
      <c r="E2542" t="inlineStr">
        <is>
          <t>LULEÅ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62066-2020</t>
        </is>
      </c>
      <c r="B2543" s="1" t="n">
        <v>44158</v>
      </c>
      <c r="C2543" s="1" t="n">
        <v>45662</v>
      </c>
      <c r="D2543" t="inlineStr">
        <is>
          <t>NORRBOTTENS LÄN</t>
        </is>
      </c>
      <c r="E2543" t="inlineStr">
        <is>
          <t>BODEN</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61831-2020</t>
        </is>
      </c>
      <c r="B2544" s="1" t="n">
        <v>44158</v>
      </c>
      <c r="C2544" s="1" t="n">
        <v>45662</v>
      </c>
      <c r="D2544" t="inlineStr">
        <is>
          <t>NORRBOTTENS LÄN</t>
        </is>
      </c>
      <c r="E2544" t="inlineStr">
        <is>
          <t>PAJALA</t>
        </is>
      </c>
      <c r="G2544" t="n">
        <v>22.2</v>
      </c>
      <c r="H2544" t="n">
        <v>0</v>
      </c>
      <c r="I2544" t="n">
        <v>0</v>
      </c>
      <c r="J2544" t="n">
        <v>0</v>
      </c>
      <c r="K2544" t="n">
        <v>0</v>
      </c>
      <c r="L2544" t="n">
        <v>0</v>
      </c>
      <c r="M2544" t="n">
        <v>0</v>
      </c>
      <c r="N2544" t="n">
        <v>0</v>
      </c>
      <c r="O2544" t="n">
        <v>0</v>
      </c>
      <c r="P2544" t="n">
        <v>0</v>
      </c>
      <c r="Q2544" t="n">
        <v>0</v>
      </c>
      <c r="R2544" s="2" t="inlineStr"/>
    </row>
    <row r="2545" ht="15" customHeight="1">
      <c r="A2545" t="inlineStr">
        <is>
          <t>A 62038-2020</t>
        </is>
      </c>
      <c r="B2545" s="1" t="n">
        <v>44158</v>
      </c>
      <c r="C2545" s="1" t="n">
        <v>45662</v>
      </c>
      <c r="D2545" t="inlineStr">
        <is>
          <t>NORRBOTTENS LÄN</t>
        </is>
      </c>
      <c r="E2545" t="inlineStr">
        <is>
          <t>JOKKMOKK</t>
        </is>
      </c>
      <c r="F2545" t="inlineStr">
        <is>
          <t>Övriga Aktiebolag</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62079-2020</t>
        </is>
      </c>
      <c r="B2546" s="1" t="n">
        <v>44158</v>
      </c>
      <c r="C2546" s="1" t="n">
        <v>45662</v>
      </c>
      <c r="D2546" t="inlineStr">
        <is>
          <t>NORRBOTTENS LÄN</t>
        </is>
      </c>
      <c r="E2546" t="inlineStr">
        <is>
          <t>BODEN</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62321-2020</t>
        </is>
      </c>
      <c r="B2547" s="1" t="n">
        <v>44158</v>
      </c>
      <c r="C2547" s="1" t="n">
        <v>45662</v>
      </c>
      <c r="D2547" t="inlineStr">
        <is>
          <t>NORRBOTTENS LÄN</t>
        </is>
      </c>
      <c r="E2547" t="inlineStr">
        <is>
          <t>BODEN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62068-2020</t>
        </is>
      </c>
      <c r="B2548" s="1" t="n">
        <v>44158</v>
      </c>
      <c r="C2548" s="1" t="n">
        <v>45662</v>
      </c>
      <c r="D2548" t="inlineStr">
        <is>
          <t>NORRBOTTENS LÄN</t>
        </is>
      </c>
      <c r="E2548" t="inlineStr">
        <is>
          <t>BODEN</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62022-2020</t>
        </is>
      </c>
      <c r="B2549" s="1" t="n">
        <v>44159</v>
      </c>
      <c r="C2549" s="1" t="n">
        <v>45662</v>
      </c>
      <c r="D2549" t="inlineStr">
        <is>
          <t>NORRBOTTENS LÄN</t>
        </is>
      </c>
      <c r="E2549" t="inlineStr">
        <is>
          <t>ÖVERKALIX</t>
        </is>
      </c>
      <c r="F2549" t="inlineStr">
        <is>
          <t>Sveaskog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62233-2020</t>
        </is>
      </c>
      <c r="B2550" s="1" t="n">
        <v>44159</v>
      </c>
      <c r="C2550" s="1" t="n">
        <v>45662</v>
      </c>
      <c r="D2550" t="inlineStr">
        <is>
          <t>NORRBOTTENS LÄN</t>
        </is>
      </c>
      <c r="E2550" t="inlineStr">
        <is>
          <t>JOKKMOKK</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62241-2020</t>
        </is>
      </c>
      <c r="B2551" s="1" t="n">
        <v>44160</v>
      </c>
      <c r="C2551" s="1" t="n">
        <v>45662</v>
      </c>
      <c r="D2551" t="inlineStr">
        <is>
          <t>NORRBOTTENS LÄN</t>
        </is>
      </c>
      <c r="E2551" t="inlineStr">
        <is>
          <t>ÖVERKALIX</t>
        </is>
      </c>
      <c r="F2551" t="inlineStr">
        <is>
          <t>Sveaskog</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62948-2020</t>
        </is>
      </c>
      <c r="B2552" s="1" t="n">
        <v>44160</v>
      </c>
      <c r="C2552" s="1" t="n">
        <v>45662</v>
      </c>
      <c r="D2552" t="inlineStr">
        <is>
          <t>NORRBOTTENS LÄN</t>
        </is>
      </c>
      <c r="E2552" t="inlineStr">
        <is>
          <t>KALIX</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62757-2020</t>
        </is>
      </c>
      <c r="B2553" s="1" t="n">
        <v>44161</v>
      </c>
      <c r="C2553" s="1" t="n">
        <v>45662</v>
      </c>
      <c r="D2553" t="inlineStr">
        <is>
          <t>NORRBOTTENS LÄN</t>
        </is>
      </c>
      <c r="E2553" t="inlineStr">
        <is>
          <t>JOKKMOKK</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62759-2020</t>
        </is>
      </c>
      <c r="B2554" s="1" t="n">
        <v>44161</v>
      </c>
      <c r="C2554" s="1" t="n">
        <v>45662</v>
      </c>
      <c r="D2554" t="inlineStr">
        <is>
          <t>NORRBOTTENS LÄN</t>
        </is>
      </c>
      <c r="E2554" t="inlineStr">
        <is>
          <t>JOKKMOKK</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62649-2020</t>
        </is>
      </c>
      <c r="B2555" s="1" t="n">
        <v>44161</v>
      </c>
      <c r="C2555" s="1" t="n">
        <v>45662</v>
      </c>
      <c r="D2555" t="inlineStr">
        <is>
          <t>NORRBOTTENS LÄN</t>
        </is>
      </c>
      <c r="E2555" t="inlineStr">
        <is>
          <t>KALIX</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63024-2020</t>
        </is>
      </c>
      <c r="B2556" s="1" t="n">
        <v>44162</v>
      </c>
      <c r="C2556" s="1" t="n">
        <v>45662</v>
      </c>
      <c r="D2556" t="inlineStr">
        <is>
          <t>NORRBOTTENS LÄN</t>
        </is>
      </c>
      <c r="E2556" t="inlineStr">
        <is>
          <t>LULEÅ</t>
        </is>
      </c>
      <c r="F2556" t="inlineStr">
        <is>
          <t>Kyrkan</t>
        </is>
      </c>
      <c r="G2556" t="n">
        <v>27.4</v>
      </c>
      <c r="H2556" t="n">
        <v>0</v>
      </c>
      <c r="I2556" t="n">
        <v>0</v>
      </c>
      <c r="J2556" t="n">
        <v>0</v>
      </c>
      <c r="K2556" t="n">
        <v>0</v>
      </c>
      <c r="L2556" t="n">
        <v>0</v>
      </c>
      <c r="M2556" t="n">
        <v>0</v>
      </c>
      <c r="N2556" t="n">
        <v>0</v>
      </c>
      <c r="O2556" t="n">
        <v>0</v>
      </c>
      <c r="P2556" t="n">
        <v>0</v>
      </c>
      <c r="Q2556" t="n">
        <v>0</v>
      </c>
      <c r="R2556" s="2" t="inlineStr"/>
    </row>
    <row r="2557" ht="15" customHeight="1">
      <c r="A2557" t="inlineStr">
        <is>
          <t>A 63112-2020</t>
        </is>
      </c>
      <c r="B2557" s="1" t="n">
        <v>44162</v>
      </c>
      <c r="C2557" s="1" t="n">
        <v>45662</v>
      </c>
      <c r="D2557" t="inlineStr">
        <is>
          <t>NORRBOTTENS LÄN</t>
        </is>
      </c>
      <c r="E2557" t="inlineStr">
        <is>
          <t>PITEÅ</t>
        </is>
      </c>
      <c r="F2557" t="inlineStr">
        <is>
          <t>Sveaskog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63638-2020</t>
        </is>
      </c>
      <c r="B2558" s="1" t="n">
        <v>44162</v>
      </c>
      <c r="C2558" s="1" t="n">
        <v>45662</v>
      </c>
      <c r="D2558" t="inlineStr">
        <is>
          <t>NORRBOTTENS LÄN</t>
        </is>
      </c>
      <c r="E2558" t="inlineStr">
        <is>
          <t>ARVIDSJAUR</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63264-2020</t>
        </is>
      </c>
      <c r="B2559" s="1" t="n">
        <v>44164</v>
      </c>
      <c r="C2559" s="1" t="n">
        <v>45662</v>
      </c>
      <c r="D2559" t="inlineStr">
        <is>
          <t>NORRBOTTENS LÄN</t>
        </is>
      </c>
      <c r="E2559" t="inlineStr">
        <is>
          <t>BODEN</t>
        </is>
      </c>
      <c r="F2559" t="inlineStr">
        <is>
          <t>Kommuner</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63286-2020</t>
        </is>
      </c>
      <c r="B2560" s="1" t="n">
        <v>44165</v>
      </c>
      <c r="C2560" s="1" t="n">
        <v>45662</v>
      </c>
      <c r="D2560" t="inlineStr">
        <is>
          <t>NORRBOTTENS LÄN</t>
        </is>
      </c>
      <c r="E2560" t="inlineStr">
        <is>
          <t>BODEN</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63345-2020</t>
        </is>
      </c>
      <c r="B2561" s="1" t="n">
        <v>44165</v>
      </c>
      <c r="C2561" s="1" t="n">
        <v>45662</v>
      </c>
      <c r="D2561" t="inlineStr">
        <is>
          <t>NORRBOTTENS LÄN</t>
        </is>
      </c>
      <c r="E2561" t="inlineStr">
        <is>
          <t>KIRUNA</t>
        </is>
      </c>
      <c r="G2561" t="n">
        <v>80.09999999999999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63825-2020</t>
        </is>
      </c>
      <c r="B2562" s="1" t="n">
        <v>44165</v>
      </c>
      <c r="C2562" s="1" t="n">
        <v>45662</v>
      </c>
      <c r="D2562" t="inlineStr">
        <is>
          <t>NORRBOTTENS LÄN</t>
        </is>
      </c>
      <c r="E2562" t="inlineStr">
        <is>
          <t>LULEÅ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63772-2020</t>
        </is>
      </c>
      <c r="B2563" s="1" t="n">
        <v>44165</v>
      </c>
      <c r="C2563" s="1" t="n">
        <v>45662</v>
      </c>
      <c r="D2563" t="inlineStr">
        <is>
          <t>NORRBOTTENS LÄN</t>
        </is>
      </c>
      <c r="E2563" t="inlineStr">
        <is>
          <t>BODEN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63815-2020</t>
        </is>
      </c>
      <c r="B2564" s="1" t="n">
        <v>44165</v>
      </c>
      <c r="C2564" s="1" t="n">
        <v>45662</v>
      </c>
      <c r="D2564" t="inlineStr">
        <is>
          <t>NORRBOTTENS LÄN</t>
        </is>
      </c>
      <c r="E2564" t="inlineStr">
        <is>
          <t>HAPARANDA</t>
        </is>
      </c>
      <c r="G2564" t="n">
        <v>31.5</v>
      </c>
      <c r="H2564" t="n">
        <v>0</v>
      </c>
      <c r="I2564" t="n">
        <v>0</v>
      </c>
      <c r="J2564" t="n">
        <v>0</v>
      </c>
      <c r="K2564" t="n">
        <v>0</v>
      </c>
      <c r="L2564" t="n">
        <v>0</v>
      </c>
      <c r="M2564" t="n">
        <v>0</v>
      </c>
      <c r="N2564" t="n">
        <v>0</v>
      </c>
      <c r="O2564" t="n">
        <v>0</v>
      </c>
      <c r="P2564" t="n">
        <v>0</v>
      </c>
      <c r="Q2564" t="n">
        <v>0</v>
      </c>
      <c r="R2564" s="2" t="inlineStr"/>
    </row>
    <row r="2565" ht="15" customHeight="1">
      <c r="A2565" t="inlineStr">
        <is>
          <t>A 63828-2020</t>
        </is>
      </c>
      <c r="B2565" s="1" t="n">
        <v>44165</v>
      </c>
      <c r="C2565" s="1" t="n">
        <v>45662</v>
      </c>
      <c r="D2565" t="inlineStr">
        <is>
          <t>NORRBOTTENS LÄN</t>
        </is>
      </c>
      <c r="E2565" t="inlineStr">
        <is>
          <t>LULEÅ</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63944-2020</t>
        </is>
      </c>
      <c r="B2566" s="1" t="n">
        <v>44165</v>
      </c>
      <c r="C2566" s="1" t="n">
        <v>45662</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63802-2020</t>
        </is>
      </c>
      <c r="B2567" s="1" t="n">
        <v>44165</v>
      </c>
      <c r="C2567" s="1" t="n">
        <v>45662</v>
      </c>
      <c r="D2567" t="inlineStr">
        <is>
          <t>NORRBOTTENS LÄN</t>
        </is>
      </c>
      <c r="E2567" t="inlineStr">
        <is>
          <t>HAPARANDA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63901-2020</t>
        </is>
      </c>
      <c r="B2568" s="1" t="n">
        <v>44165</v>
      </c>
      <c r="C2568" s="1" t="n">
        <v>45662</v>
      </c>
      <c r="D2568" t="inlineStr">
        <is>
          <t>NORRBOTTENS LÄN</t>
        </is>
      </c>
      <c r="E2568" t="inlineStr">
        <is>
          <t>LULEÅ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63853-2020</t>
        </is>
      </c>
      <c r="B2569" s="1" t="n">
        <v>44166</v>
      </c>
      <c r="C2569" s="1" t="n">
        <v>45662</v>
      </c>
      <c r="D2569" t="inlineStr">
        <is>
          <t>NORRBOTTENS LÄN</t>
        </is>
      </c>
      <c r="E2569" t="inlineStr">
        <is>
          <t>PITEÅ</t>
        </is>
      </c>
      <c r="F2569" t="inlineStr">
        <is>
          <t>Sveaskog</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64678-2020</t>
        </is>
      </c>
      <c r="B2570" s="1" t="n">
        <v>44166</v>
      </c>
      <c r="C2570" s="1" t="n">
        <v>45662</v>
      </c>
      <c r="D2570" t="inlineStr">
        <is>
          <t>NORRBOTTENS LÄN</t>
        </is>
      </c>
      <c r="E2570" t="inlineStr">
        <is>
          <t>LULEÅ</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64527-2020</t>
        </is>
      </c>
      <c r="B2571" s="1" t="n">
        <v>44166</v>
      </c>
      <c r="C2571" s="1" t="n">
        <v>45662</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64354-2020</t>
        </is>
      </c>
      <c r="B2572" s="1" t="n">
        <v>44168</v>
      </c>
      <c r="C2572" s="1" t="n">
        <v>45662</v>
      </c>
      <c r="D2572" t="inlineStr">
        <is>
          <t>NORRBOTTENS LÄN</t>
        </is>
      </c>
      <c r="E2572" t="inlineStr">
        <is>
          <t>BODEN</t>
        </is>
      </c>
      <c r="F2572" t="inlineStr">
        <is>
          <t>Sveaskog</t>
        </is>
      </c>
      <c r="G2572" t="n">
        <v>58.6</v>
      </c>
      <c r="H2572" t="n">
        <v>0</v>
      </c>
      <c r="I2572" t="n">
        <v>0</v>
      </c>
      <c r="J2572" t="n">
        <v>0</v>
      </c>
      <c r="K2572" t="n">
        <v>0</v>
      </c>
      <c r="L2572" t="n">
        <v>0</v>
      </c>
      <c r="M2572" t="n">
        <v>0</v>
      </c>
      <c r="N2572" t="n">
        <v>0</v>
      </c>
      <c r="O2572" t="n">
        <v>0</v>
      </c>
      <c r="P2572" t="n">
        <v>0</v>
      </c>
      <c r="Q2572" t="n">
        <v>0</v>
      </c>
      <c r="R2572" s="2" t="inlineStr"/>
    </row>
    <row r="2573" ht="15" customHeight="1">
      <c r="A2573" t="inlineStr">
        <is>
          <t>A 65378-2020</t>
        </is>
      </c>
      <c r="B2573" s="1" t="n">
        <v>44168</v>
      </c>
      <c r="C2573" s="1" t="n">
        <v>45662</v>
      </c>
      <c r="D2573" t="inlineStr">
        <is>
          <t>NORRBOTTENS LÄN</t>
        </is>
      </c>
      <c r="E2573" t="inlineStr">
        <is>
          <t>BODEN</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64639-2020</t>
        </is>
      </c>
      <c r="B2574" s="1" t="n">
        <v>44169</v>
      </c>
      <c r="C2574" s="1" t="n">
        <v>45662</v>
      </c>
      <c r="D2574" t="inlineStr">
        <is>
          <t>NORRBOTTENS LÄN</t>
        </is>
      </c>
      <c r="E2574" t="inlineStr">
        <is>
          <t>PAJALA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65315-2020</t>
        </is>
      </c>
      <c r="B2575" s="1" t="n">
        <v>44169</v>
      </c>
      <c r="C2575" s="1" t="n">
        <v>45662</v>
      </c>
      <c r="D2575" t="inlineStr">
        <is>
          <t>NORRBOTTENS LÄN</t>
        </is>
      </c>
      <c r="E2575" t="inlineStr">
        <is>
          <t>HAPARANDA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65484-2020</t>
        </is>
      </c>
      <c r="B2576" s="1" t="n">
        <v>44169</v>
      </c>
      <c r="C2576" s="1" t="n">
        <v>45662</v>
      </c>
      <c r="D2576" t="inlineStr">
        <is>
          <t>NORRBOTTENS LÄN</t>
        </is>
      </c>
      <c r="E2576" t="inlineStr">
        <is>
          <t>GÄLLIVARE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64857-2020</t>
        </is>
      </c>
      <c r="B2577" s="1" t="n">
        <v>44171</v>
      </c>
      <c r="C2577" s="1" t="n">
        <v>45662</v>
      </c>
      <c r="D2577" t="inlineStr">
        <is>
          <t>NORRBOTTENS LÄN</t>
        </is>
      </c>
      <c r="E2577" t="inlineStr">
        <is>
          <t>ARJEPLOG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65543-2020</t>
        </is>
      </c>
      <c r="B2578" s="1" t="n">
        <v>44172</v>
      </c>
      <c r="C2578" s="1" t="n">
        <v>45662</v>
      </c>
      <c r="D2578" t="inlineStr">
        <is>
          <t>NORRBOTTENS LÄN</t>
        </is>
      </c>
      <c r="E2578" t="inlineStr">
        <is>
          <t>PAJALA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65652-2020</t>
        </is>
      </c>
      <c r="B2579" s="1" t="n">
        <v>44172</v>
      </c>
      <c r="C2579" s="1" t="n">
        <v>45662</v>
      </c>
      <c r="D2579" t="inlineStr">
        <is>
          <t>NORRBOTTENS LÄN</t>
        </is>
      </c>
      <c r="E2579" t="inlineStr">
        <is>
          <t>JOKKMOKK</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65252-2020</t>
        </is>
      </c>
      <c r="B2580" s="1" t="n">
        <v>44172</v>
      </c>
      <c r="C2580" s="1" t="n">
        <v>45662</v>
      </c>
      <c r="D2580" t="inlineStr">
        <is>
          <t>NORRBOTTENS LÄN</t>
        </is>
      </c>
      <c r="E2580" t="inlineStr">
        <is>
          <t>PITEÅ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65648-2020</t>
        </is>
      </c>
      <c r="B2581" s="1" t="n">
        <v>44172</v>
      </c>
      <c r="C2581" s="1" t="n">
        <v>45662</v>
      </c>
      <c r="D2581" t="inlineStr">
        <is>
          <t>NORRBOTTENS LÄN</t>
        </is>
      </c>
      <c r="E2581" t="inlineStr">
        <is>
          <t>JOKKMOKK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65771-2020</t>
        </is>
      </c>
      <c r="B2582" s="1" t="n">
        <v>44172</v>
      </c>
      <c r="C2582" s="1" t="n">
        <v>45662</v>
      </c>
      <c r="D2582" t="inlineStr">
        <is>
          <t>NORRBOTTENS LÄN</t>
        </is>
      </c>
      <c r="E2582" t="inlineStr">
        <is>
          <t>ÖVERTORNEÅ</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65343-2020</t>
        </is>
      </c>
      <c r="B2583" s="1" t="n">
        <v>44173</v>
      </c>
      <c r="C2583" s="1" t="n">
        <v>45662</v>
      </c>
      <c r="D2583" t="inlineStr">
        <is>
          <t>NORRBOTTENS LÄN</t>
        </is>
      </c>
      <c r="E2583" t="inlineStr">
        <is>
          <t>JOKKMOKK</t>
        </is>
      </c>
      <c r="F2583" t="inlineStr">
        <is>
          <t>Sveaskog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65542-2020</t>
        </is>
      </c>
      <c r="B2584" s="1" t="n">
        <v>44173</v>
      </c>
      <c r="C2584" s="1" t="n">
        <v>45662</v>
      </c>
      <c r="D2584" t="inlineStr">
        <is>
          <t>NORRBOTTENS LÄN</t>
        </is>
      </c>
      <c r="E2584" t="inlineStr">
        <is>
          <t>JOKKMOKK</t>
        </is>
      </c>
      <c r="F2584" t="inlineStr">
        <is>
          <t>Sveaskog</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65636-2020</t>
        </is>
      </c>
      <c r="B2585" s="1" t="n">
        <v>44173</v>
      </c>
      <c r="C2585" s="1" t="n">
        <v>45662</v>
      </c>
      <c r="D2585" t="inlineStr">
        <is>
          <t>NORRBOTTENS LÄN</t>
        </is>
      </c>
      <c r="E2585" t="inlineStr">
        <is>
          <t>PAJALA</t>
        </is>
      </c>
      <c r="G2585" t="n">
        <v>12.3</v>
      </c>
      <c r="H2585" t="n">
        <v>0</v>
      </c>
      <c r="I2585" t="n">
        <v>0</v>
      </c>
      <c r="J2585" t="n">
        <v>0</v>
      </c>
      <c r="K2585" t="n">
        <v>0</v>
      </c>
      <c r="L2585" t="n">
        <v>0</v>
      </c>
      <c r="M2585" t="n">
        <v>0</v>
      </c>
      <c r="N2585" t="n">
        <v>0</v>
      </c>
      <c r="O2585" t="n">
        <v>0</v>
      </c>
      <c r="P2585" t="n">
        <v>0</v>
      </c>
      <c r="Q2585" t="n">
        <v>0</v>
      </c>
      <c r="R2585" s="2" t="inlineStr"/>
    </row>
    <row r="2586" ht="15" customHeight="1">
      <c r="A2586" t="inlineStr">
        <is>
          <t>A 65634-2020</t>
        </is>
      </c>
      <c r="B2586" s="1" t="n">
        <v>44173</v>
      </c>
      <c r="C2586" s="1" t="n">
        <v>45662</v>
      </c>
      <c r="D2586" t="inlineStr">
        <is>
          <t>NORRBOTTENS LÄN</t>
        </is>
      </c>
      <c r="E2586" t="inlineStr">
        <is>
          <t>BODEN</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65635-2020</t>
        </is>
      </c>
      <c r="B2587" s="1" t="n">
        <v>44173</v>
      </c>
      <c r="C2587" s="1" t="n">
        <v>45662</v>
      </c>
      <c r="D2587" t="inlineStr">
        <is>
          <t>NORRBOTTENS LÄN</t>
        </is>
      </c>
      <c r="E2587" t="inlineStr">
        <is>
          <t>BODEN</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65717-2020</t>
        </is>
      </c>
      <c r="B2588" s="1" t="n">
        <v>44174</v>
      </c>
      <c r="C2588" s="1" t="n">
        <v>45662</v>
      </c>
      <c r="D2588" t="inlineStr">
        <is>
          <t>NORRBOTTENS LÄN</t>
        </is>
      </c>
      <c r="E2588" t="inlineStr">
        <is>
          <t>BODEN</t>
        </is>
      </c>
      <c r="F2588" t="inlineStr">
        <is>
          <t>Sveaskog</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65756-2020</t>
        </is>
      </c>
      <c r="B2589" s="1" t="n">
        <v>44174</v>
      </c>
      <c r="C2589" s="1" t="n">
        <v>45662</v>
      </c>
      <c r="D2589" t="inlineStr">
        <is>
          <t>NORRBOTTENS LÄN</t>
        </is>
      </c>
      <c r="E2589" t="inlineStr">
        <is>
          <t>PAJALA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66296-2020</t>
        </is>
      </c>
      <c r="B2590" s="1" t="n">
        <v>44174</v>
      </c>
      <c r="C2590" s="1" t="n">
        <v>45662</v>
      </c>
      <c r="D2590" t="inlineStr">
        <is>
          <t>NORRBOTTENS LÄN</t>
        </is>
      </c>
      <c r="E2590" t="inlineStr">
        <is>
          <t>ÄLVSBYN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66696-2020</t>
        </is>
      </c>
      <c r="B2591" s="1" t="n">
        <v>44174</v>
      </c>
      <c r="C2591" s="1" t="n">
        <v>45662</v>
      </c>
      <c r="D2591" t="inlineStr">
        <is>
          <t>NORRBOTTENS LÄN</t>
        </is>
      </c>
      <c r="E2591" t="inlineStr">
        <is>
          <t>BODEN</t>
        </is>
      </c>
      <c r="G2591" t="n">
        <v>1.6</v>
      </c>
      <c r="H2591" t="n">
        <v>0</v>
      </c>
      <c r="I2591" t="n">
        <v>0</v>
      </c>
      <c r="J2591" t="n">
        <v>0</v>
      </c>
      <c r="K2591" t="n">
        <v>0</v>
      </c>
      <c r="L2591" t="n">
        <v>0</v>
      </c>
      <c r="M2591" t="n">
        <v>0</v>
      </c>
      <c r="N2591" t="n">
        <v>0</v>
      </c>
      <c r="O2591" t="n">
        <v>0</v>
      </c>
      <c r="P2591" t="n">
        <v>0</v>
      </c>
      <c r="Q2591" t="n">
        <v>0</v>
      </c>
      <c r="R2591" s="2" t="inlineStr"/>
      <c r="U2591">
        <f>HYPERLINK("https://klasma.github.io/Logging_2582/knärot/A 66696-2020 karta knärot.png", "A 66696-2020")</f>
        <v/>
      </c>
      <c r="V2591">
        <f>HYPERLINK("https://klasma.github.io/Logging_2582/klagomål/A 66696-2020 FSC-klagomål.docx", "A 66696-2020")</f>
        <v/>
      </c>
      <c r="W2591">
        <f>HYPERLINK("https://klasma.github.io/Logging_2582/klagomålsmail/A 66696-2020 FSC-klagomål mail.docx", "A 66696-2020")</f>
        <v/>
      </c>
      <c r="X2591">
        <f>HYPERLINK("https://klasma.github.io/Logging_2582/tillsyn/A 66696-2020 tillsynsbegäran.docx", "A 66696-2020")</f>
        <v/>
      </c>
      <c r="Y2591">
        <f>HYPERLINK("https://klasma.github.io/Logging_2582/tillsynsmail/A 66696-2020 tillsynsbegäran mail.docx", "A 66696-2020")</f>
        <v/>
      </c>
    </row>
    <row r="2592" ht="15" customHeight="1">
      <c r="A2592" t="inlineStr">
        <is>
          <t>A 66925-2020</t>
        </is>
      </c>
      <c r="B2592" s="1" t="n">
        <v>44176</v>
      </c>
      <c r="C2592" s="1" t="n">
        <v>45662</v>
      </c>
      <c r="D2592" t="inlineStr">
        <is>
          <t>NORRBOTTENS LÄN</t>
        </is>
      </c>
      <c r="E2592" t="inlineStr">
        <is>
          <t>LULEÅ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66495-2020</t>
        </is>
      </c>
      <c r="B2593" s="1" t="n">
        <v>44178</v>
      </c>
      <c r="C2593" s="1" t="n">
        <v>45662</v>
      </c>
      <c r="D2593" t="inlineStr">
        <is>
          <t>NORRBOTTENS LÄN</t>
        </is>
      </c>
      <c r="E2593" t="inlineStr">
        <is>
          <t>KALIX</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67384-2020</t>
        </is>
      </c>
      <c r="B2594" s="1" t="n">
        <v>44179</v>
      </c>
      <c r="C2594" s="1" t="n">
        <v>45662</v>
      </c>
      <c r="D2594" t="inlineStr">
        <is>
          <t>NORRBOTTENS LÄN</t>
        </is>
      </c>
      <c r="E2594" t="inlineStr">
        <is>
          <t>ARVIDSJAUR</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67127-2020</t>
        </is>
      </c>
      <c r="B2595" s="1" t="n">
        <v>44180</v>
      </c>
      <c r="C2595" s="1" t="n">
        <v>45662</v>
      </c>
      <c r="D2595" t="inlineStr">
        <is>
          <t>NORRBOTTENS LÄN</t>
        </is>
      </c>
      <c r="E2595" t="inlineStr">
        <is>
          <t>ARVIDSJAUR</t>
        </is>
      </c>
      <c r="F2595" t="inlineStr">
        <is>
          <t>Sveaskog</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67658-2020</t>
        </is>
      </c>
      <c r="B2596" s="1" t="n">
        <v>44180</v>
      </c>
      <c r="C2596" s="1" t="n">
        <v>45662</v>
      </c>
      <c r="D2596" t="inlineStr">
        <is>
          <t>NORRBOTTENS LÄN</t>
        </is>
      </c>
      <c r="E2596" t="inlineStr">
        <is>
          <t>HAPARANDA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67431-2020</t>
        </is>
      </c>
      <c r="B2597" s="1" t="n">
        <v>44180</v>
      </c>
      <c r="C2597" s="1" t="n">
        <v>45662</v>
      </c>
      <c r="D2597" t="inlineStr">
        <is>
          <t>NORRBOTTENS LÄN</t>
        </is>
      </c>
      <c r="E2597" t="inlineStr">
        <is>
          <t>PITEÅ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67524-2020</t>
        </is>
      </c>
      <c r="B2598" s="1" t="n">
        <v>44180</v>
      </c>
      <c r="C2598" s="1" t="n">
        <v>45662</v>
      </c>
      <c r="D2598" t="inlineStr">
        <is>
          <t>NORRBOTTENS LÄN</t>
        </is>
      </c>
      <c r="E2598" t="inlineStr">
        <is>
          <t>PAJALA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67325-2020</t>
        </is>
      </c>
      <c r="B2599" s="1" t="n">
        <v>44181</v>
      </c>
      <c r="C2599" s="1" t="n">
        <v>45662</v>
      </c>
      <c r="D2599" t="inlineStr">
        <is>
          <t>NORRBOTTENS LÄN</t>
        </is>
      </c>
      <c r="E2599" t="inlineStr">
        <is>
          <t>KALIX</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67584-2020</t>
        </is>
      </c>
      <c r="B2600" s="1" t="n">
        <v>44181</v>
      </c>
      <c r="C2600" s="1" t="n">
        <v>45662</v>
      </c>
      <c r="D2600" t="inlineStr">
        <is>
          <t>NORRBOTTENS LÄN</t>
        </is>
      </c>
      <c r="E2600" t="inlineStr">
        <is>
          <t>ÖVERKALIX</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67323-2020</t>
        </is>
      </c>
      <c r="B2601" s="1" t="n">
        <v>44181</v>
      </c>
      <c r="C2601" s="1" t="n">
        <v>45662</v>
      </c>
      <c r="D2601" t="inlineStr">
        <is>
          <t>NORRBOTTENS LÄN</t>
        </is>
      </c>
      <c r="E2601" t="inlineStr">
        <is>
          <t>KALIX</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68205-2020</t>
        </is>
      </c>
      <c r="B2602" s="1" t="n">
        <v>44182</v>
      </c>
      <c r="C2602" s="1" t="n">
        <v>45662</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67938-2020</t>
        </is>
      </c>
      <c r="B2603" s="1" t="n">
        <v>44182</v>
      </c>
      <c r="C2603" s="1" t="n">
        <v>45662</v>
      </c>
      <c r="D2603" t="inlineStr">
        <is>
          <t>NORRBOTTENS LÄN</t>
        </is>
      </c>
      <c r="E2603" t="inlineStr">
        <is>
          <t>LULEÅ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68210-2020</t>
        </is>
      </c>
      <c r="B2604" s="1" t="n">
        <v>44182</v>
      </c>
      <c r="C2604" s="1" t="n">
        <v>45662</v>
      </c>
      <c r="D2604" t="inlineStr">
        <is>
          <t>NORRBOTTENS LÄN</t>
        </is>
      </c>
      <c r="E2604" t="inlineStr">
        <is>
          <t>BODEN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68098-2020</t>
        </is>
      </c>
      <c r="B2605" s="1" t="n">
        <v>44182</v>
      </c>
      <c r="C2605" s="1" t="n">
        <v>45662</v>
      </c>
      <c r="D2605" t="inlineStr">
        <is>
          <t>NORRBOTTENS LÄN</t>
        </is>
      </c>
      <c r="E2605" t="inlineStr">
        <is>
          <t>BODEN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68189-2020</t>
        </is>
      </c>
      <c r="B2606" s="1" t="n">
        <v>44182</v>
      </c>
      <c r="C2606" s="1" t="n">
        <v>45662</v>
      </c>
      <c r="D2606" t="inlineStr">
        <is>
          <t>NORRBOTTENS LÄN</t>
        </is>
      </c>
      <c r="E2606" t="inlineStr">
        <is>
          <t>ÖVERKALIX</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68267-2020</t>
        </is>
      </c>
      <c r="B2607" s="1" t="n">
        <v>44182</v>
      </c>
      <c r="C2607" s="1" t="n">
        <v>45662</v>
      </c>
      <c r="D2607" t="inlineStr">
        <is>
          <t>NORRBOTTENS LÄN</t>
        </is>
      </c>
      <c r="E2607" t="inlineStr">
        <is>
          <t>BODEN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68109-2020</t>
        </is>
      </c>
      <c r="B2608" s="1" t="n">
        <v>44182</v>
      </c>
      <c r="C2608" s="1" t="n">
        <v>45662</v>
      </c>
      <c r="D2608" t="inlineStr">
        <is>
          <t>NORRBOTTENS LÄN</t>
        </is>
      </c>
      <c r="E2608" t="inlineStr">
        <is>
          <t>BODEN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68166-2020</t>
        </is>
      </c>
      <c r="B2609" s="1" t="n">
        <v>44183</v>
      </c>
      <c r="C2609" s="1" t="n">
        <v>45662</v>
      </c>
      <c r="D2609" t="inlineStr">
        <is>
          <t>NORRBOTTENS LÄN</t>
        </is>
      </c>
      <c r="E2609" t="inlineStr">
        <is>
          <t>ÖVERTORNEÅ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68269-2020</t>
        </is>
      </c>
      <c r="B2610" s="1" t="n">
        <v>44183</v>
      </c>
      <c r="C2610" s="1" t="n">
        <v>45662</v>
      </c>
      <c r="D2610" t="inlineStr">
        <is>
          <t>NORRBOTTENS LÄN</t>
        </is>
      </c>
      <c r="E2610" t="inlineStr">
        <is>
          <t>LULEÅ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68583-2020</t>
        </is>
      </c>
      <c r="B2611" s="1" t="n">
        <v>44186</v>
      </c>
      <c r="C2611" s="1" t="n">
        <v>45662</v>
      </c>
      <c r="D2611" t="inlineStr">
        <is>
          <t>NORRBOTTENS LÄN</t>
        </is>
      </c>
      <c r="E2611" t="inlineStr">
        <is>
          <t>JOKKMOKK</t>
        </is>
      </c>
      <c r="F2611" t="inlineStr">
        <is>
          <t>Sveaskog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68562-2020</t>
        </is>
      </c>
      <c r="B2612" s="1" t="n">
        <v>44186</v>
      </c>
      <c r="C2612" s="1" t="n">
        <v>45662</v>
      </c>
      <c r="D2612" t="inlineStr">
        <is>
          <t>NORRBOTTENS LÄN</t>
        </is>
      </c>
      <c r="E2612" t="inlineStr">
        <is>
          <t>PITEÅ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68636-2020</t>
        </is>
      </c>
      <c r="B2613" s="1" t="n">
        <v>44186</v>
      </c>
      <c r="C2613" s="1" t="n">
        <v>45662</v>
      </c>
      <c r="D2613" t="inlineStr">
        <is>
          <t>NORRBOTTENS LÄN</t>
        </is>
      </c>
      <c r="E2613" t="inlineStr">
        <is>
          <t>JOKKMOKK</t>
        </is>
      </c>
      <c r="F2613" t="inlineStr">
        <is>
          <t>SCA</t>
        </is>
      </c>
      <c r="G2613" t="n">
        <v>42.3</v>
      </c>
      <c r="H2613" t="n">
        <v>0</v>
      </c>
      <c r="I2613" t="n">
        <v>0</v>
      </c>
      <c r="J2613" t="n">
        <v>0</v>
      </c>
      <c r="K2613" t="n">
        <v>0</v>
      </c>
      <c r="L2613" t="n">
        <v>0</v>
      </c>
      <c r="M2613" t="n">
        <v>0</v>
      </c>
      <c r="N2613" t="n">
        <v>0</v>
      </c>
      <c r="O2613" t="n">
        <v>0</v>
      </c>
      <c r="P2613" t="n">
        <v>0</v>
      </c>
      <c r="Q2613" t="n">
        <v>0</v>
      </c>
      <c r="R2613" s="2" t="inlineStr"/>
    </row>
    <row r="2614" ht="15" customHeight="1">
      <c r="A2614" t="inlineStr">
        <is>
          <t>A 68701-2020</t>
        </is>
      </c>
      <c r="B2614" s="1" t="n">
        <v>44186</v>
      </c>
      <c r="C2614" s="1" t="n">
        <v>45662</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68839-2020</t>
        </is>
      </c>
      <c r="B2615" s="1" t="n">
        <v>44186</v>
      </c>
      <c r="C2615" s="1" t="n">
        <v>45662</v>
      </c>
      <c r="D2615" t="inlineStr">
        <is>
          <t>NORRBOTTENS LÄN</t>
        </is>
      </c>
      <c r="E2615" t="inlineStr">
        <is>
          <t>HAPARANDA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69039-2020</t>
        </is>
      </c>
      <c r="B2616" s="1" t="n">
        <v>44187</v>
      </c>
      <c r="C2616" s="1" t="n">
        <v>45662</v>
      </c>
      <c r="D2616" t="inlineStr">
        <is>
          <t>NORRBOTTENS LÄN</t>
        </is>
      </c>
      <c r="E2616" t="inlineStr">
        <is>
          <t>BODEN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69529-2020</t>
        </is>
      </c>
      <c r="B2617" s="1" t="n">
        <v>44194</v>
      </c>
      <c r="C2617" s="1" t="n">
        <v>45662</v>
      </c>
      <c r="D2617" t="inlineStr">
        <is>
          <t>NORRBOTTENS LÄN</t>
        </is>
      </c>
      <c r="E2617" t="inlineStr">
        <is>
          <t>ÖVERKALIX</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69534-2020</t>
        </is>
      </c>
      <c r="B2618" s="1" t="n">
        <v>44194</v>
      </c>
      <c r="C2618" s="1" t="n">
        <v>45662</v>
      </c>
      <c r="D2618" t="inlineStr">
        <is>
          <t>NORRBOTTENS LÄN</t>
        </is>
      </c>
      <c r="E2618" t="inlineStr">
        <is>
          <t>ÖVERKALIX</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291-2021</t>
        </is>
      </c>
      <c r="B2619" s="1" t="n">
        <v>44200</v>
      </c>
      <c r="C2619" s="1" t="n">
        <v>45662</v>
      </c>
      <c r="D2619" t="inlineStr">
        <is>
          <t>NORRBOTTENS LÄN</t>
        </is>
      </c>
      <c r="E2619" t="inlineStr">
        <is>
          <t>GÄLLIVARE</t>
        </is>
      </c>
      <c r="F2619" t="inlineStr">
        <is>
          <t>Allmännings- och besparingsskogar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920-2021</t>
        </is>
      </c>
      <c r="B2620" s="1" t="n">
        <v>44204</v>
      </c>
      <c r="C2620" s="1" t="n">
        <v>45662</v>
      </c>
      <c r="D2620" t="inlineStr">
        <is>
          <t>NORRBOTTENS LÄN</t>
        </is>
      </c>
      <c r="E2620" t="inlineStr">
        <is>
          <t>BODEN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954-2021</t>
        </is>
      </c>
      <c r="B2621" s="1" t="n">
        <v>44207</v>
      </c>
      <c r="C2621" s="1" t="n">
        <v>45662</v>
      </c>
      <c r="D2621" t="inlineStr">
        <is>
          <t>NORRBOTTENS LÄN</t>
        </is>
      </c>
      <c r="E2621" t="inlineStr">
        <is>
          <t>KALIX</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949-2021</t>
        </is>
      </c>
      <c r="B2622" s="1" t="n">
        <v>44207</v>
      </c>
      <c r="C2622" s="1" t="n">
        <v>45662</v>
      </c>
      <c r="D2622" t="inlineStr">
        <is>
          <t>NORRBOTTENS LÄN</t>
        </is>
      </c>
      <c r="E2622" t="inlineStr">
        <is>
          <t>KALIX</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1087-2021</t>
        </is>
      </c>
      <c r="B2623" s="1" t="n">
        <v>44207</v>
      </c>
      <c r="C2623" s="1" t="n">
        <v>45662</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1144-2021</t>
        </is>
      </c>
      <c r="B2624" s="1" t="n">
        <v>44207</v>
      </c>
      <c r="C2624" s="1" t="n">
        <v>45662</v>
      </c>
      <c r="D2624" t="inlineStr">
        <is>
          <t>NORRBOTTENS LÄN</t>
        </is>
      </c>
      <c r="E2624" t="inlineStr">
        <is>
          <t>LULEÅ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1147-2021</t>
        </is>
      </c>
      <c r="B2625" s="1" t="n">
        <v>44207</v>
      </c>
      <c r="C2625" s="1" t="n">
        <v>45662</v>
      </c>
      <c r="D2625" t="inlineStr">
        <is>
          <t>NORRBOTTENS LÄN</t>
        </is>
      </c>
      <c r="E2625" t="inlineStr">
        <is>
          <t>LULEÅ</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1481-2021</t>
        </is>
      </c>
      <c r="B2626" s="1" t="n">
        <v>44208</v>
      </c>
      <c r="C2626" s="1" t="n">
        <v>45662</v>
      </c>
      <c r="D2626" t="inlineStr">
        <is>
          <t>NORRBOTTENS LÄN</t>
        </is>
      </c>
      <c r="E2626" t="inlineStr">
        <is>
          <t>ÖVERKALIX</t>
        </is>
      </c>
      <c r="F2626" t="inlineStr">
        <is>
          <t>SCA</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1570-2021</t>
        </is>
      </c>
      <c r="B2627" s="1" t="n">
        <v>44209</v>
      </c>
      <c r="C2627" s="1" t="n">
        <v>45662</v>
      </c>
      <c r="D2627" t="inlineStr">
        <is>
          <t>NORRBOTTENS LÄN</t>
        </is>
      </c>
      <c r="E2627" t="inlineStr">
        <is>
          <t>KALIX</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1616-2021</t>
        </is>
      </c>
      <c r="B2628" s="1" t="n">
        <v>44209</v>
      </c>
      <c r="C2628" s="1" t="n">
        <v>45662</v>
      </c>
      <c r="D2628" t="inlineStr">
        <is>
          <t>NORRBOTTENS LÄN</t>
        </is>
      </c>
      <c r="E2628" t="inlineStr">
        <is>
          <t>PITEÅ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1925-2021</t>
        </is>
      </c>
      <c r="B2629" s="1" t="n">
        <v>44210</v>
      </c>
      <c r="C2629" s="1" t="n">
        <v>45662</v>
      </c>
      <c r="D2629" t="inlineStr">
        <is>
          <t>NORRBOTTENS LÄN</t>
        </is>
      </c>
      <c r="E2629" t="inlineStr">
        <is>
          <t>PAJALA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2238-2021</t>
        </is>
      </c>
      <c r="B2630" s="1" t="n">
        <v>44211</v>
      </c>
      <c r="C2630" s="1" t="n">
        <v>45662</v>
      </c>
      <c r="D2630" t="inlineStr">
        <is>
          <t>NORRBOTTENS LÄN</t>
        </is>
      </c>
      <c r="E2630" t="inlineStr">
        <is>
          <t>PITEÅ</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2369-2021</t>
        </is>
      </c>
      <c r="B2631" s="1" t="n">
        <v>44211</v>
      </c>
      <c r="C2631" s="1" t="n">
        <v>45662</v>
      </c>
      <c r="D2631" t="inlineStr">
        <is>
          <t>NORRBOTTENS LÄN</t>
        </is>
      </c>
      <c r="E2631" t="inlineStr">
        <is>
          <t>LULEÅ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2385-2021</t>
        </is>
      </c>
      <c r="B2632" s="1" t="n">
        <v>44211</v>
      </c>
      <c r="C2632" s="1" t="n">
        <v>45662</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2248-2021</t>
        </is>
      </c>
      <c r="B2633" s="1" t="n">
        <v>44211</v>
      </c>
      <c r="C2633" s="1" t="n">
        <v>45662</v>
      </c>
      <c r="D2633" t="inlineStr">
        <is>
          <t>NORRBOTTENS LÄN</t>
        </is>
      </c>
      <c r="E2633" t="inlineStr">
        <is>
          <t>PITEÅ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2283-2021</t>
        </is>
      </c>
      <c r="B2634" s="1" t="n">
        <v>44211</v>
      </c>
      <c r="C2634" s="1" t="n">
        <v>45662</v>
      </c>
      <c r="D2634" t="inlineStr">
        <is>
          <t>NORRBOTTENS LÄN</t>
        </is>
      </c>
      <c r="E2634" t="inlineStr">
        <is>
          <t>PITEÅ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2380-2021</t>
        </is>
      </c>
      <c r="B2635" s="1" t="n">
        <v>44211</v>
      </c>
      <c r="C2635" s="1" t="n">
        <v>45662</v>
      </c>
      <c r="D2635" t="inlineStr">
        <is>
          <t>NORRBOTTENS LÄN</t>
        </is>
      </c>
      <c r="E2635" t="inlineStr">
        <is>
          <t>LULEÅ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2392-2021</t>
        </is>
      </c>
      <c r="B2636" s="1" t="n">
        <v>44211</v>
      </c>
      <c r="C2636" s="1" t="n">
        <v>45662</v>
      </c>
      <c r="D2636" t="inlineStr">
        <is>
          <t>NORRBOTTENS LÄN</t>
        </is>
      </c>
      <c r="E2636" t="inlineStr">
        <is>
          <t>LULEÅ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2403-2021</t>
        </is>
      </c>
      <c r="B2637" s="1" t="n">
        <v>44211</v>
      </c>
      <c r="C2637" s="1" t="n">
        <v>45662</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2444-2021</t>
        </is>
      </c>
      <c r="B2638" s="1" t="n">
        <v>44211</v>
      </c>
      <c r="C2638" s="1" t="n">
        <v>45662</v>
      </c>
      <c r="D2638" t="inlineStr">
        <is>
          <t>NORRBOTTENS LÄN</t>
        </is>
      </c>
      <c r="E2638" t="inlineStr">
        <is>
          <t>BODEN</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2397-2021</t>
        </is>
      </c>
      <c r="B2639" s="1" t="n">
        <v>44211</v>
      </c>
      <c r="C2639" s="1" t="n">
        <v>45662</v>
      </c>
      <c r="D2639" t="inlineStr">
        <is>
          <t>NORRBOTTENS LÄN</t>
        </is>
      </c>
      <c r="E2639" t="inlineStr">
        <is>
          <t>LULEÅ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2540-2021</t>
        </is>
      </c>
      <c r="B2640" s="1" t="n">
        <v>44214</v>
      </c>
      <c r="C2640" s="1" t="n">
        <v>45662</v>
      </c>
      <c r="D2640" t="inlineStr">
        <is>
          <t>NORRBOTTENS LÄN</t>
        </is>
      </c>
      <c r="E2640" t="inlineStr">
        <is>
          <t>GÄLLIVARE</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2545-2021</t>
        </is>
      </c>
      <c r="B2641" s="1" t="n">
        <v>44214</v>
      </c>
      <c r="C2641" s="1" t="n">
        <v>45662</v>
      </c>
      <c r="D2641" t="inlineStr">
        <is>
          <t>NORRBOTTENS LÄN</t>
        </is>
      </c>
      <c r="E2641" t="inlineStr">
        <is>
          <t>GÄLLIVARE</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2538-2021</t>
        </is>
      </c>
      <c r="B2642" s="1" t="n">
        <v>44214</v>
      </c>
      <c r="C2642" s="1" t="n">
        <v>45662</v>
      </c>
      <c r="D2642" t="inlineStr">
        <is>
          <t>NORRBOTTENS LÄN</t>
        </is>
      </c>
      <c r="E2642" t="inlineStr">
        <is>
          <t>GÄLLIVARE</t>
        </is>
      </c>
      <c r="F2642" t="inlineStr">
        <is>
          <t>Kommuner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2544-2021</t>
        </is>
      </c>
      <c r="B2643" s="1" t="n">
        <v>44214</v>
      </c>
      <c r="C2643" s="1" t="n">
        <v>45662</v>
      </c>
      <c r="D2643" t="inlineStr">
        <is>
          <t>NORRBOTTENS LÄN</t>
        </is>
      </c>
      <c r="E2643" t="inlineStr">
        <is>
          <t>ÖVERTORNEÅ</t>
        </is>
      </c>
      <c r="G2643" t="n">
        <v>18.4</v>
      </c>
      <c r="H2643" t="n">
        <v>0</v>
      </c>
      <c r="I2643" t="n">
        <v>0</v>
      </c>
      <c r="J2643" t="n">
        <v>0</v>
      </c>
      <c r="K2643" t="n">
        <v>0</v>
      </c>
      <c r="L2643" t="n">
        <v>0</v>
      </c>
      <c r="M2643" t="n">
        <v>0</v>
      </c>
      <c r="N2643" t="n">
        <v>0</v>
      </c>
      <c r="O2643" t="n">
        <v>0</v>
      </c>
      <c r="P2643" t="n">
        <v>0</v>
      </c>
      <c r="Q2643" t="n">
        <v>0</v>
      </c>
      <c r="R2643" s="2" t="inlineStr"/>
    </row>
    <row r="2644" ht="15" customHeight="1">
      <c r="A2644" t="inlineStr">
        <is>
          <t>A 2548-2021</t>
        </is>
      </c>
      <c r="B2644" s="1" t="n">
        <v>44214</v>
      </c>
      <c r="C2644" s="1" t="n">
        <v>45662</v>
      </c>
      <c r="D2644" t="inlineStr">
        <is>
          <t>NORRBOTTENS LÄN</t>
        </is>
      </c>
      <c r="E2644" t="inlineStr">
        <is>
          <t>GÄLLIVARE</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2743-2021</t>
        </is>
      </c>
      <c r="B2645" s="1" t="n">
        <v>44214</v>
      </c>
      <c r="C2645" s="1" t="n">
        <v>45662</v>
      </c>
      <c r="D2645" t="inlineStr">
        <is>
          <t>NORRBOTTENS LÄN</t>
        </is>
      </c>
      <c r="E2645" t="inlineStr">
        <is>
          <t>ÖVERTORNEÅ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2693-2021</t>
        </is>
      </c>
      <c r="B2646" s="1" t="n">
        <v>44215</v>
      </c>
      <c r="C2646" s="1" t="n">
        <v>45662</v>
      </c>
      <c r="D2646" t="inlineStr">
        <is>
          <t>NORRBOTTENS LÄN</t>
        </is>
      </c>
      <c r="E2646" t="inlineStr">
        <is>
          <t>KALIX</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2707-2021</t>
        </is>
      </c>
      <c r="B2647" s="1" t="n">
        <v>44215</v>
      </c>
      <c r="C2647" s="1" t="n">
        <v>45662</v>
      </c>
      <c r="D2647" t="inlineStr">
        <is>
          <t>NORRBOTTENS LÄN</t>
        </is>
      </c>
      <c r="E2647" t="inlineStr">
        <is>
          <t>KALIX</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2748-2021</t>
        </is>
      </c>
      <c r="B2648" s="1" t="n">
        <v>44215</v>
      </c>
      <c r="C2648" s="1" t="n">
        <v>45662</v>
      </c>
      <c r="D2648" t="inlineStr">
        <is>
          <t>NORRBOTTENS LÄN</t>
        </is>
      </c>
      <c r="E2648" t="inlineStr">
        <is>
          <t>ARVIDSJAUR</t>
        </is>
      </c>
      <c r="F2648" t="inlineStr">
        <is>
          <t>Övriga Aktiebolag</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2691-2021</t>
        </is>
      </c>
      <c r="B2649" s="1" t="n">
        <v>44215</v>
      </c>
      <c r="C2649" s="1" t="n">
        <v>45662</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2704-2021</t>
        </is>
      </c>
      <c r="B2650" s="1" t="n">
        <v>44215</v>
      </c>
      <c r="C2650" s="1" t="n">
        <v>45662</v>
      </c>
      <c r="D2650" t="inlineStr">
        <is>
          <t>NORRBOTTENS LÄN</t>
        </is>
      </c>
      <c r="E2650" t="inlineStr">
        <is>
          <t>KALIX</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2757-2021</t>
        </is>
      </c>
      <c r="B2651" s="1" t="n">
        <v>44215</v>
      </c>
      <c r="C2651" s="1" t="n">
        <v>45662</v>
      </c>
      <c r="D2651" t="inlineStr">
        <is>
          <t>NORRBOTTENS LÄN</t>
        </is>
      </c>
      <c r="E2651" t="inlineStr">
        <is>
          <t>KALIX</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2805-2021</t>
        </is>
      </c>
      <c r="B2652" s="1" t="n">
        <v>44215</v>
      </c>
      <c r="C2652" s="1" t="n">
        <v>45662</v>
      </c>
      <c r="D2652" t="inlineStr">
        <is>
          <t>NORRBOTTENS LÄN</t>
        </is>
      </c>
      <c r="E2652" t="inlineStr">
        <is>
          <t>KALIX</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2811-2021</t>
        </is>
      </c>
      <c r="B2653" s="1" t="n">
        <v>44215</v>
      </c>
      <c r="C2653" s="1" t="n">
        <v>45662</v>
      </c>
      <c r="D2653" t="inlineStr">
        <is>
          <t>NORRBOTTENS LÄN</t>
        </is>
      </c>
      <c r="E2653" t="inlineStr">
        <is>
          <t>KALIX</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2694-2021</t>
        </is>
      </c>
      <c r="B2654" s="1" t="n">
        <v>44215</v>
      </c>
      <c r="C2654" s="1" t="n">
        <v>45662</v>
      </c>
      <c r="D2654" t="inlineStr">
        <is>
          <t>NORRBOTTENS LÄN</t>
        </is>
      </c>
      <c r="E2654" t="inlineStr">
        <is>
          <t>KALIX</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2808-2021</t>
        </is>
      </c>
      <c r="B2655" s="1" t="n">
        <v>44215</v>
      </c>
      <c r="C2655" s="1" t="n">
        <v>45662</v>
      </c>
      <c r="D2655" t="inlineStr">
        <is>
          <t>NORRBOTTENS LÄN</t>
        </is>
      </c>
      <c r="E2655" t="inlineStr">
        <is>
          <t>KALIX</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3248-2021</t>
        </is>
      </c>
      <c r="B2656" s="1" t="n">
        <v>44215</v>
      </c>
      <c r="C2656" s="1" t="n">
        <v>45662</v>
      </c>
      <c r="D2656" t="inlineStr">
        <is>
          <t>NORRBOTTENS LÄN</t>
        </is>
      </c>
      <c r="E2656" t="inlineStr">
        <is>
          <t>BODEN</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2833-2021</t>
        </is>
      </c>
      <c r="B2657" s="1" t="n">
        <v>44215</v>
      </c>
      <c r="C2657" s="1" t="n">
        <v>45662</v>
      </c>
      <c r="D2657" t="inlineStr">
        <is>
          <t>NORRBOTTENS LÄN</t>
        </is>
      </c>
      <c r="E2657" t="inlineStr">
        <is>
          <t>PITEÅ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3037-2021</t>
        </is>
      </c>
      <c r="B2658" s="1" t="n">
        <v>44216</v>
      </c>
      <c r="C2658" s="1" t="n">
        <v>45662</v>
      </c>
      <c r="D2658" t="inlineStr">
        <is>
          <t>NORRBOTTENS LÄN</t>
        </is>
      </c>
      <c r="E2658" t="inlineStr">
        <is>
          <t>KALIX</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3438-2021</t>
        </is>
      </c>
      <c r="B2659" s="1" t="n">
        <v>44216</v>
      </c>
      <c r="C2659" s="1" t="n">
        <v>45662</v>
      </c>
      <c r="D2659" t="inlineStr">
        <is>
          <t>NORRBOTTENS LÄN</t>
        </is>
      </c>
      <c r="E2659" t="inlineStr">
        <is>
          <t>KIRUNA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3036-2021</t>
        </is>
      </c>
      <c r="B2660" s="1" t="n">
        <v>44216</v>
      </c>
      <c r="C2660" s="1" t="n">
        <v>45662</v>
      </c>
      <c r="D2660" t="inlineStr">
        <is>
          <t>NORRBOTTENS LÄN</t>
        </is>
      </c>
      <c r="E2660" t="inlineStr">
        <is>
          <t>KALIX</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3535-2021</t>
        </is>
      </c>
      <c r="B2661" s="1" t="n">
        <v>44216</v>
      </c>
      <c r="C2661" s="1" t="n">
        <v>45662</v>
      </c>
      <c r="D2661" t="inlineStr">
        <is>
          <t>NORRBOTTENS LÄN</t>
        </is>
      </c>
      <c r="E2661" t="inlineStr">
        <is>
          <t>BODEN</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3537-2021</t>
        </is>
      </c>
      <c r="B2662" s="1" t="n">
        <v>44216</v>
      </c>
      <c r="C2662" s="1" t="n">
        <v>45662</v>
      </c>
      <c r="D2662" t="inlineStr">
        <is>
          <t>NORRBOTTENS LÄN</t>
        </is>
      </c>
      <c r="E2662" t="inlineStr">
        <is>
          <t>BODEN</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3777-2021</t>
        </is>
      </c>
      <c r="B2663" s="1" t="n">
        <v>44217</v>
      </c>
      <c r="C2663" s="1" t="n">
        <v>45662</v>
      </c>
      <c r="D2663" t="inlineStr">
        <is>
          <t>NORRBOTTENS LÄN</t>
        </is>
      </c>
      <c r="E2663" t="inlineStr">
        <is>
          <t>BODEN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3779-2021</t>
        </is>
      </c>
      <c r="B2664" s="1" t="n">
        <v>44217</v>
      </c>
      <c r="C2664" s="1" t="n">
        <v>45662</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3778-2021</t>
        </is>
      </c>
      <c r="B2665" s="1" t="n">
        <v>44217</v>
      </c>
      <c r="C2665" s="1" t="n">
        <v>45662</v>
      </c>
      <c r="D2665" t="inlineStr">
        <is>
          <t>NORRBOTTENS LÄN</t>
        </is>
      </c>
      <c r="E2665" t="inlineStr">
        <is>
          <t>BODEN</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3775-2021</t>
        </is>
      </c>
      <c r="B2666" s="1" t="n">
        <v>44217</v>
      </c>
      <c r="C2666" s="1" t="n">
        <v>45662</v>
      </c>
      <c r="D2666" t="inlineStr">
        <is>
          <t>NORRBOTTENS LÄN</t>
        </is>
      </c>
      <c r="E2666" t="inlineStr">
        <is>
          <t>ÖVERTORNEÅ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3584-2021</t>
        </is>
      </c>
      <c r="B2667" s="1" t="n">
        <v>44218</v>
      </c>
      <c r="C2667" s="1" t="n">
        <v>45662</v>
      </c>
      <c r="D2667" t="inlineStr">
        <is>
          <t>NORRBOTTENS LÄN</t>
        </is>
      </c>
      <c r="E2667" t="inlineStr">
        <is>
          <t>PAJALA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4005-2021</t>
        </is>
      </c>
      <c r="B2668" s="1" t="n">
        <v>44218</v>
      </c>
      <c r="C2668" s="1" t="n">
        <v>45662</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3812-2021</t>
        </is>
      </c>
      <c r="B2669" s="1" t="n">
        <v>44221</v>
      </c>
      <c r="C2669" s="1" t="n">
        <v>45662</v>
      </c>
      <c r="D2669" t="inlineStr">
        <is>
          <t>NORRBOTTENS LÄN</t>
        </is>
      </c>
      <c r="E2669" t="inlineStr">
        <is>
          <t>PITEÅ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4274-2021</t>
        </is>
      </c>
      <c r="B2670" s="1" t="n">
        <v>44223</v>
      </c>
      <c r="C2670" s="1" t="n">
        <v>45662</v>
      </c>
      <c r="D2670" t="inlineStr">
        <is>
          <t>NORRBOTTENS LÄN</t>
        </is>
      </c>
      <c r="E2670" t="inlineStr">
        <is>
          <t>BODEN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4247-2021</t>
        </is>
      </c>
      <c r="B2671" s="1" t="n">
        <v>44223</v>
      </c>
      <c r="C2671" s="1" t="n">
        <v>45662</v>
      </c>
      <c r="D2671" t="inlineStr">
        <is>
          <t>NORRBOTTENS LÄN</t>
        </is>
      </c>
      <c r="E2671" t="inlineStr">
        <is>
          <t>BODEN</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4856-2021</t>
        </is>
      </c>
      <c r="B2672" s="1" t="n">
        <v>44223</v>
      </c>
      <c r="C2672" s="1" t="n">
        <v>45662</v>
      </c>
      <c r="D2672" t="inlineStr">
        <is>
          <t>NORRBOTTENS LÄN</t>
        </is>
      </c>
      <c r="E2672" t="inlineStr">
        <is>
          <t>PAJALA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4822-2021</t>
        </is>
      </c>
      <c r="B2673" s="1" t="n">
        <v>44223</v>
      </c>
      <c r="C2673" s="1" t="n">
        <v>45662</v>
      </c>
      <c r="D2673" t="inlineStr">
        <is>
          <t>NORRBOTTENS LÄN</t>
        </is>
      </c>
      <c r="E2673" t="inlineStr">
        <is>
          <t>PAJALA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4458-2021</t>
        </is>
      </c>
      <c r="B2674" s="1" t="n">
        <v>44224</v>
      </c>
      <c r="C2674" s="1" t="n">
        <v>45662</v>
      </c>
      <c r="D2674" t="inlineStr">
        <is>
          <t>NORRBOTTENS LÄN</t>
        </is>
      </c>
      <c r="E2674" t="inlineStr">
        <is>
          <t>KALIX</t>
        </is>
      </c>
      <c r="F2674" t="inlineStr">
        <is>
          <t>Sveaskog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4792-2021</t>
        </is>
      </c>
      <c r="B2675" s="1" t="n">
        <v>44225</v>
      </c>
      <c r="C2675" s="1" t="n">
        <v>45662</v>
      </c>
      <c r="D2675" t="inlineStr">
        <is>
          <t>NORRBOTTENS LÄN</t>
        </is>
      </c>
      <c r="E2675" t="inlineStr">
        <is>
          <t>ÖVERTORNEÅ</t>
        </is>
      </c>
      <c r="G2675" t="n">
        <v>48.7</v>
      </c>
      <c r="H2675" t="n">
        <v>0</v>
      </c>
      <c r="I2675" t="n">
        <v>0</v>
      </c>
      <c r="J2675" t="n">
        <v>0</v>
      </c>
      <c r="K2675" t="n">
        <v>0</v>
      </c>
      <c r="L2675" t="n">
        <v>0</v>
      </c>
      <c r="M2675" t="n">
        <v>0</v>
      </c>
      <c r="N2675" t="n">
        <v>0</v>
      </c>
      <c r="O2675" t="n">
        <v>0</v>
      </c>
      <c r="P2675" t="n">
        <v>0</v>
      </c>
      <c r="Q2675" t="n">
        <v>0</v>
      </c>
      <c r="R2675" s="2" t="inlineStr"/>
    </row>
    <row r="2676" ht="15" customHeight="1">
      <c r="A2676" t="inlineStr">
        <is>
          <t>A 5455-2021</t>
        </is>
      </c>
      <c r="B2676" s="1" t="n">
        <v>44229</v>
      </c>
      <c r="C2676" s="1" t="n">
        <v>45662</v>
      </c>
      <c r="D2676" t="inlineStr">
        <is>
          <t>NORRBOTTENS LÄN</t>
        </is>
      </c>
      <c r="E2676" t="inlineStr">
        <is>
          <t>ÄLVSBYN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5410-2021</t>
        </is>
      </c>
      <c r="B2677" s="1" t="n">
        <v>44229</v>
      </c>
      <c r="C2677" s="1" t="n">
        <v>45662</v>
      </c>
      <c r="D2677" t="inlineStr">
        <is>
          <t>NORRBOTTENS LÄN</t>
        </is>
      </c>
      <c r="E2677" t="inlineStr">
        <is>
          <t>ÄLVSBYN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5559-2021</t>
        </is>
      </c>
      <c r="B2678" s="1" t="n">
        <v>44229</v>
      </c>
      <c r="C2678" s="1" t="n">
        <v>45662</v>
      </c>
      <c r="D2678" t="inlineStr">
        <is>
          <t>NORRBOTTENS LÄN</t>
        </is>
      </c>
      <c r="E2678" t="inlineStr">
        <is>
          <t>LULEÅ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5937-2021</t>
        </is>
      </c>
      <c r="B2679" s="1" t="n">
        <v>44229</v>
      </c>
      <c r="C2679" s="1" t="n">
        <v>45662</v>
      </c>
      <c r="D2679" t="inlineStr">
        <is>
          <t>NORRBOTTENS LÄN</t>
        </is>
      </c>
      <c r="E2679" t="inlineStr">
        <is>
          <t>KALIX</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5938-2021</t>
        </is>
      </c>
      <c r="B2680" s="1" t="n">
        <v>44231</v>
      </c>
      <c r="C2680" s="1" t="n">
        <v>45662</v>
      </c>
      <c r="D2680" t="inlineStr">
        <is>
          <t>NORRBOTTENS LÄN</t>
        </is>
      </c>
      <c r="E2680" t="inlineStr">
        <is>
          <t>PAJALA</t>
        </is>
      </c>
      <c r="G2680" t="n">
        <v>24.5</v>
      </c>
      <c r="H2680" t="n">
        <v>0</v>
      </c>
      <c r="I2680" t="n">
        <v>0</v>
      </c>
      <c r="J2680" t="n">
        <v>0</v>
      </c>
      <c r="K2680" t="n">
        <v>0</v>
      </c>
      <c r="L2680" t="n">
        <v>0</v>
      </c>
      <c r="M2680" t="n">
        <v>0</v>
      </c>
      <c r="N2680" t="n">
        <v>0</v>
      </c>
      <c r="O2680" t="n">
        <v>0</v>
      </c>
      <c r="P2680" t="n">
        <v>0</v>
      </c>
      <c r="Q2680" t="n">
        <v>0</v>
      </c>
      <c r="R2680" s="2" t="inlineStr"/>
    </row>
    <row r="2681" ht="15" customHeight="1">
      <c r="A2681" t="inlineStr">
        <is>
          <t>A 6018-2021</t>
        </is>
      </c>
      <c r="B2681" s="1" t="n">
        <v>44231</v>
      </c>
      <c r="C2681" s="1" t="n">
        <v>45662</v>
      </c>
      <c r="D2681" t="inlineStr">
        <is>
          <t>NORRBOTTENS LÄN</t>
        </is>
      </c>
      <c r="E2681" t="inlineStr">
        <is>
          <t>LULEÅ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6488-2021</t>
        </is>
      </c>
      <c r="B2682" s="1" t="n">
        <v>44235</v>
      </c>
      <c r="C2682" s="1" t="n">
        <v>45662</v>
      </c>
      <c r="D2682" t="inlineStr">
        <is>
          <t>NORRBOTTENS LÄN</t>
        </is>
      </c>
      <c r="E2682" t="inlineStr">
        <is>
          <t>LULEÅ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6527-2021</t>
        </is>
      </c>
      <c r="B2683" s="1" t="n">
        <v>44236</v>
      </c>
      <c r="C2683" s="1" t="n">
        <v>45662</v>
      </c>
      <c r="D2683" t="inlineStr">
        <is>
          <t>NORRBOTTENS LÄN</t>
        </is>
      </c>
      <c r="E2683" t="inlineStr">
        <is>
          <t>LULEÅ</t>
        </is>
      </c>
      <c r="G2683" t="n">
        <v>19.7</v>
      </c>
      <c r="H2683" t="n">
        <v>0</v>
      </c>
      <c r="I2683" t="n">
        <v>0</v>
      </c>
      <c r="J2683" t="n">
        <v>0</v>
      </c>
      <c r="K2683" t="n">
        <v>0</v>
      </c>
      <c r="L2683" t="n">
        <v>0</v>
      </c>
      <c r="M2683" t="n">
        <v>0</v>
      </c>
      <c r="N2683" t="n">
        <v>0</v>
      </c>
      <c r="O2683" t="n">
        <v>0</v>
      </c>
      <c r="P2683" t="n">
        <v>0</v>
      </c>
      <c r="Q2683" t="n">
        <v>0</v>
      </c>
      <c r="R2683" s="2" t="inlineStr"/>
    </row>
    <row r="2684" ht="15" customHeight="1">
      <c r="A2684" t="inlineStr">
        <is>
          <t>A 6657-2021</t>
        </is>
      </c>
      <c r="B2684" s="1" t="n">
        <v>44236</v>
      </c>
      <c r="C2684" s="1" t="n">
        <v>45662</v>
      </c>
      <c r="D2684" t="inlineStr">
        <is>
          <t>NORRBOTTENS LÄN</t>
        </is>
      </c>
      <c r="E2684" t="inlineStr">
        <is>
          <t>PAJALA</t>
        </is>
      </c>
      <c r="F2684" t="inlineStr">
        <is>
          <t>Allmännings- och besparingsskogar</t>
        </is>
      </c>
      <c r="G2684" t="n">
        <v>70.59999999999999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6887-2021</t>
        </is>
      </c>
      <c r="B2685" s="1" t="n">
        <v>44237</v>
      </c>
      <c r="C2685" s="1" t="n">
        <v>45662</v>
      </c>
      <c r="D2685" t="inlineStr">
        <is>
          <t>NORRBOTTENS LÄN</t>
        </is>
      </c>
      <c r="E2685" t="inlineStr">
        <is>
          <t>KIRUNA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6882-2021</t>
        </is>
      </c>
      <c r="B2686" s="1" t="n">
        <v>44237</v>
      </c>
      <c r="C2686" s="1" t="n">
        <v>45662</v>
      </c>
      <c r="D2686" t="inlineStr">
        <is>
          <t>NORRBOTTENS LÄN</t>
        </is>
      </c>
      <c r="E2686" t="inlineStr">
        <is>
          <t>KIRUNA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6918-2021</t>
        </is>
      </c>
      <c r="B2687" s="1" t="n">
        <v>44237</v>
      </c>
      <c r="C2687" s="1" t="n">
        <v>45662</v>
      </c>
      <c r="D2687" t="inlineStr">
        <is>
          <t>NORRBOTTENS LÄN</t>
        </is>
      </c>
      <c r="E2687" t="inlineStr">
        <is>
          <t>PAJALA</t>
        </is>
      </c>
      <c r="F2687" t="inlineStr">
        <is>
          <t>Allmännings- och besparingsskogar</t>
        </is>
      </c>
      <c r="G2687" t="n">
        <v>18.1</v>
      </c>
      <c r="H2687" t="n">
        <v>0</v>
      </c>
      <c r="I2687" t="n">
        <v>0</v>
      </c>
      <c r="J2687" t="n">
        <v>0</v>
      </c>
      <c r="K2687" t="n">
        <v>0</v>
      </c>
      <c r="L2687" t="n">
        <v>0</v>
      </c>
      <c r="M2687" t="n">
        <v>0</v>
      </c>
      <c r="N2687" t="n">
        <v>0</v>
      </c>
      <c r="O2687" t="n">
        <v>0</v>
      </c>
      <c r="P2687" t="n">
        <v>0</v>
      </c>
      <c r="Q2687" t="n">
        <v>0</v>
      </c>
      <c r="R2687" s="2" t="inlineStr"/>
    </row>
    <row r="2688" ht="15" customHeight="1">
      <c r="A2688" t="inlineStr">
        <is>
          <t>A 7082-2021</t>
        </is>
      </c>
      <c r="B2688" s="1" t="n">
        <v>44237</v>
      </c>
      <c r="C2688" s="1" t="n">
        <v>45662</v>
      </c>
      <c r="D2688" t="inlineStr">
        <is>
          <t>NORRBOTTENS LÄN</t>
        </is>
      </c>
      <c r="E2688" t="inlineStr">
        <is>
          <t>PITEÅ</t>
        </is>
      </c>
      <c r="F2688" t="inlineStr">
        <is>
          <t>SCA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7108-2021</t>
        </is>
      </c>
      <c r="B2689" s="1" t="n">
        <v>44238</v>
      </c>
      <c r="C2689" s="1" t="n">
        <v>45662</v>
      </c>
      <c r="D2689" t="inlineStr">
        <is>
          <t>NORRBOTTENS LÄN</t>
        </is>
      </c>
      <c r="E2689" t="inlineStr">
        <is>
          <t>BODEN</t>
        </is>
      </c>
      <c r="G2689" t="n">
        <v>18.1</v>
      </c>
      <c r="H2689" t="n">
        <v>0</v>
      </c>
      <c r="I2689" t="n">
        <v>0</v>
      </c>
      <c r="J2689" t="n">
        <v>0</v>
      </c>
      <c r="K2689" t="n">
        <v>0</v>
      </c>
      <c r="L2689" t="n">
        <v>0</v>
      </c>
      <c r="M2689" t="n">
        <v>0</v>
      </c>
      <c r="N2689" t="n">
        <v>0</v>
      </c>
      <c r="O2689" t="n">
        <v>0</v>
      </c>
      <c r="P2689" t="n">
        <v>0</v>
      </c>
      <c r="Q2689" t="n">
        <v>0</v>
      </c>
      <c r="R2689" s="2" t="inlineStr"/>
    </row>
    <row r="2690" ht="15" customHeight="1">
      <c r="A2690" t="inlineStr">
        <is>
          <t>A 7315-2021</t>
        </is>
      </c>
      <c r="B2690" s="1" t="n">
        <v>44238</v>
      </c>
      <c r="C2690" s="1" t="n">
        <v>45662</v>
      </c>
      <c r="D2690" t="inlineStr">
        <is>
          <t>NORRBOTTENS LÄN</t>
        </is>
      </c>
      <c r="E2690" t="inlineStr">
        <is>
          <t>PITEÅ</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7472-2021</t>
        </is>
      </c>
      <c r="B2691" s="1" t="n">
        <v>44238</v>
      </c>
      <c r="C2691" s="1" t="n">
        <v>45662</v>
      </c>
      <c r="D2691" t="inlineStr">
        <is>
          <t>NORRBOTTENS LÄN</t>
        </is>
      </c>
      <c r="E2691" t="inlineStr">
        <is>
          <t>ÖVERTORNEÅ</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7273-2021</t>
        </is>
      </c>
      <c r="B2692" s="1" t="n">
        <v>44238</v>
      </c>
      <c r="C2692" s="1" t="n">
        <v>45662</v>
      </c>
      <c r="D2692" t="inlineStr">
        <is>
          <t>NORRBOTTENS LÄN</t>
        </is>
      </c>
      <c r="E2692" t="inlineStr">
        <is>
          <t>JOKKMOKK</t>
        </is>
      </c>
      <c r="F2692" t="inlineStr">
        <is>
          <t>Övriga statliga verk och myndigheter</t>
        </is>
      </c>
      <c r="G2692" t="n">
        <v>19.8</v>
      </c>
      <c r="H2692" t="n">
        <v>0</v>
      </c>
      <c r="I2692" t="n">
        <v>0</v>
      </c>
      <c r="J2692" t="n">
        <v>0</v>
      </c>
      <c r="K2692" t="n">
        <v>0</v>
      </c>
      <c r="L2692" t="n">
        <v>0</v>
      </c>
      <c r="M2692" t="n">
        <v>0</v>
      </c>
      <c r="N2692" t="n">
        <v>0</v>
      </c>
      <c r="O2692" t="n">
        <v>0</v>
      </c>
      <c r="P2692" t="n">
        <v>0</v>
      </c>
      <c r="Q2692" t="n">
        <v>0</v>
      </c>
      <c r="R2692" s="2" t="inlineStr"/>
    </row>
    <row r="2693" ht="15" customHeight="1">
      <c r="A2693" t="inlineStr">
        <is>
          <t>A 7470-2021</t>
        </is>
      </c>
      <c r="B2693" s="1" t="n">
        <v>44238</v>
      </c>
      <c r="C2693" s="1" t="n">
        <v>45662</v>
      </c>
      <c r="D2693" t="inlineStr">
        <is>
          <t>NORRBOTTENS LÄN</t>
        </is>
      </c>
      <c r="E2693" t="inlineStr">
        <is>
          <t>ÖVERTORNEÅ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7469-2021</t>
        </is>
      </c>
      <c r="B2694" s="1" t="n">
        <v>44238</v>
      </c>
      <c r="C2694" s="1" t="n">
        <v>45662</v>
      </c>
      <c r="D2694" t="inlineStr">
        <is>
          <t>NORRBOTTENS LÄN</t>
        </is>
      </c>
      <c r="E2694" t="inlineStr">
        <is>
          <t>ÖVERTORNEÅ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7421-2021</t>
        </is>
      </c>
      <c r="B2695" s="1" t="n">
        <v>44239</v>
      </c>
      <c r="C2695" s="1" t="n">
        <v>45662</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7417-2021</t>
        </is>
      </c>
      <c r="B2696" s="1" t="n">
        <v>44239</v>
      </c>
      <c r="C2696" s="1" t="n">
        <v>45662</v>
      </c>
      <c r="D2696" t="inlineStr">
        <is>
          <t>NORRBOTTENS LÄN</t>
        </is>
      </c>
      <c r="E2696" t="inlineStr">
        <is>
          <t>LULEÅ</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7429-2021</t>
        </is>
      </c>
      <c r="B2697" s="1" t="n">
        <v>44239</v>
      </c>
      <c r="C2697" s="1" t="n">
        <v>45662</v>
      </c>
      <c r="D2697" t="inlineStr">
        <is>
          <t>NORRBOTTENS LÄN</t>
        </is>
      </c>
      <c r="E2697" t="inlineStr">
        <is>
          <t>LULEÅ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7468-2021</t>
        </is>
      </c>
      <c r="B2698" s="1" t="n">
        <v>44239</v>
      </c>
      <c r="C2698" s="1" t="n">
        <v>45662</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7726-2021</t>
        </is>
      </c>
      <c r="B2699" s="1" t="n">
        <v>44239</v>
      </c>
      <c r="C2699" s="1" t="n">
        <v>45662</v>
      </c>
      <c r="D2699" t="inlineStr">
        <is>
          <t>NORRBOTTENS LÄN</t>
        </is>
      </c>
      <c r="E2699" t="inlineStr">
        <is>
          <t>LULEÅ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7744-2021</t>
        </is>
      </c>
      <c r="B2700" s="1" t="n">
        <v>44242</v>
      </c>
      <c r="C2700" s="1" t="n">
        <v>45662</v>
      </c>
      <c r="D2700" t="inlineStr">
        <is>
          <t>NORRBOTTENS LÄN</t>
        </is>
      </c>
      <c r="E2700" t="inlineStr">
        <is>
          <t>ÖVERKALIX</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8164-2021</t>
        </is>
      </c>
      <c r="B2701" s="1" t="n">
        <v>44243</v>
      </c>
      <c r="C2701" s="1" t="n">
        <v>45662</v>
      </c>
      <c r="D2701" t="inlineStr">
        <is>
          <t>NORRBOTTENS LÄN</t>
        </is>
      </c>
      <c r="E2701" t="inlineStr">
        <is>
          <t>LULEÅ</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7956-2021</t>
        </is>
      </c>
      <c r="B2702" s="1" t="n">
        <v>44243</v>
      </c>
      <c r="C2702" s="1" t="n">
        <v>45662</v>
      </c>
      <c r="D2702" t="inlineStr">
        <is>
          <t>NORRBOTTENS LÄN</t>
        </is>
      </c>
      <c r="E2702" t="inlineStr">
        <is>
          <t>LULEÅ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8161-2021</t>
        </is>
      </c>
      <c r="B2703" s="1" t="n">
        <v>44243</v>
      </c>
      <c r="C2703" s="1" t="n">
        <v>45662</v>
      </c>
      <c r="D2703" t="inlineStr">
        <is>
          <t>NORRBOTTENS LÄN</t>
        </is>
      </c>
      <c r="E2703" t="inlineStr">
        <is>
          <t>LULEÅ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8224-2021</t>
        </is>
      </c>
      <c r="B2704" s="1" t="n">
        <v>44244</v>
      </c>
      <c r="C2704" s="1" t="n">
        <v>45662</v>
      </c>
      <c r="D2704" t="inlineStr">
        <is>
          <t>NORRBOTTENS LÄN</t>
        </is>
      </c>
      <c r="E2704" t="inlineStr">
        <is>
          <t>ÖVERKALIX</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8350-2021</t>
        </is>
      </c>
      <c r="B2705" s="1" t="n">
        <v>44244</v>
      </c>
      <c r="C2705" s="1" t="n">
        <v>45662</v>
      </c>
      <c r="D2705" t="inlineStr">
        <is>
          <t>NORRBOTTENS LÄN</t>
        </is>
      </c>
      <c r="E2705" t="inlineStr">
        <is>
          <t>JOKKMOKK</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8357-2021</t>
        </is>
      </c>
      <c r="B2706" s="1" t="n">
        <v>44244</v>
      </c>
      <c r="C2706" s="1" t="n">
        <v>45662</v>
      </c>
      <c r="D2706" t="inlineStr">
        <is>
          <t>NORRBOTTENS LÄN</t>
        </is>
      </c>
      <c r="E2706" t="inlineStr">
        <is>
          <t>JOKKMOKK</t>
        </is>
      </c>
      <c r="F2706" t="inlineStr">
        <is>
          <t>SCA</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8258-2021</t>
        </is>
      </c>
      <c r="B2707" s="1" t="n">
        <v>44244</v>
      </c>
      <c r="C2707" s="1" t="n">
        <v>45662</v>
      </c>
      <c r="D2707" t="inlineStr">
        <is>
          <t>NORRBOTTENS LÄN</t>
        </is>
      </c>
      <c r="E2707" t="inlineStr">
        <is>
          <t>KALIX</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8269-2021</t>
        </is>
      </c>
      <c r="B2708" s="1" t="n">
        <v>44244</v>
      </c>
      <c r="C2708" s="1" t="n">
        <v>45662</v>
      </c>
      <c r="D2708" t="inlineStr">
        <is>
          <t>NORRBOTTENS LÄN</t>
        </is>
      </c>
      <c r="E2708" t="inlineStr">
        <is>
          <t>KALIX</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8483-2021</t>
        </is>
      </c>
      <c r="B2709" s="1" t="n">
        <v>44244</v>
      </c>
      <c r="C2709" s="1" t="n">
        <v>45662</v>
      </c>
      <c r="D2709" t="inlineStr">
        <is>
          <t>NORRBOTTENS LÄN</t>
        </is>
      </c>
      <c r="E2709" t="inlineStr">
        <is>
          <t>ARVIDSJAUR</t>
        </is>
      </c>
      <c r="G2709" t="n">
        <v>33.1</v>
      </c>
      <c r="H2709" t="n">
        <v>0</v>
      </c>
      <c r="I2709" t="n">
        <v>0</v>
      </c>
      <c r="J2709" t="n">
        <v>0</v>
      </c>
      <c r="K2709" t="n">
        <v>0</v>
      </c>
      <c r="L2709" t="n">
        <v>0</v>
      </c>
      <c r="M2709" t="n">
        <v>0</v>
      </c>
      <c r="N2709" t="n">
        <v>0</v>
      </c>
      <c r="O2709" t="n">
        <v>0</v>
      </c>
      <c r="P2709" t="n">
        <v>0</v>
      </c>
      <c r="Q2709" t="n">
        <v>0</v>
      </c>
      <c r="R2709" s="2" t="inlineStr"/>
    </row>
    <row r="2710" ht="15" customHeight="1">
      <c r="A2710" t="inlineStr">
        <is>
          <t>A 8270-2021</t>
        </is>
      </c>
      <c r="B2710" s="1" t="n">
        <v>44244</v>
      </c>
      <c r="C2710" s="1" t="n">
        <v>45662</v>
      </c>
      <c r="D2710" t="inlineStr">
        <is>
          <t>NORRBOTTENS LÄN</t>
        </is>
      </c>
      <c r="E2710" t="inlineStr">
        <is>
          <t>KALIX</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8358-2021</t>
        </is>
      </c>
      <c r="B2711" s="1" t="n">
        <v>44244</v>
      </c>
      <c r="C2711" s="1" t="n">
        <v>45662</v>
      </c>
      <c r="D2711" t="inlineStr">
        <is>
          <t>NORRBOTTENS LÄN</t>
        </is>
      </c>
      <c r="E2711" t="inlineStr">
        <is>
          <t>JOKKMOKK</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8495-2021</t>
        </is>
      </c>
      <c r="B2712" s="1" t="n">
        <v>44244</v>
      </c>
      <c r="C2712" s="1" t="n">
        <v>45662</v>
      </c>
      <c r="D2712" t="inlineStr">
        <is>
          <t>NORRBOTTENS LÄN</t>
        </is>
      </c>
      <c r="E2712" t="inlineStr">
        <is>
          <t>ÖVERTORNEÅ</t>
        </is>
      </c>
      <c r="G2712" t="n">
        <v>18.5</v>
      </c>
      <c r="H2712" t="n">
        <v>0</v>
      </c>
      <c r="I2712" t="n">
        <v>0</v>
      </c>
      <c r="J2712" t="n">
        <v>0</v>
      </c>
      <c r="K2712" t="n">
        <v>0</v>
      </c>
      <c r="L2712" t="n">
        <v>0</v>
      </c>
      <c r="M2712" t="n">
        <v>0</v>
      </c>
      <c r="N2712" t="n">
        <v>0</v>
      </c>
      <c r="O2712" t="n">
        <v>0</v>
      </c>
      <c r="P2712" t="n">
        <v>0</v>
      </c>
      <c r="Q2712" t="n">
        <v>0</v>
      </c>
      <c r="R2712" s="2" t="inlineStr"/>
    </row>
    <row r="2713" ht="15" customHeight="1">
      <c r="A2713" t="inlineStr">
        <is>
          <t>A 8360-2021</t>
        </is>
      </c>
      <c r="B2713" s="1" t="n">
        <v>44244</v>
      </c>
      <c r="C2713" s="1" t="n">
        <v>45662</v>
      </c>
      <c r="D2713" t="inlineStr">
        <is>
          <t>NORRBOTTENS LÄN</t>
        </is>
      </c>
      <c r="E2713" t="inlineStr">
        <is>
          <t>JOKKMOKK</t>
        </is>
      </c>
      <c r="F2713" t="inlineStr">
        <is>
          <t>SCA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8354-2021</t>
        </is>
      </c>
      <c r="B2714" s="1" t="n">
        <v>44244</v>
      </c>
      <c r="C2714" s="1" t="n">
        <v>45662</v>
      </c>
      <c r="D2714" t="inlineStr">
        <is>
          <t>NORRBOTTENS LÄN</t>
        </is>
      </c>
      <c r="E2714" t="inlineStr">
        <is>
          <t>JOKKMOKK</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8511-2021</t>
        </is>
      </c>
      <c r="B2715" s="1" t="n">
        <v>44244</v>
      </c>
      <c r="C2715" s="1" t="n">
        <v>45662</v>
      </c>
      <c r="D2715" t="inlineStr">
        <is>
          <t>NORRBOTTENS LÄN</t>
        </is>
      </c>
      <c r="E2715" t="inlineStr">
        <is>
          <t>ÖVERTORNEÅ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8611-2021</t>
        </is>
      </c>
      <c r="B2716" s="1" t="n">
        <v>44245</v>
      </c>
      <c r="C2716" s="1" t="n">
        <v>45662</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8641-2021</t>
        </is>
      </c>
      <c r="B2717" s="1" t="n">
        <v>44245</v>
      </c>
      <c r="C2717" s="1" t="n">
        <v>45662</v>
      </c>
      <c r="D2717" t="inlineStr">
        <is>
          <t>NORRBOTTENS LÄN</t>
        </is>
      </c>
      <c r="E2717" t="inlineStr">
        <is>
          <t>JOKKMOKK</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8898-2021</t>
        </is>
      </c>
      <c r="B2718" s="1" t="n">
        <v>44245</v>
      </c>
      <c r="C2718" s="1" t="n">
        <v>45662</v>
      </c>
      <c r="D2718" t="inlineStr">
        <is>
          <t>NORRBOTTENS LÄN</t>
        </is>
      </c>
      <c r="E2718" t="inlineStr">
        <is>
          <t>ÖVERTORNEÅ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8834-2021</t>
        </is>
      </c>
      <c r="B2719" s="1" t="n">
        <v>44245</v>
      </c>
      <c r="C2719" s="1" t="n">
        <v>45662</v>
      </c>
      <c r="D2719" t="inlineStr">
        <is>
          <t>NORRBOTTENS LÄN</t>
        </is>
      </c>
      <c r="E2719" t="inlineStr">
        <is>
          <t>LULEÅ</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8855-2021</t>
        </is>
      </c>
      <c r="B2720" s="1" t="n">
        <v>44246</v>
      </c>
      <c r="C2720" s="1" t="n">
        <v>45662</v>
      </c>
      <c r="D2720" t="inlineStr">
        <is>
          <t>NORRBOTTENS LÄN</t>
        </is>
      </c>
      <c r="E2720" t="inlineStr">
        <is>
          <t>JOKKMOKK</t>
        </is>
      </c>
      <c r="F2720" t="inlineStr">
        <is>
          <t>SCA</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8727-2021</t>
        </is>
      </c>
      <c r="B2721" s="1" t="n">
        <v>44246</v>
      </c>
      <c r="C2721" s="1" t="n">
        <v>45662</v>
      </c>
      <c r="D2721" t="inlineStr">
        <is>
          <t>NORRBOTTENS LÄN</t>
        </is>
      </c>
      <c r="E2721" t="inlineStr">
        <is>
          <t>ARJEPLOG</t>
        </is>
      </c>
      <c r="F2721" t="inlineStr">
        <is>
          <t>Sveaskog</t>
        </is>
      </c>
      <c r="G2721" t="n">
        <v>12.9</v>
      </c>
      <c r="H2721" t="n">
        <v>0</v>
      </c>
      <c r="I2721" t="n">
        <v>0</v>
      </c>
      <c r="J2721" t="n">
        <v>0</v>
      </c>
      <c r="K2721" t="n">
        <v>0</v>
      </c>
      <c r="L2721" t="n">
        <v>0</v>
      </c>
      <c r="M2721" t="n">
        <v>0</v>
      </c>
      <c r="N2721" t="n">
        <v>0</v>
      </c>
      <c r="O2721" t="n">
        <v>0</v>
      </c>
      <c r="P2721" t="n">
        <v>0</v>
      </c>
      <c r="Q2721" t="n">
        <v>0</v>
      </c>
      <c r="R2721" s="2" t="inlineStr"/>
    </row>
    <row r="2722" ht="15" customHeight="1">
      <c r="A2722" t="inlineStr">
        <is>
          <t>A 8847-2021</t>
        </is>
      </c>
      <c r="B2722" s="1" t="n">
        <v>44246</v>
      </c>
      <c r="C2722" s="1" t="n">
        <v>45662</v>
      </c>
      <c r="D2722" t="inlineStr">
        <is>
          <t>NORRBOTTENS LÄN</t>
        </is>
      </c>
      <c r="E2722" t="inlineStr">
        <is>
          <t>ÄLVSBYN</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8721-2021</t>
        </is>
      </c>
      <c r="B2723" s="1" t="n">
        <v>44246</v>
      </c>
      <c r="C2723" s="1" t="n">
        <v>45662</v>
      </c>
      <c r="D2723" t="inlineStr">
        <is>
          <t>NORRBOTTENS LÄN</t>
        </is>
      </c>
      <c r="E2723" t="inlineStr">
        <is>
          <t>ARJEPLOG</t>
        </is>
      </c>
      <c r="F2723" t="inlineStr">
        <is>
          <t>Sveaskog</t>
        </is>
      </c>
      <c r="G2723" t="n">
        <v>48.3</v>
      </c>
      <c r="H2723" t="n">
        <v>0</v>
      </c>
      <c r="I2723" t="n">
        <v>0</v>
      </c>
      <c r="J2723" t="n">
        <v>0</v>
      </c>
      <c r="K2723" t="n">
        <v>0</v>
      </c>
      <c r="L2723" t="n">
        <v>0</v>
      </c>
      <c r="M2723" t="n">
        <v>0</v>
      </c>
      <c r="N2723" t="n">
        <v>0</v>
      </c>
      <c r="O2723" t="n">
        <v>0</v>
      </c>
      <c r="P2723" t="n">
        <v>0</v>
      </c>
      <c r="Q2723" t="n">
        <v>0</v>
      </c>
      <c r="R2723" s="2" t="inlineStr"/>
    </row>
    <row r="2724" ht="15" customHeight="1">
      <c r="A2724" t="inlineStr">
        <is>
          <t>A 8891-2021</t>
        </is>
      </c>
      <c r="B2724" s="1" t="n">
        <v>44248</v>
      </c>
      <c r="C2724" s="1" t="n">
        <v>45662</v>
      </c>
      <c r="D2724" t="inlineStr">
        <is>
          <t>NORRBOTTENS LÄN</t>
        </is>
      </c>
      <c r="E2724" t="inlineStr">
        <is>
          <t>BODEN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8889-2021</t>
        </is>
      </c>
      <c r="B2725" s="1" t="n">
        <v>44248</v>
      </c>
      <c r="C2725" s="1" t="n">
        <v>45662</v>
      </c>
      <c r="D2725" t="inlineStr">
        <is>
          <t>NORRBOTTENS LÄN</t>
        </is>
      </c>
      <c r="E2725" t="inlineStr">
        <is>
          <t>BODEN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8886-2021</t>
        </is>
      </c>
      <c r="B2726" s="1" t="n">
        <v>44248</v>
      </c>
      <c r="C2726" s="1" t="n">
        <v>45662</v>
      </c>
      <c r="D2726" t="inlineStr">
        <is>
          <t>NORRBOTTENS LÄN</t>
        </is>
      </c>
      <c r="E2726" t="inlineStr">
        <is>
          <t>BODEN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9497-2021</t>
        </is>
      </c>
      <c r="B2727" s="1" t="n">
        <v>44251</v>
      </c>
      <c r="C2727" s="1" t="n">
        <v>45662</v>
      </c>
      <c r="D2727" t="inlineStr">
        <is>
          <t>NORRBOTTENS LÄN</t>
        </is>
      </c>
      <c r="E2727" t="inlineStr">
        <is>
          <t>HAPARANDA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9474-2021</t>
        </is>
      </c>
      <c r="B2728" s="1" t="n">
        <v>44251</v>
      </c>
      <c r="C2728" s="1" t="n">
        <v>45662</v>
      </c>
      <c r="D2728" t="inlineStr">
        <is>
          <t>NORRBOTTENS LÄN</t>
        </is>
      </c>
      <c r="E2728" t="inlineStr">
        <is>
          <t>HAPARANDA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9838-2021</t>
        </is>
      </c>
      <c r="B2729" s="1" t="n">
        <v>44252</v>
      </c>
      <c r="C2729" s="1" t="n">
        <v>45662</v>
      </c>
      <c r="D2729" t="inlineStr">
        <is>
          <t>NORRBOTTENS LÄN</t>
        </is>
      </c>
      <c r="E2729" t="inlineStr">
        <is>
          <t>ÖVERTORNEÅ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9871-2021</t>
        </is>
      </c>
      <c r="B2730" s="1" t="n">
        <v>44252</v>
      </c>
      <c r="C2730" s="1" t="n">
        <v>45662</v>
      </c>
      <c r="D2730" t="inlineStr">
        <is>
          <t>NORRBOTTENS LÄN</t>
        </is>
      </c>
      <c r="E2730" t="inlineStr">
        <is>
          <t>ARVIDSJAUR</t>
        </is>
      </c>
      <c r="F2730" t="inlineStr">
        <is>
          <t>Allmännings- och besparingsskogar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9842-2021</t>
        </is>
      </c>
      <c r="B2731" s="1" t="n">
        <v>44252</v>
      </c>
      <c r="C2731" s="1" t="n">
        <v>45662</v>
      </c>
      <c r="D2731" t="inlineStr">
        <is>
          <t>NORRBOTTENS LÄN</t>
        </is>
      </c>
      <c r="E2731" t="inlineStr">
        <is>
          <t>ÖVERTORNEÅ</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9864-2021</t>
        </is>
      </c>
      <c r="B2732" s="1" t="n">
        <v>44252</v>
      </c>
      <c r="C2732" s="1" t="n">
        <v>45662</v>
      </c>
      <c r="D2732" t="inlineStr">
        <is>
          <t>NORRBOTTENS LÄN</t>
        </is>
      </c>
      <c r="E2732" t="inlineStr">
        <is>
          <t>ARVIDSJAUR</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10080-2021</t>
        </is>
      </c>
      <c r="B2733" s="1" t="n">
        <v>44256</v>
      </c>
      <c r="C2733" s="1" t="n">
        <v>45662</v>
      </c>
      <c r="D2733" t="inlineStr">
        <is>
          <t>NORRBOTTENS LÄN</t>
        </is>
      </c>
      <c r="E2733" t="inlineStr">
        <is>
          <t>PITEÅ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10188-2021</t>
        </is>
      </c>
      <c r="B2734" s="1" t="n">
        <v>44256</v>
      </c>
      <c r="C2734" s="1" t="n">
        <v>45662</v>
      </c>
      <c r="D2734" t="inlineStr">
        <is>
          <t>NORRBOTTENS LÄN</t>
        </is>
      </c>
      <c r="E2734" t="inlineStr">
        <is>
          <t>ÖVERTORNEÅ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10393-2021</t>
        </is>
      </c>
      <c r="B2735" s="1" t="n">
        <v>44257</v>
      </c>
      <c r="C2735" s="1" t="n">
        <v>45662</v>
      </c>
      <c r="D2735" t="inlineStr">
        <is>
          <t>NORRBOTTENS LÄN</t>
        </is>
      </c>
      <c r="E2735" t="inlineStr">
        <is>
          <t>PITEÅ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10619-2021</t>
        </is>
      </c>
      <c r="B2736" s="1" t="n">
        <v>44258</v>
      </c>
      <c r="C2736" s="1" t="n">
        <v>45662</v>
      </c>
      <c r="D2736" t="inlineStr">
        <is>
          <t>NORRBOTTENS LÄN</t>
        </is>
      </c>
      <c r="E2736" t="inlineStr">
        <is>
          <t>ÖVERTORNEÅ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10757-2021</t>
        </is>
      </c>
      <c r="B2737" s="1" t="n">
        <v>44258</v>
      </c>
      <c r="C2737" s="1" t="n">
        <v>45662</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10951-2021</t>
        </is>
      </c>
      <c r="B2738" s="1" t="n">
        <v>44259</v>
      </c>
      <c r="C2738" s="1" t="n">
        <v>45662</v>
      </c>
      <c r="D2738" t="inlineStr">
        <is>
          <t>NORRBOTTENS LÄN</t>
        </is>
      </c>
      <c r="E2738" t="inlineStr">
        <is>
          <t>LULEÅ</t>
        </is>
      </c>
      <c r="G2738" t="n">
        <v>10.7</v>
      </c>
      <c r="H2738" t="n">
        <v>0</v>
      </c>
      <c r="I2738" t="n">
        <v>0</v>
      </c>
      <c r="J2738" t="n">
        <v>0</v>
      </c>
      <c r="K2738" t="n">
        <v>0</v>
      </c>
      <c r="L2738" t="n">
        <v>0</v>
      </c>
      <c r="M2738" t="n">
        <v>0</v>
      </c>
      <c r="N2738" t="n">
        <v>0</v>
      </c>
      <c r="O2738" t="n">
        <v>0</v>
      </c>
      <c r="P2738" t="n">
        <v>0</v>
      </c>
      <c r="Q2738" t="n">
        <v>0</v>
      </c>
      <c r="R2738" s="2" t="inlineStr"/>
    </row>
    <row r="2739" ht="15" customHeight="1">
      <c r="A2739" t="inlineStr">
        <is>
          <t>A 11076-2021</t>
        </is>
      </c>
      <c r="B2739" s="1" t="n">
        <v>44259</v>
      </c>
      <c r="C2739" s="1" t="n">
        <v>45662</v>
      </c>
      <c r="D2739" t="inlineStr">
        <is>
          <t>NORRBOTTENS LÄN</t>
        </is>
      </c>
      <c r="E2739" t="inlineStr">
        <is>
          <t>ARVIDSJAUR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11259-2021</t>
        </is>
      </c>
      <c r="B2740" s="1" t="n">
        <v>44260</v>
      </c>
      <c r="C2740" s="1" t="n">
        <v>45662</v>
      </c>
      <c r="D2740" t="inlineStr">
        <is>
          <t>NORRBOTTENS LÄN</t>
        </is>
      </c>
      <c r="E2740" t="inlineStr">
        <is>
          <t>KIRUNA</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11294-2021</t>
        </is>
      </c>
      <c r="B2741" s="1" t="n">
        <v>44263</v>
      </c>
      <c r="C2741" s="1" t="n">
        <v>45662</v>
      </c>
      <c r="D2741" t="inlineStr">
        <is>
          <t>NORRBOTTENS LÄN</t>
        </is>
      </c>
      <c r="E2741" t="inlineStr">
        <is>
          <t>KALIX</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11242-2021</t>
        </is>
      </c>
      <c r="B2742" s="1" t="n">
        <v>44263</v>
      </c>
      <c r="C2742" s="1" t="n">
        <v>45662</v>
      </c>
      <c r="D2742" t="inlineStr">
        <is>
          <t>NORRBOTTENS LÄN</t>
        </is>
      </c>
      <c r="E2742" t="inlineStr">
        <is>
          <t>LULEÅ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11734-2021</t>
        </is>
      </c>
      <c r="B2743" s="1" t="n">
        <v>44264</v>
      </c>
      <c r="C2743" s="1" t="n">
        <v>45662</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11848-2021</t>
        </is>
      </c>
      <c r="B2744" s="1" t="n">
        <v>44264</v>
      </c>
      <c r="C2744" s="1" t="n">
        <v>45662</v>
      </c>
      <c r="D2744" t="inlineStr">
        <is>
          <t>NORRBOTTENS LÄN</t>
        </is>
      </c>
      <c r="E2744" t="inlineStr">
        <is>
          <t>LULEÅ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11847-2021</t>
        </is>
      </c>
      <c r="B2745" s="1" t="n">
        <v>44264</v>
      </c>
      <c r="C2745" s="1" t="n">
        <v>45662</v>
      </c>
      <c r="D2745" t="inlineStr">
        <is>
          <t>NORRBOTTENS LÄN</t>
        </is>
      </c>
      <c r="E2745" t="inlineStr">
        <is>
          <t>LULEÅ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12950-2021</t>
        </is>
      </c>
      <c r="B2746" s="1" t="n">
        <v>44271</v>
      </c>
      <c r="C2746" s="1" t="n">
        <v>45662</v>
      </c>
      <c r="D2746" t="inlineStr">
        <is>
          <t>NORRBOTTENS LÄN</t>
        </is>
      </c>
      <c r="E2746" t="inlineStr">
        <is>
          <t>ÄLVSBYN</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13091-2021</t>
        </is>
      </c>
      <c r="B2747" s="1" t="n">
        <v>44271</v>
      </c>
      <c r="C2747" s="1" t="n">
        <v>45662</v>
      </c>
      <c r="D2747" t="inlineStr">
        <is>
          <t>NORRBOTTENS LÄN</t>
        </is>
      </c>
      <c r="E2747" t="inlineStr">
        <is>
          <t>HAPARANDA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13248-2021</t>
        </is>
      </c>
      <c r="B2748" s="1" t="n">
        <v>44272</v>
      </c>
      <c r="C2748" s="1" t="n">
        <v>45662</v>
      </c>
      <c r="D2748" t="inlineStr">
        <is>
          <t>NORRBOTTENS LÄN</t>
        </is>
      </c>
      <c r="E2748" t="inlineStr">
        <is>
          <t>LULEÅ</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13204-2021</t>
        </is>
      </c>
      <c r="B2749" s="1" t="n">
        <v>44272</v>
      </c>
      <c r="C2749" s="1" t="n">
        <v>45662</v>
      </c>
      <c r="D2749" t="inlineStr">
        <is>
          <t>NORRBOTTENS LÄN</t>
        </is>
      </c>
      <c r="E2749" t="inlineStr">
        <is>
          <t>GÄLLIVARE</t>
        </is>
      </c>
      <c r="G2749" t="n">
        <v>41.2</v>
      </c>
      <c r="H2749" t="n">
        <v>0</v>
      </c>
      <c r="I2749" t="n">
        <v>0</v>
      </c>
      <c r="J2749" t="n">
        <v>0</v>
      </c>
      <c r="K2749" t="n">
        <v>0</v>
      </c>
      <c r="L2749" t="n">
        <v>0</v>
      </c>
      <c r="M2749" t="n">
        <v>0</v>
      </c>
      <c r="N2749" t="n">
        <v>0</v>
      </c>
      <c r="O2749" t="n">
        <v>0</v>
      </c>
      <c r="P2749" t="n">
        <v>0</v>
      </c>
      <c r="Q2749" t="n">
        <v>0</v>
      </c>
      <c r="R2749" s="2" t="inlineStr"/>
    </row>
    <row r="2750" ht="15" customHeight="1">
      <c r="A2750" t="inlineStr">
        <is>
          <t>A 13576-2021</t>
        </is>
      </c>
      <c r="B2750" s="1" t="n">
        <v>44273</v>
      </c>
      <c r="C2750" s="1" t="n">
        <v>45662</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13728-2021</t>
        </is>
      </c>
      <c r="B2751" s="1" t="n">
        <v>44274</v>
      </c>
      <c r="C2751" s="1" t="n">
        <v>45662</v>
      </c>
      <c r="D2751" t="inlineStr">
        <is>
          <t>NORRBOTTENS LÄN</t>
        </is>
      </c>
      <c r="E2751" t="inlineStr">
        <is>
          <t>BODEN</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13734-2021</t>
        </is>
      </c>
      <c r="B2752" s="1" t="n">
        <v>44274</v>
      </c>
      <c r="C2752" s="1" t="n">
        <v>45662</v>
      </c>
      <c r="D2752" t="inlineStr">
        <is>
          <t>NORRBOTTENS LÄN</t>
        </is>
      </c>
      <c r="E2752" t="inlineStr">
        <is>
          <t>BODEN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13744-2021</t>
        </is>
      </c>
      <c r="B2753" s="1" t="n">
        <v>44274</v>
      </c>
      <c r="C2753" s="1" t="n">
        <v>45662</v>
      </c>
      <c r="D2753" t="inlineStr">
        <is>
          <t>NORRBOTTENS LÄN</t>
        </is>
      </c>
      <c r="E2753" t="inlineStr">
        <is>
          <t>BODEN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15491-2021</t>
        </is>
      </c>
      <c r="B2754" s="1" t="n">
        <v>44274</v>
      </c>
      <c r="C2754" s="1" t="n">
        <v>45662</v>
      </c>
      <c r="D2754" t="inlineStr">
        <is>
          <t>NORRBOTTENS LÄN</t>
        </is>
      </c>
      <c r="E2754" t="inlineStr">
        <is>
          <t>BODEN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13657-2021</t>
        </is>
      </c>
      <c r="B2755" s="1" t="n">
        <v>44274</v>
      </c>
      <c r="C2755" s="1" t="n">
        <v>45662</v>
      </c>
      <c r="D2755" t="inlineStr">
        <is>
          <t>NORRBOTTENS LÄN</t>
        </is>
      </c>
      <c r="E2755" t="inlineStr">
        <is>
          <t>BODEN</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13740-2021</t>
        </is>
      </c>
      <c r="B2756" s="1" t="n">
        <v>44274</v>
      </c>
      <c r="C2756" s="1" t="n">
        <v>45662</v>
      </c>
      <c r="D2756" t="inlineStr">
        <is>
          <t>NORRBOTTENS LÄN</t>
        </is>
      </c>
      <c r="E2756" t="inlineStr">
        <is>
          <t>BODEN</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13866-2021</t>
        </is>
      </c>
      <c r="B2757" s="1" t="n">
        <v>44277</v>
      </c>
      <c r="C2757" s="1" t="n">
        <v>45662</v>
      </c>
      <c r="D2757" t="inlineStr">
        <is>
          <t>NORRBOTTENS LÄN</t>
        </is>
      </c>
      <c r="E2757" t="inlineStr">
        <is>
          <t>ÖVERTORNEÅ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13864-2021</t>
        </is>
      </c>
      <c r="B2758" s="1" t="n">
        <v>44277</v>
      </c>
      <c r="C2758" s="1" t="n">
        <v>45662</v>
      </c>
      <c r="D2758" t="inlineStr">
        <is>
          <t>NORRBOTTENS LÄN</t>
        </is>
      </c>
      <c r="E2758" t="inlineStr">
        <is>
          <t>ÖVERTORNEÅ</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13861-2021</t>
        </is>
      </c>
      <c r="B2759" s="1" t="n">
        <v>44277</v>
      </c>
      <c r="C2759" s="1" t="n">
        <v>45662</v>
      </c>
      <c r="D2759" t="inlineStr">
        <is>
          <t>NORRBOTTENS LÄN</t>
        </is>
      </c>
      <c r="E2759" t="inlineStr">
        <is>
          <t>ÖVERTORNEÅ</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13870-2021</t>
        </is>
      </c>
      <c r="B2760" s="1" t="n">
        <v>44277</v>
      </c>
      <c r="C2760" s="1" t="n">
        <v>45662</v>
      </c>
      <c r="D2760" t="inlineStr">
        <is>
          <t>NORRBOTTENS LÄN</t>
        </is>
      </c>
      <c r="E2760" t="inlineStr">
        <is>
          <t>ÖVERTORNEÅ</t>
        </is>
      </c>
      <c r="G2760" t="n">
        <v>10.8</v>
      </c>
      <c r="H2760" t="n">
        <v>0</v>
      </c>
      <c r="I2760" t="n">
        <v>0</v>
      </c>
      <c r="J2760" t="n">
        <v>0</v>
      </c>
      <c r="K2760" t="n">
        <v>0</v>
      </c>
      <c r="L2760" t="n">
        <v>0</v>
      </c>
      <c r="M2760" t="n">
        <v>0</v>
      </c>
      <c r="N2760" t="n">
        <v>0</v>
      </c>
      <c r="O2760" t="n">
        <v>0</v>
      </c>
      <c r="P2760" t="n">
        <v>0</v>
      </c>
      <c r="Q2760" t="n">
        <v>0</v>
      </c>
      <c r="R2760" s="2" t="inlineStr"/>
    </row>
    <row r="2761" ht="15" customHeight="1">
      <c r="A2761" t="inlineStr">
        <is>
          <t>A 13919-2021</t>
        </is>
      </c>
      <c r="B2761" s="1" t="n">
        <v>44277</v>
      </c>
      <c r="C2761" s="1" t="n">
        <v>45662</v>
      </c>
      <c r="D2761" t="inlineStr">
        <is>
          <t>NORRBOTTENS LÄN</t>
        </is>
      </c>
      <c r="E2761" t="inlineStr">
        <is>
          <t>PAJALA</t>
        </is>
      </c>
      <c r="F2761" t="inlineStr">
        <is>
          <t>Allmännings- och besparingsskogar</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13859-2021</t>
        </is>
      </c>
      <c r="B2762" s="1" t="n">
        <v>44277</v>
      </c>
      <c r="C2762" s="1" t="n">
        <v>45662</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13877-2021</t>
        </is>
      </c>
      <c r="B2763" s="1" t="n">
        <v>44277</v>
      </c>
      <c r="C2763" s="1" t="n">
        <v>45662</v>
      </c>
      <c r="D2763" t="inlineStr">
        <is>
          <t>NORRBOTTENS LÄN</t>
        </is>
      </c>
      <c r="E2763" t="inlineStr">
        <is>
          <t>ÖVERTORNEÅ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14309-2021</t>
        </is>
      </c>
      <c r="B2764" s="1" t="n">
        <v>44278</v>
      </c>
      <c r="C2764" s="1" t="n">
        <v>45662</v>
      </c>
      <c r="D2764" t="inlineStr">
        <is>
          <t>NORRBOTTENS LÄN</t>
        </is>
      </c>
      <c r="E2764" t="inlineStr">
        <is>
          <t>PAJALA</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14340-2021</t>
        </is>
      </c>
      <c r="B2765" s="1" t="n">
        <v>44279</v>
      </c>
      <c r="C2765" s="1" t="n">
        <v>45662</v>
      </c>
      <c r="D2765" t="inlineStr">
        <is>
          <t>NORRBOTTENS LÄN</t>
        </is>
      </c>
      <c r="E2765" t="inlineStr">
        <is>
          <t>BODEN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14380-2021</t>
        </is>
      </c>
      <c r="B2766" s="1" t="n">
        <v>44279</v>
      </c>
      <c r="C2766" s="1" t="n">
        <v>45662</v>
      </c>
      <c r="D2766" t="inlineStr">
        <is>
          <t>NORRBOTTENS LÄN</t>
        </is>
      </c>
      <c r="E2766" t="inlineStr">
        <is>
          <t>BODEN</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14375-2021</t>
        </is>
      </c>
      <c r="B2767" s="1" t="n">
        <v>44279</v>
      </c>
      <c r="C2767" s="1" t="n">
        <v>45662</v>
      </c>
      <c r="D2767" t="inlineStr">
        <is>
          <t>NORRBOTTENS LÄN</t>
        </is>
      </c>
      <c r="E2767" t="inlineStr">
        <is>
          <t>ARJEPLOG</t>
        </is>
      </c>
      <c r="F2767" t="inlineStr">
        <is>
          <t>Övriga statliga verk och myndigheter</t>
        </is>
      </c>
      <c r="G2767" t="n">
        <v>60</v>
      </c>
      <c r="H2767" t="n">
        <v>0</v>
      </c>
      <c r="I2767" t="n">
        <v>0</v>
      </c>
      <c r="J2767" t="n">
        <v>0</v>
      </c>
      <c r="K2767" t="n">
        <v>0</v>
      </c>
      <c r="L2767" t="n">
        <v>0</v>
      </c>
      <c r="M2767" t="n">
        <v>0</v>
      </c>
      <c r="N2767" t="n">
        <v>0</v>
      </c>
      <c r="O2767" t="n">
        <v>0</v>
      </c>
      <c r="P2767" t="n">
        <v>0</v>
      </c>
      <c r="Q2767" t="n">
        <v>0</v>
      </c>
      <c r="R2767" s="2" t="inlineStr"/>
    </row>
    <row r="2768" ht="15" customHeight="1">
      <c r="A2768" t="inlineStr">
        <is>
          <t>A 14562-2021</t>
        </is>
      </c>
      <c r="B2768" s="1" t="n">
        <v>44279</v>
      </c>
      <c r="C2768" s="1" t="n">
        <v>45662</v>
      </c>
      <c r="D2768" t="inlineStr">
        <is>
          <t>NORRBOTTENS LÄN</t>
        </is>
      </c>
      <c r="E2768" t="inlineStr">
        <is>
          <t>PAJALA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14513-2021</t>
        </is>
      </c>
      <c r="B2769" s="1" t="n">
        <v>44279</v>
      </c>
      <c r="C2769" s="1" t="n">
        <v>45662</v>
      </c>
      <c r="D2769" t="inlineStr">
        <is>
          <t>NORRBOTTENS LÄN</t>
        </is>
      </c>
      <c r="E2769" t="inlineStr">
        <is>
          <t>PAJALA</t>
        </is>
      </c>
      <c r="G2769" t="n">
        <v>25.5</v>
      </c>
      <c r="H2769" t="n">
        <v>0</v>
      </c>
      <c r="I2769" t="n">
        <v>0</v>
      </c>
      <c r="J2769" t="n">
        <v>0</v>
      </c>
      <c r="K2769" t="n">
        <v>0</v>
      </c>
      <c r="L2769" t="n">
        <v>0</v>
      </c>
      <c r="M2769" t="n">
        <v>0</v>
      </c>
      <c r="N2769" t="n">
        <v>0</v>
      </c>
      <c r="O2769" t="n">
        <v>0</v>
      </c>
      <c r="P2769" t="n">
        <v>0</v>
      </c>
      <c r="Q2769" t="n">
        <v>0</v>
      </c>
      <c r="R2769" s="2" t="inlineStr"/>
    </row>
    <row r="2770" ht="15" customHeight="1">
      <c r="A2770" t="inlineStr">
        <is>
          <t>A 14634-2021</t>
        </is>
      </c>
      <c r="B2770" s="1" t="n">
        <v>44279</v>
      </c>
      <c r="C2770" s="1" t="n">
        <v>45662</v>
      </c>
      <c r="D2770" t="inlineStr">
        <is>
          <t>NORRBOTTENS LÄN</t>
        </is>
      </c>
      <c r="E2770" t="inlineStr">
        <is>
          <t>PAJALA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14849-2021</t>
        </is>
      </c>
      <c r="B2771" s="1" t="n">
        <v>44280</v>
      </c>
      <c r="C2771" s="1" t="n">
        <v>45662</v>
      </c>
      <c r="D2771" t="inlineStr">
        <is>
          <t>NORRBOTTENS LÄN</t>
        </is>
      </c>
      <c r="E2771" t="inlineStr">
        <is>
          <t>PITEÅ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14680-2021</t>
        </is>
      </c>
      <c r="B2772" s="1" t="n">
        <v>44280</v>
      </c>
      <c r="C2772" s="1" t="n">
        <v>45662</v>
      </c>
      <c r="D2772" t="inlineStr">
        <is>
          <t>NORRBOTTENS LÄN</t>
        </is>
      </c>
      <c r="E2772" t="inlineStr">
        <is>
          <t>HAPARANDA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14891-2021</t>
        </is>
      </c>
      <c r="B2773" s="1" t="n">
        <v>44280</v>
      </c>
      <c r="C2773" s="1" t="n">
        <v>45662</v>
      </c>
      <c r="D2773" t="inlineStr">
        <is>
          <t>NORRBOTTENS LÄN</t>
        </is>
      </c>
      <c r="E2773" t="inlineStr">
        <is>
          <t>LULEÅ</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14866-2021</t>
        </is>
      </c>
      <c r="B2774" s="1" t="n">
        <v>44280</v>
      </c>
      <c r="C2774" s="1" t="n">
        <v>45662</v>
      </c>
      <c r="D2774" t="inlineStr">
        <is>
          <t>NORRBOTTENS LÄN</t>
        </is>
      </c>
      <c r="E2774" t="inlineStr">
        <is>
          <t>ÄLVSBYN</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14863-2021</t>
        </is>
      </c>
      <c r="B2775" s="1" t="n">
        <v>44280</v>
      </c>
      <c r="C2775" s="1" t="n">
        <v>45662</v>
      </c>
      <c r="D2775" t="inlineStr">
        <is>
          <t>NORRBOTTENS LÄN</t>
        </is>
      </c>
      <c r="E2775" t="inlineStr">
        <is>
          <t>ÄLVSBYN</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14864-2021</t>
        </is>
      </c>
      <c r="B2776" s="1" t="n">
        <v>44280</v>
      </c>
      <c r="C2776" s="1" t="n">
        <v>45662</v>
      </c>
      <c r="D2776" t="inlineStr">
        <is>
          <t>NORRBOTTENS LÄN</t>
        </is>
      </c>
      <c r="E2776" t="inlineStr">
        <is>
          <t>ÄLVSBYN</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14886-2021</t>
        </is>
      </c>
      <c r="B2777" s="1" t="n">
        <v>44280</v>
      </c>
      <c r="C2777" s="1" t="n">
        <v>45662</v>
      </c>
      <c r="D2777" t="inlineStr">
        <is>
          <t>NORRBOTTENS LÄN</t>
        </is>
      </c>
      <c r="E2777" t="inlineStr">
        <is>
          <t>LULEÅ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15065-2021</t>
        </is>
      </c>
      <c r="B2778" s="1" t="n">
        <v>44281</v>
      </c>
      <c r="C2778" s="1" t="n">
        <v>45662</v>
      </c>
      <c r="D2778" t="inlineStr">
        <is>
          <t>NORRBOTTENS LÄN</t>
        </is>
      </c>
      <c r="E2778" t="inlineStr">
        <is>
          <t>PITEÅ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15075-2021</t>
        </is>
      </c>
      <c r="B2779" s="1" t="n">
        <v>44281</v>
      </c>
      <c r="C2779" s="1" t="n">
        <v>45662</v>
      </c>
      <c r="D2779" t="inlineStr">
        <is>
          <t>NORRBOTTENS LÄN</t>
        </is>
      </c>
      <c r="E2779" t="inlineStr">
        <is>
          <t>ÖVERKALIX</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15080-2021</t>
        </is>
      </c>
      <c r="B2780" s="1" t="n">
        <v>44281</v>
      </c>
      <c r="C2780" s="1" t="n">
        <v>45662</v>
      </c>
      <c r="D2780" t="inlineStr">
        <is>
          <t>NORRBOTTENS LÄN</t>
        </is>
      </c>
      <c r="E2780" t="inlineStr">
        <is>
          <t>PITEÅ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15081-2021</t>
        </is>
      </c>
      <c r="B2781" s="1" t="n">
        <v>44281</v>
      </c>
      <c r="C2781" s="1" t="n">
        <v>45662</v>
      </c>
      <c r="D2781" t="inlineStr">
        <is>
          <t>NORRBOTTENS LÄN</t>
        </is>
      </c>
      <c r="E2781" t="inlineStr">
        <is>
          <t>PITEÅ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15159-2021</t>
        </is>
      </c>
      <c r="B2782" s="1" t="n">
        <v>44284</v>
      </c>
      <c r="C2782" s="1" t="n">
        <v>45662</v>
      </c>
      <c r="D2782" t="inlineStr">
        <is>
          <t>NORRBOTTENS LÄN</t>
        </is>
      </c>
      <c r="E2782" t="inlineStr">
        <is>
          <t>BODEN</t>
        </is>
      </c>
      <c r="F2782" t="inlineStr">
        <is>
          <t>Övriga statliga verk och myndigheter</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15157-2021</t>
        </is>
      </c>
      <c r="B2783" s="1" t="n">
        <v>44284</v>
      </c>
      <c r="C2783" s="1" t="n">
        <v>45662</v>
      </c>
      <c r="D2783" t="inlineStr">
        <is>
          <t>NORRBOTTENS LÄN</t>
        </is>
      </c>
      <c r="E2783" t="inlineStr">
        <is>
          <t>HAPARANDA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15238-2021</t>
        </is>
      </c>
      <c r="B2784" s="1" t="n">
        <v>44284</v>
      </c>
      <c r="C2784" s="1" t="n">
        <v>45662</v>
      </c>
      <c r="D2784" t="inlineStr">
        <is>
          <t>NORRBOTTENS LÄN</t>
        </is>
      </c>
      <c r="E2784" t="inlineStr">
        <is>
          <t>ÖVERTORNEÅ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15240-2021</t>
        </is>
      </c>
      <c r="B2785" s="1" t="n">
        <v>44284</v>
      </c>
      <c r="C2785" s="1" t="n">
        <v>45662</v>
      </c>
      <c r="D2785" t="inlineStr">
        <is>
          <t>NORRBOTTENS LÄN</t>
        </is>
      </c>
      <c r="E2785" t="inlineStr">
        <is>
          <t>ÖVERTORNEÅ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15239-2021</t>
        </is>
      </c>
      <c r="B2786" s="1" t="n">
        <v>44284</v>
      </c>
      <c r="C2786" s="1" t="n">
        <v>45662</v>
      </c>
      <c r="D2786" t="inlineStr">
        <is>
          <t>NORRBOTTENS LÄN</t>
        </is>
      </c>
      <c r="E2786" t="inlineStr">
        <is>
          <t>ÖVERTORNEÅ</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15246-2021</t>
        </is>
      </c>
      <c r="B2787" s="1" t="n">
        <v>44284</v>
      </c>
      <c r="C2787" s="1" t="n">
        <v>45662</v>
      </c>
      <c r="D2787" t="inlineStr">
        <is>
          <t>NORRBOTTENS LÄN</t>
        </is>
      </c>
      <c r="E2787" t="inlineStr">
        <is>
          <t>ÖVERTORNEÅ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15513-2021</t>
        </is>
      </c>
      <c r="B2788" s="1" t="n">
        <v>44285</v>
      </c>
      <c r="C2788" s="1" t="n">
        <v>45662</v>
      </c>
      <c r="D2788" t="inlineStr">
        <is>
          <t>NORRBOTTENS LÄN</t>
        </is>
      </c>
      <c r="E2788" t="inlineStr">
        <is>
          <t>PITEÅ</t>
        </is>
      </c>
      <c r="F2788" t="inlineStr">
        <is>
          <t>Sveaskog</t>
        </is>
      </c>
      <c r="G2788" t="n">
        <v>40.1</v>
      </c>
      <c r="H2788" t="n">
        <v>0</v>
      </c>
      <c r="I2788" t="n">
        <v>0</v>
      </c>
      <c r="J2788" t="n">
        <v>0</v>
      </c>
      <c r="K2788" t="n">
        <v>0</v>
      </c>
      <c r="L2788" t="n">
        <v>0</v>
      </c>
      <c r="M2788" t="n">
        <v>0</v>
      </c>
      <c r="N2788" t="n">
        <v>0</v>
      </c>
      <c r="O2788" t="n">
        <v>0</v>
      </c>
      <c r="P2788" t="n">
        <v>0</v>
      </c>
      <c r="Q2788" t="n">
        <v>0</v>
      </c>
      <c r="R2788" s="2" t="inlineStr"/>
    </row>
    <row r="2789" ht="15" customHeight="1">
      <c r="A2789" t="inlineStr">
        <is>
          <t>A 15638-2021</t>
        </is>
      </c>
      <c r="B2789" s="1" t="n">
        <v>44286</v>
      </c>
      <c r="C2789" s="1" t="n">
        <v>45662</v>
      </c>
      <c r="D2789" t="inlineStr">
        <is>
          <t>NORRBOTTENS LÄN</t>
        </is>
      </c>
      <c r="E2789" t="inlineStr">
        <is>
          <t>PITEÅ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15880-2021</t>
        </is>
      </c>
      <c r="B2790" s="1" t="n">
        <v>44286</v>
      </c>
      <c r="C2790" s="1" t="n">
        <v>45662</v>
      </c>
      <c r="D2790" t="inlineStr">
        <is>
          <t>NORRBOTTENS LÄN</t>
        </is>
      </c>
      <c r="E2790" t="inlineStr">
        <is>
          <t>BODEN</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15885-2021</t>
        </is>
      </c>
      <c r="B2791" s="1" t="n">
        <v>44286</v>
      </c>
      <c r="C2791" s="1" t="n">
        <v>45662</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15956-2021</t>
        </is>
      </c>
      <c r="B2792" s="1" t="n">
        <v>44286</v>
      </c>
      <c r="C2792" s="1" t="n">
        <v>45662</v>
      </c>
      <c r="D2792" t="inlineStr">
        <is>
          <t>NORRBOTTENS LÄN</t>
        </is>
      </c>
      <c r="E2792" t="inlineStr">
        <is>
          <t>KALIX</t>
        </is>
      </c>
      <c r="G2792" t="n">
        <v>16.8</v>
      </c>
      <c r="H2792" t="n">
        <v>0</v>
      </c>
      <c r="I2792" t="n">
        <v>0</v>
      </c>
      <c r="J2792" t="n">
        <v>0</v>
      </c>
      <c r="K2792" t="n">
        <v>0</v>
      </c>
      <c r="L2792" t="n">
        <v>0</v>
      </c>
      <c r="M2792" t="n">
        <v>0</v>
      </c>
      <c r="N2792" t="n">
        <v>0</v>
      </c>
      <c r="O2792" t="n">
        <v>0</v>
      </c>
      <c r="P2792" t="n">
        <v>0</v>
      </c>
      <c r="Q2792" t="n">
        <v>0</v>
      </c>
      <c r="R2792" s="2" t="inlineStr"/>
    </row>
    <row r="2793" ht="15" customHeight="1">
      <c r="A2793" t="inlineStr">
        <is>
          <t>A 15884-2021</t>
        </is>
      </c>
      <c r="B2793" s="1" t="n">
        <v>44286</v>
      </c>
      <c r="C2793" s="1" t="n">
        <v>45662</v>
      </c>
      <c r="D2793" t="inlineStr">
        <is>
          <t>NORRBOTTENS LÄN</t>
        </is>
      </c>
      <c r="E2793" t="inlineStr">
        <is>
          <t>BODEN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15958-2021</t>
        </is>
      </c>
      <c r="B2794" s="1" t="n">
        <v>44287</v>
      </c>
      <c r="C2794" s="1" t="n">
        <v>45662</v>
      </c>
      <c r="D2794" t="inlineStr">
        <is>
          <t>NORRBOTTENS LÄN</t>
        </is>
      </c>
      <c r="E2794" t="inlineStr">
        <is>
          <t>KALIX</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16111-2021</t>
        </is>
      </c>
      <c r="B2795" s="1" t="n">
        <v>44291</v>
      </c>
      <c r="C2795" s="1" t="n">
        <v>45662</v>
      </c>
      <c r="D2795" t="inlineStr">
        <is>
          <t>NORRBOTTENS LÄN</t>
        </is>
      </c>
      <c r="E2795" t="inlineStr">
        <is>
          <t>ÖVERTORNEÅ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16112-2021</t>
        </is>
      </c>
      <c r="B2796" s="1" t="n">
        <v>44291</v>
      </c>
      <c r="C2796" s="1" t="n">
        <v>45662</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16265-2021</t>
        </is>
      </c>
      <c r="B2797" s="1" t="n">
        <v>44292</v>
      </c>
      <c r="C2797" s="1" t="n">
        <v>45662</v>
      </c>
      <c r="D2797" t="inlineStr">
        <is>
          <t>NORRBOTTENS LÄN</t>
        </is>
      </c>
      <c r="E2797" t="inlineStr">
        <is>
          <t>PITEÅ</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16213-2021</t>
        </is>
      </c>
      <c r="B2798" s="1" t="n">
        <v>44292</v>
      </c>
      <c r="C2798" s="1" t="n">
        <v>45662</v>
      </c>
      <c r="D2798" t="inlineStr">
        <is>
          <t>NORRBOTTENS LÄN</t>
        </is>
      </c>
      <c r="E2798" t="inlineStr">
        <is>
          <t>BODEN</t>
        </is>
      </c>
      <c r="G2798" t="n">
        <v>21.2</v>
      </c>
      <c r="H2798" t="n">
        <v>0</v>
      </c>
      <c r="I2798" t="n">
        <v>0</v>
      </c>
      <c r="J2798" t="n">
        <v>0</v>
      </c>
      <c r="K2798" t="n">
        <v>0</v>
      </c>
      <c r="L2798" t="n">
        <v>0</v>
      </c>
      <c r="M2798" t="n">
        <v>0</v>
      </c>
      <c r="N2798" t="n">
        <v>0</v>
      </c>
      <c r="O2798" t="n">
        <v>0</v>
      </c>
      <c r="P2798" t="n">
        <v>0</v>
      </c>
      <c r="Q2798" t="n">
        <v>0</v>
      </c>
      <c r="R2798" s="2" t="inlineStr"/>
    </row>
    <row r="2799" ht="15" customHeight="1">
      <c r="A2799" t="inlineStr">
        <is>
          <t>A 16562-2021</t>
        </is>
      </c>
      <c r="B2799" s="1" t="n">
        <v>44294</v>
      </c>
      <c r="C2799" s="1" t="n">
        <v>45662</v>
      </c>
      <c r="D2799" t="inlineStr">
        <is>
          <t>NORRBOTTENS LÄN</t>
        </is>
      </c>
      <c r="E2799" t="inlineStr">
        <is>
          <t>PITEÅ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16554-2021</t>
        </is>
      </c>
      <c r="B2800" s="1" t="n">
        <v>44293</v>
      </c>
      <c r="C2800" s="1" t="n">
        <v>45662</v>
      </c>
      <c r="D2800" t="inlineStr">
        <is>
          <t>NORRBOTTENS LÄN</t>
        </is>
      </c>
      <c r="E2800" t="inlineStr">
        <is>
          <t>BODEN</t>
        </is>
      </c>
      <c r="F2800" t="inlineStr">
        <is>
          <t>Övriga statliga verk och myndigheter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16755-2021</t>
        </is>
      </c>
      <c r="B2801" s="1" t="n">
        <v>44294</v>
      </c>
      <c r="C2801" s="1" t="n">
        <v>45662</v>
      </c>
      <c r="D2801" t="inlineStr">
        <is>
          <t>NORRBOTTENS LÄN</t>
        </is>
      </c>
      <c r="E2801" t="inlineStr">
        <is>
          <t>KIRUNA</t>
        </is>
      </c>
      <c r="G2801" t="n">
        <v>20.8</v>
      </c>
      <c r="H2801" t="n">
        <v>0</v>
      </c>
      <c r="I2801" t="n">
        <v>0</v>
      </c>
      <c r="J2801" t="n">
        <v>0</v>
      </c>
      <c r="K2801" t="n">
        <v>0</v>
      </c>
      <c r="L2801" t="n">
        <v>0</v>
      </c>
      <c r="M2801" t="n">
        <v>0</v>
      </c>
      <c r="N2801" t="n">
        <v>0</v>
      </c>
      <c r="O2801" t="n">
        <v>0</v>
      </c>
      <c r="P2801" t="n">
        <v>0</v>
      </c>
      <c r="Q2801" t="n">
        <v>0</v>
      </c>
      <c r="R2801" s="2" t="inlineStr"/>
    </row>
    <row r="2802" ht="15" customHeight="1">
      <c r="A2802" t="inlineStr">
        <is>
          <t>A 17313-2021</t>
        </is>
      </c>
      <c r="B2802" s="1" t="n">
        <v>44298</v>
      </c>
      <c r="C2802" s="1" t="n">
        <v>45662</v>
      </c>
      <c r="D2802" t="inlineStr">
        <is>
          <t>NORRBOTTENS LÄN</t>
        </is>
      </c>
      <c r="E2802" t="inlineStr">
        <is>
          <t>BODEN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17351-2021</t>
        </is>
      </c>
      <c r="B2803" s="1" t="n">
        <v>44298</v>
      </c>
      <c r="C2803" s="1" t="n">
        <v>45662</v>
      </c>
      <c r="D2803" t="inlineStr">
        <is>
          <t>NORRBOTTENS LÄN</t>
        </is>
      </c>
      <c r="E2803" t="inlineStr">
        <is>
          <t>KALIX</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17597-2021</t>
        </is>
      </c>
      <c r="B2804" s="1" t="n">
        <v>44299</v>
      </c>
      <c r="C2804" s="1" t="n">
        <v>45662</v>
      </c>
      <c r="D2804" t="inlineStr">
        <is>
          <t>NORRBOTTENS LÄN</t>
        </is>
      </c>
      <c r="E2804" t="inlineStr">
        <is>
          <t>BODEN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17781-2021</t>
        </is>
      </c>
      <c r="B2805" s="1" t="n">
        <v>44300</v>
      </c>
      <c r="C2805" s="1" t="n">
        <v>45662</v>
      </c>
      <c r="D2805" t="inlineStr">
        <is>
          <t>NORRBOTTENS LÄN</t>
        </is>
      </c>
      <c r="E2805" t="inlineStr">
        <is>
          <t>KALIX</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17650-2021</t>
        </is>
      </c>
      <c r="B2806" s="1" t="n">
        <v>44300</v>
      </c>
      <c r="C2806" s="1" t="n">
        <v>45662</v>
      </c>
      <c r="D2806" t="inlineStr">
        <is>
          <t>NORRBOTTENS LÄN</t>
        </is>
      </c>
      <c r="E2806" t="inlineStr">
        <is>
          <t>HAPARANDA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17784-2021</t>
        </is>
      </c>
      <c r="B2807" s="1" t="n">
        <v>44300</v>
      </c>
      <c r="C2807" s="1" t="n">
        <v>45662</v>
      </c>
      <c r="D2807" t="inlineStr">
        <is>
          <t>NORRBOTTENS LÄN</t>
        </is>
      </c>
      <c r="E2807" t="inlineStr">
        <is>
          <t>ÄLVSBYN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17980-2021</t>
        </is>
      </c>
      <c r="B2808" s="1" t="n">
        <v>44301</v>
      </c>
      <c r="C2808" s="1" t="n">
        <v>45662</v>
      </c>
      <c r="D2808" t="inlineStr">
        <is>
          <t>NORRBOTTENS LÄN</t>
        </is>
      </c>
      <c r="E2808" t="inlineStr">
        <is>
          <t>BODEN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18449-2021</t>
        </is>
      </c>
      <c r="B2809" s="1" t="n">
        <v>44305</v>
      </c>
      <c r="C2809" s="1" t="n">
        <v>45662</v>
      </c>
      <c r="D2809" t="inlineStr">
        <is>
          <t>NORRBOTTENS LÄN</t>
        </is>
      </c>
      <c r="E2809" t="inlineStr">
        <is>
          <t>ÖVERTORNEÅ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18575-2021</t>
        </is>
      </c>
      <c r="B2810" s="1" t="n">
        <v>44305</v>
      </c>
      <c r="C2810" s="1" t="n">
        <v>45662</v>
      </c>
      <c r="D2810" t="inlineStr">
        <is>
          <t>NORRBOTTENS LÄN</t>
        </is>
      </c>
      <c r="E2810" t="inlineStr">
        <is>
          <t>ÖVERTORNEÅ</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18566-2021</t>
        </is>
      </c>
      <c r="B2811" s="1" t="n">
        <v>44305</v>
      </c>
      <c r="C2811" s="1" t="n">
        <v>45662</v>
      </c>
      <c r="D2811" t="inlineStr">
        <is>
          <t>NORRBOTTENS LÄN</t>
        </is>
      </c>
      <c r="E2811" t="inlineStr">
        <is>
          <t>ÖVERTORNEÅ</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18578-2021</t>
        </is>
      </c>
      <c r="B2812" s="1" t="n">
        <v>44305</v>
      </c>
      <c r="C2812" s="1" t="n">
        <v>45662</v>
      </c>
      <c r="D2812" t="inlineStr">
        <is>
          <t>NORRBOTTENS LÄN</t>
        </is>
      </c>
      <c r="E2812" t="inlineStr">
        <is>
          <t>ÖVERTORNEÅ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18577-2021</t>
        </is>
      </c>
      <c r="B2813" s="1" t="n">
        <v>44305</v>
      </c>
      <c r="C2813" s="1" t="n">
        <v>45662</v>
      </c>
      <c r="D2813" t="inlineStr">
        <is>
          <t>NORRBOTTENS LÄN</t>
        </is>
      </c>
      <c r="E2813" t="inlineStr">
        <is>
          <t>ÖVERTORNEÅ</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18677-2021</t>
        </is>
      </c>
      <c r="B2814" s="1" t="n">
        <v>44307</v>
      </c>
      <c r="C2814" s="1" t="n">
        <v>45662</v>
      </c>
      <c r="D2814" t="inlineStr">
        <is>
          <t>NORRBOTTENS LÄN</t>
        </is>
      </c>
      <c r="E2814" t="inlineStr">
        <is>
          <t>GÄLLIVARE</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18678-2021</t>
        </is>
      </c>
      <c r="B2815" s="1" t="n">
        <v>44307</v>
      </c>
      <c r="C2815" s="1" t="n">
        <v>45662</v>
      </c>
      <c r="D2815" t="inlineStr">
        <is>
          <t>NORRBOTTENS LÄN</t>
        </is>
      </c>
      <c r="E2815" t="inlineStr">
        <is>
          <t>GÄLLIVARE</t>
        </is>
      </c>
      <c r="F2815" t="inlineStr">
        <is>
          <t>SCA</t>
        </is>
      </c>
      <c r="G2815" t="n">
        <v>23.2</v>
      </c>
      <c r="H2815" t="n">
        <v>0</v>
      </c>
      <c r="I2815" t="n">
        <v>0</v>
      </c>
      <c r="J2815" t="n">
        <v>0</v>
      </c>
      <c r="K2815" t="n">
        <v>0</v>
      </c>
      <c r="L2815" t="n">
        <v>0</v>
      </c>
      <c r="M2815" t="n">
        <v>0</v>
      </c>
      <c r="N2815" t="n">
        <v>0</v>
      </c>
      <c r="O2815" t="n">
        <v>0</v>
      </c>
      <c r="P2815" t="n">
        <v>0</v>
      </c>
      <c r="Q2815" t="n">
        <v>0</v>
      </c>
      <c r="R2815" s="2" t="inlineStr"/>
    </row>
    <row r="2816" ht="15" customHeight="1">
      <c r="A2816" t="inlineStr">
        <is>
          <t>A 19362-2021</t>
        </is>
      </c>
      <c r="B2816" s="1" t="n">
        <v>44307</v>
      </c>
      <c r="C2816" s="1" t="n">
        <v>45662</v>
      </c>
      <c r="D2816" t="inlineStr">
        <is>
          <t>NORRBOTTENS LÄN</t>
        </is>
      </c>
      <c r="E2816" t="inlineStr">
        <is>
          <t>HAPARANDA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19365-2021</t>
        </is>
      </c>
      <c r="B2817" s="1" t="n">
        <v>44307</v>
      </c>
      <c r="C2817" s="1" t="n">
        <v>45662</v>
      </c>
      <c r="D2817" t="inlineStr">
        <is>
          <t>NORRBOTTENS LÄN</t>
        </is>
      </c>
      <c r="E2817" t="inlineStr">
        <is>
          <t>HAPARANDA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19172-2021</t>
        </is>
      </c>
      <c r="B2818" s="1" t="n">
        <v>44308</v>
      </c>
      <c r="C2818" s="1" t="n">
        <v>45662</v>
      </c>
      <c r="D2818" t="inlineStr">
        <is>
          <t>NORRBOTTENS LÄN</t>
        </is>
      </c>
      <c r="E2818" t="inlineStr">
        <is>
          <t>PAJALA</t>
        </is>
      </c>
      <c r="G2818" t="n">
        <v>21.9</v>
      </c>
      <c r="H2818" t="n">
        <v>0</v>
      </c>
      <c r="I2818" t="n">
        <v>0</v>
      </c>
      <c r="J2818" t="n">
        <v>0</v>
      </c>
      <c r="K2818" t="n">
        <v>0</v>
      </c>
      <c r="L2818" t="n">
        <v>0</v>
      </c>
      <c r="M2818" t="n">
        <v>0</v>
      </c>
      <c r="N2818" t="n">
        <v>0</v>
      </c>
      <c r="O2818" t="n">
        <v>0</v>
      </c>
      <c r="P2818" t="n">
        <v>0</v>
      </c>
      <c r="Q2818" t="n">
        <v>0</v>
      </c>
      <c r="R2818" s="2" t="inlineStr"/>
    </row>
    <row r="2819" ht="15" customHeight="1">
      <c r="A2819" t="inlineStr">
        <is>
          <t>A 19132-2021</t>
        </is>
      </c>
      <c r="B2819" s="1" t="n">
        <v>44308</v>
      </c>
      <c r="C2819" s="1" t="n">
        <v>45662</v>
      </c>
      <c r="D2819" t="inlineStr">
        <is>
          <t>NORRBOTTENS LÄN</t>
        </is>
      </c>
      <c r="E2819" t="inlineStr">
        <is>
          <t>KALIX</t>
        </is>
      </c>
      <c r="F2819" t="inlineStr">
        <is>
          <t>Sveaskog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19294-2021</t>
        </is>
      </c>
      <c r="B2820" s="1" t="n">
        <v>44308</v>
      </c>
      <c r="C2820" s="1" t="n">
        <v>45662</v>
      </c>
      <c r="D2820" t="inlineStr">
        <is>
          <t>NORRBOTTENS LÄN</t>
        </is>
      </c>
      <c r="E2820" t="inlineStr">
        <is>
          <t>ÄLVSBYN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19270-2021</t>
        </is>
      </c>
      <c r="B2821" s="1" t="n">
        <v>44308</v>
      </c>
      <c r="C2821" s="1" t="n">
        <v>45662</v>
      </c>
      <c r="D2821" t="inlineStr">
        <is>
          <t>NORRBOTTENS LÄN</t>
        </is>
      </c>
      <c r="E2821" t="inlineStr">
        <is>
          <t>ÄLVSBYN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19401-2021</t>
        </is>
      </c>
      <c r="B2822" s="1" t="n">
        <v>44310</v>
      </c>
      <c r="C2822" s="1" t="n">
        <v>45662</v>
      </c>
      <c r="D2822" t="inlineStr">
        <is>
          <t>NORRBOTTENS LÄN</t>
        </is>
      </c>
      <c r="E2822" t="inlineStr">
        <is>
          <t>ÖVERTORNEÅ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19364-2021</t>
        </is>
      </c>
      <c r="B2823" s="1" t="n">
        <v>44309</v>
      </c>
      <c r="C2823" s="1" t="n">
        <v>45662</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19802-2021</t>
        </is>
      </c>
      <c r="B2824" s="1" t="n">
        <v>44312</v>
      </c>
      <c r="C2824" s="1" t="n">
        <v>45662</v>
      </c>
      <c r="D2824" t="inlineStr">
        <is>
          <t>NORRBOTTENS LÄN</t>
        </is>
      </c>
      <c r="E2824" t="inlineStr">
        <is>
          <t>ÖVERKALIX</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19889-2021</t>
        </is>
      </c>
      <c r="B2825" s="1" t="n">
        <v>44312</v>
      </c>
      <c r="C2825" s="1" t="n">
        <v>45662</v>
      </c>
      <c r="D2825" t="inlineStr">
        <is>
          <t>NORRBOTTENS LÄN</t>
        </is>
      </c>
      <c r="E2825" t="inlineStr">
        <is>
          <t>ARVIDSJAUR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19845-2021</t>
        </is>
      </c>
      <c r="B2826" s="1" t="n">
        <v>44312</v>
      </c>
      <c r="C2826" s="1" t="n">
        <v>45662</v>
      </c>
      <c r="D2826" t="inlineStr">
        <is>
          <t>NORRBOTTENS LÄN</t>
        </is>
      </c>
      <c r="E2826" t="inlineStr">
        <is>
          <t>ÖVERTORNEÅ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19904-2021</t>
        </is>
      </c>
      <c r="B2827" s="1" t="n">
        <v>44312</v>
      </c>
      <c r="C2827" s="1" t="n">
        <v>45662</v>
      </c>
      <c r="D2827" t="inlineStr">
        <is>
          <t>NORRBOTTENS LÄN</t>
        </is>
      </c>
      <c r="E2827" t="inlineStr">
        <is>
          <t>ARVIDSJAUR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20738-2021</t>
        </is>
      </c>
      <c r="B2828" s="1" t="n">
        <v>44313</v>
      </c>
      <c r="C2828" s="1" t="n">
        <v>45662</v>
      </c>
      <c r="D2828" t="inlineStr">
        <is>
          <t>NORRBOTTENS LÄN</t>
        </is>
      </c>
      <c r="E2828" t="inlineStr">
        <is>
          <t>BODEN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20756-2021</t>
        </is>
      </c>
      <c r="B2829" s="1" t="n">
        <v>44313</v>
      </c>
      <c r="C2829" s="1" t="n">
        <v>45662</v>
      </c>
      <c r="D2829" t="inlineStr">
        <is>
          <t>NORRBOTTENS LÄN</t>
        </is>
      </c>
      <c r="E2829" t="inlineStr">
        <is>
          <t>BODEN</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20753-2021</t>
        </is>
      </c>
      <c r="B2830" s="1" t="n">
        <v>44313</v>
      </c>
      <c r="C2830" s="1" t="n">
        <v>45662</v>
      </c>
      <c r="D2830" t="inlineStr">
        <is>
          <t>NORRBOTTENS LÄN</t>
        </is>
      </c>
      <c r="E2830" t="inlineStr">
        <is>
          <t>BODEN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20754-2021</t>
        </is>
      </c>
      <c r="B2831" s="1" t="n">
        <v>44313</v>
      </c>
      <c r="C2831" s="1" t="n">
        <v>45662</v>
      </c>
      <c r="D2831" t="inlineStr">
        <is>
          <t>NORRBOTTENS LÄN</t>
        </is>
      </c>
      <c r="E2831" t="inlineStr">
        <is>
          <t>BODEN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20752-2021</t>
        </is>
      </c>
      <c r="B2832" s="1" t="n">
        <v>44313</v>
      </c>
      <c r="C2832" s="1" t="n">
        <v>45662</v>
      </c>
      <c r="D2832" t="inlineStr">
        <is>
          <t>NORRBOTTENS LÄN</t>
        </is>
      </c>
      <c r="E2832" t="inlineStr">
        <is>
          <t>BODEN</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20723-2021</t>
        </is>
      </c>
      <c r="B2833" s="1" t="n">
        <v>44316</v>
      </c>
      <c r="C2833" s="1" t="n">
        <v>45662</v>
      </c>
      <c r="D2833" t="inlineStr">
        <is>
          <t>NORRBOTTENS LÄN</t>
        </is>
      </c>
      <c r="E2833" t="inlineStr">
        <is>
          <t>LULEÅ</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21023-2021</t>
        </is>
      </c>
      <c r="B2834" s="1" t="n">
        <v>44319</v>
      </c>
      <c r="C2834" s="1" t="n">
        <v>45662</v>
      </c>
      <c r="D2834" t="inlineStr">
        <is>
          <t>NORRBOTTENS LÄN</t>
        </is>
      </c>
      <c r="E2834" t="inlineStr">
        <is>
          <t>HAPARANDA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21048-2021</t>
        </is>
      </c>
      <c r="B2835" s="1" t="n">
        <v>44319</v>
      </c>
      <c r="C2835" s="1" t="n">
        <v>45662</v>
      </c>
      <c r="D2835" t="inlineStr">
        <is>
          <t>NORRBOTTENS LÄN</t>
        </is>
      </c>
      <c r="E2835" t="inlineStr">
        <is>
          <t>PAJALA</t>
        </is>
      </c>
      <c r="F2835" t="inlineStr">
        <is>
          <t>Allmännings- och besparingsskogar</t>
        </is>
      </c>
      <c r="G2835" t="n">
        <v>26.5</v>
      </c>
      <c r="H2835" t="n">
        <v>0</v>
      </c>
      <c r="I2835" t="n">
        <v>0</v>
      </c>
      <c r="J2835" t="n">
        <v>0</v>
      </c>
      <c r="K2835" t="n">
        <v>0</v>
      </c>
      <c r="L2835" t="n">
        <v>0</v>
      </c>
      <c r="M2835" t="n">
        <v>0</v>
      </c>
      <c r="N2835" t="n">
        <v>0</v>
      </c>
      <c r="O2835" t="n">
        <v>0</v>
      </c>
      <c r="P2835" t="n">
        <v>0</v>
      </c>
      <c r="Q2835" t="n">
        <v>0</v>
      </c>
      <c r="R2835" s="2" t="inlineStr"/>
    </row>
    <row r="2836" ht="15" customHeight="1">
      <c r="A2836" t="inlineStr">
        <is>
          <t>A 21790-2021</t>
        </is>
      </c>
      <c r="B2836" s="1" t="n">
        <v>44319</v>
      </c>
      <c r="C2836" s="1" t="n">
        <v>45662</v>
      </c>
      <c r="D2836" t="inlineStr">
        <is>
          <t>NORRBOTTENS LÄN</t>
        </is>
      </c>
      <c r="E2836" t="inlineStr">
        <is>
          <t>KALIX</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21792-2021</t>
        </is>
      </c>
      <c r="B2837" s="1" t="n">
        <v>44319</v>
      </c>
      <c r="C2837" s="1" t="n">
        <v>45662</v>
      </c>
      <c r="D2837" t="inlineStr">
        <is>
          <t>NORRBOTTENS LÄN</t>
        </is>
      </c>
      <c r="E2837" t="inlineStr">
        <is>
          <t>KALIX</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21196-2021</t>
        </is>
      </c>
      <c r="B2838" s="1" t="n">
        <v>44319</v>
      </c>
      <c r="C2838" s="1" t="n">
        <v>45662</v>
      </c>
      <c r="D2838" t="inlineStr">
        <is>
          <t>NORRBOTTENS LÄN</t>
        </is>
      </c>
      <c r="E2838" t="inlineStr">
        <is>
          <t>PAJALA</t>
        </is>
      </c>
      <c r="F2838" t="inlineStr">
        <is>
          <t>Allmännings- och besparingsskogar</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21787-2021</t>
        </is>
      </c>
      <c r="B2839" s="1" t="n">
        <v>44319</v>
      </c>
      <c r="C2839" s="1" t="n">
        <v>45662</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21174-2021</t>
        </is>
      </c>
      <c r="B2840" s="1" t="n">
        <v>44319</v>
      </c>
      <c r="C2840" s="1" t="n">
        <v>45662</v>
      </c>
      <c r="D2840" t="inlineStr">
        <is>
          <t>NORRBOTTENS LÄN</t>
        </is>
      </c>
      <c r="E2840" t="inlineStr">
        <is>
          <t>PAJALA</t>
        </is>
      </c>
      <c r="F2840" t="inlineStr">
        <is>
          <t>Allmännings- och besparingsskogar</t>
        </is>
      </c>
      <c r="G2840" t="n">
        <v>32.1</v>
      </c>
      <c r="H2840" t="n">
        <v>0</v>
      </c>
      <c r="I2840" t="n">
        <v>0</v>
      </c>
      <c r="J2840" t="n">
        <v>0</v>
      </c>
      <c r="K2840" t="n">
        <v>0</v>
      </c>
      <c r="L2840" t="n">
        <v>0</v>
      </c>
      <c r="M2840" t="n">
        <v>0</v>
      </c>
      <c r="N2840" t="n">
        <v>0</v>
      </c>
      <c r="O2840" t="n">
        <v>0</v>
      </c>
      <c r="P2840" t="n">
        <v>0</v>
      </c>
      <c r="Q2840" t="n">
        <v>0</v>
      </c>
      <c r="R2840" s="2" t="inlineStr"/>
    </row>
    <row r="2841" ht="15" customHeight="1">
      <c r="A2841" t="inlineStr">
        <is>
          <t>A 21270-2021</t>
        </is>
      </c>
      <c r="B2841" s="1" t="n">
        <v>44320</v>
      </c>
      <c r="C2841" s="1" t="n">
        <v>45662</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21230-2021</t>
        </is>
      </c>
      <c r="B2842" s="1" t="n">
        <v>44320</v>
      </c>
      <c r="C2842" s="1" t="n">
        <v>45662</v>
      </c>
      <c r="D2842" t="inlineStr">
        <is>
          <t>NORRBOTTENS LÄN</t>
        </is>
      </c>
      <c r="E2842" t="inlineStr">
        <is>
          <t>PAJALA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21226-2021</t>
        </is>
      </c>
      <c r="B2843" s="1" t="n">
        <v>44320</v>
      </c>
      <c r="C2843" s="1" t="n">
        <v>45662</v>
      </c>
      <c r="D2843" t="inlineStr">
        <is>
          <t>NORRBOTTENS LÄN</t>
        </is>
      </c>
      <c r="E2843" t="inlineStr">
        <is>
          <t>PAJALA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21271-2021</t>
        </is>
      </c>
      <c r="B2844" s="1" t="n">
        <v>44320</v>
      </c>
      <c r="C2844" s="1" t="n">
        <v>45662</v>
      </c>
      <c r="D2844" t="inlineStr">
        <is>
          <t>NORRBOTTENS LÄN</t>
        </is>
      </c>
      <c r="E2844" t="inlineStr">
        <is>
          <t>ARVIDSJAUR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21272-2021</t>
        </is>
      </c>
      <c r="B2845" s="1" t="n">
        <v>44320</v>
      </c>
      <c r="C2845" s="1" t="n">
        <v>45662</v>
      </c>
      <c r="D2845" t="inlineStr">
        <is>
          <t>NORRBOTTENS LÄN</t>
        </is>
      </c>
      <c r="E2845" t="inlineStr">
        <is>
          <t>ARVIDSJAUR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21340-2021</t>
        </is>
      </c>
      <c r="B2846" s="1" t="n">
        <v>44320</v>
      </c>
      <c r="C2846" s="1" t="n">
        <v>45662</v>
      </c>
      <c r="D2846" t="inlineStr">
        <is>
          <t>NORRBOTTENS LÄN</t>
        </is>
      </c>
      <c r="E2846" t="inlineStr">
        <is>
          <t>PITEÅ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21425-2021</t>
        </is>
      </c>
      <c r="B2847" s="1" t="n">
        <v>44321</v>
      </c>
      <c r="C2847" s="1" t="n">
        <v>45662</v>
      </c>
      <c r="D2847" t="inlineStr">
        <is>
          <t>NORRBOTTENS LÄN</t>
        </is>
      </c>
      <c r="E2847" t="inlineStr">
        <is>
          <t>GÄLLIVARE</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21441-2021</t>
        </is>
      </c>
      <c r="B2848" s="1" t="n">
        <v>44321</v>
      </c>
      <c r="C2848" s="1" t="n">
        <v>45662</v>
      </c>
      <c r="D2848" t="inlineStr">
        <is>
          <t>NORRBOTTENS LÄN</t>
        </is>
      </c>
      <c r="E2848" t="inlineStr">
        <is>
          <t>GÄLLIVARE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21652-2021</t>
        </is>
      </c>
      <c r="B2849" s="1" t="n">
        <v>44321</v>
      </c>
      <c r="C2849" s="1" t="n">
        <v>45662</v>
      </c>
      <c r="D2849" t="inlineStr">
        <is>
          <t>NORRBOTTENS LÄN</t>
        </is>
      </c>
      <c r="E2849" t="inlineStr">
        <is>
          <t>PITEÅ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22328-2021</t>
        </is>
      </c>
      <c r="B2850" s="1" t="n">
        <v>44321</v>
      </c>
      <c r="C2850" s="1" t="n">
        <v>45662</v>
      </c>
      <c r="D2850" t="inlineStr">
        <is>
          <t>NORRBOTTENS LÄN</t>
        </is>
      </c>
      <c r="E2850" t="inlineStr">
        <is>
          <t>ARVIDSJAUR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21646-2021</t>
        </is>
      </c>
      <c r="B2851" s="1" t="n">
        <v>44321</v>
      </c>
      <c r="C2851" s="1" t="n">
        <v>45662</v>
      </c>
      <c r="D2851" t="inlineStr">
        <is>
          <t>NORRBOTTENS LÄN</t>
        </is>
      </c>
      <c r="E2851" t="inlineStr">
        <is>
          <t>PITEÅ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21657-2021</t>
        </is>
      </c>
      <c r="B2852" s="1" t="n">
        <v>44322</v>
      </c>
      <c r="C2852" s="1" t="n">
        <v>45662</v>
      </c>
      <c r="D2852" t="inlineStr">
        <is>
          <t>NORRBOTTENS LÄN</t>
        </is>
      </c>
      <c r="E2852" t="inlineStr">
        <is>
          <t>PAJALA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21748-2021</t>
        </is>
      </c>
      <c r="B2853" s="1" t="n">
        <v>44322</v>
      </c>
      <c r="C2853" s="1" t="n">
        <v>45662</v>
      </c>
      <c r="D2853" t="inlineStr">
        <is>
          <t>NORRBOTTENS LÄN</t>
        </is>
      </c>
      <c r="E2853" t="inlineStr">
        <is>
          <t>HAPARANDA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21861-2021</t>
        </is>
      </c>
      <c r="B2854" s="1" t="n">
        <v>44322</v>
      </c>
      <c r="C2854" s="1" t="n">
        <v>45662</v>
      </c>
      <c r="D2854" t="inlineStr">
        <is>
          <t>NORRBOTTENS LÄN</t>
        </is>
      </c>
      <c r="E2854" t="inlineStr">
        <is>
          <t>BODEN</t>
        </is>
      </c>
      <c r="G2854" t="n">
        <v>34.6</v>
      </c>
      <c r="H2854" t="n">
        <v>0</v>
      </c>
      <c r="I2854" t="n">
        <v>0</v>
      </c>
      <c r="J2854" t="n">
        <v>0</v>
      </c>
      <c r="K2854" t="n">
        <v>0</v>
      </c>
      <c r="L2854" t="n">
        <v>0</v>
      </c>
      <c r="M2854" t="n">
        <v>0</v>
      </c>
      <c r="N2854" t="n">
        <v>0</v>
      </c>
      <c r="O2854" t="n">
        <v>0</v>
      </c>
      <c r="P2854" t="n">
        <v>0</v>
      </c>
      <c r="Q2854" t="n">
        <v>0</v>
      </c>
      <c r="R2854" s="2" t="inlineStr"/>
    </row>
    <row r="2855" ht="15" customHeight="1">
      <c r="A2855" t="inlineStr">
        <is>
          <t>A 21797-2021</t>
        </is>
      </c>
      <c r="B2855" s="1" t="n">
        <v>44322</v>
      </c>
      <c r="C2855" s="1" t="n">
        <v>45662</v>
      </c>
      <c r="D2855" t="inlineStr">
        <is>
          <t>NORRBOTTENS LÄN</t>
        </is>
      </c>
      <c r="E2855" t="inlineStr">
        <is>
          <t>ARVIDSJAUR</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22364-2021</t>
        </is>
      </c>
      <c r="B2856" s="1" t="n">
        <v>44322</v>
      </c>
      <c r="C2856" s="1" t="n">
        <v>45662</v>
      </c>
      <c r="D2856" t="inlineStr">
        <is>
          <t>NORRBOTTENS LÄN</t>
        </is>
      </c>
      <c r="E2856" t="inlineStr">
        <is>
          <t>LULEÅ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22278-2021</t>
        </is>
      </c>
      <c r="B2857" s="1" t="n">
        <v>44326</v>
      </c>
      <c r="C2857" s="1" t="n">
        <v>45662</v>
      </c>
      <c r="D2857" t="inlineStr">
        <is>
          <t>NORRBOTTENS LÄN</t>
        </is>
      </c>
      <c r="E2857" t="inlineStr">
        <is>
          <t>PITEÅ</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22394-2021</t>
        </is>
      </c>
      <c r="B2858" s="1" t="n">
        <v>44326</v>
      </c>
      <c r="C2858" s="1" t="n">
        <v>45662</v>
      </c>
      <c r="D2858" t="inlineStr">
        <is>
          <t>NORRBOTTENS LÄN</t>
        </is>
      </c>
      <c r="E2858" t="inlineStr">
        <is>
          <t>PITEÅ</t>
        </is>
      </c>
      <c r="F2858" t="inlineStr">
        <is>
          <t>Övriga Aktiebolag</t>
        </is>
      </c>
      <c r="G2858" t="n">
        <v>23.9</v>
      </c>
      <c r="H2858" t="n">
        <v>0</v>
      </c>
      <c r="I2858" t="n">
        <v>0</v>
      </c>
      <c r="J2858" t="n">
        <v>0</v>
      </c>
      <c r="K2858" t="n">
        <v>0</v>
      </c>
      <c r="L2858" t="n">
        <v>0</v>
      </c>
      <c r="M2858" t="n">
        <v>0</v>
      </c>
      <c r="N2858" t="n">
        <v>0</v>
      </c>
      <c r="O2858" t="n">
        <v>0</v>
      </c>
      <c r="P2858" t="n">
        <v>0</v>
      </c>
      <c r="Q2858" t="n">
        <v>0</v>
      </c>
      <c r="R2858" s="2" t="inlineStr"/>
    </row>
    <row r="2859" ht="15" customHeight="1">
      <c r="A2859" t="inlineStr">
        <is>
          <t>A 22837-2021</t>
        </is>
      </c>
      <c r="B2859" s="1" t="n">
        <v>44326</v>
      </c>
      <c r="C2859" s="1" t="n">
        <v>45662</v>
      </c>
      <c r="D2859" t="inlineStr">
        <is>
          <t>NORRBOTTENS LÄN</t>
        </is>
      </c>
      <c r="E2859" t="inlineStr">
        <is>
          <t>ARVIDSJAUR</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22608-2021</t>
        </is>
      </c>
      <c r="B2860" s="1" t="n">
        <v>44327</v>
      </c>
      <c r="C2860" s="1" t="n">
        <v>45662</v>
      </c>
      <c r="D2860" t="inlineStr">
        <is>
          <t>NORRBOTTENS LÄN</t>
        </is>
      </c>
      <c r="E2860" t="inlineStr">
        <is>
          <t>KALIX</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22726-2021</t>
        </is>
      </c>
      <c r="B2861" s="1" t="n">
        <v>44327</v>
      </c>
      <c r="C2861" s="1" t="n">
        <v>45662</v>
      </c>
      <c r="D2861" t="inlineStr">
        <is>
          <t>NORRBOTTENS LÄN</t>
        </is>
      </c>
      <c r="E2861" t="inlineStr">
        <is>
          <t>ÖVERTORNEÅ</t>
        </is>
      </c>
      <c r="G2861" t="n">
        <v>20.2</v>
      </c>
      <c r="H2861" t="n">
        <v>0</v>
      </c>
      <c r="I2861" t="n">
        <v>0</v>
      </c>
      <c r="J2861" t="n">
        <v>0</v>
      </c>
      <c r="K2861" t="n">
        <v>0</v>
      </c>
      <c r="L2861" t="n">
        <v>0</v>
      </c>
      <c r="M2861" t="n">
        <v>0</v>
      </c>
      <c r="N2861" t="n">
        <v>0</v>
      </c>
      <c r="O2861" t="n">
        <v>0</v>
      </c>
      <c r="P2861" t="n">
        <v>0</v>
      </c>
      <c r="Q2861" t="n">
        <v>0</v>
      </c>
      <c r="R2861" s="2" t="inlineStr"/>
    </row>
    <row r="2862" ht="15" customHeight="1">
      <c r="A2862" t="inlineStr">
        <is>
          <t>A 22656-2021</t>
        </is>
      </c>
      <c r="B2862" s="1" t="n">
        <v>44327</v>
      </c>
      <c r="C2862" s="1" t="n">
        <v>45662</v>
      </c>
      <c r="D2862" t="inlineStr">
        <is>
          <t>NORRBOTTENS LÄN</t>
        </is>
      </c>
      <c r="E2862" t="inlineStr">
        <is>
          <t>LULEÅ</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23067-2021</t>
        </is>
      </c>
      <c r="B2863" s="1" t="n">
        <v>44330</v>
      </c>
      <c r="C2863" s="1" t="n">
        <v>45662</v>
      </c>
      <c r="D2863" t="inlineStr">
        <is>
          <t>NORRBOTTENS LÄN</t>
        </is>
      </c>
      <c r="E2863" t="inlineStr">
        <is>
          <t>ÖVERKALIX</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23065-2021</t>
        </is>
      </c>
      <c r="B2864" s="1" t="n">
        <v>44330</v>
      </c>
      <c r="C2864" s="1" t="n">
        <v>45662</v>
      </c>
      <c r="D2864" t="inlineStr">
        <is>
          <t>NORRBOTTENS LÄN</t>
        </is>
      </c>
      <c r="E2864" t="inlineStr">
        <is>
          <t>ÖVERKALIX</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23063-2021</t>
        </is>
      </c>
      <c r="B2865" s="1" t="n">
        <v>44329</v>
      </c>
      <c r="C2865" s="1" t="n">
        <v>45662</v>
      </c>
      <c r="D2865" t="inlineStr">
        <is>
          <t>NORRBOTTENS LÄN</t>
        </is>
      </c>
      <c r="E2865" t="inlineStr">
        <is>
          <t>ÄLVSBYN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23073-2021</t>
        </is>
      </c>
      <c r="B2866" s="1" t="n">
        <v>44330</v>
      </c>
      <c r="C2866" s="1" t="n">
        <v>45662</v>
      </c>
      <c r="D2866" t="inlineStr">
        <is>
          <t>NORRBOTTENS LÄN</t>
        </is>
      </c>
      <c r="E2866" t="inlineStr">
        <is>
          <t>ÖVERKALIX</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23112-2021</t>
        </is>
      </c>
      <c r="B2867" s="1" t="n">
        <v>44330</v>
      </c>
      <c r="C2867" s="1" t="n">
        <v>45662</v>
      </c>
      <c r="D2867" t="inlineStr">
        <is>
          <t>NORRBOTTENS LÄN</t>
        </is>
      </c>
      <c r="E2867" t="inlineStr">
        <is>
          <t>PAJALA</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23131-2021</t>
        </is>
      </c>
      <c r="B2868" s="1" t="n">
        <v>44330</v>
      </c>
      <c r="C2868" s="1" t="n">
        <v>45662</v>
      </c>
      <c r="D2868" t="inlineStr">
        <is>
          <t>NORRBOTTENS LÄN</t>
        </is>
      </c>
      <c r="E2868" t="inlineStr">
        <is>
          <t>BODEN</t>
        </is>
      </c>
      <c r="G2868" t="n">
        <v>15.8</v>
      </c>
      <c r="H2868" t="n">
        <v>0</v>
      </c>
      <c r="I2868" t="n">
        <v>0</v>
      </c>
      <c r="J2868" t="n">
        <v>0</v>
      </c>
      <c r="K2868" t="n">
        <v>0</v>
      </c>
      <c r="L2868" t="n">
        <v>0</v>
      </c>
      <c r="M2868" t="n">
        <v>0</v>
      </c>
      <c r="N2868" t="n">
        <v>0</v>
      </c>
      <c r="O2868" t="n">
        <v>0</v>
      </c>
      <c r="P2868" t="n">
        <v>0</v>
      </c>
      <c r="Q2868" t="n">
        <v>0</v>
      </c>
      <c r="R2868" s="2" t="inlineStr"/>
    </row>
    <row r="2869" ht="15" customHeight="1">
      <c r="A2869" t="inlineStr">
        <is>
          <t>A 23454-2021</t>
        </is>
      </c>
      <c r="B2869" s="1" t="n">
        <v>44333</v>
      </c>
      <c r="C2869" s="1" t="n">
        <v>45662</v>
      </c>
      <c r="D2869" t="inlineStr">
        <is>
          <t>NORRBOTTENS LÄN</t>
        </is>
      </c>
      <c r="E2869" t="inlineStr">
        <is>
          <t>BODEN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23465-2021</t>
        </is>
      </c>
      <c r="B2870" s="1" t="n">
        <v>44334</v>
      </c>
      <c r="C2870" s="1" t="n">
        <v>45662</v>
      </c>
      <c r="D2870" t="inlineStr">
        <is>
          <t>NORRBOTTENS LÄN</t>
        </is>
      </c>
      <c r="E2870" t="inlineStr">
        <is>
          <t>PITEÅ</t>
        </is>
      </c>
      <c r="G2870" t="n">
        <v>13.7</v>
      </c>
      <c r="H2870" t="n">
        <v>0</v>
      </c>
      <c r="I2870" t="n">
        <v>0</v>
      </c>
      <c r="J2870" t="n">
        <v>0</v>
      </c>
      <c r="K2870" t="n">
        <v>0</v>
      </c>
      <c r="L2870" t="n">
        <v>0</v>
      </c>
      <c r="M2870" t="n">
        <v>0</v>
      </c>
      <c r="N2870" t="n">
        <v>0</v>
      </c>
      <c r="O2870" t="n">
        <v>0</v>
      </c>
      <c r="P2870" t="n">
        <v>0</v>
      </c>
      <c r="Q2870" t="n">
        <v>0</v>
      </c>
      <c r="R2870" s="2" t="inlineStr"/>
    </row>
    <row r="2871" ht="15" customHeight="1">
      <c r="A2871" t="inlineStr">
        <is>
          <t>A 23471-2021</t>
        </is>
      </c>
      <c r="B2871" s="1" t="n">
        <v>44334</v>
      </c>
      <c r="C2871" s="1" t="n">
        <v>45662</v>
      </c>
      <c r="D2871" t="inlineStr">
        <is>
          <t>NORRBOTTENS LÄN</t>
        </is>
      </c>
      <c r="E2871" t="inlineStr">
        <is>
          <t>LULEÅ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23586-2021</t>
        </is>
      </c>
      <c r="B2872" s="1" t="n">
        <v>44334</v>
      </c>
      <c r="C2872" s="1" t="n">
        <v>45662</v>
      </c>
      <c r="D2872" t="inlineStr">
        <is>
          <t>NORRBOTTENS LÄN</t>
        </is>
      </c>
      <c r="E2872" t="inlineStr">
        <is>
          <t>ARVIDSJAUR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23632-2021</t>
        </is>
      </c>
      <c r="B2873" s="1" t="n">
        <v>44334</v>
      </c>
      <c r="C2873" s="1" t="n">
        <v>45662</v>
      </c>
      <c r="D2873" t="inlineStr">
        <is>
          <t>NORRBOTTENS LÄN</t>
        </is>
      </c>
      <c r="E2873" t="inlineStr">
        <is>
          <t>LULEÅ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23583-2021</t>
        </is>
      </c>
      <c r="B2874" s="1" t="n">
        <v>44334</v>
      </c>
      <c r="C2874" s="1" t="n">
        <v>45662</v>
      </c>
      <c r="D2874" t="inlineStr">
        <is>
          <t>NORRBOTTENS LÄN</t>
        </is>
      </c>
      <c r="E2874" t="inlineStr">
        <is>
          <t>ARVIDSJAUR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23588-2021</t>
        </is>
      </c>
      <c r="B2875" s="1" t="n">
        <v>44334</v>
      </c>
      <c r="C2875" s="1" t="n">
        <v>45662</v>
      </c>
      <c r="D2875" t="inlineStr">
        <is>
          <t>NORRBOTTENS LÄN</t>
        </is>
      </c>
      <c r="E2875" t="inlineStr">
        <is>
          <t>ARVIDSJAUR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23580-2021</t>
        </is>
      </c>
      <c r="B2876" s="1" t="n">
        <v>44334</v>
      </c>
      <c r="C2876" s="1" t="n">
        <v>45662</v>
      </c>
      <c r="D2876" t="inlineStr">
        <is>
          <t>NORRBOTTENS LÄN</t>
        </is>
      </c>
      <c r="E2876" t="inlineStr">
        <is>
          <t>ARVIDSJAUR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23701-2021</t>
        </is>
      </c>
      <c r="B2877" s="1" t="n">
        <v>44334</v>
      </c>
      <c r="C2877" s="1" t="n">
        <v>45662</v>
      </c>
      <c r="D2877" t="inlineStr">
        <is>
          <t>NORRBOTTENS LÄN</t>
        </is>
      </c>
      <c r="E2877" t="inlineStr">
        <is>
          <t>KALIX</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23968-2021</t>
        </is>
      </c>
      <c r="B2878" s="1" t="n">
        <v>44335</v>
      </c>
      <c r="C2878" s="1" t="n">
        <v>45662</v>
      </c>
      <c r="D2878" t="inlineStr">
        <is>
          <t>NORRBOTTENS LÄN</t>
        </is>
      </c>
      <c r="E2878" t="inlineStr">
        <is>
          <t>KALIX</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24386-2021</t>
        </is>
      </c>
      <c r="B2879" s="1" t="n">
        <v>44337</v>
      </c>
      <c r="C2879" s="1" t="n">
        <v>45662</v>
      </c>
      <c r="D2879" t="inlineStr">
        <is>
          <t>NORRBOTTENS LÄN</t>
        </is>
      </c>
      <c r="E2879" t="inlineStr">
        <is>
          <t>HAPARANDA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24416-2021</t>
        </is>
      </c>
      <c r="B2880" s="1" t="n">
        <v>44337</v>
      </c>
      <c r="C2880" s="1" t="n">
        <v>45662</v>
      </c>
      <c r="D2880" t="inlineStr">
        <is>
          <t>NORRBOTTENS LÄN</t>
        </is>
      </c>
      <c r="E2880" t="inlineStr">
        <is>
          <t>ÖVERTORNEÅ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24453-2021</t>
        </is>
      </c>
      <c r="B2881" s="1" t="n">
        <v>44337</v>
      </c>
      <c r="C2881" s="1" t="n">
        <v>45662</v>
      </c>
      <c r="D2881" t="inlineStr">
        <is>
          <t>NORRBOTTENS LÄN</t>
        </is>
      </c>
      <c r="E2881" t="inlineStr">
        <is>
          <t>LULEÅ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24574-2021</t>
        </is>
      </c>
      <c r="B2882" s="1" t="n">
        <v>44339</v>
      </c>
      <c r="C2882" s="1" t="n">
        <v>45662</v>
      </c>
      <c r="D2882" t="inlineStr">
        <is>
          <t>NORRBOTTENS LÄN</t>
        </is>
      </c>
      <c r="E2882" t="inlineStr">
        <is>
          <t>PITEÅ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24578-2021</t>
        </is>
      </c>
      <c r="B2883" s="1" t="n">
        <v>44339</v>
      </c>
      <c r="C2883" s="1" t="n">
        <v>45662</v>
      </c>
      <c r="D2883" t="inlineStr">
        <is>
          <t>NORRBOTTENS LÄN</t>
        </is>
      </c>
      <c r="E2883" t="inlineStr">
        <is>
          <t>PITEÅ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24577-2021</t>
        </is>
      </c>
      <c r="B2884" s="1" t="n">
        <v>44339</v>
      </c>
      <c r="C2884" s="1" t="n">
        <v>45662</v>
      </c>
      <c r="D2884" t="inlineStr">
        <is>
          <t>NORRBOTTENS LÄN</t>
        </is>
      </c>
      <c r="E2884" t="inlineStr">
        <is>
          <t>PITEÅ</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24760-2021</t>
        </is>
      </c>
      <c r="B2885" s="1" t="n">
        <v>44340</v>
      </c>
      <c r="C2885" s="1" t="n">
        <v>45662</v>
      </c>
      <c r="D2885" t="inlineStr">
        <is>
          <t>NORRBOTTENS LÄN</t>
        </is>
      </c>
      <c r="E2885" t="inlineStr">
        <is>
          <t>KIRUNA</t>
        </is>
      </c>
      <c r="G2885" t="n">
        <v>22.6</v>
      </c>
      <c r="H2885" t="n">
        <v>0</v>
      </c>
      <c r="I2885" t="n">
        <v>0</v>
      </c>
      <c r="J2885" t="n">
        <v>0</v>
      </c>
      <c r="K2885" t="n">
        <v>0</v>
      </c>
      <c r="L2885" t="n">
        <v>0</v>
      </c>
      <c r="M2885" t="n">
        <v>0</v>
      </c>
      <c r="N2885" t="n">
        <v>0</v>
      </c>
      <c r="O2885" t="n">
        <v>0</v>
      </c>
      <c r="P2885" t="n">
        <v>0</v>
      </c>
      <c r="Q2885" t="n">
        <v>0</v>
      </c>
      <c r="R2885" s="2" t="inlineStr"/>
    </row>
    <row r="2886" ht="15" customHeight="1">
      <c r="A2886" t="inlineStr">
        <is>
          <t>A 24789-2021</t>
        </is>
      </c>
      <c r="B2886" s="1" t="n">
        <v>44340</v>
      </c>
      <c r="C2886" s="1" t="n">
        <v>45662</v>
      </c>
      <c r="D2886" t="inlineStr">
        <is>
          <t>NORRBOTTENS LÄN</t>
        </is>
      </c>
      <c r="E2886" t="inlineStr">
        <is>
          <t>KIRUNA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24802-2021</t>
        </is>
      </c>
      <c r="B2887" s="1" t="n">
        <v>44340</v>
      </c>
      <c r="C2887" s="1" t="n">
        <v>45662</v>
      </c>
      <c r="D2887" t="inlineStr">
        <is>
          <t>NORRBOTTENS LÄN</t>
        </is>
      </c>
      <c r="E2887" t="inlineStr">
        <is>
          <t>KALIX</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24990-2021</t>
        </is>
      </c>
      <c r="B2888" s="1" t="n">
        <v>44341</v>
      </c>
      <c r="C2888" s="1" t="n">
        <v>45662</v>
      </c>
      <c r="D2888" t="inlineStr">
        <is>
          <t>NORRBOTTENS LÄN</t>
        </is>
      </c>
      <c r="E2888" t="inlineStr">
        <is>
          <t>ÄLVSBYN</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25070-2021</t>
        </is>
      </c>
      <c r="B2889" s="1" t="n">
        <v>44341</v>
      </c>
      <c r="C2889" s="1" t="n">
        <v>45662</v>
      </c>
      <c r="D2889" t="inlineStr">
        <is>
          <t>NORRBOTTENS LÄN</t>
        </is>
      </c>
      <c r="E2889" t="inlineStr">
        <is>
          <t>ÖVERKALIX</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25360-2021</t>
        </is>
      </c>
      <c r="B2890" s="1" t="n">
        <v>44342</v>
      </c>
      <c r="C2890" s="1" t="n">
        <v>45662</v>
      </c>
      <c r="D2890" t="inlineStr">
        <is>
          <t>NORRBOTTENS LÄN</t>
        </is>
      </c>
      <c r="E2890" t="inlineStr">
        <is>
          <t>ÄLVSBYN</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25521-2021</t>
        </is>
      </c>
      <c r="B2891" s="1" t="n">
        <v>44342</v>
      </c>
      <c r="C2891" s="1" t="n">
        <v>45662</v>
      </c>
      <c r="D2891" t="inlineStr">
        <is>
          <t>NORRBOTTENS LÄN</t>
        </is>
      </c>
      <c r="E2891" t="inlineStr">
        <is>
          <t>PITEÅ</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25812-2021</t>
        </is>
      </c>
      <c r="B2892" s="1" t="n">
        <v>44343</v>
      </c>
      <c r="C2892" s="1" t="n">
        <v>45662</v>
      </c>
      <c r="D2892" t="inlineStr">
        <is>
          <t>NORRBOTTENS LÄN</t>
        </is>
      </c>
      <c r="E2892" t="inlineStr">
        <is>
          <t>LULEÅ</t>
        </is>
      </c>
      <c r="F2892" t="inlineStr">
        <is>
          <t>SCA</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26179-2021</t>
        </is>
      </c>
      <c r="B2893" s="1" t="n">
        <v>44344</v>
      </c>
      <c r="C2893" s="1" t="n">
        <v>45662</v>
      </c>
      <c r="D2893" t="inlineStr">
        <is>
          <t>NORRBOTTENS LÄN</t>
        </is>
      </c>
      <c r="E2893" t="inlineStr">
        <is>
          <t>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26092-2021</t>
        </is>
      </c>
      <c r="B2894" s="1" t="n">
        <v>44344</v>
      </c>
      <c r="C2894" s="1" t="n">
        <v>45662</v>
      </c>
      <c r="D2894" t="inlineStr">
        <is>
          <t>NORRBOTTENS LÄN</t>
        </is>
      </c>
      <c r="E2894" t="inlineStr">
        <is>
          <t>PITEÅ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26199-2021</t>
        </is>
      </c>
      <c r="B2895" s="1" t="n">
        <v>44347</v>
      </c>
      <c r="C2895" s="1" t="n">
        <v>45662</v>
      </c>
      <c r="D2895" t="inlineStr">
        <is>
          <t>NORRBOTTENS LÄN</t>
        </is>
      </c>
      <c r="E2895" t="inlineStr">
        <is>
          <t>BODEN</t>
        </is>
      </c>
      <c r="F2895" t="inlineStr">
        <is>
          <t>Sveaskog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26331-2021</t>
        </is>
      </c>
      <c r="B2896" s="1" t="n">
        <v>44347</v>
      </c>
      <c r="C2896" s="1" t="n">
        <v>45662</v>
      </c>
      <c r="D2896" t="inlineStr">
        <is>
          <t>NORRBOTTENS LÄN</t>
        </is>
      </c>
      <c r="E2896" t="inlineStr">
        <is>
          <t>BODEN</t>
        </is>
      </c>
      <c r="F2896" t="inlineStr">
        <is>
          <t>Sveaskog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26234-2021</t>
        </is>
      </c>
      <c r="B2897" s="1" t="n">
        <v>44347</v>
      </c>
      <c r="C2897" s="1" t="n">
        <v>45662</v>
      </c>
      <c r="D2897" t="inlineStr">
        <is>
          <t>NORRBOTTENS LÄN</t>
        </is>
      </c>
      <c r="E2897" t="inlineStr">
        <is>
          <t>LULEÅ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26362-2021</t>
        </is>
      </c>
      <c r="B2898" s="1" t="n">
        <v>44347</v>
      </c>
      <c r="C2898" s="1" t="n">
        <v>45662</v>
      </c>
      <c r="D2898" t="inlineStr">
        <is>
          <t>NORRBOTTENS LÄN</t>
        </is>
      </c>
      <c r="E2898" t="inlineStr">
        <is>
          <t>ÖVERKALIX</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26644-2021</t>
        </is>
      </c>
      <c r="B2899" s="1" t="n">
        <v>44348</v>
      </c>
      <c r="C2899" s="1" t="n">
        <v>45662</v>
      </c>
      <c r="D2899" t="inlineStr">
        <is>
          <t>NORRBOTTENS LÄN</t>
        </is>
      </c>
      <c r="E2899" t="inlineStr">
        <is>
          <t>ÖVERKALIX</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26885-2021</t>
        </is>
      </c>
      <c r="B2900" s="1" t="n">
        <v>44349</v>
      </c>
      <c r="C2900" s="1" t="n">
        <v>45662</v>
      </c>
      <c r="D2900" t="inlineStr">
        <is>
          <t>NORRBOTTENS LÄN</t>
        </is>
      </c>
      <c r="E2900" t="inlineStr">
        <is>
          <t>ÖVERKALIX</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27060-2021</t>
        </is>
      </c>
      <c r="B2901" s="1" t="n">
        <v>44350</v>
      </c>
      <c r="C2901" s="1" t="n">
        <v>45662</v>
      </c>
      <c r="D2901" t="inlineStr">
        <is>
          <t>NORRBOTTENS LÄN</t>
        </is>
      </c>
      <c r="E2901" t="inlineStr">
        <is>
          <t>KALIX</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26995-2021</t>
        </is>
      </c>
      <c r="B2902" s="1" t="n">
        <v>44350</v>
      </c>
      <c r="C2902" s="1" t="n">
        <v>45662</v>
      </c>
      <c r="D2902" t="inlineStr">
        <is>
          <t>NORRBOTTENS LÄN</t>
        </is>
      </c>
      <c r="E2902" t="inlineStr">
        <is>
          <t>HAPARANDA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27136-2021</t>
        </is>
      </c>
      <c r="B2903" s="1" t="n">
        <v>44350</v>
      </c>
      <c r="C2903" s="1" t="n">
        <v>45662</v>
      </c>
      <c r="D2903" t="inlineStr">
        <is>
          <t>NORRBOTTENS LÄN</t>
        </is>
      </c>
      <c r="E2903" t="inlineStr">
        <is>
          <t>BODEN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27050-2021</t>
        </is>
      </c>
      <c r="B2904" s="1" t="n">
        <v>44350</v>
      </c>
      <c r="C2904" s="1" t="n">
        <v>45662</v>
      </c>
      <c r="D2904" t="inlineStr">
        <is>
          <t>NORRBOTTENS LÄN</t>
        </is>
      </c>
      <c r="E2904" t="inlineStr">
        <is>
          <t>KALIX</t>
        </is>
      </c>
      <c r="G2904" t="n">
        <v>24.1</v>
      </c>
      <c r="H2904" t="n">
        <v>0</v>
      </c>
      <c r="I2904" t="n">
        <v>0</v>
      </c>
      <c r="J2904" t="n">
        <v>0</v>
      </c>
      <c r="K2904" t="n">
        <v>0</v>
      </c>
      <c r="L2904" t="n">
        <v>0</v>
      </c>
      <c r="M2904" t="n">
        <v>0</v>
      </c>
      <c r="N2904" t="n">
        <v>0</v>
      </c>
      <c r="O2904" t="n">
        <v>0</v>
      </c>
      <c r="P2904" t="n">
        <v>0</v>
      </c>
      <c r="Q2904" t="n">
        <v>0</v>
      </c>
      <c r="R2904" s="2" t="inlineStr"/>
    </row>
    <row r="2905" ht="15" customHeight="1">
      <c r="A2905" t="inlineStr">
        <is>
          <t>A 27241-2021</t>
        </is>
      </c>
      <c r="B2905" s="1" t="n">
        <v>44350</v>
      </c>
      <c r="C2905" s="1" t="n">
        <v>45662</v>
      </c>
      <c r="D2905" t="inlineStr">
        <is>
          <t>NORRBOTTENS LÄN</t>
        </is>
      </c>
      <c r="E2905" t="inlineStr">
        <is>
          <t>BODEN</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27248-2021</t>
        </is>
      </c>
      <c r="B2906" s="1" t="n">
        <v>44350</v>
      </c>
      <c r="C2906" s="1" t="n">
        <v>45662</v>
      </c>
      <c r="D2906" t="inlineStr">
        <is>
          <t>NORRBOTTENS LÄN</t>
        </is>
      </c>
      <c r="E2906" t="inlineStr">
        <is>
          <t>BODEN</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27222-2021</t>
        </is>
      </c>
      <c r="B2907" s="1" t="n">
        <v>44350</v>
      </c>
      <c r="C2907" s="1" t="n">
        <v>45662</v>
      </c>
      <c r="D2907" t="inlineStr">
        <is>
          <t>NORRBOTTENS LÄN</t>
        </is>
      </c>
      <c r="E2907" t="inlineStr">
        <is>
          <t>PITEÅ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27220-2021</t>
        </is>
      </c>
      <c r="B2908" s="1" t="n">
        <v>44350</v>
      </c>
      <c r="C2908" s="1" t="n">
        <v>45662</v>
      </c>
      <c r="D2908" t="inlineStr">
        <is>
          <t>NORRBOTTENS LÄN</t>
        </is>
      </c>
      <c r="E2908" t="inlineStr">
        <is>
          <t>PITEÅ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27263-2021</t>
        </is>
      </c>
      <c r="B2909" s="1" t="n">
        <v>44351</v>
      </c>
      <c r="C2909" s="1" t="n">
        <v>45662</v>
      </c>
      <c r="D2909" t="inlineStr">
        <is>
          <t>NORRBOTTENS LÄN</t>
        </is>
      </c>
      <c r="E2909" t="inlineStr">
        <is>
          <t>PITEÅ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27596-2021</t>
        </is>
      </c>
      <c r="B2910" s="1" t="n">
        <v>44354</v>
      </c>
      <c r="C2910" s="1" t="n">
        <v>45662</v>
      </c>
      <c r="D2910" t="inlineStr">
        <is>
          <t>NORRBOTTENS LÄN</t>
        </is>
      </c>
      <c r="E2910" t="inlineStr">
        <is>
          <t>BODEN</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27702-2021</t>
        </is>
      </c>
      <c r="B2911" s="1" t="n">
        <v>44354</v>
      </c>
      <c r="C2911" s="1" t="n">
        <v>45662</v>
      </c>
      <c r="D2911" t="inlineStr">
        <is>
          <t>NORRBOTTENS LÄN</t>
        </is>
      </c>
      <c r="E2911" t="inlineStr">
        <is>
          <t>KALIX</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27789-2021</t>
        </is>
      </c>
      <c r="B2912" s="1" t="n">
        <v>44354</v>
      </c>
      <c r="C2912" s="1" t="n">
        <v>45662</v>
      </c>
      <c r="D2912" t="inlineStr">
        <is>
          <t>NORRBOTTENS LÄN</t>
        </is>
      </c>
      <c r="E2912" t="inlineStr">
        <is>
          <t>ÖVERTORNEÅ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27991-2021</t>
        </is>
      </c>
      <c r="B2913" s="1" t="n">
        <v>44354</v>
      </c>
      <c r="C2913" s="1" t="n">
        <v>45662</v>
      </c>
      <c r="D2913" t="inlineStr">
        <is>
          <t>NORRBOTTENS LÄN</t>
        </is>
      </c>
      <c r="E2913" t="inlineStr">
        <is>
          <t>PITEÅ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27990-2021</t>
        </is>
      </c>
      <c r="B2914" s="1" t="n">
        <v>44355</v>
      </c>
      <c r="C2914" s="1" t="n">
        <v>45662</v>
      </c>
      <c r="D2914" t="inlineStr">
        <is>
          <t>NORRBOTTENS LÄN</t>
        </is>
      </c>
      <c r="E2914" t="inlineStr">
        <is>
          <t>PITEÅ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28319-2021</t>
        </is>
      </c>
      <c r="B2915" s="1" t="n">
        <v>44355</v>
      </c>
      <c r="C2915" s="1" t="n">
        <v>45662</v>
      </c>
      <c r="D2915" t="inlineStr">
        <is>
          <t>NORRBOTTENS LÄN</t>
        </is>
      </c>
      <c r="E2915" t="inlineStr">
        <is>
          <t>JOKKMOKK</t>
        </is>
      </c>
      <c r="F2915" t="inlineStr">
        <is>
          <t>Övriga statliga verk och myndigheter</t>
        </is>
      </c>
      <c r="G2915" t="n">
        <v>40</v>
      </c>
      <c r="H2915" t="n">
        <v>0</v>
      </c>
      <c r="I2915" t="n">
        <v>0</v>
      </c>
      <c r="J2915" t="n">
        <v>0</v>
      </c>
      <c r="K2915" t="n">
        <v>0</v>
      </c>
      <c r="L2915" t="n">
        <v>0</v>
      </c>
      <c r="M2915" t="n">
        <v>0</v>
      </c>
      <c r="N2915" t="n">
        <v>0</v>
      </c>
      <c r="O2915" t="n">
        <v>0</v>
      </c>
      <c r="P2915" t="n">
        <v>0</v>
      </c>
      <c r="Q2915" t="n">
        <v>0</v>
      </c>
      <c r="R2915" s="2" t="inlineStr"/>
    </row>
    <row r="2916" ht="15" customHeight="1">
      <c r="A2916" t="inlineStr">
        <is>
          <t>A 28282-2021</t>
        </is>
      </c>
      <c r="B2916" s="1" t="n">
        <v>44355</v>
      </c>
      <c r="C2916" s="1" t="n">
        <v>45662</v>
      </c>
      <c r="D2916" t="inlineStr">
        <is>
          <t>NORRBOTTENS LÄN</t>
        </is>
      </c>
      <c r="E2916" t="inlineStr">
        <is>
          <t>PITEÅ</t>
        </is>
      </c>
      <c r="F2916" t="inlineStr">
        <is>
          <t>SCA</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28314-2021</t>
        </is>
      </c>
      <c r="B2917" s="1" t="n">
        <v>44356</v>
      </c>
      <c r="C2917" s="1" t="n">
        <v>45662</v>
      </c>
      <c r="D2917" t="inlineStr">
        <is>
          <t>NORRBOTTENS LÄN</t>
        </is>
      </c>
      <c r="E2917" t="inlineStr">
        <is>
          <t>GÄLLIVARE</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28370-2021</t>
        </is>
      </c>
      <c r="B2918" s="1" t="n">
        <v>44356</v>
      </c>
      <c r="C2918" s="1" t="n">
        <v>45662</v>
      </c>
      <c r="D2918" t="inlineStr">
        <is>
          <t>NORRBOTTENS LÄN</t>
        </is>
      </c>
      <c r="E2918" t="inlineStr">
        <is>
          <t>BODEN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28367-2021</t>
        </is>
      </c>
      <c r="B2919" s="1" t="n">
        <v>44356</v>
      </c>
      <c r="C2919" s="1" t="n">
        <v>45662</v>
      </c>
      <c r="D2919" t="inlineStr">
        <is>
          <t>NORRBOTTENS LÄN</t>
        </is>
      </c>
      <c r="E2919" t="inlineStr">
        <is>
          <t>BODEN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28364-2021</t>
        </is>
      </c>
      <c r="B2920" s="1" t="n">
        <v>44356</v>
      </c>
      <c r="C2920" s="1" t="n">
        <v>45662</v>
      </c>
      <c r="D2920" t="inlineStr">
        <is>
          <t>NORRBOTTENS LÄN</t>
        </is>
      </c>
      <c r="E2920" t="inlineStr">
        <is>
          <t>ÖVERKALIX</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28487-2021</t>
        </is>
      </c>
      <c r="B2921" s="1" t="n">
        <v>44356</v>
      </c>
      <c r="C2921" s="1" t="n">
        <v>45662</v>
      </c>
      <c r="D2921" t="inlineStr">
        <is>
          <t>NORRBOTTENS LÄN</t>
        </is>
      </c>
      <c r="E2921" t="inlineStr">
        <is>
          <t>ÖVERKALIX</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28478-2021</t>
        </is>
      </c>
      <c r="B2922" s="1" t="n">
        <v>44356</v>
      </c>
      <c r="C2922" s="1" t="n">
        <v>45662</v>
      </c>
      <c r="D2922" t="inlineStr">
        <is>
          <t>NORRBOTTENS LÄN</t>
        </is>
      </c>
      <c r="E2922" t="inlineStr">
        <is>
          <t>PAJALA</t>
        </is>
      </c>
      <c r="G2922" t="n">
        <v>14.8</v>
      </c>
      <c r="H2922" t="n">
        <v>0</v>
      </c>
      <c r="I2922" t="n">
        <v>0</v>
      </c>
      <c r="J2922" t="n">
        <v>0</v>
      </c>
      <c r="K2922" t="n">
        <v>0</v>
      </c>
      <c r="L2922" t="n">
        <v>0</v>
      </c>
      <c r="M2922" t="n">
        <v>0</v>
      </c>
      <c r="N2922" t="n">
        <v>0</v>
      </c>
      <c r="O2922" t="n">
        <v>0</v>
      </c>
      <c r="P2922" t="n">
        <v>0</v>
      </c>
      <c r="Q2922" t="n">
        <v>0</v>
      </c>
      <c r="R2922" s="2" t="inlineStr"/>
    </row>
    <row r="2923" ht="15" customHeight="1">
      <c r="A2923" t="inlineStr">
        <is>
          <t>A 28591-2021</t>
        </is>
      </c>
      <c r="B2923" s="1" t="n">
        <v>44356</v>
      </c>
      <c r="C2923" s="1" t="n">
        <v>45662</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28628-2021</t>
        </is>
      </c>
      <c r="B2924" s="1" t="n">
        <v>44356</v>
      </c>
      <c r="C2924" s="1" t="n">
        <v>45662</v>
      </c>
      <c r="D2924" t="inlineStr">
        <is>
          <t>NORRBOTTENS LÄN</t>
        </is>
      </c>
      <c r="E2924" t="inlineStr">
        <is>
          <t>ARVIDSJAUR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28378-2021</t>
        </is>
      </c>
      <c r="B2925" s="1" t="n">
        <v>44356</v>
      </c>
      <c r="C2925" s="1" t="n">
        <v>45662</v>
      </c>
      <c r="D2925" t="inlineStr">
        <is>
          <t>NORRBOTTENS LÄN</t>
        </is>
      </c>
      <c r="E2925" t="inlineStr">
        <is>
          <t>BODEN</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28888-2021</t>
        </is>
      </c>
      <c r="B2926" s="1" t="n">
        <v>44357</v>
      </c>
      <c r="C2926" s="1" t="n">
        <v>45662</v>
      </c>
      <c r="D2926" t="inlineStr">
        <is>
          <t>NORRBOTTENS LÄN</t>
        </is>
      </c>
      <c r="E2926" t="inlineStr">
        <is>
          <t>PITEÅ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28908-2021</t>
        </is>
      </c>
      <c r="B2927" s="1" t="n">
        <v>44358</v>
      </c>
      <c r="C2927" s="1" t="n">
        <v>45662</v>
      </c>
      <c r="D2927" t="inlineStr">
        <is>
          <t>NORRBOTTENS LÄN</t>
        </is>
      </c>
      <c r="E2927" t="inlineStr">
        <is>
          <t>PITEÅ</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28933-2021</t>
        </is>
      </c>
      <c r="B2928" s="1" t="n">
        <v>44358</v>
      </c>
      <c r="C2928" s="1" t="n">
        <v>45662</v>
      </c>
      <c r="D2928" t="inlineStr">
        <is>
          <t>NORRBOTTENS LÄN</t>
        </is>
      </c>
      <c r="E2928" t="inlineStr">
        <is>
          <t>BODEN</t>
        </is>
      </c>
      <c r="F2928" t="inlineStr">
        <is>
          <t>Sveaskog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29073-2021</t>
        </is>
      </c>
      <c r="B2929" s="1" t="n">
        <v>44358</v>
      </c>
      <c r="C2929" s="1" t="n">
        <v>45662</v>
      </c>
      <c r="D2929" t="inlineStr">
        <is>
          <t>NORRBOTTENS LÄN</t>
        </is>
      </c>
      <c r="E2929" t="inlineStr">
        <is>
          <t>JOKKMOKK</t>
        </is>
      </c>
      <c r="F2929" t="inlineStr">
        <is>
          <t>Sveaskog</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29196-2021</t>
        </is>
      </c>
      <c r="B2930" s="1" t="n">
        <v>44358</v>
      </c>
      <c r="C2930" s="1" t="n">
        <v>45662</v>
      </c>
      <c r="D2930" t="inlineStr">
        <is>
          <t>NORRBOTTENS LÄN</t>
        </is>
      </c>
      <c r="E2930" t="inlineStr">
        <is>
          <t>GÄLLIVARE</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29107-2021</t>
        </is>
      </c>
      <c r="B2931" s="1" t="n">
        <v>44358</v>
      </c>
      <c r="C2931" s="1" t="n">
        <v>45662</v>
      </c>
      <c r="D2931" t="inlineStr">
        <is>
          <t>NORRBOTTENS LÄN</t>
        </is>
      </c>
      <c r="E2931" t="inlineStr">
        <is>
          <t>BODEN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29194-2021</t>
        </is>
      </c>
      <c r="B2932" s="1" t="n">
        <v>44358</v>
      </c>
      <c r="C2932" s="1" t="n">
        <v>45662</v>
      </c>
      <c r="D2932" t="inlineStr">
        <is>
          <t>NORRBOTTENS LÄN</t>
        </is>
      </c>
      <c r="E2932" t="inlineStr">
        <is>
          <t>GÄLLIVARE</t>
        </is>
      </c>
      <c r="F2932" t="inlineStr">
        <is>
          <t>Sveaskog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29268-2021</t>
        </is>
      </c>
      <c r="B2933" s="1" t="n">
        <v>44361</v>
      </c>
      <c r="C2933" s="1" t="n">
        <v>45662</v>
      </c>
      <c r="D2933" t="inlineStr">
        <is>
          <t>NORRBOTTENS LÄN</t>
        </is>
      </c>
      <c r="E2933" t="inlineStr">
        <is>
          <t>ÖVERKALIX</t>
        </is>
      </c>
      <c r="F2933" t="inlineStr">
        <is>
          <t>Sveaskog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29337-2021</t>
        </is>
      </c>
      <c r="B2934" s="1" t="n">
        <v>44361</v>
      </c>
      <c r="C2934" s="1" t="n">
        <v>45662</v>
      </c>
      <c r="D2934" t="inlineStr">
        <is>
          <t>NORRBOTTENS LÄN</t>
        </is>
      </c>
      <c r="E2934" t="inlineStr">
        <is>
          <t>KALIX</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29303-2021</t>
        </is>
      </c>
      <c r="B2935" s="1" t="n">
        <v>44361</v>
      </c>
      <c r="C2935" s="1" t="n">
        <v>45662</v>
      </c>
      <c r="D2935" t="inlineStr">
        <is>
          <t>NORRBOTTENS LÄN</t>
        </is>
      </c>
      <c r="E2935" t="inlineStr">
        <is>
          <t>PITEÅ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29557-2021</t>
        </is>
      </c>
      <c r="B2936" s="1" t="n">
        <v>44361</v>
      </c>
      <c r="C2936" s="1" t="n">
        <v>45662</v>
      </c>
      <c r="D2936" t="inlineStr">
        <is>
          <t>NORRBOTTENS LÄN</t>
        </is>
      </c>
      <c r="E2936" t="inlineStr">
        <is>
          <t>PITEÅ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29590-2021</t>
        </is>
      </c>
      <c r="B2937" s="1" t="n">
        <v>44362</v>
      </c>
      <c r="C2937" s="1" t="n">
        <v>45662</v>
      </c>
      <c r="D2937" t="inlineStr">
        <is>
          <t>NORRBOTTENS LÄN</t>
        </is>
      </c>
      <c r="E2937" t="inlineStr">
        <is>
          <t>PAJALA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29558-2021</t>
        </is>
      </c>
      <c r="B2938" s="1" t="n">
        <v>44361</v>
      </c>
      <c r="C2938" s="1" t="n">
        <v>45662</v>
      </c>
      <c r="D2938" t="inlineStr">
        <is>
          <t>NORRBOTTENS LÄN</t>
        </is>
      </c>
      <c r="E2938" t="inlineStr">
        <is>
          <t>PITEÅ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29614-2021</t>
        </is>
      </c>
      <c r="B2939" s="1" t="n">
        <v>44361</v>
      </c>
      <c r="C2939" s="1" t="n">
        <v>45662</v>
      </c>
      <c r="D2939" t="inlineStr">
        <is>
          <t>NORRBOTTENS LÄN</t>
        </is>
      </c>
      <c r="E2939" t="inlineStr">
        <is>
          <t>KALIX</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29642-2021</t>
        </is>
      </c>
      <c r="B2940" s="1" t="n">
        <v>44362</v>
      </c>
      <c r="C2940" s="1" t="n">
        <v>45662</v>
      </c>
      <c r="D2940" t="inlineStr">
        <is>
          <t>NORRBOTTENS LÄN</t>
        </is>
      </c>
      <c r="E2940" t="inlineStr">
        <is>
          <t>PITEÅ</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29608-2021</t>
        </is>
      </c>
      <c r="B2941" s="1" t="n">
        <v>44361</v>
      </c>
      <c r="C2941" s="1" t="n">
        <v>45662</v>
      </c>
      <c r="D2941" t="inlineStr">
        <is>
          <t>NORRBOTTENS LÄN</t>
        </is>
      </c>
      <c r="E2941" t="inlineStr">
        <is>
          <t>GÄLLIVARE</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29640-2021</t>
        </is>
      </c>
      <c r="B2942" s="1" t="n">
        <v>44361</v>
      </c>
      <c r="C2942" s="1" t="n">
        <v>45662</v>
      </c>
      <c r="D2942" t="inlineStr">
        <is>
          <t>NORRBOTTENS LÄN</t>
        </is>
      </c>
      <c r="E2942" t="inlineStr">
        <is>
          <t>PITEÅ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29730-2021</t>
        </is>
      </c>
      <c r="B2943" s="1" t="n">
        <v>44362</v>
      </c>
      <c r="C2943" s="1" t="n">
        <v>45662</v>
      </c>
      <c r="D2943" t="inlineStr">
        <is>
          <t>NORRBOTTENS LÄN</t>
        </is>
      </c>
      <c r="E2943" t="inlineStr">
        <is>
          <t>LULEÅ</t>
        </is>
      </c>
      <c r="F2943" t="inlineStr">
        <is>
          <t>Kyrkan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29757-2021</t>
        </is>
      </c>
      <c r="B2944" s="1" t="n">
        <v>44362</v>
      </c>
      <c r="C2944" s="1" t="n">
        <v>45662</v>
      </c>
      <c r="D2944" t="inlineStr">
        <is>
          <t>NORRBOTTENS LÄN</t>
        </is>
      </c>
      <c r="E2944" t="inlineStr">
        <is>
          <t>ÖVERKALIX</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29751-2021</t>
        </is>
      </c>
      <c r="B2945" s="1" t="n">
        <v>44362</v>
      </c>
      <c r="C2945" s="1" t="n">
        <v>45662</v>
      </c>
      <c r="D2945" t="inlineStr">
        <is>
          <t>NORRBOTTENS LÄN</t>
        </is>
      </c>
      <c r="E2945" t="inlineStr">
        <is>
          <t>BODEN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29775-2021</t>
        </is>
      </c>
      <c r="B2946" s="1" t="n">
        <v>44362</v>
      </c>
      <c r="C2946" s="1" t="n">
        <v>45662</v>
      </c>
      <c r="D2946" t="inlineStr">
        <is>
          <t>NORRBOTTENS LÄN</t>
        </is>
      </c>
      <c r="E2946" t="inlineStr">
        <is>
          <t>ÖVERKALIX</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29811-2021</t>
        </is>
      </c>
      <c r="B2947" s="1" t="n">
        <v>44362</v>
      </c>
      <c r="C2947" s="1" t="n">
        <v>45662</v>
      </c>
      <c r="D2947" t="inlineStr">
        <is>
          <t>NORRBOTTENS LÄN</t>
        </is>
      </c>
      <c r="E2947" t="inlineStr">
        <is>
          <t>PITEÅ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29932-2021</t>
        </is>
      </c>
      <c r="B2948" s="1" t="n">
        <v>44362</v>
      </c>
      <c r="C2948" s="1" t="n">
        <v>45662</v>
      </c>
      <c r="D2948" t="inlineStr">
        <is>
          <t>NORRBOTTENS LÄN</t>
        </is>
      </c>
      <c r="E2948" t="inlineStr">
        <is>
          <t>KIRUNA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29955-2021</t>
        </is>
      </c>
      <c r="B2949" s="1" t="n">
        <v>44362</v>
      </c>
      <c r="C2949" s="1" t="n">
        <v>45662</v>
      </c>
      <c r="D2949" t="inlineStr">
        <is>
          <t>NORRBOTTENS LÄN</t>
        </is>
      </c>
      <c r="E2949" t="inlineStr">
        <is>
          <t>JOKKMOKK</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29945-2021</t>
        </is>
      </c>
      <c r="B2950" s="1" t="n">
        <v>44363</v>
      </c>
      <c r="C2950" s="1" t="n">
        <v>45662</v>
      </c>
      <c r="D2950" t="inlineStr">
        <is>
          <t>NORRBOTTENS LÄN</t>
        </is>
      </c>
      <c r="E2950" t="inlineStr">
        <is>
          <t>ÖVERTORNEÅ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30027-2021</t>
        </is>
      </c>
      <c r="B2951" s="1" t="n">
        <v>44363</v>
      </c>
      <c r="C2951" s="1" t="n">
        <v>45662</v>
      </c>
      <c r="D2951" t="inlineStr">
        <is>
          <t>NORRBOTTENS LÄN</t>
        </is>
      </c>
      <c r="E2951" t="inlineStr">
        <is>
          <t>LULEÅ</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29947-2021</t>
        </is>
      </c>
      <c r="B2952" s="1" t="n">
        <v>44363</v>
      </c>
      <c r="C2952" s="1" t="n">
        <v>45662</v>
      </c>
      <c r="D2952" t="inlineStr">
        <is>
          <t>NORRBOTTENS LÄN</t>
        </is>
      </c>
      <c r="E2952" t="inlineStr">
        <is>
          <t>ARVIDSJAUR</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30562-2021</t>
        </is>
      </c>
      <c r="B2953" s="1" t="n">
        <v>44364</v>
      </c>
      <c r="C2953" s="1" t="n">
        <v>45662</v>
      </c>
      <c r="D2953" t="inlineStr">
        <is>
          <t>NORRBOTTENS LÄN</t>
        </is>
      </c>
      <c r="E2953" t="inlineStr">
        <is>
          <t>ARVIDSJAUR</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30551-2021</t>
        </is>
      </c>
      <c r="B2954" s="1" t="n">
        <v>44364</v>
      </c>
      <c r="C2954" s="1" t="n">
        <v>45662</v>
      </c>
      <c r="D2954" t="inlineStr">
        <is>
          <t>NORRBOTTENS LÄN</t>
        </is>
      </c>
      <c r="E2954" t="inlineStr">
        <is>
          <t>PAJALA</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30542-2021</t>
        </is>
      </c>
      <c r="B2955" s="1" t="n">
        <v>44364</v>
      </c>
      <c r="C2955" s="1" t="n">
        <v>45662</v>
      </c>
      <c r="D2955" t="inlineStr">
        <is>
          <t>NORRBOTTENS LÄN</t>
        </is>
      </c>
      <c r="E2955" t="inlineStr">
        <is>
          <t>PAJALA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30673-2021</t>
        </is>
      </c>
      <c r="B2956" s="1" t="n">
        <v>44365</v>
      </c>
      <c r="C2956" s="1" t="n">
        <v>45662</v>
      </c>
      <c r="D2956" t="inlineStr">
        <is>
          <t>NORRBOTTENS LÄN</t>
        </is>
      </c>
      <c r="E2956" t="inlineStr">
        <is>
          <t>ÖVERKALIX</t>
        </is>
      </c>
      <c r="F2956" t="inlineStr">
        <is>
          <t>Sveaskog</t>
        </is>
      </c>
      <c r="G2956" t="n">
        <v>13.3</v>
      </c>
      <c r="H2956" t="n">
        <v>0</v>
      </c>
      <c r="I2956" t="n">
        <v>0</v>
      </c>
      <c r="J2956" t="n">
        <v>0</v>
      </c>
      <c r="K2956" t="n">
        <v>0</v>
      </c>
      <c r="L2956" t="n">
        <v>0</v>
      </c>
      <c r="M2956" t="n">
        <v>0</v>
      </c>
      <c r="N2956" t="n">
        <v>0</v>
      </c>
      <c r="O2956" t="n">
        <v>0</v>
      </c>
      <c r="P2956" t="n">
        <v>0</v>
      </c>
      <c r="Q2956" t="n">
        <v>0</v>
      </c>
      <c r="R2956" s="2" t="inlineStr"/>
    </row>
    <row r="2957" ht="15" customHeight="1">
      <c r="A2957" t="inlineStr">
        <is>
          <t>A 30690-2021</t>
        </is>
      </c>
      <c r="B2957" s="1" t="n">
        <v>44365</v>
      </c>
      <c r="C2957" s="1" t="n">
        <v>45662</v>
      </c>
      <c r="D2957" t="inlineStr">
        <is>
          <t>NORRBOTTENS LÄN</t>
        </is>
      </c>
      <c r="E2957" t="inlineStr">
        <is>
          <t>HAPARANDA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30651-2021</t>
        </is>
      </c>
      <c r="B2958" s="1" t="n">
        <v>44365</v>
      </c>
      <c r="C2958" s="1" t="n">
        <v>45662</v>
      </c>
      <c r="D2958" t="inlineStr">
        <is>
          <t>NORRBOTTENS LÄN</t>
        </is>
      </c>
      <c r="E2958" t="inlineStr">
        <is>
          <t>ARVIDSJAUR</t>
        </is>
      </c>
      <c r="F2958" t="inlineStr">
        <is>
          <t>Allmännings- och besparingsskogar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30672-2021</t>
        </is>
      </c>
      <c r="B2959" s="1" t="n">
        <v>44365</v>
      </c>
      <c r="C2959" s="1" t="n">
        <v>45662</v>
      </c>
      <c r="D2959" t="inlineStr">
        <is>
          <t>NORRBOTTENS LÄN</t>
        </is>
      </c>
      <c r="E2959" t="inlineStr">
        <is>
          <t>ÖVERKALIX</t>
        </is>
      </c>
      <c r="F2959" t="inlineStr">
        <is>
          <t>Sveaskog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30688-2021</t>
        </is>
      </c>
      <c r="B2960" s="1" t="n">
        <v>44365</v>
      </c>
      <c r="C2960" s="1" t="n">
        <v>45662</v>
      </c>
      <c r="D2960" t="inlineStr">
        <is>
          <t>NORRBOTTENS LÄN</t>
        </is>
      </c>
      <c r="E2960" t="inlineStr">
        <is>
          <t>ÖVERTORNEÅ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30994-2021</t>
        </is>
      </c>
      <c r="B2961" s="1" t="n">
        <v>44366</v>
      </c>
      <c r="C2961" s="1" t="n">
        <v>45662</v>
      </c>
      <c r="D2961" t="inlineStr">
        <is>
          <t>NORRBOTTENS LÄN</t>
        </is>
      </c>
      <c r="E2961" t="inlineStr">
        <is>
          <t>GÄLLIVARE</t>
        </is>
      </c>
      <c r="F2961" t="inlineStr">
        <is>
          <t>Sveaskog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31008-2021</t>
        </is>
      </c>
      <c r="B2962" s="1" t="n">
        <v>44366</v>
      </c>
      <c r="C2962" s="1" t="n">
        <v>45662</v>
      </c>
      <c r="D2962" t="inlineStr">
        <is>
          <t>NORRBOTTENS LÄN</t>
        </is>
      </c>
      <c r="E2962" t="inlineStr">
        <is>
          <t>ÖVERTORNEÅ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31007-2021</t>
        </is>
      </c>
      <c r="B2963" s="1" t="n">
        <v>44366</v>
      </c>
      <c r="C2963" s="1" t="n">
        <v>45662</v>
      </c>
      <c r="D2963" t="inlineStr">
        <is>
          <t>NORRBOTTENS LÄN</t>
        </is>
      </c>
      <c r="E2963" t="inlineStr">
        <is>
          <t>ÖVERTORNEÅ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31164-2021</t>
        </is>
      </c>
      <c r="B2964" s="1" t="n">
        <v>44368</v>
      </c>
      <c r="C2964" s="1" t="n">
        <v>45662</v>
      </c>
      <c r="D2964" t="inlineStr">
        <is>
          <t>NORRBOTTENS LÄN</t>
        </is>
      </c>
      <c r="E2964" t="inlineStr">
        <is>
          <t>PITEÅ</t>
        </is>
      </c>
      <c r="F2964" t="inlineStr">
        <is>
          <t>Sveaskog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31161-2021</t>
        </is>
      </c>
      <c r="B2965" s="1" t="n">
        <v>44368</v>
      </c>
      <c r="C2965" s="1" t="n">
        <v>45662</v>
      </c>
      <c r="D2965" t="inlineStr">
        <is>
          <t>NORRBOTTENS LÄN</t>
        </is>
      </c>
      <c r="E2965" t="inlineStr">
        <is>
          <t>PITEÅ</t>
        </is>
      </c>
      <c r="F2965" t="inlineStr">
        <is>
          <t>Sveaskog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31243-2021</t>
        </is>
      </c>
      <c r="B2966" s="1" t="n">
        <v>44368</v>
      </c>
      <c r="C2966" s="1" t="n">
        <v>45662</v>
      </c>
      <c r="D2966" t="inlineStr">
        <is>
          <t>NORRBOTTENS LÄN</t>
        </is>
      </c>
      <c r="E2966" t="inlineStr">
        <is>
          <t>KALIX</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31363-2021</t>
        </is>
      </c>
      <c r="B2967" s="1" t="n">
        <v>44368</v>
      </c>
      <c r="C2967" s="1" t="n">
        <v>45662</v>
      </c>
      <c r="D2967" t="inlineStr">
        <is>
          <t>NORRBOTTENS LÄN</t>
        </is>
      </c>
      <c r="E2967" t="inlineStr">
        <is>
          <t>PITEÅ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31364-2021</t>
        </is>
      </c>
      <c r="B2968" s="1" t="n">
        <v>44369</v>
      </c>
      <c r="C2968" s="1" t="n">
        <v>45662</v>
      </c>
      <c r="D2968" t="inlineStr">
        <is>
          <t>NORRBOTTENS LÄN</t>
        </is>
      </c>
      <c r="E2968" t="inlineStr">
        <is>
          <t>PITEÅ</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31446-2021</t>
        </is>
      </c>
      <c r="B2969" s="1" t="n">
        <v>44369</v>
      </c>
      <c r="C2969" s="1" t="n">
        <v>45662</v>
      </c>
      <c r="D2969" t="inlineStr">
        <is>
          <t>NORRBOTTENS LÄN</t>
        </is>
      </c>
      <c r="E2969" t="inlineStr">
        <is>
          <t>ARVIDSJAUR</t>
        </is>
      </c>
      <c r="F2969" t="inlineStr">
        <is>
          <t>Sveaskog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31444-2021</t>
        </is>
      </c>
      <c r="B2970" s="1" t="n">
        <v>44369</v>
      </c>
      <c r="C2970" s="1" t="n">
        <v>45662</v>
      </c>
      <c r="D2970" t="inlineStr">
        <is>
          <t>NORRBOTTENS LÄN</t>
        </is>
      </c>
      <c r="E2970" t="inlineStr">
        <is>
          <t>ÖVERTORNEÅ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31453-2021</t>
        </is>
      </c>
      <c r="B2971" s="1" t="n">
        <v>44369</v>
      </c>
      <c r="C2971" s="1" t="n">
        <v>45662</v>
      </c>
      <c r="D2971" t="inlineStr">
        <is>
          <t>NORRBOTTENS LÄN</t>
        </is>
      </c>
      <c r="E2971" t="inlineStr">
        <is>
          <t>ARVIDSJAUR</t>
        </is>
      </c>
      <c r="F2971" t="inlineStr">
        <is>
          <t>Sveaskog</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31513-2021</t>
        </is>
      </c>
      <c r="B2972" s="1" t="n">
        <v>44369</v>
      </c>
      <c r="C2972" s="1" t="n">
        <v>45662</v>
      </c>
      <c r="D2972" t="inlineStr">
        <is>
          <t>NORRBOTTENS LÄN</t>
        </is>
      </c>
      <c r="E2972" t="inlineStr">
        <is>
          <t>BODEN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31439-2021</t>
        </is>
      </c>
      <c r="B2973" s="1" t="n">
        <v>44369</v>
      </c>
      <c r="C2973" s="1" t="n">
        <v>45662</v>
      </c>
      <c r="D2973" t="inlineStr">
        <is>
          <t>NORRBOTTENS LÄN</t>
        </is>
      </c>
      <c r="E2973" t="inlineStr">
        <is>
          <t>ARJEPLOG</t>
        </is>
      </c>
      <c r="F2973" t="inlineStr">
        <is>
          <t>Sveaskog</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31573-2021</t>
        </is>
      </c>
      <c r="B2974" s="1" t="n">
        <v>44369</v>
      </c>
      <c r="C2974" s="1" t="n">
        <v>45662</v>
      </c>
      <c r="D2974" t="inlineStr">
        <is>
          <t>NORRBOTTENS LÄN</t>
        </is>
      </c>
      <c r="E2974" t="inlineStr">
        <is>
          <t>ARVIDSJAUR</t>
        </is>
      </c>
      <c r="F2974" t="inlineStr">
        <is>
          <t>Sveaskog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31706-2021</t>
        </is>
      </c>
      <c r="B2975" s="1" t="n">
        <v>44369</v>
      </c>
      <c r="C2975" s="1" t="n">
        <v>45662</v>
      </c>
      <c r="D2975" t="inlineStr">
        <is>
          <t>NORRBOTTENS LÄN</t>
        </is>
      </c>
      <c r="E2975" t="inlineStr">
        <is>
          <t>KALIX</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31756-2021</t>
        </is>
      </c>
      <c r="B2976" s="1" t="n">
        <v>44370</v>
      </c>
      <c r="C2976" s="1" t="n">
        <v>45662</v>
      </c>
      <c r="D2976" t="inlineStr">
        <is>
          <t>NORRBOTTENS LÄN</t>
        </is>
      </c>
      <c r="E2976" t="inlineStr">
        <is>
          <t>PITEÅ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31720-2021</t>
        </is>
      </c>
      <c r="B2977" s="1" t="n">
        <v>44369</v>
      </c>
      <c r="C2977" s="1" t="n">
        <v>45662</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31754-2021</t>
        </is>
      </c>
      <c r="B2978" s="1" t="n">
        <v>44370</v>
      </c>
      <c r="C2978" s="1" t="n">
        <v>45662</v>
      </c>
      <c r="D2978" t="inlineStr">
        <is>
          <t>NORRBOTTENS LÄN</t>
        </is>
      </c>
      <c r="E2978" t="inlineStr">
        <is>
          <t>PITEÅ</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31686-2021</t>
        </is>
      </c>
      <c r="B2979" s="1" t="n">
        <v>44369</v>
      </c>
      <c r="C2979" s="1" t="n">
        <v>45662</v>
      </c>
      <c r="D2979" t="inlineStr">
        <is>
          <t>NORRBOTTENS LÄN</t>
        </is>
      </c>
      <c r="E2979" t="inlineStr">
        <is>
          <t>PAJALA</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31703-2021</t>
        </is>
      </c>
      <c r="B2980" s="1" t="n">
        <v>44369</v>
      </c>
      <c r="C2980" s="1" t="n">
        <v>45662</v>
      </c>
      <c r="D2980" t="inlineStr">
        <is>
          <t>NORRBOTTENS LÄN</t>
        </is>
      </c>
      <c r="E2980" t="inlineStr">
        <is>
          <t>PAJALA</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31719-2021</t>
        </is>
      </c>
      <c r="B2981" s="1" t="n">
        <v>44369</v>
      </c>
      <c r="C2981" s="1" t="n">
        <v>45662</v>
      </c>
      <c r="D2981" t="inlineStr">
        <is>
          <t>NORRBOTTENS LÄN</t>
        </is>
      </c>
      <c r="E2981" t="inlineStr">
        <is>
          <t>BODEN</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31767-2021</t>
        </is>
      </c>
      <c r="B2982" s="1" t="n">
        <v>44369</v>
      </c>
      <c r="C2982" s="1" t="n">
        <v>45662</v>
      </c>
      <c r="D2982" t="inlineStr">
        <is>
          <t>NORRBOTTENS LÄN</t>
        </is>
      </c>
      <c r="E2982" t="inlineStr">
        <is>
          <t>JOKKMOKK</t>
        </is>
      </c>
      <c r="F2982" t="inlineStr">
        <is>
          <t>Övriga statliga verk och myndigheter</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31812-2021</t>
        </is>
      </c>
      <c r="B2983" s="1" t="n">
        <v>44370</v>
      </c>
      <c r="C2983" s="1" t="n">
        <v>45662</v>
      </c>
      <c r="D2983" t="inlineStr">
        <is>
          <t>NORRBOTTENS LÄN</t>
        </is>
      </c>
      <c r="E2983" t="inlineStr">
        <is>
          <t>PAJALA</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31902-2021</t>
        </is>
      </c>
      <c r="B2984" s="1" t="n">
        <v>44370</v>
      </c>
      <c r="C2984" s="1" t="n">
        <v>45662</v>
      </c>
      <c r="D2984" t="inlineStr">
        <is>
          <t>NORRBOTTENS LÄN</t>
        </is>
      </c>
      <c r="E2984" t="inlineStr">
        <is>
          <t>JOKKMOKK</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32095-2021</t>
        </is>
      </c>
      <c r="B2985" s="1" t="n">
        <v>44370</v>
      </c>
      <c r="C2985" s="1" t="n">
        <v>45662</v>
      </c>
      <c r="D2985" t="inlineStr">
        <is>
          <t>NORRBOTTENS LÄN</t>
        </is>
      </c>
      <c r="E2985" t="inlineStr">
        <is>
          <t>PITEÅ</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32098-2021</t>
        </is>
      </c>
      <c r="B2986" s="1" t="n">
        <v>44370</v>
      </c>
      <c r="C2986" s="1" t="n">
        <v>45662</v>
      </c>
      <c r="D2986" t="inlineStr">
        <is>
          <t>NORRBOTTENS LÄN</t>
        </is>
      </c>
      <c r="E2986" t="inlineStr">
        <is>
          <t>PITEÅ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32096-2021</t>
        </is>
      </c>
      <c r="B2987" s="1" t="n">
        <v>44371</v>
      </c>
      <c r="C2987" s="1" t="n">
        <v>45662</v>
      </c>
      <c r="D2987" t="inlineStr">
        <is>
          <t>NORRBOTTENS LÄN</t>
        </is>
      </c>
      <c r="E2987" t="inlineStr">
        <is>
          <t>PITEÅ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32373-2021</t>
        </is>
      </c>
      <c r="B2988" s="1" t="n">
        <v>44371</v>
      </c>
      <c r="C2988" s="1" t="n">
        <v>45662</v>
      </c>
      <c r="D2988" t="inlineStr">
        <is>
          <t>NORRBOTTENS LÄN</t>
        </is>
      </c>
      <c r="E2988" t="inlineStr">
        <is>
          <t>BODEN</t>
        </is>
      </c>
      <c r="F2988" t="inlineStr">
        <is>
          <t>Sveaskog</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32378-2021</t>
        </is>
      </c>
      <c r="B2989" s="1" t="n">
        <v>44371</v>
      </c>
      <c r="C2989" s="1" t="n">
        <v>45662</v>
      </c>
      <c r="D2989" t="inlineStr">
        <is>
          <t>NORRBOTTENS LÄN</t>
        </is>
      </c>
      <c r="E2989" t="inlineStr">
        <is>
          <t>LULEÅ</t>
        </is>
      </c>
      <c r="F2989" t="inlineStr">
        <is>
          <t>Sveaskog</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32381-2021</t>
        </is>
      </c>
      <c r="B2990" s="1" t="n">
        <v>44371</v>
      </c>
      <c r="C2990" s="1" t="n">
        <v>45662</v>
      </c>
      <c r="D2990" t="inlineStr">
        <is>
          <t>NORRBOTTENS LÄN</t>
        </is>
      </c>
      <c r="E2990" t="inlineStr">
        <is>
          <t>LULEÅ</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32448-2021</t>
        </is>
      </c>
      <c r="B2991" s="1" t="n">
        <v>44371</v>
      </c>
      <c r="C2991" s="1" t="n">
        <v>45662</v>
      </c>
      <c r="D2991" t="inlineStr">
        <is>
          <t>NORRBOTTENS LÄN</t>
        </is>
      </c>
      <c r="E2991" t="inlineStr">
        <is>
          <t>KALIX</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32479-2021</t>
        </is>
      </c>
      <c r="B2992" s="1" t="n">
        <v>44372</v>
      </c>
      <c r="C2992" s="1" t="n">
        <v>45662</v>
      </c>
      <c r="D2992" t="inlineStr">
        <is>
          <t>NORRBOTTENS LÄN</t>
        </is>
      </c>
      <c r="E2992" t="inlineStr">
        <is>
          <t>PITEÅ</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32475-2021</t>
        </is>
      </c>
      <c r="B2993" s="1" t="n">
        <v>44372</v>
      </c>
      <c r="C2993" s="1" t="n">
        <v>45662</v>
      </c>
      <c r="D2993" t="inlineStr">
        <is>
          <t>NORRBOTTENS LÄN</t>
        </is>
      </c>
      <c r="E2993" t="inlineStr">
        <is>
          <t>PITEÅ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32511-2021</t>
        </is>
      </c>
      <c r="B2994" s="1" t="n">
        <v>44374</v>
      </c>
      <c r="C2994" s="1" t="n">
        <v>45662</v>
      </c>
      <c r="D2994" t="inlineStr">
        <is>
          <t>NORRBOTTENS LÄN</t>
        </is>
      </c>
      <c r="E2994" t="inlineStr">
        <is>
          <t>BODEN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32521-2021</t>
        </is>
      </c>
      <c r="B2995" s="1" t="n">
        <v>44374</v>
      </c>
      <c r="C2995" s="1" t="n">
        <v>45662</v>
      </c>
      <c r="D2995" t="inlineStr">
        <is>
          <t>NORRBOTTENS LÄN</t>
        </is>
      </c>
      <c r="E2995" t="inlineStr">
        <is>
          <t>ÖVERKALIX</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32682-2021</t>
        </is>
      </c>
      <c r="B2996" s="1" t="n">
        <v>44375</v>
      </c>
      <c r="C2996" s="1" t="n">
        <v>45662</v>
      </c>
      <c r="D2996" t="inlineStr">
        <is>
          <t>NORRBOTTENS LÄN</t>
        </is>
      </c>
      <c r="E2996" t="inlineStr">
        <is>
          <t>KIRUNA</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32723-2021</t>
        </is>
      </c>
      <c r="B2997" s="1" t="n">
        <v>44375</v>
      </c>
      <c r="C2997" s="1" t="n">
        <v>45662</v>
      </c>
      <c r="D2997" t="inlineStr">
        <is>
          <t>NORRBOTTENS LÄN</t>
        </is>
      </c>
      <c r="E2997" t="inlineStr">
        <is>
          <t>KALIX</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32675-2021</t>
        </is>
      </c>
      <c r="B2998" s="1" t="n">
        <v>44375</v>
      </c>
      <c r="C2998" s="1" t="n">
        <v>45662</v>
      </c>
      <c r="D2998" t="inlineStr">
        <is>
          <t>NORRBOTTENS LÄN</t>
        </is>
      </c>
      <c r="E2998" t="inlineStr">
        <is>
          <t>PITEÅ</t>
        </is>
      </c>
      <c r="F2998" t="inlineStr">
        <is>
          <t>Kommuner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32751-2021</t>
        </is>
      </c>
      <c r="B2999" s="1" t="n">
        <v>44375</v>
      </c>
      <c r="C2999" s="1" t="n">
        <v>45662</v>
      </c>
      <c r="D2999" t="inlineStr">
        <is>
          <t>NORRBOTTENS LÄN</t>
        </is>
      </c>
      <c r="E2999" t="inlineStr">
        <is>
          <t>JOKKMOKK</t>
        </is>
      </c>
      <c r="F2999" t="inlineStr">
        <is>
          <t>Övriga statliga verk och myndigheter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32808-2021</t>
        </is>
      </c>
      <c r="B3000" s="1" t="n">
        <v>44375</v>
      </c>
      <c r="C3000" s="1" t="n">
        <v>45662</v>
      </c>
      <c r="D3000" t="inlineStr">
        <is>
          <t>NORRBOTTENS LÄN</t>
        </is>
      </c>
      <c r="E3000" t="inlineStr">
        <is>
          <t>KIRUNA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32923-2021</t>
        </is>
      </c>
      <c r="B3001" s="1" t="n">
        <v>44376</v>
      </c>
      <c r="C3001" s="1" t="n">
        <v>45662</v>
      </c>
      <c r="D3001" t="inlineStr">
        <is>
          <t>NORRBOTTENS LÄN</t>
        </is>
      </c>
      <c r="E3001" t="inlineStr">
        <is>
          <t>PITEÅ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32902-2021</t>
        </is>
      </c>
      <c r="B3002" s="1" t="n">
        <v>44376</v>
      </c>
      <c r="C3002" s="1" t="n">
        <v>45662</v>
      </c>
      <c r="D3002" t="inlineStr">
        <is>
          <t>NORRBOTTENS LÄN</t>
        </is>
      </c>
      <c r="E3002" t="inlineStr">
        <is>
          <t>ÖVERTORNEÅ</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32924-2021</t>
        </is>
      </c>
      <c r="B3003" s="1" t="n">
        <v>44376</v>
      </c>
      <c r="C3003" s="1" t="n">
        <v>45662</v>
      </c>
      <c r="D3003" t="inlineStr">
        <is>
          <t>NORRBOTTENS LÄN</t>
        </is>
      </c>
      <c r="E3003" t="inlineStr">
        <is>
          <t>PITEÅ</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32819-2021</t>
        </is>
      </c>
      <c r="B3004" s="1" t="n">
        <v>44375</v>
      </c>
      <c r="C3004" s="1" t="n">
        <v>45662</v>
      </c>
      <c r="D3004" t="inlineStr">
        <is>
          <t>NORRBOTTENS LÄN</t>
        </is>
      </c>
      <c r="E3004" t="inlineStr">
        <is>
          <t>KIRUNA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32929-2021</t>
        </is>
      </c>
      <c r="B3005" s="1" t="n">
        <v>44375</v>
      </c>
      <c r="C3005" s="1" t="n">
        <v>45662</v>
      </c>
      <c r="D3005" t="inlineStr">
        <is>
          <t>NORRBOTTENS LÄN</t>
        </is>
      </c>
      <c r="E3005" t="inlineStr">
        <is>
          <t>GÄLLIVARE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33007-2021</t>
        </is>
      </c>
      <c r="B3006" s="1" t="n">
        <v>44376</v>
      </c>
      <c r="C3006" s="1" t="n">
        <v>45662</v>
      </c>
      <c r="D3006" t="inlineStr">
        <is>
          <t>NORRBOTTENS LÄN</t>
        </is>
      </c>
      <c r="E3006" t="inlineStr">
        <is>
          <t>PITEÅ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33147-2021</t>
        </is>
      </c>
      <c r="B3007" s="1" t="n">
        <v>44376</v>
      </c>
      <c r="C3007" s="1" t="n">
        <v>45662</v>
      </c>
      <c r="D3007" t="inlineStr">
        <is>
          <t>NORRBOTTENS LÄN</t>
        </is>
      </c>
      <c r="E3007" t="inlineStr">
        <is>
          <t>LULEÅ</t>
        </is>
      </c>
      <c r="F3007" t="inlineStr">
        <is>
          <t>Sveaskog</t>
        </is>
      </c>
      <c r="G3007" t="n">
        <v>24.6</v>
      </c>
      <c r="H3007" t="n">
        <v>0</v>
      </c>
      <c r="I3007" t="n">
        <v>0</v>
      </c>
      <c r="J3007" t="n">
        <v>0</v>
      </c>
      <c r="K3007" t="n">
        <v>0</v>
      </c>
      <c r="L3007" t="n">
        <v>0</v>
      </c>
      <c r="M3007" t="n">
        <v>0</v>
      </c>
      <c r="N3007" t="n">
        <v>0</v>
      </c>
      <c r="O3007" t="n">
        <v>0</v>
      </c>
      <c r="P3007" t="n">
        <v>0</v>
      </c>
      <c r="Q3007" t="n">
        <v>0</v>
      </c>
      <c r="R3007" s="2" t="inlineStr"/>
    </row>
    <row r="3008" ht="15" customHeight="1">
      <c r="A3008" t="inlineStr">
        <is>
          <t>A 33211-2021</t>
        </is>
      </c>
      <c r="B3008" s="1" t="n">
        <v>44377</v>
      </c>
      <c r="C3008" s="1" t="n">
        <v>45662</v>
      </c>
      <c r="D3008" t="inlineStr">
        <is>
          <t>NORRBOTTENS LÄN</t>
        </is>
      </c>
      <c r="E3008" t="inlineStr">
        <is>
          <t>PITEÅ</t>
        </is>
      </c>
      <c r="F3008" t="inlineStr">
        <is>
          <t>Naturvårdsverket</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33176-2021</t>
        </is>
      </c>
      <c r="B3009" s="1" t="n">
        <v>44376</v>
      </c>
      <c r="C3009" s="1" t="n">
        <v>45662</v>
      </c>
      <c r="D3009" t="inlineStr">
        <is>
          <t>NORRBOTTENS LÄN</t>
        </is>
      </c>
      <c r="E3009" t="inlineStr">
        <is>
          <t>PAJALA</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33148-2021</t>
        </is>
      </c>
      <c r="B3010" s="1" t="n">
        <v>44376</v>
      </c>
      <c r="C3010" s="1" t="n">
        <v>45662</v>
      </c>
      <c r="D3010" t="inlineStr">
        <is>
          <t>NORRBOTTENS LÄN</t>
        </is>
      </c>
      <c r="E3010" t="inlineStr">
        <is>
          <t>LULEÅ</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33336-2021</t>
        </is>
      </c>
      <c r="B3011" s="1" t="n">
        <v>44377</v>
      </c>
      <c r="C3011" s="1" t="n">
        <v>45662</v>
      </c>
      <c r="D3011" t="inlineStr">
        <is>
          <t>NORRBOTTENS LÄN</t>
        </is>
      </c>
      <c r="E3011" t="inlineStr">
        <is>
          <t>ARVIDSJAUR</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33353-2021</t>
        </is>
      </c>
      <c r="B3012" s="1" t="n">
        <v>44377</v>
      </c>
      <c r="C3012" s="1" t="n">
        <v>45662</v>
      </c>
      <c r="D3012" t="inlineStr">
        <is>
          <t>NORRBOTTENS LÄN</t>
        </is>
      </c>
      <c r="E3012" t="inlineStr">
        <is>
          <t>BODEN</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33751-2021</t>
        </is>
      </c>
      <c r="B3013" s="1" t="n">
        <v>44377</v>
      </c>
      <c r="C3013" s="1" t="n">
        <v>45662</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33539-2021</t>
        </is>
      </c>
      <c r="B3014" s="1" t="n">
        <v>44378</v>
      </c>
      <c r="C3014" s="1" t="n">
        <v>45662</v>
      </c>
      <c r="D3014" t="inlineStr">
        <is>
          <t>NORRBOTTENS LÄN</t>
        </is>
      </c>
      <c r="E3014" t="inlineStr">
        <is>
          <t>PITEÅ</t>
        </is>
      </c>
      <c r="G3014" t="n">
        <v>15.5</v>
      </c>
      <c r="H3014" t="n">
        <v>0</v>
      </c>
      <c r="I3014" t="n">
        <v>0</v>
      </c>
      <c r="J3014" t="n">
        <v>0</v>
      </c>
      <c r="K3014" t="n">
        <v>0</v>
      </c>
      <c r="L3014" t="n">
        <v>0</v>
      </c>
      <c r="M3014" t="n">
        <v>0</v>
      </c>
      <c r="N3014" t="n">
        <v>0</v>
      </c>
      <c r="O3014" t="n">
        <v>0</v>
      </c>
      <c r="P3014" t="n">
        <v>0</v>
      </c>
      <c r="Q3014" t="n">
        <v>0</v>
      </c>
      <c r="R3014" s="2" t="inlineStr"/>
    </row>
    <row r="3015" ht="15" customHeight="1">
      <c r="A3015" t="inlineStr">
        <is>
          <t>A 33666-2021</t>
        </is>
      </c>
      <c r="B3015" s="1" t="n">
        <v>44378</v>
      </c>
      <c r="C3015" s="1" t="n">
        <v>45662</v>
      </c>
      <c r="D3015" t="inlineStr">
        <is>
          <t>NORRBOTTENS LÄN</t>
        </is>
      </c>
      <c r="E3015" t="inlineStr">
        <is>
          <t>PITEÅ</t>
        </is>
      </c>
      <c r="F3015" t="inlineStr">
        <is>
          <t>Sveaskog</t>
        </is>
      </c>
      <c r="G3015" t="n">
        <v>46.2</v>
      </c>
      <c r="H3015" t="n">
        <v>0</v>
      </c>
      <c r="I3015" t="n">
        <v>0</v>
      </c>
      <c r="J3015" t="n">
        <v>0</v>
      </c>
      <c r="K3015" t="n">
        <v>0</v>
      </c>
      <c r="L3015" t="n">
        <v>0</v>
      </c>
      <c r="M3015" t="n">
        <v>0</v>
      </c>
      <c r="N3015" t="n">
        <v>0</v>
      </c>
      <c r="O3015" t="n">
        <v>0</v>
      </c>
      <c r="P3015" t="n">
        <v>0</v>
      </c>
      <c r="Q3015" t="n">
        <v>0</v>
      </c>
      <c r="R3015" s="2" t="inlineStr"/>
    </row>
    <row r="3016" ht="15" customHeight="1">
      <c r="A3016" t="inlineStr">
        <is>
          <t>A 33813-2021</t>
        </is>
      </c>
      <c r="B3016" s="1" t="n">
        <v>44378</v>
      </c>
      <c r="C3016" s="1" t="n">
        <v>45662</v>
      </c>
      <c r="D3016" t="inlineStr">
        <is>
          <t>NORRBOTTENS LÄN</t>
        </is>
      </c>
      <c r="E3016" t="inlineStr">
        <is>
          <t>PITEÅ</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33823-2021</t>
        </is>
      </c>
      <c r="B3017" s="1" t="n">
        <v>44378</v>
      </c>
      <c r="C3017" s="1" t="n">
        <v>45662</v>
      </c>
      <c r="D3017" t="inlineStr">
        <is>
          <t>NORRBOTTENS LÄN</t>
        </is>
      </c>
      <c r="E3017" t="inlineStr">
        <is>
          <t>ÄLVSBYN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33908-2021</t>
        </is>
      </c>
      <c r="B3018" s="1" t="n">
        <v>44378</v>
      </c>
      <c r="C3018" s="1" t="n">
        <v>45662</v>
      </c>
      <c r="D3018" t="inlineStr">
        <is>
          <t>NORRBOTTENS LÄN</t>
        </is>
      </c>
      <c r="E3018" t="inlineStr">
        <is>
          <t>BODEN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33903-2021</t>
        </is>
      </c>
      <c r="B3019" s="1" t="n">
        <v>44378</v>
      </c>
      <c r="C3019" s="1" t="n">
        <v>45662</v>
      </c>
      <c r="D3019" t="inlineStr">
        <is>
          <t>NORRBOTTENS LÄN</t>
        </is>
      </c>
      <c r="E3019" t="inlineStr">
        <is>
          <t>BODEN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34021-2021</t>
        </is>
      </c>
      <c r="B3020" s="1" t="n">
        <v>44378</v>
      </c>
      <c r="C3020" s="1" t="n">
        <v>45662</v>
      </c>
      <c r="D3020" t="inlineStr">
        <is>
          <t>NORRBOTTENS LÄN</t>
        </is>
      </c>
      <c r="E3020" t="inlineStr">
        <is>
          <t>BODEN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34062-2021</t>
        </is>
      </c>
      <c r="B3021" s="1" t="n">
        <v>44378</v>
      </c>
      <c r="C3021" s="1" t="n">
        <v>45662</v>
      </c>
      <c r="D3021" t="inlineStr">
        <is>
          <t>NORRBOTTENS LÄN</t>
        </is>
      </c>
      <c r="E3021" t="inlineStr">
        <is>
          <t>JOKKMOKK</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34084-2021</t>
        </is>
      </c>
      <c r="B3022" s="1" t="n">
        <v>44378</v>
      </c>
      <c r="C3022" s="1" t="n">
        <v>45662</v>
      </c>
      <c r="D3022" t="inlineStr">
        <is>
          <t>NORRBOTTENS LÄN</t>
        </is>
      </c>
      <c r="E3022" t="inlineStr">
        <is>
          <t>JOKKMOKK</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34085-2021</t>
        </is>
      </c>
      <c r="B3023" s="1" t="n">
        <v>44379</v>
      </c>
      <c r="C3023" s="1" t="n">
        <v>45662</v>
      </c>
      <c r="D3023" t="inlineStr">
        <is>
          <t>NORRBOTTENS LÄN</t>
        </is>
      </c>
      <c r="E3023" t="inlineStr">
        <is>
          <t>PAJALA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34495-2021</t>
        </is>
      </c>
      <c r="B3024" s="1" t="n">
        <v>44379</v>
      </c>
      <c r="C3024" s="1" t="n">
        <v>45662</v>
      </c>
      <c r="D3024" t="inlineStr">
        <is>
          <t>NORRBOTTENS LÄN</t>
        </is>
      </c>
      <c r="E3024" t="inlineStr">
        <is>
          <t>LULEÅ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34210-2021</t>
        </is>
      </c>
      <c r="B3025" s="1" t="n">
        <v>44379</v>
      </c>
      <c r="C3025" s="1" t="n">
        <v>45662</v>
      </c>
      <c r="D3025" t="inlineStr">
        <is>
          <t>NORRBOTTENS LÄN</t>
        </is>
      </c>
      <c r="E3025" t="inlineStr">
        <is>
          <t>KALIX</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34244-2021</t>
        </is>
      </c>
      <c r="B3026" s="1" t="n">
        <v>44379</v>
      </c>
      <c r="C3026" s="1" t="n">
        <v>45662</v>
      </c>
      <c r="D3026" t="inlineStr">
        <is>
          <t>NORRBOTTENS LÄN</t>
        </is>
      </c>
      <c r="E3026" t="inlineStr">
        <is>
          <t>ARVIDSJAUR</t>
        </is>
      </c>
      <c r="F3026" t="inlineStr">
        <is>
          <t>Sveaskog</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34253-2021</t>
        </is>
      </c>
      <c r="B3027" s="1" t="n">
        <v>44379</v>
      </c>
      <c r="C3027" s="1" t="n">
        <v>45662</v>
      </c>
      <c r="D3027" t="inlineStr">
        <is>
          <t>NORRBOTTENS LÄN</t>
        </is>
      </c>
      <c r="E3027" t="inlineStr">
        <is>
          <t>ARVIDSJAUR</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34370-2021</t>
        </is>
      </c>
      <c r="B3028" s="1" t="n">
        <v>44379</v>
      </c>
      <c r="C3028" s="1" t="n">
        <v>45662</v>
      </c>
      <c r="D3028" t="inlineStr">
        <is>
          <t>NORRBOTTENS LÄN</t>
        </is>
      </c>
      <c r="E3028" t="inlineStr">
        <is>
          <t>KALIX</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34199-2021</t>
        </is>
      </c>
      <c r="B3029" s="1" t="n">
        <v>44379</v>
      </c>
      <c r="C3029" s="1" t="n">
        <v>45662</v>
      </c>
      <c r="D3029" t="inlineStr">
        <is>
          <t>NORRBOTTENS LÄN</t>
        </is>
      </c>
      <c r="E3029" t="inlineStr">
        <is>
          <t>KALIX</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34368-2021</t>
        </is>
      </c>
      <c r="B3030" s="1" t="n">
        <v>44379</v>
      </c>
      <c r="C3030" s="1" t="n">
        <v>45662</v>
      </c>
      <c r="D3030" t="inlineStr">
        <is>
          <t>NORRBOTTENS LÄN</t>
        </is>
      </c>
      <c r="E3030" t="inlineStr">
        <is>
          <t>KALIX</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34512-2021</t>
        </is>
      </c>
      <c r="B3031" s="1" t="n">
        <v>44379</v>
      </c>
      <c r="C3031" s="1" t="n">
        <v>45662</v>
      </c>
      <c r="D3031" t="inlineStr">
        <is>
          <t>NORRBOTTENS LÄN</t>
        </is>
      </c>
      <c r="E3031" t="inlineStr">
        <is>
          <t>HAPARANDA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34183-2021</t>
        </is>
      </c>
      <c r="B3032" s="1" t="n">
        <v>44379</v>
      </c>
      <c r="C3032" s="1" t="n">
        <v>45662</v>
      </c>
      <c r="D3032" t="inlineStr">
        <is>
          <t>NORRBOTTENS LÄN</t>
        </is>
      </c>
      <c r="E3032" t="inlineStr">
        <is>
          <t>HAPARANDA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34444-2021</t>
        </is>
      </c>
      <c r="B3033" s="1" t="n">
        <v>44381</v>
      </c>
      <c r="C3033" s="1" t="n">
        <v>45662</v>
      </c>
      <c r="D3033" t="inlineStr">
        <is>
          <t>NORRBOTTENS LÄN</t>
        </is>
      </c>
      <c r="E3033" t="inlineStr">
        <is>
          <t>KALIX</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34510-2021</t>
        </is>
      </c>
      <c r="B3034" s="1" t="n">
        <v>44382</v>
      </c>
      <c r="C3034" s="1" t="n">
        <v>45662</v>
      </c>
      <c r="D3034" t="inlineStr">
        <is>
          <t>NORRBOTTENS LÄN</t>
        </is>
      </c>
      <c r="E3034" t="inlineStr">
        <is>
          <t>ARVIDSJAUR</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34516-2021</t>
        </is>
      </c>
      <c r="B3035" s="1" t="n">
        <v>44382</v>
      </c>
      <c r="C3035" s="1" t="n">
        <v>45662</v>
      </c>
      <c r="D3035" t="inlineStr">
        <is>
          <t>NORRBOTTENS LÄN</t>
        </is>
      </c>
      <c r="E3035" t="inlineStr">
        <is>
          <t>KALIX</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34525-2021</t>
        </is>
      </c>
      <c r="B3036" s="1" t="n">
        <v>44382</v>
      </c>
      <c r="C3036" s="1" t="n">
        <v>45662</v>
      </c>
      <c r="D3036" t="inlineStr">
        <is>
          <t>NORRBOTTENS LÄN</t>
        </is>
      </c>
      <c r="E3036" t="inlineStr">
        <is>
          <t>KALIX</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34527-2021</t>
        </is>
      </c>
      <c r="B3037" s="1" t="n">
        <v>44382</v>
      </c>
      <c r="C3037" s="1" t="n">
        <v>45662</v>
      </c>
      <c r="D3037" t="inlineStr">
        <is>
          <t>NORRBOTTENS LÄN</t>
        </is>
      </c>
      <c r="E3037" t="inlineStr">
        <is>
          <t>KALIX</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34752-2021</t>
        </is>
      </c>
      <c r="B3038" s="1" t="n">
        <v>44382</v>
      </c>
      <c r="C3038" s="1" t="n">
        <v>45662</v>
      </c>
      <c r="D3038" t="inlineStr">
        <is>
          <t>NORRBOTTENS LÄN</t>
        </is>
      </c>
      <c r="E3038" t="inlineStr">
        <is>
          <t>JOKKMOKK</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34810-2021</t>
        </is>
      </c>
      <c r="B3039" s="1" t="n">
        <v>44382</v>
      </c>
      <c r="C3039" s="1" t="n">
        <v>45662</v>
      </c>
      <c r="D3039" t="inlineStr">
        <is>
          <t>NORRBOTTENS LÄN</t>
        </is>
      </c>
      <c r="E3039" t="inlineStr">
        <is>
          <t>ARJEPLOG</t>
        </is>
      </c>
      <c r="G3039" t="n">
        <v>19.9</v>
      </c>
      <c r="H3039" t="n">
        <v>0</v>
      </c>
      <c r="I3039" t="n">
        <v>0</v>
      </c>
      <c r="J3039" t="n">
        <v>0</v>
      </c>
      <c r="K3039" t="n">
        <v>0</v>
      </c>
      <c r="L3039" t="n">
        <v>0</v>
      </c>
      <c r="M3039" t="n">
        <v>0</v>
      </c>
      <c r="N3039" t="n">
        <v>0</v>
      </c>
      <c r="O3039" t="n">
        <v>0</v>
      </c>
      <c r="P3039" t="n">
        <v>0</v>
      </c>
      <c r="Q3039" t="n">
        <v>0</v>
      </c>
      <c r="R3039" s="2" t="inlineStr"/>
    </row>
    <row r="3040" ht="15" customHeight="1">
      <c r="A3040" t="inlineStr">
        <is>
          <t>A 34636-2021</t>
        </is>
      </c>
      <c r="B3040" s="1" t="n">
        <v>44382</v>
      </c>
      <c r="C3040" s="1" t="n">
        <v>45662</v>
      </c>
      <c r="D3040" t="inlineStr">
        <is>
          <t>NORRBOTTENS LÄN</t>
        </is>
      </c>
      <c r="E3040" t="inlineStr">
        <is>
          <t>ARVIDSJAUR</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34962-2021</t>
        </is>
      </c>
      <c r="B3041" s="1" t="n">
        <v>44382</v>
      </c>
      <c r="C3041" s="1" t="n">
        <v>45662</v>
      </c>
      <c r="D3041" t="inlineStr">
        <is>
          <t>NORRBOTTENS LÄN</t>
        </is>
      </c>
      <c r="E3041" t="inlineStr">
        <is>
          <t>ARVIDSJAUR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34934-2021</t>
        </is>
      </c>
      <c r="B3042" s="1" t="n">
        <v>44383</v>
      </c>
      <c r="C3042" s="1" t="n">
        <v>45662</v>
      </c>
      <c r="D3042" t="inlineStr">
        <is>
          <t>NORRBOTTENS LÄN</t>
        </is>
      </c>
      <c r="E3042" t="inlineStr">
        <is>
          <t>PAJALA</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34944-2021</t>
        </is>
      </c>
      <c r="B3043" s="1" t="n">
        <v>44383</v>
      </c>
      <c r="C3043" s="1" t="n">
        <v>45662</v>
      </c>
      <c r="D3043" t="inlineStr">
        <is>
          <t>NORRBOTTENS LÄN</t>
        </is>
      </c>
      <c r="E3043" t="inlineStr">
        <is>
          <t>PAJALA</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34929-2021</t>
        </is>
      </c>
      <c r="B3044" s="1" t="n">
        <v>44383</v>
      </c>
      <c r="C3044" s="1" t="n">
        <v>45662</v>
      </c>
      <c r="D3044" t="inlineStr">
        <is>
          <t>NORRBOTTENS LÄN</t>
        </is>
      </c>
      <c r="E3044" t="inlineStr">
        <is>
          <t>PAJALA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35050-2021</t>
        </is>
      </c>
      <c r="B3045" s="1" t="n">
        <v>44383</v>
      </c>
      <c r="C3045" s="1" t="n">
        <v>45662</v>
      </c>
      <c r="D3045" t="inlineStr">
        <is>
          <t>NORRBOTTENS LÄN</t>
        </is>
      </c>
      <c r="E3045" t="inlineStr">
        <is>
          <t>PITEÅ</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34938-2021</t>
        </is>
      </c>
      <c r="B3046" s="1" t="n">
        <v>44383</v>
      </c>
      <c r="C3046" s="1" t="n">
        <v>45662</v>
      </c>
      <c r="D3046" t="inlineStr">
        <is>
          <t>NORRBOTTENS LÄN</t>
        </is>
      </c>
      <c r="E3046" t="inlineStr">
        <is>
          <t>PAJALA</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34950-2021</t>
        </is>
      </c>
      <c r="B3047" s="1" t="n">
        <v>44383</v>
      </c>
      <c r="C3047" s="1" t="n">
        <v>45662</v>
      </c>
      <c r="D3047" t="inlineStr">
        <is>
          <t>NORRBOTTENS LÄN</t>
        </is>
      </c>
      <c r="E3047" t="inlineStr">
        <is>
          <t>PAJALA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35053-2021</t>
        </is>
      </c>
      <c r="B3048" s="1" t="n">
        <v>44383</v>
      </c>
      <c r="C3048" s="1" t="n">
        <v>45662</v>
      </c>
      <c r="D3048" t="inlineStr">
        <is>
          <t>NORRBOTTENS LÄN</t>
        </is>
      </c>
      <c r="E3048" t="inlineStr">
        <is>
          <t>PITEÅ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35054-2021</t>
        </is>
      </c>
      <c r="B3049" s="1" t="n">
        <v>44383</v>
      </c>
      <c r="C3049" s="1" t="n">
        <v>45662</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35051-2021</t>
        </is>
      </c>
      <c r="B3050" s="1" t="n">
        <v>44383</v>
      </c>
      <c r="C3050" s="1" t="n">
        <v>45662</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35057-2021</t>
        </is>
      </c>
      <c r="B3051" s="1" t="n">
        <v>44383</v>
      </c>
      <c r="C3051" s="1" t="n">
        <v>45662</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35066-2021</t>
        </is>
      </c>
      <c r="B3052" s="1" t="n">
        <v>44384</v>
      </c>
      <c r="C3052" s="1" t="n">
        <v>45662</v>
      </c>
      <c r="D3052" t="inlineStr">
        <is>
          <t>NORRBOTTENS LÄN</t>
        </is>
      </c>
      <c r="E3052" t="inlineStr">
        <is>
          <t>PITEÅ</t>
        </is>
      </c>
      <c r="F3052" t="inlineStr">
        <is>
          <t>SCA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35056-2021</t>
        </is>
      </c>
      <c r="B3053" s="1" t="n">
        <v>44383</v>
      </c>
      <c r="C3053" s="1" t="n">
        <v>45662</v>
      </c>
      <c r="D3053" t="inlineStr">
        <is>
          <t>NORRBOTTENS LÄN</t>
        </is>
      </c>
      <c r="E3053" t="inlineStr">
        <is>
          <t>PITEÅ</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35249-2021</t>
        </is>
      </c>
      <c r="B3054" s="1" t="n">
        <v>44384</v>
      </c>
      <c r="C3054" s="1" t="n">
        <v>45662</v>
      </c>
      <c r="D3054" t="inlineStr">
        <is>
          <t>NORRBOTTENS LÄN</t>
        </is>
      </c>
      <c r="E3054" t="inlineStr">
        <is>
          <t>LULEÅ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35234-2021</t>
        </is>
      </c>
      <c r="B3055" s="1" t="n">
        <v>44384</v>
      </c>
      <c r="C3055" s="1" t="n">
        <v>45662</v>
      </c>
      <c r="D3055" t="inlineStr">
        <is>
          <t>NORRBOTTENS LÄN</t>
        </is>
      </c>
      <c r="E3055" t="inlineStr">
        <is>
          <t>LULEÅ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35718-2021</t>
        </is>
      </c>
      <c r="B3056" s="1" t="n">
        <v>44385</v>
      </c>
      <c r="C3056" s="1" t="n">
        <v>45662</v>
      </c>
      <c r="D3056" t="inlineStr">
        <is>
          <t>NORRBOTTENS LÄN</t>
        </is>
      </c>
      <c r="E3056" t="inlineStr">
        <is>
          <t>PAJALA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35740-2021</t>
        </is>
      </c>
      <c r="B3057" s="1" t="n">
        <v>44385</v>
      </c>
      <c r="C3057" s="1" t="n">
        <v>45662</v>
      </c>
      <c r="D3057" t="inlineStr">
        <is>
          <t>NORRBOTTENS LÄN</t>
        </is>
      </c>
      <c r="E3057" t="inlineStr">
        <is>
          <t>ARVIDSJAUR</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35962-2021</t>
        </is>
      </c>
      <c r="B3058" s="1" t="n">
        <v>44385</v>
      </c>
      <c r="C3058" s="1" t="n">
        <v>45662</v>
      </c>
      <c r="D3058" t="inlineStr">
        <is>
          <t>NORRBOTTENS LÄN</t>
        </is>
      </c>
      <c r="E3058" t="inlineStr">
        <is>
          <t>LULEÅ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35595-2021</t>
        </is>
      </c>
      <c r="B3059" s="1" t="n">
        <v>44386</v>
      </c>
      <c r="C3059" s="1" t="n">
        <v>45662</v>
      </c>
      <c r="D3059" t="inlineStr">
        <is>
          <t>NORRBOTTENS LÄN</t>
        </is>
      </c>
      <c r="E3059" t="inlineStr">
        <is>
          <t>KALIX</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35831-2021</t>
        </is>
      </c>
      <c r="B3060" s="1" t="n">
        <v>44386</v>
      </c>
      <c r="C3060" s="1" t="n">
        <v>45662</v>
      </c>
      <c r="D3060" t="inlineStr">
        <is>
          <t>NORRBOTTENS LÄN</t>
        </is>
      </c>
      <c r="E3060" t="inlineStr">
        <is>
          <t>KALIX</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35994-2021</t>
        </is>
      </c>
      <c r="B3061" s="1" t="n">
        <v>44386</v>
      </c>
      <c r="C3061" s="1" t="n">
        <v>45662</v>
      </c>
      <c r="D3061" t="inlineStr">
        <is>
          <t>NORRBOTTENS LÄN</t>
        </is>
      </c>
      <c r="E3061" t="inlineStr">
        <is>
          <t>PITEÅ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36026-2021</t>
        </is>
      </c>
      <c r="B3062" s="1" t="n">
        <v>44386</v>
      </c>
      <c r="C3062" s="1" t="n">
        <v>45662</v>
      </c>
      <c r="D3062" t="inlineStr">
        <is>
          <t>NORRBOTTENS LÄN</t>
        </is>
      </c>
      <c r="E3062" t="inlineStr">
        <is>
          <t>KALIX</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35843-2021</t>
        </is>
      </c>
      <c r="B3063" s="1" t="n">
        <v>44386</v>
      </c>
      <c r="C3063" s="1" t="n">
        <v>45662</v>
      </c>
      <c r="D3063" t="inlineStr">
        <is>
          <t>NORRBOTTENS LÄN</t>
        </is>
      </c>
      <c r="E3063" t="inlineStr">
        <is>
          <t>BODEN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35908-2021</t>
        </is>
      </c>
      <c r="B3064" s="1" t="n">
        <v>44387</v>
      </c>
      <c r="C3064" s="1" t="n">
        <v>45662</v>
      </c>
      <c r="D3064" t="inlineStr">
        <is>
          <t>NORRBOTTENS LÄN</t>
        </is>
      </c>
      <c r="E3064" t="inlineStr">
        <is>
          <t>PAJALA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36017-2021</t>
        </is>
      </c>
      <c r="B3065" s="1" t="n">
        <v>44389</v>
      </c>
      <c r="C3065" s="1" t="n">
        <v>45662</v>
      </c>
      <c r="D3065" t="inlineStr">
        <is>
          <t>NORRBOTTENS LÄN</t>
        </is>
      </c>
      <c r="E3065" t="inlineStr">
        <is>
          <t>BODEN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36233-2021</t>
        </is>
      </c>
      <c r="B3066" s="1" t="n">
        <v>44390</v>
      </c>
      <c r="C3066" s="1" t="n">
        <v>45662</v>
      </c>
      <c r="D3066" t="inlineStr">
        <is>
          <t>NORRBOTTENS LÄN</t>
        </is>
      </c>
      <c r="E3066" t="inlineStr">
        <is>
          <t>GÄLLIVARE</t>
        </is>
      </c>
      <c r="F3066" t="inlineStr">
        <is>
          <t>SCA</t>
        </is>
      </c>
      <c r="G3066" t="n">
        <v>22.3</v>
      </c>
      <c r="H3066" t="n">
        <v>0</v>
      </c>
      <c r="I3066" t="n">
        <v>0</v>
      </c>
      <c r="J3066" t="n">
        <v>0</v>
      </c>
      <c r="K3066" t="n">
        <v>0</v>
      </c>
      <c r="L3066" t="n">
        <v>0</v>
      </c>
      <c r="M3066" t="n">
        <v>0</v>
      </c>
      <c r="N3066" t="n">
        <v>0</v>
      </c>
      <c r="O3066" t="n">
        <v>0</v>
      </c>
      <c r="P3066" t="n">
        <v>0</v>
      </c>
      <c r="Q3066" t="n">
        <v>0</v>
      </c>
      <c r="R3066" s="2" t="inlineStr"/>
    </row>
    <row r="3067" ht="15" customHeight="1">
      <c r="A3067" t="inlineStr">
        <is>
          <t>A 36202-2021</t>
        </is>
      </c>
      <c r="B3067" s="1" t="n">
        <v>44389</v>
      </c>
      <c r="C3067" s="1" t="n">
        <v>45662</v>
      </c>
      <c r="D3067" t="inlineStr">
        <is>
          <t>NORRBOTTENS LÄN</t>
        </is>
      </c>
      <c r="E3067" t="inlineStr">
        <is>
          <t>ÖVERTORNEÅ</t>
        </is>
      </c>
      <c r="F3067" t="inlineStr">
        <is>
          <t>Sveaskog</t>
        </is>
      </c>
      <c r="G3067" t="n">
        <v>34.9</v>
      </c>
      <c r="H3067" t="n">
        <v>0</v>
      </c>
      <c r="I3067" t="n">
        <v>0</v>
      </c>
      <c r="J3067" t="n">
        <v>0</v>
      </c>
      <c r="K3067" t="n">
        <v>0</v>
      </c>
      <c r="L3067" t="n">
        <v>0</v>
      </c>
      <c r="M3067" t="n">
        <v>0</v>
      </c>
      <c r="N3067" t="n">
        <v>0</v>
      </c>
      <c r="O3067" t="n">
        <v>0</v>
      </c>
      <c r="P3067" t="n">
        <v>0</v>
      </c>
      <c r="Q3067" t="n">
        <v>0</v>
      </c>
      <c r="R3067" s="2" t="inlineStr"/>
    </row>
    <row r="3068" ht="15" customHeight="1">
      <c r="A3068" t="inlineStr">
        <is>
          <t>A 36225-2021</t>
        </is>
      </c>
      <c r="B3068" s="1" t="n">
        <v>44389</v>
      </c>
      <c r="C3068" s="1" t="n">
        <v>45662</v>
      </c>
      <c r="D3068" t="inlineStr">
        <is>
          <t>NORRBOTTENS LÄN</t>
        </is>
      </c>
      <c r="E3068" t="inlineStr">
        <is>
          <t>PAJALA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36303-2021</t>
        </is>
      </c>
      <c r="B3069" s="1" t="n">
        <v>44389</v>
      </c>
      <c r="C3069" s="1" t="n">
        <v>45662</v>
      </c>
      <c r="D3069" t="inlineStr">
        <is>
          <t>NORRBOTTENS LÄN</t>
        </is>
      </c>
      <c r="E3069" t="inlineStr">
        <is>
          <t>ARVIDSJAUR</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36231-2021</t>
        </is>
      </c>
      <c r="B3070" s="1" t="n">
        <v>44389</v>
      </c>
      <c r="C3070" s="1" t="n">
        <v>45662</v>
      </c>
      <c r="D3070" t="inlineStr">
        <is>
          <t>NORRBOTTENS LÄN</t>
        </is>
      </c>
      <c r="E3070" t="inlineStr">
        <is>
          <t>PAJALA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36297-2021</t>
        </is>
      </c>
      <c r="B3071" s="1" t="n">
        <v>44389</v>
      </c>
      <c r="C3071" s="1" t="n">
        <v>45662</v>
      </c>
      <c r="D3071" t="inlineStr">
        <is>
          <t>NORRBOTTENS LÄN</t>
        </is>
      </c>
      <c r="E3071" t="inlineStr">
        <is>
          <t>ARVIDSJAUR</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36517-2021</t>
        </is>
      </c>
      <c r="B3072" s="1" t="n">
        <v>44391</v>
      </c>
      <c r="C3072" s="1" t="n">
        <v>45662</v>
      </c>
      <c r="D3072" t="inlineStr">
        <is>
          <t>NORRBOTTENS LÄN</t>
        </is>
      </c>
      <c r="E3072" t="inlineStr">
        <is>
          <t>BODEN</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36538-2021</t>
        </is>
      </c>
      <c r="B3073" s="1" t="n">
        <v>44391</v>
      </c>
      <c r="C3073" s="1" t="n">
        <v>45662</v>
      </c>
      <c r="D3073" t="inlineStr">
        <is>
          <t>NORRBOTTENS LÄN</t>
        </is>
      </c>
      <c r="E3073" t="inlineStr">
        <is>
          <t>KALIX</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36581-2021</t>
        </is>
      </c>
      <c r="B3074" s="1" t="n">
        <v>44391</v>
      </c>
      <c r="C3074" s="1" t="n">
        <v>45662</v>
      </c>
      <c r="D3074" t="inlineStr">
        <is>
          <t>NORRBOTTENS LÄN</t>
        </is>
      </c>
      <c r="E3074" t="inlineStr">
        <is>
          <t>ARVIDSJAUR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36463-2021</t>
        </is>
      </c>
      <c r="B3075" s="1" t="n">
        <v>44391</v>
      </c>
      <c r="C3075" s="1" t="n">
        <v>45662</v>
      </c>
      <c r="D3075" t="inlineStr">
        <is>
          <t>NORRBOTTENS LÄN</t>
        </is>
      </c>
      <c r="E3075" t="inlineStr">
        <is>
          <t>BODEN</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36607-2021</t>
        </is>
      </c>
      <c r="B3076" s="1" t="n">
        <v>44391</v>
      </c>
      <c r="C3076" s="1" t="n">
        <v>45662</v>
      </c>
      <c r="D3076" t="inlineStr">
        <is>
          <t>NORRBOTTENS LÄN</t>
        </is>
      </c>
      <c r="E3076" t="inlineStr">
        <is>
          <t>JOKKMOKK</t>
        </is>
      </c>
      <c r="F3076" t="inlineStr">
        <is>
          <t>Allmännings- och besparingsskogar</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36612-2021</t>
        </is>
      </c>
      <c r="B3077" s="1" t="n">
        <v>44391</v>
      </c>
      <c r="C3077" s="1" t="n">
        <v>45662</v>
      </c>
      <c r="D3077" t="inlineStr">
        <is>
          <t>NORRBOTTENS LÄN</t>
        </is>
      </c>
      <c r="E3077" t="inlineStr">
        <is>
          <t>PAJALA</t>
        </is>
      </c>
      <c r="F3077" t="inlineStr">
        <is>
          <t>Sveaskog</t>
        </is>
      </c>
      <c r="G3077" t="n">
        <v>14.1</v>
      </c>
      <c r="H3077" t="n">
        <v>0</v>
      </c>
      <c r="I3077" t="n">
        <v>0</v>
      </c>
      <c r="J3077" t="n">
        <v>0</v>
      </c>
      <c r="K3077" t="n">
        <v>0</v>
      </c>
      <c r="L3077" t="n">
        <v>0</v>
      </c>
      <c r="M3077" t="n">
        <v>0</v>
      </c>
      <c r="N3077" t="n">
        <v>0</v>
      </c>
      <c r="O3077" t="n">
        <v>0</v>
      </c>
      <c r="P3077" t="n">
        <v>0</v>
      </c>
      <c r="Q3077" t="n">
        <v>0</v>
      </c>
      <c r="R3077" s="2" t="inlineStr"/>
    </row>
    <row r="3078" ht="15" customHeight="1">
      <c r="A3078" t="inlineStr">
        <is>
          <t>A 36138-2021</t>
        </is>
      </c>
      <c r="B3078" s="1" t="n">
        <v>44392</v>
      </c>
      <c r="C3078" s="1" t="n">
        <v>45662</v>
      </c>
      <c r="D3078" t="inlineStr">
        <is>
          <t>NORRBOTTENS LÄN</t>
        </is>
      </c>
      <c r="E3078" t="inlineStr">
        <is>
          <t>BODEN</t>
        </is>
      </c>
      <c r="G3078" t="n">
        <v>18.5</v>
      </c>
      <c r="H3078" t="n">
        <v>0</v>
      </c>
      <c r="I3078" t="n">
        <v>0</v>
      </c>
      <c r="J3078" t="n">
        <v>0</v>
      </c>
      <c r="K3078" t="n">
        <v>0</v>
      </c>
      <c r="L3078" t="n">
        <v>0</v>
      </c>
      <c r="M3078" t="n">
        <v>0</v>
      </c>
      <c r="N3078" t="n">
        <v>0</v>
      </c>
      <c r="O3078" t="n">
        <v>0</v>
      </c>
      <c r="P3078" t="n">
        <v>0</v>
      </c>
      <c r="Q3078" t="n">
        <v>0</v>
      </c>
      <c r="R3078" s="2" t="inlineStr"/>
    </row>
    <row r="3079" ht="15" customHeight="1">
      <c r="A3079" t="inlineStr">
        <is>
          <t>A 36768-2021</t>
        </is>
      </c>
      <c r="B3079" s="1" t="n">
        <v>44392</v>
      </c>
      <c r="C3079" s="1" t="n">
        <v>45662</v>
      </c>
      <c r="D3079" t="inlineStr">
        <is>
          <t>NORRBOTTENS LÄN</t>
        </is>
      </c>
      <c r="E3079" t="inlineStr">
        <is>
          <t>PAJALA</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36681-2021</t>
        </is>
      </c>
      <c r="B3080" s="1" t="n">
        <v>44392</v>
      </c>
      <c r="C3080" s="1" t="n">
        <v>45662</v>
      </c>
      <c r="D3080" t="inlineStr">
        <is>
          <t>NORRBOTTENS LÄN</t>
        </is>
      </c>
      <c r="E3080" t="inlineStr">
        <is>
          <t>GÄLLIVARE</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36715-2021</t>
        </is>
      </c>
      <c r="B3081" s="1" t="n">
        <v>44392</v>
      </c>
      <c r="C3081" s="1" t="n">
        <v>45662</v>
      </c>
      <c r="D3081" t="inlineStr">
        <is>
          <t>NORRBOTTENS LÄN</t>
        </is>
      </c>
      <c r="E3081" t="inlineStr">
        <is>
          <t>PAJALA</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36896-2021</t>
        </is>
      </c>
      <c r="B3082" s="1" t="n">
        <v>44393</v>
      </c>
      <c r="C3082" s="1" t="n">
        <v>45662</v>
      </c>
      <c r="D3082" t="inlineStr">
        <is>
          <t>NORRBOTTENS LÄN</t>
        </is>
      </c>
      <c r="E3082" t="inlineStr">
        <is>
          <t>ÖVERKALIX</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36989-2021</t>
        </is>
      </c>
      <c r="B3083" s="1" t="n">
        <v>44393</v>
      </c>
      <c r="C3083" s="1" t="n">
        <v>45662</v>
      </c>
      <c r="D3083" t="inlineStr">
        <is>
          <t>NORRBOTTENS LÄN</t>
        </is>
      </c>
      <c r="E3083" t="inlineStr">
        <is>
          <t>PAJALA</t>
        </is>
      </c>
      <c r="F3083" t="inlineStr">
        <is>
          <t>Sveaskog</t>
        </is>
      </c>
      <c r="G3083" t="n">
        <v>36.5</v>
      </c>
      <c r="H3083" t="n">
        <v>0</v>
      </c>
      <c r="I3083" t="n">
        <v>0</v>
      </c>
      <c r="J3083" t="n">
        <v>0</v>
      </c>
      <c r="K3083" t="n">
        <v>0</v>
      </c>
      <c r="L3083" t="n">
        <v>0</v>
      </c>
      <c r="M3083" t="n">
        <v>0</v>
      </c>
      <c r="N3083" t="n">
        <v>0</v>
      </c>
      <c r="O3083" t="n">
        <v>0</v>
      </c>
      <c r="P3083" t="n">
        <v>0</v>
      </c>
      <c r="Q3083" t="n">
        <v>0</v>
      </c>
      <c r="R3083" s="2" t="inlineStr"/>
    </row>
    <row r="3084" ht="15" customHeight="1">
      <c r="A3084" t="inlineStr">
        <is>
          <t>A 37001-2021</t>
        </is>
      </c>
      <c r="B3084" s="1" t="n">
        <v>44393</v>
      </c>
      <c r="C3084" s="1" t="n">
        <v>45662</v>
      </c>
      <c r="D3084" t="inlineStr">
        <is>
          <t>NORRBOTTENS LÄN</t>
        </is>
      </c>
      <c r="E3084" t="inlineStr">
        <is>
          <t>PAJALA</t>
        </is>
      </c>
      <c r="F3084" t="inlineStr">
        <is>
          <t>Sveaskog</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36921-2021</t>
        </is>
      </c>
      <c r="B3085" s="1" t="n">
        <v>44393</v>
      </c>
      <c r="C3085" s="1" t="n">
        <v>45662</v>
      </c>
      <c r="D3085" t="inlineStr">
        <is>
          <t>NORRBOTTENS LÄN</t>
        </is>
      </c>
      <c r="E3085" t="inlineStr">
        <is>
          <t>ÖVERKALIX</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36991-2021</t>
        </is>
      </c>
      <c r="B3086" s="1" t="n">
        <v>44393</v>
      </c>
      <c r="C3086" s="1" t="n">
        <v>45662</v>
      </c>
      <c r="D3086" t="inlineStr">
        <is>
          <t>NORRBOTTENS LÄN</t>
        </is>
      </c>
      <c r="E3086" t="inlineStr">
        <is>
          <t>PAJALA</t>
        </is>
      </c>
      <c r="F3086" t="inlineStr">
        <is>
          <t>Sveaskog</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36999-2021</t>
        </is>
      </c>
      <c r="B3087" s="1" t="n">
        <v>44393</v>
      </c>
      <c r="C3087" s="1" t="n">
        <v>45662</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37114-2021</t>
        </is>
      </c>
      <c r="B3088" s="1" t="n">
        <v>44393</v>
      </c>
      <c r="C3088" s="1" t="n">
        <v>45662</v>
      </c>
      <c r="D3088" t="inlineStr">
        <is>
          <t>NORRBOTTENS LÄN</t>
        </is>
      </c>
      <c r="E3088" t="inlineStr">
        <is>
          <t>JOKKMOKK</t>
        </is>
      </c>
      <c r="F3088" t="inlineStr">
        <is>
          <t>Övriga statliga verk och myndigheter</t>
        </is>
      </c>
      <c r="G3088" t="n">
        <v>30</v>
      </c>
      <c r="H3088" t="n">
        <v>0</v>
      </c>
      <c r="I3088" t="n">
        <v>0</v>
      </c>
      <c r="J3088" t="n">
        <v>0</v>
      </c>
      <c r="K3088" t="n">
        <v>0</v>
      </c>
      <c r="L3088" t="n">
        <v>0</v>
      </c>
      <c r="M3088" t="n">
        <v>0</v>
      </c>
      <c r="N3088" t="n">
        <v>0</v>
      </c>
      <c r="O3088" t="n">
        <v>0</v>
      </c>
      <c r="P3088" t="n">
        <v>0</v>
      </c>
      <c r="Q3088" t="n">
        <v>0</v>
      </c>
      <c r="R3088" s="2" t="inlineStr"/>
    </row>
    <row r="3089" ht="15" customHeight="1">
      <c r="A3089" t="inlineStr">
        <is>
          <t>A 37474-2021</t>
        </is>
      </c>
      <c r="B3089" s="1" t="n">
        <v>44398</v>
      </c>
      <c r="C3089" s="1" t="n">
        <v>45662</v>
      </c>
      <c r="D3089" t="inlineStr">
        <is>
          <t>NORRBOTTENS LÄN</t>
        </is>
      </c>
      <c r="E3089" t="inlineStr">
        <is>
          <t>HAPARANDA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37471-2021</t>
        </is>
      </c>
      <c r="B3090" s="1" t="n">
        <v>44398</v>
      </c>
      <c r="C3090" s="1" t="n">
        <v>45662</v>
      </c>
      <c r="D3090" t="inlineStr">
        <is>
          <t>NORRBOTTENS LÄN</t>
        </is>
      </c>
      <c r="E3090" t="inlineStr">
        <is>
          <t>PITEÅ</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37551-2021</t>
        </is>
      </c>
      <c r="B3091" s="1" t="n">
        <v>44399</v>
      </c>
      <c r="C3091" s="1" t="n">
        <v>45662</v>
      </c>
      <c r="D3091" t="inlineStr">
        <is>
          <t>NORRBOTTENS LÄN</t>
        </is>
      </c>
      <c r="E3091" t="inlineStr">
        <is>
          <t>GÄLLIVARE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37607-2021</t>
        </is>
      </c>
      <c r="B3092" s="1" t="n">
        <v>44399</v>
      </c>
      <c r="C3092" s="1" t="n">
        <v>45662</v>
      </c>
      <c r="D3092" t="inlineStr">
        <is>
          <t>NORRBOTTENS LÄN</t>
        </is>
      </c>
      <c r="E3092" t="inlineStr">
        <is>
          <t>ÖVERTORNEÅ</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37765-2021</t>
        </is>
      </c>
      <c r="B3093" s="1" t="n">
        <v>44400</v>
      </c>
      <c r="C3093" s="1" t="n">
        <v>45662</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37835-2021</t>
        </is>
      </c>
      <c r="B3094" s="1" t="n">
        <v>44400</v>
      </c>
      <c r="C3094" s="1" t="n">
        <v>45662</v>
      </c>
      <c r="D3094" t="inlineStr">
        <is>
          <t>NORRBOTTENS LÄN</t>
        </is>
      </c>
      <c r="E3094" t="inlineStr">
        <is>
          <t>LULEÅ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37766-2021</t>
        </is>
      </c>
      <c r="B3095" s="1" t="n">
        <v>44400</v>
      </c>
      <c r="C3095" s="1" t="n">
        <v>45662</v>
      </c>
      <c r="D3095" t="inlineStr">
        <is>
          <t>NORRBOTTENS LÄN</t>
        </is>
      </c>
      <c r="E3095" t="inlineStr">
        <is>
          <t>LULEÅ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37846-2021</t>
        </is>
      </c>
      <c r="B3096" s="1" t="n">
        <v>44403</v>
      </c>
      <c r="C3096" s="1" t="n">
        <v>45662</v>
      </c>
      <c r="D3096" t="inlineStr">
        <is>
          <t>NORRBOTTENS LÄN</t>
        </is>
      </c>
      <c r="E3096" t="inlineStr">
        <is>
          <t>ÖVERTORNEÅ</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37951-2021</t>
        </is>
      </c>
      <c r="B3097" s="1" t="n">
        <v>44404</v>
      </c>
      <c r="C3097" s="1" t="n">
        <v>45662</v>
      </c>
      <c r="D3097" t="inlineStr">
        <is>
          <t>NORRBOTTENS LÄN</t>
        </is>
      </c>
      <c r="E3097" t="inlineStr">
        <is>
          <t>PITEÅ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38002-2021</t>
        </is>
      </c>
      <c r="B3098" s="1" t="n">
        <v>44404</v>
      </c>
      <c r="C3098" s="1" t="n">
        <v>45662</v>
      </c>
      <c r="D3098" t="inlineStr">
        <is>
          <t>NORRBOTTENS LÄN</t>
        </is>
      </c>
      <c r="E3098" t="inlineStr">
        <is>
          <t>ÖVERTORNEÅ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38039-2021</t>
        </is>
      </c>
      <c r="B3099" s="1" t="n">
        <v>44404</v>
      </c>
      <c r="C3099" s="1" t="n">
        <v>45662</v>
      </c>
      <c r="D3099" t="inlineStr">
        <is>
          <t>NORRBOTTENS LÄN</t>
        </is>
      </c>
      <c r="E3099" t="inlineStr">
        <is>
          <t>JOKKMOKK</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38152-2021</t>
        </is>
      </c>
      <c r="B3100" s="1" t="n">
        <v>44405</v>
      </c>
      <c r="C3100" s="1" t="n">
        <v>45662</v>
      </c>
      <c r="D3100" t="inlineStr">
        <is>
          <t>NORRBOTTENS LÄN</t>
        </is>
      </c>
      <c r="E3100" t="inlineStr">
        <is>
          <t>ÖVERTORNEÅ</t>
        </is>
      </c>
      <c r="G3100" t="n">
        <v>14.8</v>
      </c>
      <c r="H3100" t="n">
        <v>0</v>
      </c>
      <c r="I3100" t="n">
        <v>0</v>
      </c>
      <c r="J3100" t="n">
        <v>0</v>
      </c>
      <c r="K3100" t="n">
        <v>0</v>
      </c>
      <c r="L3100" t="n">
        <v>0</v>
      </c>
      <c r="M3100" t="n">
        <v>0</v>
      </c>
      <c r="N3100" t="n">
        <v>0</v>
      </c>
      <c r="O3100" t="n">
        <v>0</v>
      </c>
      <c r="P3100" t="n">
        <v>0</v>
      </c>
      <c r="Q3100" t="n">
        <v>0</v>
      </c>
      <c r="R3100" s="2" t="inlineStr"/>
    </row>
    <row r="3101" ht="15" customHeight="1">
      <c r="A3101" t="inlineStr">
        <is>
          <t>A 38188-2021</t>
        </is>
      </c>
      <c r="B3101" s="1" t="n">
        <v>44405</v>
      </c>
      <c r="C3101" s="1" t="n">
        <v>45662</v>
      </c>
      <c r="D3101" t="inlineStr">
        <is>
          <t>NORRBOTTENS LÄN</t>
        </is>
      </c>
      <c r="E3101" t="inlineStr">
        <is>
          <t>GÄLLIVARE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38187-2021</t>
        </is>
      </c>
      <c r="B3102" s="1" t="n">
        <v>44405</v>
      </c>
      <c r="C3102" s="1" t="n">
        <v>45662</v>
      </c>
      <c r="D3102" t="inlineStr">
        <is>
          <t>NORRBOTTENS LÄN</t>
        </is>
      </c>
      <c r="E3102" t="inlineStr">
        <is>
          <t>GÄLLIVARE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38156-2021</t>
        </is>
      </c>
      <c r="B3103" s="1" t="n">
        <v>44405</v>
      </c>
      <c r="C3103" s="1" t="n">
        <v>45662</v>
      </c>
      <c r="D3103" t="inlineStr">
        <is>
          <t>NORRBOTTENS LÄN</t>
        </is>
      </c>
      <c r="E3103" t="inlineStr">
        <is>
          <t>ÖVERTORNEÅ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38186-2021</t>
        </is>
      </c>
      <c r="B3104" s="1" t="n">
        <v>44405</v>
      </c>
      <c r="C3104" s="1" t="n">
        <v>45662</v>
      </c>
      <c r="D3104" t="inlineStr">
        <is>
          <t>NORRBOTTENS LÄN</t>
        </is>
      </c>
      <c r="E3104" t="inlineStr">
        <is>
          <t>GÄLLIVARE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38183-2021</t>
        </is>
      </c>
      <c r="B3105" s="1" t="n">
        <v>44405</v>
      </c>
      <c r="C3105" s="1" t="n">
        <v>45662</v>
      </c>
      <c r="D3105" t="inlineStr">
        <is>
          <t>NORRBOTTENS LÄN</t>
        </is>
      </c>
      <c r="E3105" t="inlineStr">
        <is>
          <t>GÄLLIVARE</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38230-2021</t>
        </is>
      </c>
      <c r="B3106" s="1" t="n">
        <v>44405</v>
      </c>
      <c r="C3106" s="1" t="n">
        <v>45662</v>
      </c>
      <c r="D3106" t="inlineStr">
        <is>
          <t>NORRBOTTENS LÄN</t>
        </is>
      </c>
      <c r="E3106" t="inlineStr">
        <is>
          <t>PITEÅ</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38696-2021</t>
        </is>
      </c>
      <c r="B3107" s="1" t="n">
        <v>44406</v>
      </c>
      <c r="C3107" s="1" t="n">
        <v>45662</v>
      </c>
      <c r="D3107" t="inlineStr">
        <is>
          <t>NORRBOTTENS LÄN</t>
        </is>
      </c>
      <c r="E3107" t="inlineStr">
        <is>
          <t>ÖVERTORNEÅ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38500-2021</t>
        </is>
      </c>
      <c r="B3108" s="1" t="n">
        <v>44406</v>
      </c>
      <c r="C3108" s="1" t="n">
        <v>45662</v>
      </c>
      <c r="D3108" t="inlineStr">
        <is>
          <t>NORRBOTTENS LÄN</t>
        </is>
      </c>
      <c r="E3108" t="inlineStr">
        <is>
          <t>ÖVERTORNEÅ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38665-2021</t>
        </is>
      </c>
      <c r="B3109" s="1" t="n">
        <v>44410</v>
      </c>
      <c r="C3109" s="1" t="n">
        <v>45662</v>
      </c>
      <c r="D3109" t="inlineStr">
        <is>
          <t>NORRBOTTENS LÄN</t>
        </is>
      </c>
      <c r="E3109" t="inlineStr">
        <is>
          <t>GÄLLIVARE</t>
        </is>
      </c>
      <c r="F3109" t="inlineStr">
        <is>
          <t>Sveaskog</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39025-2021</t>
        </is>
      </c>
      <c r="B3110" s="1" t="n">
        <v>44412</v>
      </c>
      <c r="C3110" s="1" t="n">
        <v>45662</v>
      </c>
      <c r="D3110" t="inlineStr">
        <is>
          <t>NORRBOTTENS LÄN</t>
        </is>
      </c>
      <c r="E3110" t="inlineStr">
        <is>
          <t>PAJALA</t>
        </is>
      </c>
      <c r="G3110" t="n">
        <v>20.2</v>
      </c>
      <c r="H3110" t="n">
        <v>0</v>
      </c>
      <c r="I3110" t="n">
        <v>0</v>
      </c>
      <c r="J3110" t="n">
        <v>0</v>
      </c>
      <c r="K3110" t="n">
        <v>0</v>
      </c>
      <c r="L3110" t="n">
        <v>0</v>
      </c>
      <c r="M3110" t="n">
        <v>0</v>
      </c>
      <c r="N3110" t="n">
        <v>0</v>
      </c>
      <c r="O3110" t="n">
        <v>0</v>
      </c>
      <c r="P3110" t="n">
        <v>0</v>
      </c>
      <c r="Q3110" t="n">
        <v>0</v>
      </c>
      <c r="R3110" s="2" t="inlineStr"/>
    </row>
    <row r="3111" ht="15" customHeight="1">
      <c r="A3111" t="inlineStr">
        <is>
          <t>A 39023-2021</t>
        </is>
      </c>
      <c r="B3111" s="1" t="n">
        <v>44412</v>
      </c>
      <c r="C3111" s="1" t="n">
        <v>45662</v>
      </c>
      <c r="D3111" t="inlineStr">
        <is>
          <t>NORRBOTTENS LÄN</t>
        </is>
      </c>
      <c r="E3111" t="inlineStr">
        <is>
          <t>PAJALA</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39286-2021</t>
        </is>
      </c>
      <c r="B3112" s="1" t="n">
        <v>44413</v>
      </c>
      <c r="C3112" s="1" t="n">
        <v>45662</v>
      </c>
      <c r="D3112" t="inlineStr">
        <is>
          <t>NORRBOTTENS LÄN</t>
        </is>
      </c>
      <c r="E3112" t="inlineStr">
        <is>
          <t>PAJALA</t>
        </is>
      </c>
      <c r="F3112" t="inlineStr">
        <is>
          <t>Sveaskog</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39291-2021</t>
        </is>
      </c>
      <c r="B3113" s="1" t="n">
        <v>44413</v>
      </c>
      <c r="C3113" s="1" t="n">
        <v>45662</v>
      </c>
      <c r="D3113" t="inlineStr">
        <is>
          <t>NORRBOTTENS LÄN</t>
        </is>
      </c>
      <c r="E3113" t="inlineStr">
        <is>
          <t>BODEN</t>
        </is>
      </c>
      <c r="F3113" t="inlineStr">
        <is>
          <t>Sveaskog</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39673-2021</t>
        </is>
      </c>
      <c r="B3114" s="1" t="n">
        <v>44414</v>
      </c>
      <c r="C3114" s="1" t="n">
        <v>45662</v>
      </c>
      <c r="D3114" t="inlineStr">
        <is>
          <t>NORRBOTTENS LÄN</t>
        </is>
      </c>
      <c r="E3114" t="inlineStr">
        <is>
          <t>BODEN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39701-2021</t>
        </is>
      </c>
      <c r="B3115" s="1" t="n">
        <v>44414</v>
      </c>
      <c r="C3115" s="1" t="n">
        <v>45662</v>
      </c>
      <c r="D3115" t="inlineStr">
        <is>
          <t>NORRBOTTENS LÄN</t>
        </is>
      </c>
      <c r="E3115" t="inlineStr">
        <is>
          <t>BODEN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39689-2021</t>
        </is>
      </c>
      <c r="B3116" s="1" t="n">
        <v>44414</v>
      </c>
      <c r="C3116" s="1" t="n">
        <v>45662</v>
      </c>
      <c r="D3116" t="inlineStr">
        <is>
          <t>NORRBOTTENS LÄN</t>
        </is>
      </c>
      <c r="E3116" t="inlineStr">
        <is>
          <t>BODEN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39833-2021</t>
        </is>
      </c>
      <c r="B3117" s="1" t="n">
        <v>44414</v>
      </c>
      <c r="C3117" s="1" t="n">
        <v>45662</v>
      </c>
      <c r="D3117" t="inlineStr">
        <is>
          <t>NORRBOTTENS LÄN</t>
        </is>
      </c>
      <c r="E3117" t="inlineStr">
        <is>
          <t>BODEN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39459-2021</t>
        </is>
      </c>
      <c r="B3118" s="1" t="n">
        <v>44414</v>
      </c>
      <c r="C3118" s="1" t="n">
        <v>45662</v>
      </c>
      <c r="D3118" t="inlineStr">
        <is>
          <t>NORRBOTTENS LÄN</t>
        </is>
      </c>
      <c r="E3118" t="inlineStr">
        <is>
          <t>ÖVERKALIX</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39711-2021</t>
        </is>
      </c>
      <c r="B3119" s="1" t="n">
        <v>44414</v>
      </c>
      <c r="C3119" s="1" t="n">
        <v>45662</v>
      </c>
      <c r="D3119" t="inlineStr">
        <is>
          <t>NORRBOTTENS LÄN</t>
        </is>
      </c>
      <c r="E3119" t="inlineStr">
        <is>
          <t>BODEN</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39740-2021</t>
        </is>
      </c>
      <c r="B3120" s="1" t="n">
        <v>44414</v>
      </c>
      <c r="C3120" s="1" t="n">
        <v>45662</v>
      </c>
      <c r="D3120" t="inlineStr">
        <is>
          <t>NORRBOTTENS LÄN</t>
        </is>
      </c>
      <c r="E3120" t="inlineStr">
        <is>
          <t>BODEN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39695-2021</t>
        </is>
      </c>
      <c r="B3121" s="1" t="n">
        <v>44414</v>
      </c>
      <c r="C3121" s="1" t="n">
        <v>45662</v>
      </c>
      <c r="D3121" t="inlineStr">
        <is>
          <t>NORRBOTTENS LÄN</t>
        </is>
      </c>
      <c r="E3121" t="inlineStr">
        <is>
          <t>BODEN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39784-2021</t>
        </is>
      </c>
      <c r="B3122" s="1" t="n">
        <v>44417</v>
      </c>
      <c r="C3122" s="1" t="n">
        <v>45662</v>
      </c>
      <c r="D3122" t="inlineStr">
        <is>
          <t>NORRBOTTENS LÄN</t>
        </is>
      </c>
      <c r="E3122" t="inlineStr">
        <is>
          <t>JOKKMOKK</t>
        </is>
      </c>
      <c r="F3122" t="inlineStr">
        <is>
          <t>Naturvårdsverket</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39658-2021</t>
        </is>
      </c>
      <c r="B3123" s="1" t="n">
        <v>44417</v>
      </c>
      <c r="C3123" s="1" t="n">
        <v>45662</v>
      </c>
      <c r="D3123" t="inlineStr">
        <is>
          <t>NORRBOTTENS LÄN</t>
        </is>
      </c>
      <c r="E3123" t="inlineStr">
        <is>
          <t>PAJALA</t>
        </is>
      </c>
      <c r="F3123" t="inlineStr">
        <is>
          <t>Sveaskog</t>
        </is>
      </c>
      <c r="G3123" t="n">
        <v>62.9</v>
      </c>
      <c r="H3123" t="n">
        <v>0</v>
      </c>
      <c r="I3123" t="n">
        <v>0</v>
      </c>
      <c r="J3123" t="n">
        <v>0</v>
      </c>
      <c r="K3123" t="n">
        <v>0</v>
      </c>
      <c r="L3123" t="n">
        <v>0</v>
      </c>
      <c r="M3123" t="n">
        <v>0</v>
      </c>
      <c r="N3123" t="n">
        <v>0</v>
      </c>
      <c r="O3123" t="n">
        <v>0</v>
      </c>
      <c r="P3123" t="n">
        <v>0</v>
      </c>
      <c r="Q3123" t="n">
        <v>0</v>
      </c>
      <c r="R3123" s="2" t="inlineStr"/>
    </row>
    <row r="3124" ht="15" customHeight="1">
      <c r="A3124" t="inlineStr">
        <is>
          <t>A 39750-2021</t>
        </is>
      </c>
      <c r="B3124" s="1" t="n">
        <v>44417</v>
      </c>
      <c r="C3124" s="1" t="n">
        <v>45662</v>
      </c>
      <c r="D3124" t="inlineStr">
        <is>
          <t>NORRBOTTENS LÄN</t>
        </is>
      </c>
      <c r="E3124" t="inlineStr">
        <is>
          <t>BODEN</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39894-2021</t>
        </is>
      </c>
      <c r="B3125" s="1" t="n">
        <v>44417</v>
      </c>
      <c r="C3125" s="1" t="n">
        <v>45662</v>
      </c>
      <c r="D3125" t="inlineStr">
        <is>
          <t>NORRBOTTENS LÄN</t>
        </is>
      </c>
      <c r="E3125" t="inlineStr">
        <is>
          <t>PAJALA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39884-2021</t>
        </is>
      </c>
      <c r="B3126" s="1" t="n">
        <v>44417</v>
      </c>
      <c r="C3126" s="1" t="n">
        <v>45662</v>
      </c>
      <c r="D3126" t="inlineStr">
        <is>
          <t>NORRBOTTENS LÄN</t>
        </is>
      </c>
      <c r="E3126" t="inlineStr">
        <is>
          <t>BODEN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39902-2021</t>
        </is>
      </c>
      <c r="B3127" s="1" t="n">
        <v>44417</v>
      </c>
      <c r="C3127" s="1" t="n">
        <v>45662</v>
      </c>
      <c r="D3127" t="inlineStr">
        <is>
          <t>NORRBOTTENS LÄN</t>
        </is>
      </c>
      <c r="E3127" t="inlineStr">
        <is>
          <t>PAJALA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39897-2021</t>
        </is>
      </c>
      <c r="B3128" s="1" t="n">
        <v>44417</v>
      </c>
      <c r="C3128" s="1" t="n">
        <v>45662</v>
      </c>
      <c r="D3128" t="inlineStr">
        <is>
          <t>NORRBOTTENS LÄN</t>
        </is>
      </c>
      <c r="E3128" t="inlineStr">
        <is>
          <t>PAJALA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39907-2021</t>
        </is>
      </c>
      <c r="B3129" s="1" t="n">
        <v>44417</v>
      </c>
      <c r="C3129" s="1" t="n">
        <v>45662</v>
      </c>
      <c r="D3129" t="inlineStr">
        <is>
          <t>NORRBOTTENS LÄN</t>
        </is>
      </c>
      <c r="E3129" t="inlineStr">
        <is>
          <t>PAJALA</t>
        </is>
      </c>
      <c r="G3129" t="n">
        <v>20.5</v>
      </c>
      <c r="H3129" t="n">
        <v>0</v>
      </c>
      <c r="I3129" t="n">
        <v>0</v>
      </c>
      <c r="J3129" t="n">
        <v>0</v>
      </c>
      <c r="K3129" t="n">
        <v>0</v>
      </c>
      <c r="L3129" t="n">
        <v>0</v>
      </c>
      <c r="M3129" t="n">
        <v>0</v>
      </c>
      <c r="N3129" t="n">
        <v>0</v>
      </c>
      <c r="O3129" t="n">
        <v>0</v>
      </c>
      <c r="P3129" t="n">
        <v>0</v>
      </c>
      <c r="Q3129" t="n">
        <v>0</v>
      </c>
      <c r="R3129" s="2" t="inlineStr"/>
    </row>
    <row r="3130" ht="15" customHeight="1">
      <c r="A3130" t="inlineStr">
        <is>
          <t>A 39901-2021</t>
        </is>
      </c>
      <c r="B3130" s="1" t="n">
        <v>44417</v>
      </c>
      <c r="C3130" s="1" t="n">
        <v>45662</v>
      </c>
      <c r="D3130" t="inlineStr">
        <is>
          <t>NORRBOTTENS LÄN</t>
        </is>
      </c>
      <c r="E3130" t="inlineStr">
        <is>
          <t>PAJALA</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39905-2021</t>
        </is>
      </c>
      <c r="B3131" s="1" t="n">
        <v>44417</v>
      </c>
      <c r="C3131" s="1" t="n">
        <v>45662</v>
      </c>
      <c r="D3131" t="inlineStr">
        <is>
          <t>NORRBOTTENS LÄN</t>
        </is>
      </c>
      <c r="E3131" t="inlineStr">
        <is>
          <t>PAJALA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39912-2021</t>
        </is>
      </c>
      <c r="B3132" s="1" t="n">
        <v>44417</v>
      </c>
      <c r="C3132" s="1" t="n">
        <v>45662</v>
      </c>
      <c r="D3132" t="inlineStr">
        <is>
          <t>NORRBOTTENS LÄN</t>
        </is>
      </c>
      <c r="E3132" t="inlineStr">
        <is>
          <t>PAJALA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39893-2021</t>
        </is>
      </c>
      <c r="B3133" s="1" t="n">
        <v>44417</v>
      </c>
      <c r="C3133" s="1" t="n">
        <v>45662</v>
      </c>
      <c r="D3133" t="inlineStr">
        <is>
          <t>NORRBOTTENS LÄN</t>
        </is>
      </c>
      <c r="E3133" t="inlineStr">
        <is>
          <t>ÖVERTORNEÅ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40026-2021</t>
        </is>
      </c>
      <c r="B3134" s="1" t="n">
        <v>44417</v>
      </c>
      <c r="C3134" s="1" t="n">
        <v>45662</v>
      </c>
      <c r="D3134" t="inlineStr">
        <is>
          <t>NORRBOTTENS LÄN</t>
        </is>
      </c>
      <c r="E3134" t="inlineStr">
        <is>
          <t>ÖVERKALIX</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39948-2021</t>
        </is>
      </c>
      <c r="B3135" s="1" t="n">
        <v>44418</v>
      </c>
      <c r="C3135" s="1" t="n">
        <v>45662</v>
      </c>
      <c r="D3135" t="inlineStr">
        <is>
          <t>NORRBOTTENS LÄN</t>
        </is>
      </c>
      <c r="E3135" t="inlineStr">
        <is>
          <t>PITEÅ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39974-2021</t>
        </is>
      </c>
      <c r="B3136" s="1" t="n">
        <v>44417</v>
      </c>
      <c r="C3136" s="1" t="n">
        <v>45662</v>
      </c>
      <c r="D3136" t="inlineStr">
        <is>
          <t>NORRBOTTENS LÄN</t>
        </is>
      </c>
      <c r="E3136" t="inlineStr">
        <is>
          <t>ÖVERKALIX</t>
        </is>
      </c>
      <c r="G3136" t="n">
        <v>21.6</v>
      </c>
      <c r="H3136" t="n">
        <v>0</v>
      </c>
      <c r="I3136" t="n">
        <v>0</v>
      </c>
      <c r="J3136" t="n">
        <v>0</v>
      </c>
      <c r="K3136" t="n">
        <v>0</v>
      </c>
      <c r="L3136" t="n">
        <v>0</v>
      </c>
      <c r="M3136" t="n">
        <v>0</v>
      </c>
      <c r="N3136" t="n">
        <v>0</v>
      </c>
      <c r="O3136" t="n">
        <v>0</v>
      </c>
      <c r="P3136" t="n">
        <v>0</v>
      </c>
      <c r="Q3136" t="n">
        <v>0</v>
      </c>
      <c r="R3136" s="2" t="inlineStr"/>
    </row>
    <row r="3137" ht="15" customHeight="1">
      <c r="A3137" t="inlineStr">
        <is>
          <t>A 39899-2021</t>
        </is>
      </c>
      <c r="B3137" s="1" t="n">
        <v>44417</v>
      </c>
      <c r="C3137" s="1" t="n">
        <v>45662</v>
      </c>
      <c r="D3137" t="inlineStr">
        <is>
          <t>NORRBOTTENS LÄN</t>
        </is>
      </c>
      <c r="E3137" t="inlineStr">
        <is>
          <t>PAJALA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39904-2021</t>
        </is>
      </c>
      <c r="B3138" s="1" t="n">
        <v>44417</v>
      </c>
      <c r="C3138" s="1" t="n">
        <v>45662</v>
      </c>
      <c r="D3138" t="inlineStr">
        <is>
          <t>NORRBOTTENS LÄN</t>
        </is>
      </c>
      <c r="E3138" t="inlineStr">
        <is>
          <t>PAJALA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39908-2021</t>
        </is>
      </c>
      <c r="B3139" s="1" t="n">
        <v>44417</v>
      </c>
      <c r="C3139" s="1" t="n">
        <v>45662</v>
      </c>
      <c r="D3139" t="inlineStr">
        <is>
          <t>NORRBOTTENS LÄN</t>
        </is>
      </c>
      <c r="E3139" t="inlineStr">
        <is>
          <t>PAJALA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40041-2021</t>
        </is>
      </c>
      <c r="B3140" s="1" t="n">
        <v>44417</v>
      </c>
      <c r="C3140" s="1" t="n">
        <v>45662</v>
      </c>
      <c r="D3140" t="inlineStr">
        <is>
          <t>NORRBOTTENS LÄN</t>
        </is>
      </c>
      <c r="E3140" t="inlineStr">
        <is>
          <t>PAJALA</t>
        </is>
      </c>
      <c r="G3140" t="n">
        <v>26.1</v>
      </c>
      <c r="H3140" t="n">
        <v>0</v>
      </c>
      <c r="I3140" t="n">
        <v>0</v>
      </c>
      <c r="J3140" t="n">
        <v>0</v>
      </c>
      <c r="K3140" t="n">
        <v>0</v>
      </c>
      <c r="L3140" t="n">
        <v>0</v>
      </c>
      <c r="M3140" t="n">
        <v>0</v>
      </c>
      <c r="N3140" t="n">
        <v>0</v>
      </c>
      <c r="O3140" t="n">
        <v>0</v>
      </c>
      <c r="P3140" t="n">
        <v>0</v>
      </c>
      <c r="Q3140" t="n">
        <v>0</v>
      </c>
      <c r="R3140" s="2" t="inlineStr"/>
    </row>
    <row r="3141" ht="15" customHeight="1">
      <c r="A3141" t="inlineStr">
        <is>
          <t>A 40179-2021</t>
        </is>
      </c>
      <c r="B3141" s="1" t="n">
        <v>44418</v>
      </c>
      <c r="C3141" s="1" t="n">
        <v>45662</v>
      </c>
      <c r="D3141" t="inlineStr">
        <is>
          <t>NORRBOTTENS LÄN</t>
        </is>
      </c>
      <c r="E3141" t="inlineStr">
        <is>
          <t>PAJALA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40299-2021</t>
        </is>
      </c>
      <c r="B3142" s="1" t="n">
        <v>44419</v>
      </c>
      <c r="C3142" s="1" t="n">
        <v>45662</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40357-2021</t>
        </is>
      </c>
      <c r="B3143" s="1" t="n">
        <v>44419</v>
      </c>
      <c r="C3143" s="1" t="n">
        <v>45662</v>
      </c>
      <c r="D3143" t="inlineStr">
        <is>
          <t>NORRBOTTENS LÄN</t>
        </is>
      </c>
      <c r="E3143" t="inlineStr">
        <is>
          <t>ARVIDSJAUR</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40836-2021</t>
        </is>
      </c>
      <c r="B3144" s="1" t="n">
        <v>44421</v>
      </c>
      <c r="C3144" s="1" t="n">
        <v>45662</v>
      </c>
      <c r="D3144" t="inlineStr">
        <is>
          <t>NORRBOTTENS LÄN</t>
        </is>
      </c>
      <c r="E3144" t="inlineStr">
        <is>
          <t>ARVIDSJAUR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40844-2021</t>
        </is>
      </c>
      <c r="B3145" s="1" t="n">
        <v>44421</v>
      </c>
      <c r="C3145" s="1" t="n">
        <v>45662</v>
      </c>
      <c r="D3145" t="inlineStr">
        <is>
          <t>NORRBOTTENS LÄN</t>
        </is>
      </c>
      <c r="E3145" t="inlineStr">
        <is>
          <t>ARVIDSJAUR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40781-2021</t>
        </is>
      </c>
      <c r="B3146" s="1" t="n">
        <v>44421</v>
      </c>
      <c r="C3146" s="1" t="n">
        <v>45662</v>
      </c>
      <c r="D3146" t="inlineStr">
        <is>
          <t>NORRBOTTENS LÄN</t>
        </is>
      </c>
      <c r="E3146" t="inlineStr">
        <is>
          <t>BODEN</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40941-2021</t>
        </is>
      </c>
      <c r="B3147" s="1" t="n">
        <v>44421</v>
      </c>
      <c r="C3147" s="1" t="n">
        <v>45662</v>
      </c>
      <c r="D3147" t="inlineStr">
        <is>
          <t>NORRBOTTENS LÄN</t>
        </is>
      </c>
      <c r="E3147" t="inlineStr">
        <is>
          <t>PITEÅ</t>
        </is>
      </c>
      <c r="F3147" t="inlineStr">
        <is>
          <t>Sveaskog</t>
        </is>
      </c>
      <c r="G3147" t="n">
        <v>34.9</v>
      </c>
      <c r="H3147" t="n">
        <v>0</v>
      </c>
      <c r="I3147" t="n">
        <v>0</v>
      </c>
      <c r="J3147" t="n">
        <v>0</v>
      </c>
      <c r="K3147" t="n">
        <v>0</v>
      </c>
      <c r="L3147" t="n">
        <v>0</v>
      </c>
      <c r="M3147" t="n">
        <v>0</v>
      </c>
      <c r="N3147" t="n">
        <v>0</v>
      </c>
      <c r="O3147" t="n">
        <v>0</v>
      </c>
      <c r="P3147" t="n">
        <v>0</v>
      </c>
      <c r="Q3147" t="n">
        <v>0</v>
      </c>
      <c r="R3147" s="2" t="inlineStr"/>
    </row>
    <row r="3148" ht="15" customHeight="1">
      <c r="A3148" t="inlineStr">
        <is>
          <t>A 41057-2021</t>
        </is>
      </c>
      <c r="B3148" s="1" t="n">
        <v>44422</v>
      </c>
      <c r="C3148" s="1" t="n">
        <v>45662</v>
      </c>
      <c r="D3148" t="inlineStr">
        <is>
          <t>NORRBOTTENS LÄN</t>
        </is>
      </c>
      <c r="E3148" t="inlineStr">
        <is>
          <t>GÄLLIVARE</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41137-2021</t>
        </is>
      </c>
      <c r="B3149" s="1" t="n">
        <v>44423</v>
      </c>
      <c r="C3149" s="1" t="n">
        <v>45662</v>
      </c>
      <c r="D3149" t="inlineStr">
        <is>
          <t>NORRBOTTENS LÄN</t>
        </is>
      </c>
      <c r="E3149" t="inlineStr">
        <is>
          <t>ÖVERTORNEÅ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41180-2021</t>
        </is>
      </c>
      <c r="B3150" s="1" t="n">
        <v>44423</v>
      </c>
      <c r="C3150" s="1" t="n">
        <v>45662</v>
      </c>
      <c r="D3150" t="inlineStr">
        <is>
          <t>NORRBOTTENS LÄN</t>
        </is>
      </c>
      <c r="E3150" t="inlineStr">
        <is>
          <t>BODEN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41308-2021</t>
        </is>
      </c>
      <c r="B3151" s="1" t="n">
        <v>44424</v>
      </c>
      <c r="C3151" s="1" t="n">
        <v>45662</v>
      </c>
      <c r="D3151" t="inlineStr">
        <is>
          <t>NORRBOTTENS LÄN</t>
        </is>
      </c>
      <c r="E3151" t="inlineStr">
        <is>
          <t>PAJALA</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41350-2021</t>
        </is>
      </c>
      <c r="B3152" s="1" t="n">
        <v>44424</v>
      </c>
      <c r="C3152" s="1" t="n">
        <v>45662</v>
      </c>
      <c r="D3152" t="inlineStr">
        <is>
          <t>NORRBOTTENS LÄN</t>
        </is>
      </c>
      <c r="E3152" t="inlineStr">
        <is>
          <t>PAJALA</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41197-2021</t>
        </is>
      </c>
      <c r="B3153" s="1" t="n">
        <v>44424</v>
      </c>
      <c r="C3153" s="1" t="n">
        <v>45662</v>
      </c>
      <c r="D3153" t="inlineStr">
        <is>
          <t>NORRBOTTENS LÄN</t>
        </is>
      </c>
      <c r="E3153" t="inlineStr">
        <is>
          <t>ÖVERTORNEÅ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41313-2021</t>
        </is>
      </c>
      <c r="B3154" s="1" t="n">
        <v>44424</v>
      </c>
      <c r="C3154" s="1" t="n">
        <v>45662</v>
      </c>
      <c r="D3154" t="inlineStr">
        <is>
          <t>NORRBOTTENS LÄN</t>
        </is>
      </c>
      <c r="E3154" t="inlineStr">
        <is>
          <t>ARVIDSJAUR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41541-2021</t>
        </is>
      </c>
      <c r="B3155" s="1" t="n">
        <v>44424</v>
      </c>
      <c r="C3155" s="1" t="n">
        <v>45662</v>
      </c>
      <c r="D3155" t="inlineStr">
        <is>
          <t>NORRBOTTENS LÄN</t>
        </is>
      </c>
      <c r="E3155" t="inlineStr">
        <is>
          <t>ÖVERKALIX</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41691-2021</t>
        </is>
      </c>
      <c r="B3156" s="1" t="n">
        <v>44424</v>
      </c>
      <c r="C3156" s="1" t="n">
        <v>45662</v>
      </c>
      <c r="D3156" t="inlineStr">
        <is>
          <t>NORRBOTTENS LÄN</t>
        </is>
      </c>
      <c r="E3156" t="inlineStr">
        <is>
          <t>ÖVERKALIX</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41386-2021</t>
        </is>
      </c>
      <c r="B3157" s="1" t="n">
        <v>44424</v>
      </c>
      <c r="C3157" s="1" t="n">
        <v>45662</v>
      </c>
      <c r="D3157" t="inlineStr">
        <is>
          <t>NORRBOTTENS LÄN</t>
        </is>
      </c>
      <c r="E3157" t="inlineStr">
        <is>
          <t>ÄLVSBYN</t>
        </is>
      </c>
      <c r="F3157" t="inlineStr">
        <is>
          <t>Sveaskog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41706-2021</t>
        </is>
      </c>
      <c r="B3158" s="1" t="n">
        <v>44424</v>
      </c>
      <c r="C3158" s="1" t="n">
        <v>45662</v>
      </c>
      <c r="D3158" t="inlineStr">
        <is>
          <t>NORRBOTTENS LÄN</t>
        </is>
      </c>
      <c r="E3158" t="inlineStr">
        <is>
          <t>ÖVERKALIX</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41799-2021</t>
        </is>
      </c>
      <c r="B3159" s="1" t="n">
        <v>44425</v>
      </c>
      <c r="C3159" s="1" t="n">
        <v>45662</v>
      </c>
      <c r="D3159" t="inlineStr">
        <is>
          <t>NORRBOTTENS LÄN</t>
        </is>
      </c>
      <c r="E3159" t="inlineStr">
        <is>
          <t>ARJEPLOG</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41827-2021</t>
        </is>
      </c>
      <c r="B3160" s="1" t="n">
        <v>44426</v>
      </c>
      <c r="C3160" s="1" t="n">
        <v>45662</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41839-2021</t>
        </is>
      </c>
      <c r="B3161" s="1" t="n">
        <v>44425</v>
      </c>
      <c r="C3161" s="1" t="n">
        <v>45662</v>
      </c>
      <c r="D3161" t="inlineStr">
        <is>
          <t>NORRBOTTENS LÄN</t>
        </is>
      </c>
      <c r="E3161" t="inlineStr">
        <is>
          <t>ÖVERKALIX</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41828-2021</t>
        </is>
      </c>
      <c r="B3162" s="1" t="n">
        <v>44426</v>
      </c>
      <c r="C3162" s="1" t="n">
        <v>45662</v>
      </c>
      <c r="D3162" t="inlineStr">
        <is>
          <t>NORRBOTTENS LÄN</t>
        </is>
      </c>
      <c r="E3162" t="inlineStr">
        <is>
          <t>PAJALA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41923-2021</t>
        </is>
      </c>
      <c r="B3163" s="1" t="n">
        <v>44425</v>
      </c>
      <c r="C3163" s="1" t="n">
        <v>45662</v>
      </c>
      <c r="D3163" t="inlineStr">
        <is>
          <t>NORRBOTTENS LÄN</t>
        </is>
      </c>
      <c r="E3163" t="inlineStr">
        <is>
          <t>JOKKMOKK</t>
        </is>
      </c>
      <c r="F3163" t="inlineStr">
        <is>
          <t>Övriga statliga verk och myndigheter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41872-2021</t>
        </is>
      </c>
      <c r="B3164" s="1" t="n">
        <v>44426</v>
      </c>
      <c r="C3164" s="1" t="n">
        <v>45662</v>
      </c>
      <c r="D3164" t="inlineStr">
        <is>
          <t>NORRBOTTENS LÄN</t>
        </is>
      </c>
      <c r="E3164" t="inlineStr">
        <is>
          <t>ARVIDSJAUR</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41943-2021</t>
        </is>
      </c>
      <c r="B3165" s="1" t="n">
        <v>44426</v>
      </c>
      <c r="C3165" s="1" t="n">
        <v>45662</v>
      </c>
      <c r="D3165" t="inlineStr">
        <is>
          <t>NORRBOTTENS LÄN</t>
        </is>
      </c>
      <c r="E3165" t="inlineStr">
        <is>
          <t>BODEN</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42040-2021</t>
        </is>
      </c>
      <c r="B3166" s="1" t="n">
        <v>44426</v>
      </c>
      <c r="C3166" s="1" t="n">
        <v>45662</v>
      </c>
      <c r="D3166" t="inlineStr">
        <is>
          <t>NORRBOTTENS LÄN</t>
        </is>
      </c>
      <c r="E3166" t="inlineStr">
        <is>
          <t>KALIX</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42123-2021</t>
        </is>
      </c>
      <c r="B3167" s="1" t="n">
        <v>44426</v>
      </c>
      <c r="C3167" s="1" t="n">
        <v>45662</v>
      </c>
      <c r="D3167" t="inlineStr">
        <is>
          <t>NORRBOTTENS LÄN</t>
        </is>
      </c>
      <c r="E3167" t="inlineStr">
        <is>
          <t>ÖVERKALIX</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42133-2021</t>
        </is>
      </c>
      <c r="B3168" s="1" t="n">
        <v>44426</v>
      </c>
      <c r="C3168" s="1" t="n">
        <v>45662</v>
      </c>
      <c r="D3168" t="inlineStr">
        <is>
          <t>NORRBOTTENS LÄN</t>
        </is>
      </c>
      <c r="E3168" t="inlineStr">
        <is>
          <t>LULEÅ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42172-2021</t>
        </is>
      </c>
      <c r="B3169" s="1" t="n">
        <v>44426</v>
      </c>
      <c r="C3169" s="1" t="n">
        <v>45662</v>
      </c>
      <c r="D3169" t="inlineStr">
        <is>
          <t>NORRBOTTENS LÄN</t>
        </is>
      </c>
      <c r="E3169" t="inlineStr">
        <is>
          <t>ÖVERTORNEÅ</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42230-2021</t>
        </is>
      </c>
      <c r="B3170" s="1" t="n">
        <v>44426</v>
      </c>
      <c r="C3170" s="1" t="n">
        <v>45662</v>
      </c>
      <c r="D3170" t="inlineStr">
        <is>
          <t>NORRBOTTENS LÄN</t>
        </is>
      </c>
      <c r="E3170" t="inlineStr">
        <is>
          <t>GÄLLIVARE</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42288-2021</t>
        </is>
      </c>
      <c r="B3171" s="1" t="n">
        <v>44427</v>
      </c>
      <c r="C3171" s="1" t="n">
        <v>45662</v>
      </c>
      <c r="D3171" t="inlineStr">
        <is>
          <t>NORRBOTTENS LÄN</t>
        </is>
      </c>
      <c r="E3171" t="inlineStr">
        <is>
          <t>PAJALA</t>
        </is>
      </c>
      <c r="F3171" t="inlineStr">
        <is>
          <t>Sveaskog</t>
        </is>
      </c>
      <c r="G3171" t="n">
        <v>37.3</v>
      </c>
      <c r="H3171" t="n">
        <v>0</v>
      </c>
      <c r="I3171" t="n">
        <v>0</v>
      </c>
      <c r="J3171" t="n">
        <v>0</v>
      </c>
      <c r="K3171" t="n">
        <v>0</v>
      </c>
      <c r="L3171" t="n">
        <v>0</v>
      </c>
      <c r="M3171" t="n">
        <v>0</v>
      </c>
      <c r="N3171" t="n">
        <v>0</v>
      </c>
      <c r="O3171" t="n">
        <v>0</v>
      </c>
      <c r="P3171" t="n">
        <v>0</v>
      </c>
      <c r="Q3171" t="n">
        <v>0</v>
      </c>
      <c r="R3171" s="2" t="inlineStr"/>
    </row>
    <row r="3172" ht="15" customHeight="1">
      <c r="A3172" t="inlineStr">
        <is>
          <t>A 42330-2021</t>
        </is>
      </c>
      <c r="B3172" s="1" t="n">
        <v>44427</v>
      </c>
      <c r="C3172" s="1" t="n">
        <v>45662</v>
      </c>
      <c r="D3172" t="inlineStr">
        <is>
          <t>NORRBOTTENS LÄN</t>
        </is>
      </c>
      <c r="E3172" t="inlineStr">
        <is>
          <t>ARVIDSJAUR</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42320-2021</t>
        </is>
      </c>
      <c r="B3173" s="1" t="n">
        <v>44427</v>
      </c>
      <c r="C3173" s="1" t="n">
        <v>45662</v>
      </c>
      <c r="D3173" t="inlineStr">
        <is>
          <t>NORRBOTTENS LÄN</t>
        </is>
      </c>
      <c r="E3173" t="inlineStr">
        <is>
          <t>PAJALA</t>
        </is>
      </c>
      <c r="F3173" t="inlineStr">
        <is>
          <t>Sveaskog</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42335-2021</t>
        </is>
      </c>
      <c r="B3174" s="1" t="n">
        <v>44427</v>
      </c>
      <c r="C3174" s="1" t="n">
        <v>45662</v>
      </c>
      <c r="D3174" t="inlineStr">
        <is>
          <t>NORRBOTTENS LÄN</t>
        </is>
      </c>
      <c r="E3174" t="inlineStr">
        <is>
          <t>PAJALA</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42529-2021</t>
        </is>
      </c>
      <c r="B3175" s="1" t="n">
        <v>44428</v>
      </c>
      <c r="C3175" s="1" t="n">
        <v>45662</v>
      </c>
      <c r="D3175" t="inlineStr">
        <is>
          <t>NORRBOTTENS LÄN</t>
        </is>
      </c>
      <c r="E3175" t="inlineStr">
        <is>
          <t>GÄLLIVARE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42686-2021</t>
        </is>
      </c>
      <c r="B3176" s="1" t="n">
        <v>44428</v>
      </c>
      <c r="C3176" s="1" t="n">
        <v>45662</v>
      </c>
      <c r="D3176" t="inlineStr">
        <is>
          <t>NORRBOTTENS LÄN</t>
        </is>
      </c>
      <c r="E3176" t="inlineStr">
        <is>
          <t>GÄLLIVARE</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42674-2021</t>
        </is>
      </c>
      <c r="B3177" s="1" t="n">
        <v>44428</v>
      </c>
      <c r="C3177" s="1" t="n">
        <v>45662</v>
      </c>
      <c r="D3177" t="inlineStr">
        <is>
          <t>NORRBOTTENS LÄN</t>
        </is>
      </c>
      <c r="E3177" t="inlineStr">
        <is>
          <t>ARVIDSJAUR</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42694-2021</t>
        </is>
      </c>
      <c r="B3178" s="1" t="n">
        <v>44428</v>
      </c>
      <c r="C3178" s="1" t="n">
        <v>45662</v>
      </c>
      <c r="D3178" t="inlineStr">
        <is>
          <t>NORRBOTTENS LÄN</t>
        </is>
      </c>
      <c r="E3178" t="inlineStr">
        <is>
          <t>ARVIDSJAUR</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42711-2021</t>
        </is>
      </c>
      <c r="B3179" s="1" t="n">
        <v>44428</v>
      </c>
      <c r="C3179" s="1" t="n">
        <v>45662</v>
      </c>
      <c r="D3179" t="inlineStr">
        <is>
          <t>NORRBOTTENS LÄN</t>
        </is>
      </c>
      <c r="E3179" t="inlineStr">
        <is>
          <t>BODEN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42787-2021</t>
        </is>
      </c>
      <c r="B3180" s="1" t="n">
        <v>44428</v>
      </c>
      <c r="C3180" s="1" t="n">
        <v>45662</v>
      </c>
      <c r="D3180" t="inlineStr">
        <is>
          <t>NORRBOTTENS LÄN</t>
        </is>
      </c>
      <c r="E3180" t="inlineStr">
        <is>
          <t>PITEÅ</t>
        </is>
      </c>
      <c r="G3180" t="n">
        <v>18.3</v>
      </c>
      <c r="H3180" t="n">
        <v>0</v>
      </c>
      <c r="I3180" t="n">
        <v>0</v>
      </c>
      <c r="J3180" t="n">
        <v>0</v>
      </c>
      <c r="K3180" t="n">
        <v>0</v>
      </c>
      <c r="L3180" t="n">
        <v>0</v>
      </c>
      <c r="M3180" t="n">
        <v>0</v>
      </c>
      <c r="N3180" t="n">
        <v>0</v>
      </c>
      <c r="O3180" t="n">
        <v>0</v>
      </c>
      <c r="P3180" t="n">
        <v>0</v>
      </c>
      <c r="Q3180" t="n">
        <v>0</v>
      </c>
      <c r="R3180" s="2" t="inlineStr"/>
    </row>
    <row r="3181" ht="15" customHeight="1">
      <c r="A3181" t="inlineStr">
        <is>
          <t>A 43005-2021</t>
        </is>
      </c>
      <c r="B3181" s="1" t="n">
        <v>44431</v>
      </c>
      <c r="C3181" s="1" t="n">
        <v>45662</v>
      </c>
      <c r="D3181" t="inlineStr">
        <is>
          <t>NORRBOTTENS LÄN</t>
        </is>
      </c>
      <c r="E3181" t="inlineStr">
        <is>
          <t>ÄLVSBYN</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43014-2021</t>
        </is>
      </c>
      <c r="B3182" s="1" t="n">
        <v>44431</v>
      </c>
      <c r="C3182" s="1" t="n">
        <v>45662</v>
      </c>
      <c r="D3182" t="inlineStr">
        <is>
          <t>NORRBOTTENS LÄN</t>
        </is>
      </c>
      <c r="E3182" t="inlineStr">
        <is>
          <t>JOKKMOKK</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43111-2021</t>
        </is>
      </c>
      <c r="B3183" s="1" t="n">
        <v>44431</v>
      </c>
      <c r="C3183" s="1" t="n">
        <v>45662</v>
      </c>
      <c r="D3183" t="inlineStr">
        <is>
          <t>NORRBOTTENS LÄN</t>
        </is>
      </c>
      <c r="E3183" t="inlineStr">
        <is>
          <t>GÄLLIVARE</t>
        </is>
      </c>
      <c r="F3183" t="inlineStr">
        <is>
          <t>Allmännings- och besparingsskogar</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43298-2021</t>
        </is>
      </c>
      <c r="B3184" s="1" t="n">
        <v>44432</v>
      </c>
      <c r="C3184" s="1" t="n">
        <v>45662</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43297-2021</t>
        </is>
      </c>
      <c r="B3185" s="1" t="n">
        <v>44432</v>
      </c>
      <c r="C3185" s="1" t="n">
        <v>45662</v>
      </c>
      <c r="D3185" t="inlineStr">
        <is>
          <t>NORRBOTTENS LÄN</t>
        </is>
      </c>
      <c r="E3185" t="inlineStr">
        <is>
          <t>PITEÅ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43407-2021</t>
        </is>
      </c>
      <c r="B3186" s="1" t="n">
        <v>44432</v>
      </c>
      <c r="C3186" s="1" t="n">
        <v>45662</v>
      </c>
      <c r="D3186" t="inlineStr">
        <is>
          <t>NORRBOTTENS LÄN</t>
        </is>
      </c>
      <c r="E3186" t="inlineStr">
        <is>
          <t>ÖVERTORNEÅ</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43487-2021</t>
        </is>
      </c>
      <c r="B3187" s="1" t="n">
        <v>44433</v>
      </c>
      <c r="C3187" s="1" t="n">
        <v>45662</v>
      </c>
      <c r="D3187" t="inlineStr">
        <is>
          <t>NORRBOTTENS LÄN</t>
        </is>
      </c>
      <c r="E3187" t="inlineStr">
        <is>
          <t>ÖVERTORNEÅ</t>
        </is>
      </c>
      <c r="G3187" t="n">
        <v>22.5</v>
      </c>
      <c r="H3187" t="n">
        <v>0</v>
      </c>
      <c r="I3187" t="n">
        <v>0</v>
      </c>
      <c r="J3187" t="n">
        <v>0</v>
      </c>
      <c r="K3187" t="n">
        <v>0</v>
      </c>
      <c r="L3187" t="n">
        <v>0</v>
      </c>
      <c r="M3187" t="n">
        <v>0</v>
      </c>
      <c r="N3187" t="n">
        <v>0</v>
      </c>
      <c r="O3187" t="n">
        <v>0</v>
      </c>
      <c r="P3187" t="n">
        <v>0</v>
      </c>
      <c r="Q3187" t="n">
        <v>0</v>
      </c>
      <c r="R3187" s="2" t="inlineStr"/>
    </row>
    <row r="3188" ht="15" customHeight="1">
      <c r="A3188" t="inlineStr">
        <is>
          <t>A 43433-2021</t>
        </is>
      </c>
      <c r="B3188" s="1" t="n">
        <v>44432</v>
      </c>
      <c r="C3188" s="1" t="n">
        <v>45662</v>
      </c>
      <c r="D3188" t="inlineStr">
        <is>
          <t>NORRBOTTENS LÄN</t>
        </is>
      </c>
      <c r="E3188" t="inlineStr">
        <is>
          <t>ÖVERKALIX</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43489-2021</t>
        </is>
      </c>
      <c r="B3189" s="1" t="n">
        <v>44432</v>
      </c>
      <c r="C3189" s="1" t="n">
        <v>45662</v>
      </c>
      <c r="D3189" t="inlineStr">
        <is>
          <t>NORRBOTTENS LÄN</t>
        </is>
      </c>
      <c r="E3189" t="inlineStr">
        <is>
          <t>GÄLLIVARE</t>
        </is>
      </c>
      <c r="F3189" t="inlineStr">
        <is>
          <t>SCA</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43720-2021</t>
        </is>
      </c>
      <c r="B3190" s="1" t="n">
        <v>44433</v>
      </c>
      <c r="C3190" s="1" t="n">
        <v>45662</v>
      </c>
      <c r="D3190" t="inlineStr">
        <is>
          <t>NORRBOTTENS LÄN</t>
        </is>
      </c>
      <c r="E3190" t="inlineStr">
        <is>
          <t>JOKKMOKK</t>
        </is>
      </c>
      <c r="F3190" t="inlineStr">
        <is>
          <t>Sveaskog</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43673-2021</t>
        </is>
      </c>
      <c r="B3191" s="1" t="n">
        <v>44433</v>
      </c>
      <c r="C3191" s="1" t="n">
        <v>45662</v>
      </c>
      <c r="D3191" t="inlineStr">
        <is>
          <t>NORRBOTTENS LÄN</t>
        </is>
      </c>
      <c r="E3191" t="inlineStr">
        <is>
          <t>ÖVERKALIX</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43683-2021</t>
        </is>
      </c>
      <c r="B3192" s="1" t="n">
        <v>44433</v>
      </c>
      <c r="C3192" s="1" t="n">
        <v>45662</v>
      </c>
      <c r="D3192" t="inlineStr">
        <is>
          <t>NORRBOTTENS LÄN</t>
        </is>
      </c>
      <c r="E3192" t="inlineStr">
        <is>
          <t>ARVIDSJAUR</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43573-2021</t>
        </is>
      </c>
      <c r="B3193" s="1" t="n">
        <v>44433</v>
      </c>
      <c r="C3193" s="1" t="n">
        <v>45662</v>
      </c>
      <c r="D3193" t="inlineStr">
        <is>
          <t>NORRBOTTENS LÄN</t>
        </is>
      </c>
      <c r="E3193" t="inlineStr">
        <is>
          <t>PITEÅ</t>
        </is>
      </c>
      <c r="F3193" t="inlineStr">
        <is>
          <t>Sveaskog</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43678-2021</t>
        </is>
      </c>
      <c r="B3194" s="1" t="n">
        <v>44433</v>
      </c>
      <c r="C3194" s="1" t="n">
        <v>45662</v>
      </c>
      <c r="D3194" t="inlineStr">
        <is>
          <t>NORRBOTTENS LÄN</t>
        </is>
      </c>
      <c r="E3194" t="inlineStr">
        <is>
          <t>ARVIDSJAUR</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43780-2021</t>
        </is>
      </c>
      <c r="B3195" s="1" t="n">
        <v>44433</v>
      </c>
      <c r="C3195" s="1" t="n">
        <v>45662</v>
      </c>
      <c r="D3195" t="inlineStr">
        <is>
          <t>NORRBOTTENS LÄN</t>
        </is>
      </c>
      <c r="E3195" t="inlineStr">
        <is>
          <t>JOKKMOKK</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43785-2021</t>
        </is>
      </c>
      <c r="B3196" s="1" t="n">
        <v>44433</v>
      </c>
      <c r="C3196" s="1" t="n">
        <v>45662</v>
      </c>
      <c r="D3196" t="inlineStr">
        <is>
          <t>NORRBOTTENS LÄN</t>
        </is>
      </c>
      <c r="E3196" t="inlineStr">
        <is>
          <t>JOKKMOKK</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43687-2021</t>
        </is>
      </c>
      <c r="B3197" s="1" t="n">
        <v>44433</v>
      </c>
      <c r="C3197" s="1" t="n">
        <v>45662</v>
      </c>
      <c r="D3197" t="inlineStr">
        <is>
          <t>NORRBOTTENS LÄN</t>
        </is>
      </c>
      <c r="E3197" t="inlineStr">
        <is>
          <t>ÖVERKALIX</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43783-2021</t>
        </is>
      </c>
      <c r="B3198" s="1" t="n">
        <v>44433</v>
      </c>
      <c r="C3198" s="1" t="n">
        <v>45662</v>
      </c>
      <c r="D3198" t="inlineStr">
        <is>
          <t>NORRBOTTENS LÄN</t>
        </is>
      </c>
      <c r="E3198" t="inlineStr">
        <is>
          <t>JOKKMOKK</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43781-2021</t>
        </is>
      </c>
      <c r="B3199" s="1" t="n">
        <v>44433</v>
      </c>
      <c r="C3199" s="1" t="n">
        <v>45662</v>
      </c>
      <c r="D3199" t="inlineStr">
        <is>
          <t>NORRBOTTENS LÄN</t>
        </is>
      </c>
      <c r="E3199" t="inlineStr">
        <is>
          <t>JOKKMOKK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44278-2021</t>
        </is>
      </c>
      <c r="B3200" s="1" t="n">
        <v>44433</v>
      </c>
      <c r="C3200" s="1" t="n">
        <v>45662</v>
      </c>
      <c r="D3200" t="inlineStr">
        <is>
          <t>NORRBOTTENS LÄN</t>
        </is>
      </c>
      <c r="E3200" t="inlineStr">
        <is>
          <t>ÖVERTORNEÅ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43540-2021</t>
        </is>
      </c>
      <c r="B3201" s="1" t="n">
        <v>44433</v>
      </c>
      <c r="C3201" s="1" t="n">
        <v>45662</v>
      </c>
      <c r="D3201" t="inlineStr">
        <is>
          <t>NORRBOTTENS LÄN</t>
        </is>
      </c>
      <c r="E3201" t="inlineStr">
        <is>
          <t>PITEÅ</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44026-2021</t>
        </is>
      </c>
      <c r="B3202" s="1" t="n">
        <v>44434</v>
      </c>
      <c r="C3202" s="1" t="n">
        <v>45662</v>
      </c>
      <c r="D3202" t="inlineStr">
        <is>
          <t>NORRBOTTENS LÄN</t>
        </is>
      </c>
      <c r="E3202" t="inlineStr">
        <is>
          <t>ARVIDSJAUR</t>
        </is>
      </c>
      <c r="F3202" t="inlineStr">
        <is>
          <t>Sveaskog</t>
        </is>
      </c>
      <c r="G3202" t="n">
        <v>28.6</v>
      </c>
      <c r="H3202" t="n">
        <v>0</v>
      </c>
      <c r="I3202" t="n">
        <v>0</v>
      </c>
      <c r="J3202" t="n">
        <v>0</v>
      </c>
      <c r="K3202" t="n">
        <v>0</v>
      </c>
      <c r="L3202" t="n">
        <v>0</v>
      </c>
      <c r="M3202" t="n">
        <v>0</v>
      </c>
      <c r="N3202" t="n">
        <v>0</v>
      </c>
      <c r="O3202" t="n">
        <v>0</v>
      </c>
      <c r="P3202" t="n">
        <v>0</v>
      </c>
      <c r="Q3202" t="n">
        <v>0</v>
      </c>
      <c r="R3202" s="2" t="inlineStr"/>
    </row>
    <row r="3203" ht="15" customHeight="1">
      <c r="A3203" t="inlineStr">
        <is>
          <t>A 44370-2021</t>
        </is>
      </c>
      <c r="B3203" s="1" t="n">
        <v>44435</v>
      </c>
      <c r="C3203" s="1" t="n">
        <v>45662</v>
      </c>
      <c r="D3203" t="inlineStr">
        <is>
          <t>NORRBOTTENS LÄN</t>
        </is>
      </c>
      <c r="E3203" t="inlineStr">
        <is>
          <t>ÖVERKALIX</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44309-2021</t>
        </is>
      </c>
      <c r="B3204" s="1" t="n">
        <v>44435</v>
      </c>
      <c r="C3204" s="1" t="n">
        <v>45662</v>
      </c>
      <c r="D3204" t="inlineStr">
        <is>
          <t>NORRBOTTENS LÄN</t>
        </is>
      </c>
      <c r="E3204" t="inlineStr">
        <is>
          <t>ÖVERKALIX</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44306-2021</t>
        </is>
      </c>
      <c r="B3205" s="1" t="n">
        <v>44435</v>
      </c>
      <c r="C3205" s="1" t="n">
        <v>45662</v>
      </c>
      <c r="D3205" t="inlineStr">
        <is>
          <t>NORRBOTTENS LÄN</t>
        </is>
      </c>
      <c r="E3205" t="inlineStr">
        <is>
          <t>ÖVERKALIX</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44525-2021</t>
        </is>
      </c>
      <c r="B3206" s="1" t="n">
        <v>44435</v>
      </c>
      <c r="C3206" s="1" t="n">
        <v>45662</v>
      </c>
      <c r="D3206" t="inlineStr">
        <is>
          <t>NORRBOTTENS LÄN</t>
        </is>
      </c>
      <c r="E3206" t="inlineStr">
        <is>
          <t>KALIX</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44530-2021</t>
        </is>
      </c>
      <c r="B3207" s="1" t="n">
        <v>44435</v>
      </c>
      <c r="C3207" s="1" t="n">
        <v>45662</v>
      </c>
      <c r="D3207" t="inlineStr">
        <is>
          <t>NORRBOTTENS LÄN</t>
        </is>
      </c>
      <c r="E3207" t="inlineStr">
        <is>
          <t>ÖVERKALIX</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44527-2021</t>
        </is>
      </c>
      <c r="B3208" s="1" t="n">
        <v>44435</v>
      </c>
      <c r="C3208" s="1" t="n">
        <v>45662</v>
      </c>
      <c r="D3208" t="inlineStr">
        <is>
          <t>NORRBOTTENS LÄN</t>
        </is>
      </c>
      <c r="E3208" t="inlineStr">
        <is>
          <t>KALIX</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44680-2021</t>
        </is>
      </c>
      <c r="B3209" s="1" t="n">
        <v>44435</v>
      </c>
      <c r="C3209" s="1" t="n">
        <v>45662</v>
      </c>
      <c r="D3209" t="inlineStr">
        <is>
          <t>NORRBOTTENS LÄN</t>
        </is>
      </c>
      <c r="E3209" t="inlineStr">
        <is>
          <t>LULEÅ</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44646-2021</t>
        </is>
      </c>
      <c r="B3210" s="1" t="n">
        <v>44437</v>
      </c>
      <c r="C3210" s="1" t="n">
        <v>45662</v>
      </c>
      <c r="D3210" t="inlineStr">
        <is>
          <t>NORRBOTTENS LÄN</t>
        </is>
      </c>
      <c r="E3210" t="inlineStr">
        <is>
          <t>JOKKMOKK</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44798-2021</t>
        </is>
      </c>
      <c r="B3211" s="1" t="n">
        <v>44438</v>
      </c>
      <c r="C3211" s="1" t="n">
        <v>45662</v>
      </c>
      <c r="D3211" t="inlineStr">
        <is>
          <t>NORRBOTTENS LÄN</t>
        </is>
      </c>
      <c r="E3211" t="inlineStr">
        <is>
          <t>ÖVERKALIX</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44830-2021</t>
        </is>
      </c>
      <c r="B3212" s="1" t="n">
        <v>44438</v>
      </c>
      <c r="C3212" s="1" t="n">
        <v>45662</v>
      </c>
      <c r="D3212" t="inlineStr">
        <is>
          <t>NORRBOTTENS LÄN</t>
        </is>
      </c>
      <c r="E3212" t="inlineStr">
        <is>
          <t>ÖVERKALIX</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44853-2021</t>
        </is>
      </c>
      <c r="B3213" s="1" t="n">
        <v>44438</v>
      </c>
      <c r="C3213" s="1" t="n">
        <v>45662</v>
      </c>
      <c r="D3213" t="inlineStr">
        <is>
          <t>NORRBOTTENS LÄN</t>
        </is>
      </c>
      <c r="E3213" t="inlineStr">
        <is>
          <t>GÄLLIVARE</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45002-2021</t>
        </is>
      </c>
      <c r="B3214" s="1" t="n">
        <v>44438</v>
      </c>
      <c r="C3214" s="1" t="n">
        <v>45662</v>
      </c>
      <c r="D3214" t="inlineStr">
        <is>
          <t>NORRBOTTENS LÄN</t>
        </is>
      </c>
      <c r="E3214" t="inlineStr">
        <is>
          <t>BODEN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45026-2021</t>
        </is>
      </c>
      <c r="B3215" s="1" t="n">
        <v>44438</v>
      </c>
      <c r="C3215" s="1" t="n">
        <v>45662</v>
      </c>
      <c r="D3215" t="inlineStr">
        <is>
          <t>NORRBOTTENS LÄN</t>
        </is>
      </c>
      <c r="E3215" t="inlineStr">
        <is>
          <t>PITEÅ</t>
        </is>
      </c>
      <c r="F3215" t="inlineStr">
        <is>
          <t>SCA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45019-2021</t>
        </is>
      </c>
      <c r="B3216" s="1" t="n">
        <v>44439</v>
      </c>
      <c r="C3216" s="1" t="n">
        <v>45662</v>
      </c>
      <c r="D3216" t="inlineStr">
        <is>
          <t>NORRBOTTENS LÄN</t>
        </is>
      </c>
      <c r="E3216" t="inlineStr">
        <is>
          <t>GÄLLIVARE</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45018-2021</t>
        </is>
      </c>
      <c r="B3217" s="1" t="n">
        <v>44438</v>
      </c>
      <c r="C3217" s="1" t="n">
        <v>45662</v>
      </c>
      <c r="D3217" t="inlineStr">
        <is>
          <t>NORRBOTTENS LÄN</t>
        </is>
      </c>
      <c r="E3217" t="inlineStr">
        <is>
          <t>PAJALA</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45115-2021</t>
        </is>
      </c>
      <c r="B3218" s="1" t="n">
        <v>44438</v>
      </c>
      <c r="C3218" s="1" t="n">
        <v>45662</v>
      </c>
      <c r="D3218" t="inlineStr">
        <is>
          <t>NORRBOTTENS LÄN</t>
        </is>
      </c>
      <c r="E3218" t="inlineStr">
        <is>
          <t>BODEN</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45127-2021</t>
        </is>
      </c>
      <c r="B3219" s="1" t="n">
        <v>44439</v>
      </c>
      <c r="C3219" s="1" t="n">
        <v>45662</v>
      </c>
      <c r="D3219" t="inlineStr">
        <is>
          <t>NORRBOTTENS LÄN</t>
        </is>
      </c>
      <c r="E3219" t="inlineStr">
        <is>
          <t>ARVIDSJAUR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45189-2021</t>
        </is>
      </c>
      <c r="B3220" s="1" t="n">
        <v>44439</v>
      </c>
      <c r="C3220" s="1" t="n">
        <v>45662</v>
      </c>
      <c r="D3220" t="inlineStr">
        <is>
          <t>NORRBOTTENS LÄN</t>
        </is>
      </c>
      <c r="E3220" t="inlineStr">
        <is>
          <t>BODEN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45185-2021</t>
        </is>
      </c>
      <c r="B3221" s="1" t="n">
        <v>44439</v>
      </c>
      <c r="C3221" s="1" t="n">
        <v>45662</v>
      </c>
      <c r="D3221" t="inlineStr">
        <is>
          <t>NORRBOTTENS LÄN</t>
        </is>
      </c>
      <c r="E3221" t="inlineStr">
        <is>
          <t>BODEN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45323-2021</t>
        </is>
      </c>
      <c r="B3222" s="1" t="n">
        <v>44439</v>
      </c>
      <c r="C3222" s="1" t="n">
        <v>45662</v>
      </c>
      <c r="D3222" t="inlineStr">
        <is>
          <t>NORRBOTTENS LÄN</t>
        </is>
      </c>
      <c r="E3222" t="inlineStr">
        <is>
          <t>PITEÅ</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45566-2021</t>
        </is>
      </c>
      <c r="B3223" s="1" t="n">
        <v>44440</v>
      </c>
      <c r="C3223" s="1" t="n">
        <v>45662</v>
      </c>
      <c r="D3223" t="inlineStr">
        <is>
          <t>NORRBOTTENS LÄN</t>
        </is>
      </c>
      <c r="E3223" t="inlineStr">
        <is>
          <t>ÖVERTORNEÅ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45575-2021</t>
        </is>
      </c>
      <c r="B3224" s="1" t="n">
        <v>44440</v>
      </c>
      <c r="C3224" s="1" t="n">
        <v>45662</v>
      </c>
      <c r="D3224" t="inlineStr">
        <is>
          <t>NORRBOTTENS LÄN</t>
        </is>
      </c>
      <c r="E3224" t="inlineStr">
        <is>
          <t>PITEÅ</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45391-2021</t>
        </is>
      </c>
      <c r="B3225" s="1" t="n">
        <v>44440</v>
      </c>
      <c r="C3225" s="1" t="n">
        <v>45662</v>
      </c>
      <c r="D3225" t="inlineStr">
        <is>
          <t>NORRBOTTENS LÄN</t>
        </is>
      </c>
      <c r="E3225" t="inlineStr">
        <is>
          <t>ARVIDSJAUR</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45398-2021</t>
        </is>
      </c>
      <c r="B3226" s="1" t="n">
        <v>44440</v>
      </c>
      <c r="C3226" s="1" t="n">
        <v>45662</v>
      </c>
      <c r="D3226" t="inlineStr">
        <is>
          <t>NORRBOTTENS LÄN</t>
        </is>
      </c>
      <c r="E3226" t="inlineStr">
        <is>
          <t>ARVIDSJAUR</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45603-2021</t>
        </is>
      </c>
      <c r="B3227" s="1" t="n">
        <v>44440</v>
      </c>
      <c r="C3227" s="1" t="n">
        <v>45662</v>
      </c>
      <c r="D3227" t="inlineStr">
        <is>
          <t>NORRBOTTENS LÄN</t>
        </is>
      </c>
      <c r="E3227" t="inlineStr">
        <is>
          <t>ÄLVSBYN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45654-2021</t>
        </is>
      </c>
      <c r="B3228" s="1" t="n">
        <v>44441</v>
      </c>
      <c r="C3228" s="1" t="n">
        <v>45662</v>
      </c>
      <c r="D3228" t="inlineStr">
        <is>
          <t>NORRBOTTENS LÄN</t>
        </is>
      </c>
      <c r="E3228" t="inlineStr">
        <is>
          <t>PITEÅ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45653-2021</t>
        </is>
      </c>
      <c r="B3229" s="1" t="n">
        <v>44440</v>
      </c>
      <c r="C3229" s="1" t="n">
        <v>45662</v>
      </c>
      <c r="D3229" t="inlineStr">
        <is>
          <t>NORRBOTTENS LÄN</t>
        </is>
      </c>
      <c r="E3229" t="inlineStr">
        <is>
          <t>PITEÅ</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45677-2021</t>
        </is>
      </c>
      <c r="B3230" s="1" t="n">
        <v>44441</v>
      </c>
      <c r="C3230" s="1" t="n">
        <v>45662</v>
      </c>
      <c r="D3230" t="inlineStr">
        <is>
          <t>NORRBOTTENS LÄN</t>
        </is>
      </c>
      <c r="E3230" t="inlineStr">
        <is>
          <t>BODEN</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46022-2021</t>
        </is>
      </c>
      <c r="B3231" s="1" t="n">
        <v>44442</v>
      </c>
      <c r="C3231" s="1" t="n">
        <v>45662</v>
      </c>
      <c r="D3231" t="inlineStr">
        <is>
          <t>NORRBOTTENS LÄN</t>
        </is>
      </c>
      <c r="E3231" t="inlineStr">
        <is>
          <t>ÖVERTORNEÅ</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46031-2021</t>
        </is>
      </c>
      <c r="B3232" s="1" t="n">
        <v>44441</v>
      </c>
      <c r="C3232" s="1" t="n">
        <v>45662</v>
      </c>
      <c r="D3232" t="inlineStr">
        <is>
          <t>NORRBOTTENS LÄN</t>
        </is>
      </c>
      <c r="E3232" t="inlineStr">
        <is>
          <t>ÖVERTORNEÅ</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45769-2021</t>
        </is>
      </c>
      <c r="B3233" s="1" t="n">
        <v>44441</v>
      </c>
      <c r="C3233" s="1" t="n">
        <v>45662</v>
      </c>
      <c r="D3233" t="inlineStr">
        <is>
          <t>NORRBOTTENS LÄN</t>
        </is>
      </c>
      <c r="E3233" t="inlineStr">
        <is>
          <t>ARVIDSJAUR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45966-2021</t>
        </is>
      </c>
      <c r="B3234" s="1" t="n">
        <v>44441</v>
      </c>
      <c r="C3234" s="1" t="n">
        <v>45662</v>
      </c>
      <c r="D3234" t="inlineStr">
        <is>
          <t>NORRBOTTENS LÄN</t>
        </is>
      </c>
      <c r="E3234" t="inlineStr">
        <is>
          <t>PAJALA</t>
        </is>
      </c>
      <c r="G3234" t="n">
        <v>18.6</v>
      </c>
      <c r="H3234" t="n">
        <v>0</v>
      </c>
      <c r="I3234" t="n">
        <v>0</v>
      </c>
      <c r="J3234" t="n">
        <v>0</v>
      </c>
      <c r="K3234" t="n">
        <v>0</v>
      </c>
      <c r="L3234" t="n">
        <v>0</v>
      </c>
      <c r="M3234" t="n">
        <v>0</v>
      </c>
      <c r="N3234" t="n">
        <v>0</v>
      </c>
      <c r="O3234" t="n">
        <v>0</v>
      </c>
      <c r="P3234" t="n">
        <v>0</v>
      </c>
      <c r="Q3234" t="n">
        <v>0</v>
      </c>
      <c r="R3234" s="2" t="inlineStr"/>
    </row>
    <row r="3235" ht="15" customHeight="1">
      <c r="A3235" t="inlineStr">
        <is>
          <t>A 46026-2021</t>
        </is>
      </c>
      <c r="B3235" s="1" t="n">
        <v>44442</v>
      </c>
      <c r="C3235" s="1" t="n">
        <v>45662</v>
      </c>
      <c r="D3235" t="inlineStr">
        <is>
          <t>NORRBOTTENS LÄN</t>
        </is>
      </c>
      <c r="E3235" t="inlineStr">
        <is>
          <t>ÖVERTORNEÅ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46035-2021</t>
        </is>
      </c>
      <c r="B3236" s="1" t="n">
        <v>44441</v>
      </c>
      <c r="C3236" s="1" t="n">
        <v>45662</v>
      </c>
      <c r="D3236" t="inlineStr">
        <is>
          <t>NORRBOTTENS LÄN</t>
        </is>
      </c>
      <c r="E3236" t="inlineStr">
        <is>
          <t>ÖVERTORNEÅ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46024-2021</t>
        </is>
      </c>
      <c r="B3237" s="1" t="n">
        <v>44441</v>
      </c>
      <c r="C3237" s="1" t="n">
        <v>45662</v>
      </c>
      <c r="D3237" t="inlineStr">
        <is>
          <t>NORRBOTTENS LÄN</t>
        </is>
      </c>
      <c r="E3237" t="inlineStr">
        <is>
          <t>ÖVERTORNEÅ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46032-2021</t>
        </is>
      </c>
      <c r="B3238" s="1" t="n">
        <v>44441</v>
      </c>
      <c r="C3238" s="1" t="n">
        <v>45662</v>
      </c>
      <c r="D3238" t="inlineStr">
        <is>
          <t>NORRBOTTENS LÄN</t>
        </is>
      </c>
      <c r="E3238" t="inlineStr">
        <is>
          <t>ÖVERTORNEÅ</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45940-2021</t>
        </is>
      </c>
      <c r="B3239" s="1" t="n">
        <v>44441</v>
      </c>
      <c r="C3239" s="1" t="n">
        <v>45662</v>
      </c>
      <c r="D3239" t="inlineStr">
        <is>
          <t>NORRBOTTENS LÄN</t>
        </is>
      </c>
      <c r="E3239" t="inlineStr">
        <is>
          <t>LULEÅ</t>
        </is>
      </c>
      <c r="G3239" t="n">
        <v>15.2</v>
      </c>
      <c r="H3239" t="n">
        <v>0</v>
      </c>
      <c r="I3239" t="n">
        <v>0</v>
      </c>
      <c r="J3239" t="n">
        <v>0</v>
      </c>
      <c r="K3239" t="n">
        <v>0</v>
      </c>
      <c r="L3239" t="n">
        <v>0</v>
      </c>
      <c r="M3239" t="n">
        <v>0</v>
      </c>
      <c r="N3239" t="n">
        <v>0</v>
      </c>
      <c r="O3239" t="n">
        <v>0</v>
      </c>
      <c r="P3239" t="n">
        <v>0</v>
      </c>
      <c r="Q3239" t="n">
        <v>0</v>
      </c>
      <c r="R3239" s="2" t="inlineStr"/>
    </row>
    <row r="3240" ht="15" customHeight="1">
      <c r="A3240" t="inlineStr">
        <is>
          <t>A 46027-2021</t>
        </is>
      </c>
      <c r="B3240" s="1" t="n">
        <v>44442</v>
      </c>
      <c r="C3240" s="1" t="n">
        <v>45662</v>
      </c>
      <c r="D3240" t="inlineStr">
        <is>
          <t>NORRBOTTENS LÄN</t>
        </is>
      </c>
      <c r="E3240" t="inlineStr">
        <is>
          <t>ÖVERTORNEÅ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46037-2021</t>
        </is>
      </c>
      <c r="B3241" s="1" t="n">
        <v>44441</v>
      </c>
      <c r="C3241" s="1" t="n">
        <v>45662</v>
      </c>
      <c r="D3241" t="inlineStr">
        <is>
          <t>NORRBOTTENS LÄN</t>
        </is>
      </c>
      <c r="E3241" t="inlineStr">
        <is>
          <t>ÖVERTORNEÅ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46150-2021</t>
        </is>
      </c>
      <c r="B3242" s="1" t="n">
        <v>44441</v>
      </c>
      <c r="C3242" s="1" t="n">
        <v>45662</v>
      </c>
      <c r="D3242" t="inlineStr">
        <is>
          <t>NORRBOTTENS LÄN</t>
        </is>
      </c>
      <c r="E3242" t="inlineStr">
        <is>
          <t>LULEÅ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46181-2021</t>
        </is>
      </c>
      <c r="B3243" s="1" t="n">
        <v>44441</v>
      </c>
      <c r="C3243" s="1" t="n">
        <v>45662</v>
      </c>
      <c r="D3243" t="inlineStr">
        <is>
          <t>NORRBOTTENS LÄN</t>
        </is>
      </c>
      <c r="E3243" t="inlineStr">
        <is>
          <t>ARVIDSJAUR</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46183-2021</t>
        </is>
      </c>
      <c r="B3244" s="1" t="n">
        <v>44441</v>
      </c>
      <c r="C3244" s="1" t="n">
        <v>45662</v>
      </c>
      <c r="D3244" t="inlineStr">
        <is>
          <t>NORRBOTTENS LÄN</t>
        </is>
      </c>
      <c r="E3244" t="inlineStr">
        <is>
          <t>BODEN</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46082-2021</t>
        </is>
      </c>
      <c r="B3245" s="1" t="n">
        <v>44442</v>
      </c>
      <c r="C3245" s="1" t="n">
        <v>45662</v>
      </c>
      <c r="D3245" t="inlineStr">
        <is>
          <t>NORRBOTTENS LÄN</t>
        </is>
      </c>
      <c r="E3245" t="inlineStr">
        <is>
          <t>ARVIDSJAUR</t>
        </is>
      </c>
      <c r="F3245" t="inlineStr">
        <is>
          <t>Sveaskog</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46072-2021</t>
        </is>
      </c>
      <c r="B3246" s="1" t="n">
        <v>44442</v>
      </c>
      <c r="C3246" s="1" t="n">
        <v>45662</v>
      </c>
      <c r="D3246" t="inlineStr">
        <is>
          <t>NORRBOTTENS LÄN</t>
        </is>
      </c>
      <c r="E3246" t="inlineStr">
        <is>
          <t>ARVIDSJAUR</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46080-2021</t>
        </is>
      </c>
      <c r="B3247" s="1" t="n">
        <v>44442</v>
      </c>
      <c r="C3247" s="1" t="n">
        <v>45662</v>
      </c>
      <c r="D3247" t="inlineStr">
        <is>
          <t>NORRBOTTENS LÄN</t>
        </is>
      </c>
      <c r="E3247" t="inlineStr">
        <is>
          <t>ARVIDSJAUR</t>
        </is>
      </c>
      <c r="F3247" t="inlineStr">
        <is>
          <t>Sveaskog</t>
        </is>
      </c>
      <c r="G3247" t="n">
        <v>34.5</v>
      </c>
      <c r="H3247" t="n">
        <v>0</v>
      </c>
      <c r="I3247" t="n">
        <v>0</v>
      </c>
      <c r="J3247" t="n">
        <v>0</v>
      </c>
      <c r="K3247" t="n">
        <v>0</v>
      </c>
      <c r="L3247" t="n">
        <v>0</v>
      </c>
      <c r="M3247" t="n">
        <v>0</v>
      </c>
      <c r="N3247" t="n">
        <v>0</v>
      </c>
      <c r="O3247" t="n">
        <v>0</v>
      </c>
      <c r="P3247" t="n">
        <v>0</v>
      </c>
      <c r="Q3247" t="n">
        <v>0</v>
      </c>
      <c r="R3247" s="2" t="inlineStr"/>
    </row>
    <row r="3248" ht="15" customHeight="1">
      <c r="A3248" t="inlineStr">
        <is>
          <t>A 46077-2021</t>
        </is>
      </c>
      <c r="B3248" s="1" t="n">
        <v>44442</v>
      </c>
      <c r="C3248" s="1" t="n">
        <v>45662</v>
      </c>
      <c r="D3248" t="inlineStr">
        <is>
          <t>NORRBOTTENS LÄN</t>
        </is>
      </c>
      <c r="E3248" t="inlineStr">
        <is>
          <t>ARVIDSJAUR</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46158-2021</t>
        </is>
      </c>
      <c r="B3249" s="1" t="n">
        <v>44442</v>
      </c>
      <c r="C3249" s="1" t="n">
        <v>45662</v>
      </c>
      <c r="D3249" t="inlineStr">
        <is>
          <t>NORRBOTTENS LÄN</t>
        </is>
      </c>
      <c r="E3249" t="inlineStr">
        <is>
          <t>LULEÅ</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46187-2021</t>
        </is>
      </c>
      <c r="B3250" s="1" t="n">
        <v>44442</v>
      </c>
      <c r="C3250" s="1" t="n">
        <v>45662</v>
      </c>
      <c r="D3250" t="inlineStr">
        <is>
          <t>NORRBOTTENS LÄN</t>
        </is>
      </c>
      <c r="E3250" t="inlineStr">
        <is>
          <t>KALIX</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46259-2021</t>
        </is>
      </c>
      <c r="B3251" s="1" t="n">
        <v>44442</v>
      </c>
      <c r="C3251" s="1" t="n">
        <v>45662</v>
      </c>
      <c r="D3251" t="inlineStr">
        <is>
          <t>NORRBOTTENS LÄN</t>
        </is>
      </c>
      <c r="E3251" t="inlineStr">
        <is>
          <t>PAJALA</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46541-2021</t>
        </is>
      </c>
      <c r="B3252" s="1" t="n">
        <v>44445</v>
      </c>
      <c r="C3252" s="1" t="n">
        <v>45662</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46547-2021</t>
        </is>
      </c>
      <c r="B3253" s="1" t="n">
        <v>44445</v>
      </c>
      <c r="C3253" s="1" t="n">
        <v>45662</v>
      </c>
      <c r="D3253" t="inlineStr">
        <is>
          <t>NORRBOTTENS LÄN</t>
        </is>
      </c>
      <c r="E3253" t="inlineStr">
        <is>
          <t>LULEÅ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46585-2021</t>
        </is>
      </c>
      <c r="B3254" s="1" t="n">
        <v>44445</v>
      </c>
      <c r="C3254" s="1" t="n">
        <v>45662</v>
      </c>
      <c r="D3254" t="inlineStr">
        <is>
          <t>NORRBOTTENS LÄN</t>
        </is>
      </c>
      <c r="E3254" t="inlineStr">
        <is>
          <t>ARJEPLOG</t>
        </is>
      </c>
      <c r="F3254" t="inlineStr">
        <is>
          <t>Övriga statliga verk och myndigheter</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46512-2021</t>
        </is>
      </c>
      <c r="B3255" s="1" t="n">
        <v>44445</v>
      </c>
      <c r="C3255" s="1" t="n">
        <v>45662</v>
      </c>
      <c r="D3255" t="inlineStr">
        <is>
          <t>NORRBOTTENS LÄN</t>
        </is>
      </c>
      <c r="E3255" t="inlineStr">
        <is>
          <t>BODEN</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46622-2021</t>
        </is>
      </c>
      <c r="B3256" s="1" t="n">
        <v>44445</v>
      </c>
      <c r="C3256" s="1" t="n">
        <v>45662</v>
      </c>
      <c r="D3256" t="inlineStr">
        <is>
          <t>NORRBOTTENS LÄN</t>
        </is>
      </c>
      <c r="E3256" t="inlineStr">
        <is>
          <t>KALIX</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46790-2021</t>
        </is>
      </c>
      <c r="B3257" s="1" t="n">
        <v>44445</v>
      </c>
      <c r="C3257" s="1" t="n">
        <v>45662</v>
      </c>
      <c r="D3257" t="inlineStr">
        <is>
          <t>NORRBOTTENS LÄN</t>
        </is>
      </c>
      <c r="E3257" t="inlineStr">
        <is>
          <t>ÖVERKALIX</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46728-2021</t>
        </is>
      </c>
      <c r="B3258" s="1" t="n">
        <v>44445</v>
      </c>
      <c r="C3258" s="1" t="n">
        <v>45662</v>
      </c>
      <c r="D3258" t="inlineStr">
        <is>
          <t>NORRBOTTENS LÄN</t>
        </is>
      </c>
      <c r="E3258" t="inlineStr">
        <is>
          <t>GÄLLIVARE</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46826-2021</t>
        </is>
      </c>
      <c r="B3259" s="1" t="n">
        <v>44446</v>
      </c>
      <c r="C3259" s="1" t="n">
        <v>45662</v>
      </c>
      <c r="D3259" t="inlineStr">
        <is>
          <t>NORRBOTTENS LÄN</t>
        </is>
      </c>
      <c r="E3259" t="inlineStr">
        <is>
          <t>LULEÅ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46945-2021</t>
        </is>
      </c>
      <c r="B3260" s="1" t="n">
        <v>44446</v>
      </c>
      <c r="C3260" s="1" t="n">
        <v>45662</v>
      </c>
      <c r="D3260" t="inlineStr">
        <is>
          <t>NORRBOTTENS LÄN</t>
        </is>
      </c>
      <c r="E3260" t="inlineStr">
        <is>
          <t>ÖVERKALIX</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46881-2021</t>
        </is>
      </c>
      <c r="B3261" s="1" t="n">
        <v>44446</v>
      </c>
      <c r="C3261" s="1" t="n">
        <v>45662</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46973-2021</t>
        </is>
      </c>
      <c r="B3262" s="1" t="n">
        <v>44446</v>
      </c>
      <c r="C3262" s="1" t="n">
        <v>45662</v>
      </c>
      <c r="D3262" t="inlineStr">
        <is>
          <t>NORRBOTTENS LÄN</t>
        </is>
      </c>
      <c r="E3262" t="inlineStr">
        <is>
          <t>ÖVERTORNEÅ</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47046-2021</t>
        </is>
      </c>
      <c r="B3263" s="1" t="n">
        <v>44446</v>
      </c>
      <c r="C3263" s="1" t="n">
        <v>45662</v>
      </c>
      <c r="D3263" t="inlineStr">
        <is>
          <t>NORRBOTTENS LÄN</t>
        </is>
      </c>
      <c r="E3263" t="inlineStr">
        <is>
          <t>ÄLVSBYN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47140-2021</t>
        </is>
      </c>
      <c r="B3264" s="1" t="n">
        <v>44446</v>
      </c>
      <c r="C3264" s="1" t="n">
        <v>45662</v>
      </c>
      <c r="D3264" t="inlineStr">
        <is>
          <t>NORRBOTTENS LÄN</t>
        </is>
      </c>
      <c r="E3264" t="inlineStr">
        <is>
          <t>PITEÅ</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47564-2021</t>
        </is>
      </c>
      <c r="B3265" s="1" t="n">
        <v>44447</v>
      </c>
      <c r="C3265" s="1" t="n">
        <v>45662</v>
      </c>
      <c r="D3265" t="inlineStr">
        <is>
          <t>NORRBOTTENS LÄN</t>
        </is>
      </c>
      <c r="E3265" t="inlineStr">
        <is>
          <t>PITEÅ</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47695-2021</t>
        </is>
      </c>
      <c r="B3266" s="1" t="n">
        <v>44448</v>
      </c>
      <c r="C3266" s="1" t="n">
        <v>45662</v>
      </c>
      <c r="D3266" t="inlineStr">
        <is>
          <t>NORRBOTTENS LÄN</t>
        </is>
      </c>
      <c r="E3266" t="inlineStr">
        <is>
          <t>ÄLVSBYN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47629-2021</t>
        </is>
      </c>
      <c r="B3267" s="1" t="n">
        <v>44448</v>
      </c>
      <c r="C3267" s="1" t="n">
        <v>45662</v>
      </c>
      <c r="D3267" t="inlineStr">
        <is>
          <t>NORRBOTTENS LÄN</t>
        </is>
      </c>
      <c r="E3267" t="inlineStr">
        <is>
          <t>ÖVERKALIX</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47801-2021</t>
        </is>
      </c>
      <c r="B3268" s="1" t="n">
        <v>44448</v>
      </c>
      <c r="C3268" s="1" t="n">
        <v>45662</v>
      </c>
      <c r="D3268" t="inlineStr">
        <is>
          <t>NORRBOTTENS LÄN</t>
        </is>
      </c>
      <c r="E3268" t="inlineStr">
        <is>
          <t>LULEÅ</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48074-2021</t>
        </is>
      </c>
      <c r="B3269" s="1" t="n">
        <v>44449</v>
      </c>
      <c r="C3269" s="1" t="n">
        <v>45662</v>
      </c>
      <c r="D3269" t="inlineStr">
        <is>
          <t>NORRBOTTENS LÄN</t>
        </is>
      </c>
      <c r="E3269" t="inlineStr">
        <is>
          <t>GÄLLIVARE</t>
        </is>
      </c>
      <c r="F3269" t="inlineStr">
        <is>
          <t>Sveaskog</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48103-2021</t>
        </is>
      </c>
      <c r="B3270" s="1" t="n">
        <v>44449</v>
      </c>
      <c r="C3270" s="1" t="n">
        <v>45662</v>
      </c>
      <c r="D3270" t="inlineStr">
        <is>
          <t>NORRBOTTENS LÄN</t>
        </is>
      </c>
      <c r="E3270" t="inlineStr">
        <is>
          <t>ÄLVSBYN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48211-2021</t>
        </is>
      </c>
      <c r="B3271" s="1" t="n">
        <v>44449</v>
      </c>
      <c r="C3271" s="1" t="n">
        <v>45662</v>
      </c>
      <c r="D3271" t="inlineStr">
        <is>
          <t>NORRBOTTENS LÄN</t>
        </is>
      </c>
      <c r="E3271" t="inlineStr">
        <is>
          <t>PAJALA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48255-2021</t>
        </is>
      </c>
      <c r="B3272" s="1" t="n">
        <v>44449</v>
      </c>
      <c r="C3272" s="1" t="n">
        <v>45662</v>
      </c>
      <c r="D3272" t="inlineStr">
        <is>
          <t>NORRBOTTENS LÄN</t>
        </is>
      </c>
      <c r="E3272" t="inlineStr">
        <is>
          <t>HAPARANDA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48250-2021</t>
        </is>
      </c>
      <c r="B3273" s="1" t="n">
        <v>44449</v>
      </c>
      <c r="C3273" s="1" t="n">
        <v>45662</v>
      </c>
      <c r="D3273" t="inlineStr">
        <is>
          <t>NORRBOTTENS LÄN</t>
        </is>
      </c>
      <c r="E3273" t="inlineStr">
        <is>
          <t>HAPARANDA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48276-2021</t>
        </is>
      </c>
      <c r="B3274" s="1" t="n">
        <v>44449</v>
      </c>
      <c r="C3274" s="1" t="n">
        <v>45662</v>
      </c>
      <c r="D3274" t="inlineStr">
        <is>
          <t>NORRBOTTENS LÄN</t>
        </is>
      </c>
      <c r="E3274" t="inlineStr">
        <is>
          <t>HAPARANDA</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48281-2021</t>
        </is>
      </c>
      <c r="B3275" s="1" t="n">
        <v>44449</v>
      </c>
      <c r="C3275" s="1" t="n">
        <v>45662</v>
      </c>
      <c r="D3275" t="inlineStr">
        <is>
          <t>NORRBOTTENS LÄN</t>
        </is>
      </c>
      <c r="E3275" t="inlineStr">
        <is>
          <t>KALIX</t>
        </is>
      </c>
      <c r="G3275" t="n">
        <v>18.4</v>
      </c>
      <c r="H3275" t="n">
        <v>0</v>
      </c>
      <c r="I3275" t="n">
        <v>0</v>
      </c>
      <c r="J3275" t="n">
        <v>0</v>
      </c>
      <c r="K3275" t="n">
        <v>0</v>
      </c>
      <c r="L3275" t="n">
        <v>0</v>
      </c>
      <c r="M3275" t="n">
        <v>0</v>
      </c>
      <c r="N3275" t="n">
        <v>0</v>
      </c>
      <c r="O3275" t="n">
        <v>0</v>
      </c>
      <c r="P3275" t="n">
        <v>0</v>
      </c>
      <c r="Q3275" t="n">
        <v>0</v>
      </c>
      <c r="R3275" s="2" t="inlineStr"/>
    </row>
    <row r="3276" ht="15" customHeight="1">
      <c r="A3276" t="inlineStr">
        <is>
          <t>A 48335-2021</t>
        </is>
      </c>
      <c r="B3276" s="1" t="n">
        <v>44451</v>
      </c>
      <c r="C3276" s="1" t="n">
        <v>45662</v>
      </c>
      <c r="D3276" t="inlineStr">
        <is>
          <t>NORRBOTTENS LÄN</t>
        </is>
      </c>
      <c r="E3276" t="inlineStr">
        <is>
          <t>PAJALA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48366-2021</t>
        </is>
      </c>
      <c r="B3277" s="1" t="n">
        <v>44451</v>
      </c>
      <c r="C3277" s="1" t="n">
        <v>45662</v>
      </c>
      <c r="D3277" t="inlineStr">
        <is>
          <t>NORRBOTTENS LÄN</t>
        </is>
      </c>
      <c r="E3277" t="inlineStr">
        <is>
          <t>PAJALA</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48370-2021</t>
        </is>
      </c>
      <c r="B3278" s="1" t="n">
        <v>44451</v>
      </c>
      <c r="C3278" s="1" t="n">
        <v>45662</v>
      </c>
      <c r="D3278" t="inlineStr">
        <is>
          <t>NORRBOTTENS LÄN</t>
        </is>
      </c>
      <c r="E3278" t="inlineStr">
        <is>
          <t>PAJALA</t>
        </is>
      </c>
      <c r="G3278" t="n">
        <v>26.6</v>
      </c>
      <c r="H3278" t="n">
        <v>0</v>
      </c>
      <c r="I3278" t="n">
        <v>0</v>
      </c>
      <c r="J3278" t="n">
        <v>0</v>
      </c>
      <c r="K3278" t="n">
        <v>0</v>
      </c>
      <c r="L3278" t="n">
        <v>0</v>
      </c>
      <c r="M3278" t="n">
        <v>0</v>
      </c>
      <c r="N3278" t="n">
        <v>0</v>
      </c>
      <c r="O3278" t="n">
        <v>0</v>
      </c>
      <c r="P3278" t="n">
        <v>0</v>
      </c>
      <c r="Q3278" t="n">
        <v>0</v>
      </c>
      <c r="R3278" s="2" t="inlineStr"/>
    </row>
    <row r="3279" ht="15" customHeight="1">
      <c r="A3279" t="inlineStr">
        <is>
          <t>A 48369-2021</t>
        </is>
      </c>
      <c r="B3279" s="1" t="n">
        <v>44451</v>
      </c>
      <c r="C3279" s="1" t="n">
        <v>45662</v>
      </c>
      <c r="D3279" t="inlineStr">
        <is>
          <t>NORRBOTTENS LÄN</t>
        </is>
      </c>
      <c r="E3279" t="inlineStr">
        <is>
          <t>PAJALA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48364-2021</t>
        </is>
      </c>
      <c r="B3280" s="1" t="n">
        <v>44451</v>
      </c>
      <c r="C3280" s="1" t="n">
        <v>45662</v>
      </c>
      <c r="D3280" t="inlineStr">
        <is>
          <t>NORRBOTTENS LÄN</t>
        </is>
      </c>
      <c r="E3280" t="inlineStr">
        <is>
          <t>PAJALA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48368-2021</t>
        </is>
      </c>
      <c r="B3281" s="1" t="n">
        <v>44451</v>
      </c>
      <c r="C3281" s="1" t="n">
        <v>45662</v>
      </c>
      <c r="D3281" t="inlineStr">
        <is>
          <t>NORRBOTTENS LÄN</t>
        </is>
      </c>
      <c r="E3281" t="inlineStr">
        <is>
          <t>PAJALA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48367-2021</t>
        </is>
      </c>
      <c r="B3282" s="1" t="n">
        <v>44451</v>
      </c>
      <c r="C3282" s="1" t="n">
        <v>45662</v>
      </c>
      <c r="D3282" t="inlineStr">
        <is>
          <t>NORRBOTTENS LÄN</t>
        </is>
      </c>
      <c r="E3282" t="inlineStr">
        <is>
          <t>PAJALA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48372-2021</t>
        </is>
      </c>
      <c r="B3283" s="1" t="n">
        <v>44451</v>
      </c>
      <c r="C3283" s="1" t="n">
        <v>45662</v>
      </c>
      <c r="D3283" t="inlineStr">
        <is>
          <t>NORRBOTTENS LÄN</t>
        </is>
      </c>
      <c r="E3283" t="inlineStr">
        <is>
          <t>PAJALA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48792-2021</t>
        </is>
      </c>
      <c r="B3284" s="1" t="n">
        <v>44452</v>
      </c>
      <c r="C3284" s="1" t="n">
        <v>45662</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48770-2021</t>
        </is>
      </c>
      <c r="B3285" s="1" t="n">
        <v>44452</v>
      </c>
      <c r="C3285" s="1" t="n">
        <v>45662</v>
      </c>
      <c r="D3285" t="inlineStr">
        <is>
          <t>NORRBOTTENS LÄN</t>
        </is>
      </c>
      <c r="E3285" t="inlineStr">
        <is>
          <t>ÖVERTORNEÅ</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48780-2021</t>
        </is>
      </c>
      <c r="B3286" s="1" t="n">
        <v>44452</v>
      </c>
      <c r="C3286" s="1" t="n">
        <v>45662</v>
      </c>
      <c r="D3286" t="inlineStr">
        <is>
          <t>NORRBOTTENS LÄN</t>
        </is>
      </c>
      <c r="E3286" t="inlineStr">
        <is>
          <t>ÖVERTORNEÅ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48746-2021</t>
        </is>
      </c>
      <c r="B3287" s="1" t="n">
        <v>44452</v>
      </c>
      <c r="C3287" s="1" t="n">
        <v>45662</v>
      </c>
      <c r="D3287" t="inlineStr">
        <is>
          <t>NORRBOTTENS LÄN</t>
        </is>
      </c>
      <c r="E3287" t="inlineStr">
        <is>
          <t>ÖVERTORNEÅ</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48870-2021</t>
        </is>
      </c>
      <c r="B3288" s="1" t="n">
        <v>44452</v>
      </c>
      <c r="C3288" s="1" t="n">
        <v>45662</v>
      </c>
      <c r="D3288" t="inlineStr">
        <is>
          <t>NORRBOTTENS LÄN</t>
        </is>
      </c>
      <c r="E3288" t="inlineStr">
        <is>
          <t>ARVIDSJAUR</t>
        </is>
      </c>
      <c r="F3288" t="inlineStr">
        <is>
          <t>SCA</t>
        </is>
      </c>
      <c r="G3288" t="n">
        <v>22.6</v>
      </c>
      <c r="H3288" t="n">
        <v>0</v>
      </c>
      <c r="I3288" t="n">
        <v>0</v>
      </c>
      <c r="J3288" t="n">
        <v>0</v>
      </c>
      <c r="K3288" t="n">
        <v>0</v>
      </c>
      <c r="L3288" t="n">
        <v>0</v>
      </c>
      <c r="M3288" t="n">
        <v>0</v>
      </c>
      <c r="N3288" t="n">
        <v>0</v>
      </c>
      <c r="O3288" t="n">
        <v>0</v>
      </c>
      <c r="P3288" t="n">
        <v>0</v>
      </c>
      <c r="Q3288" t="n">
        <v>0</v>
      </c>
      <c r="R3288" s="2" t="inlineStr"/>
    </row>
    <row r="3289" ht="15" customHeight="1">
      <c r="A3289" t="inlineStr">
        <is>
          <t>A 49030-2021</t>
        </is>
      </c>
      <c r="B3289" s="1" t="n">
        <v>44453</v>
      </c>
      <c r="C3289" s="1" t="n">
        <v>45662</v>
      </c>
      <c r="D3289" t="inlineStr">
        <is>
          <t>NORRBOTTENS LÄN</t>
        </is>
      </c>
      <c r="E3289" t="inlineStr">
        <is>
          <t>PITEÅ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49042-2021</t>
        </is>
      </c>
      <c r="B3290" s="1" t="n">
        <v>44453</v>
      </c>
      <c r="C3290" s="1" t="n">
        <v>45662</v>
      </c>
      <c r="D3290" t="inlineStr">
        <is>
          <t>NORRBOTTENS LÄN</t>
        </is>
      </c>
      <c r="E3290" t="inlineStr">
        <is>
          <t>PAJALA</t>
        </is>
      </c>
      <c r="G3290" t="n">
        <v>117.4</v>
      </c>
      <c r="H3290" t="n">
        <v>0</v>
      </c>
      <c r="I3290" t="n">
        <v>0</v>
      </c>
      <c r="J3290" t="n">
        <v>0</v>
      </c>
      <c r="K3290" t="n">
        <v>0</v>
      </c>
      <c r="L3290" t="n">
        <v>0</v>
      </c>
      <c r="M3290" t="n">
        <v>0</v>
      </c>
      <c r="N3290" t="n">
        <v>0</v>
      </c>
      <c r="O3290" t="n">
        <v>0</v>
      </c>
      <c r="P3290" t="n">
        <v>0</v>
      </c>
      <c r="Q3290" t="n">
        <v>0</v>
      </c>
      <c r="R3290" s="2" t="inlineStr"/>
    </row>
    <row r="3291" ht="15" customHeight="1">
      <c r="A3291" t="inlineStr">
        <is>
          <t>A 49483-2021</t>
        </is>
      </c>
      <c r="B3291" s="1" t="n">
        <v>44454</v>
      </c>
      <c r="C3291" s="1" t="n">
        <v>45662</v>
      </c>
      <c r="D3291" t="inlineStr">
        <is>
          <t>NORRBOTTENS LÄN</t>
        </is>
      </c>
      <c r="E3291" t="inlineStr">
        <is>
          <t>JOKKMOKK</t>
        </is>
      </c>
      <c r="F3291" t="inlineStr">
        <is>
          <t>SCA</t>
        </is>
      </c>
      <c r="G3291" t="n">
        <v>24.2</v>
      </c>
      <c r="H3291" t="n">
        <v>0</v>
      </c>
      <c r="I3291" t="n">
        <v>0</v>
      </c>
      <c r="J3291" t="n">
        <v>0</v>
      </c>
      <c r="K3291" t="n">
        <v>0</v>
      </c>
      <c r="L3291" t="n">
        <v>0</v>
      </c>
      <c r="M3291" t="n">
        <v>0</v>
      </c>
      <c r="N3291" t="n">
        <v>0</v>
      </c>
      <c r="O3291" t="n">
        <v>0</v>
      </c>
      <c r="P3291" t="n">
        <v>0</v>
      </c>
      <c r="Q3291" t="n">
        <v>0</v>
      </c>
      <c r="R3291" s="2" t="inlineStr"/>
    </row>
    <row r="3292" ht="15" customHeight="1">
      <c r="A3292" t="inlineStr">
        <is>
          <t>A 49482-2021</t>
        </is>
      </c>
      <c r="B3292" s="1" t="n">
        <v>44454</v>
      </c>
      <c r="C3292" s="1" t="n">
        <v>45662</v>
      </c>
      <c r="D3292" t="inlineStr">
        <is>
          <t>NORRBOTTENS LÄN</t>
        </is>
      </c>
      <c r="E3292" t="inlineStr">
        <is>
          <t>JOKKMOKK</t>
        </is>
      </c>
      <c r="F3292" t="inlineStr">
        <is>
          <t>SCA</t>
        </is>
      </c>
      <c r="G3292" t="n">
        <v>20.4</v>
      </c>
      <c r="H3292" t="n">
        <v>0</v>
      </c>
      <c r="I3292" t="n">
        <v>0</v>
      </c>
      <c r="J3292" t="n">
        <v>0</v>
      </c>
      <c r="K3292" t="n">
        <v>0</v>
      </c>
      <c r="L3292" t="n">
        <v>0</v>
      </c>
      <c r="M3292" t="n">
        <v>0</v>
      </c>
      <c r="N3292" t="n">
        <v>0</v>
      </c>
      <c r="O3292" t="n">
        <v>0</v>
      </c>
      <c r="P3292" t="n">
        <v>0</v>
      </c>
      <c r="Q3292" t="n">
        <v>0</v>
      </c>
      <c r="R3292" s="2" t="inlineStr"/>
    </row>
    <row r="3293" ht="15" customHeight="1">
      <c r="A3293" t="inlineStr">
        <is>
          <t>A 50015-2021</t>
        </is>
      </c>
      <c r="B3293" s="1" t="n">
        <v>44454</v>
      </c>
      <c r="C3293" s="1" t="n">
        <v>45662</v>
      </c>
      <c r="D3293" t="inlineStr">
        <is>
          <t>NORRBOTTENS LÄN</t>
        </is>
      </c>
      <c r="E3293" t="inlineStr">
        <is>
          <t>PITEÅ</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50031-2021</t>
        </is>
      </c>
      <c r="B3294" s="1" t="n">
        <v>44454</v>
      </c>
      <c r="C3294" s="1" t="n">
        <v>45662</v>
      </c>
      <c r="D3294" t="inlineStr">
        <is>
          <t>NORRBOTTENS LÄN</t>
        </is>
      </c>
      <c r="E3294" t="inlineStr">
        <is>
          <t>PITEÅ</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50304-2021</t>
        </is>
      </c>
      <c r="B3295" s="1" t="n">
        <v>44455</v>
      </c>
      <c r="C3295" s="1" t="n">
        <v>45662</v>
      </c>
      <c r="D3295" t="inlineStr">
        <is>
          <t>NORRBOTTENS LÄN</t>
        </is>
      </c>
      <c r="E3295" t="inlineStr">
        <is>
          <t>PAJALA</t>
        </is>
      </c>
      <c r="G3295" t="n">
        <v>21.7</v>
      </c>
      <c r="H3295" t="n">
        <v>0</v>
      </c>
      <c r="I3295" t="n">
        <v>0</v>
      </c>
      <c r="J3295" t="n">
        <v>0</v>
      </c>
      <c r="K3295" t="n">
        <v>0</v>
      </c>
      <c r="L3295" t="n">
        <v>0</v>
      </c>
      <c r="M3295" t="n">
        <v>0</v>
      </c>
      <c r="N3295" t="n">
        <v>0</v>
      </c>
      <c r="O3295" t="n">
        <v>0</v>
      </c>
      <c r="P3295" t="n">
        <v>0</v>
      </c>
      <c r="Q3295" t="n">
        <v>0</v>
      </c>
      <c r="R3295" s="2" t="inlineStr"/>
    </row>
    <row r="3296" ht="15" customHeight="1">
      <c r="A3296" t="inlineStr">
        <is>
          <t>A 49773-2021</t>
        </is>
      </c>
      <c r="B3296" s="1" t="n">
        <v>44455</v>
      </c>
      <c r="C3296" s="1" t="n">
        <v>45662</v>
      </c>
      <c r="D3296" t="inlineStr">
        <is>
          <t>NORRBOTTENS LÄN</t>
        </is>
      </c>
      <c r="E3296" t="inlineStr">
        <is>
          <t>ÄLVSBYN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49823-2021</t>
        </is>
      </c>
      <c r="B3297" s="1" t="n">
        <v>44455</v>
      </c>
      <c r="C3297" s="1" t="n">
        <v>45662</v>
      </c>
      <c r="D3297" t="inlineStr">
        <is>
          <t>NORRBOTTENS LÄN</t>
        </is>
      </c>
      <c r="E3297" t="inlineStr">
        <is>
          <t>BODEN</t>
        </is>
      </c>
      <c r="F3297" t="inlineStr">
        <is>
          <t>Sveaskog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49761-2021</t>
        </is>
      </c>
      <c r="B3298" s="1" t="n">
        <v>44455</v>
      </c>
      <c r="C3298" s="1" t="n">
        <v>45662</v>
      </c>
      <c r="D3298" t="inlineStr">
        <is>
          <t>NORRBOTTENS LÄN</t>
        </is>
      </c>
      <c r="E3298" t="inlineStr">
        <is>
          <t>KALIX</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49843-2021</t>
        </is>
      </c>
      <c r="B3299" s="1" t="n">
        <v>44455</v>
      </c>
      <c r="C3299" s="1" t="n">
        <v>45662</v>
      </c>
      <c r="D3299" t="inlineStr">
        <is>
          <t>NORRBOTTENS LÄN</t>
        </is>
      </c>
      <c r="E3299" t="inlineStr">
        <is>
          <t>ÄLVSBYN</t>
        </is>
      </c>
      <c r="F3299" t="inlineStr">
        <is>
          <t>Sveaskog</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49961-2021</t>
        </is>
      </c>
      <c r="B3300" s="1" t="n">
        <v>44456</v>
      </c>
      <c r="C3300" s="1" t="n">
        <v>45662</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49979-2021</t>
        </is>
      </c>
      <c r="B3301" s="1" t="n">
        <v>44456</v>
      </c>
      <c r="C3301" s="1" t="n">
        <v>45662</v>
      </c>
      <c r="D3301" t="inlineStr">
        <is>
          <t>NORRBOTTENS LÄN</t>
        </is>
      </c>
      <c r="E3301" t="inlineStr">
        <is>
          <t>ARVIDSJAUR</t>
        </is>
      </c>
      <c r="F3301" t="inlineStr">
        <is>
          <t>Sveaskog</t>
        </is>
      </c>
      <c r="G3301" t="n">
        <v>13.8</v>
      </c>
      <c r="H3301" t="n">
        <v>0</v>
      </c>
      <c r="I3301" t="n">
        <v>0</v>
      </c>
      <c r="J3301" t="n">
        <v>0</v>
      </c>
      <c r="K3301" t="n">
        <v>0</v>
      </c>
      <c r="L3301" t="n">
        <v>0</v>
      </c>
      <c r="M3301" t="n">
        <v>0</v>
      </c>
      <c r="N3301" t="n">
        <v>0</v>
      </c>
      <c r="O3301" t="n">
        <v>0</v>
      </c>
      <c r="P3301" t="n">
        <v>0</v>
      </c>
      <c r="Q3301" t="n">
        <v>0</v>
      </c>
      <c r="R3301" s="2" t="inlineStr"/>
    </row>
    <row r="3302" ht="15" customHeight="1">
      <c r="A3302" t="inlineStr">
        <is>
          <t>A 49949-2021</t>
        </is>
      </c>
      <c r="B3302" s="1" t="n">
        <v>44456</v>
      </c>
      <c r="C3302" s="1" t="n">
        <v>45662</v>
      </c>
      <c r="D3302" t="inlineStr">
        <is>
          <t>NORRBOTTENS LÄN</t>
        </is>
      </c>
      <c r="E3302" t="inlineStr">
        <is>
          <t>KALIX</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49959-2021</t>
        </is>
      </c>
      <c r="B3303" s="1" t="n">
        <v>44456</v>
      </c>
      <c r="C3303" s="1" t="n">
        <v>45662</v>
      </c>
      <c r="D3303" t="inlineStr">
        <is>
          <t>NORRBOTTENS LÄN</t>
        </is>
      </c>
      <c r="E3303" t="inlineStr">
        <is>
          <t>HAPARANDA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50087-2021</t>
        </is>
      </c>
      <c r="B3304" s="1" t="n">
        <v>44456</v>
      </c>
      <c r="C3304" s="1" t="n">
        <v>45662</v>
      </c>
      <c r="D3304" t="inlineStr">
        <is>
          <t>NORRBOTTENS LÄN</t>
        </is>
      </c>
      <c r="E3304" t="inlineStr">
        <is>
          <t>LULEÅ</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50316-2021</t>
        </is>
      </c>
      <c r="B3305" s="1" t="n">
        <v>44459</v>
      </c>
      <c r="C3305" s="1" t="n">
        <v>45662</v>
      </c>
      <c r="D3305" t="inlineStr">
        <is>
          <t>NORRBOTTENS LÄN</t>
        </is>
      </c>
      <c r="E3305" t="inlineStr">
        <is>
          <t>PITEÅ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50362-2021</t>
        </is>
      </c>
      <c r="B3306" s="1" t="n">
        <v>44459</v>
      </c>
      <c r="C3306" s="1" t="n">
        <v>45662</v>
      </c>
      <c r="D3306" t="inlineStr">
        <is>
          <t>NORRBOTTENS LÄN</t>
        </is>
      </c>
      <c r="E3306" t="inlineStr">
        <is>
          <t>KALIX</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50468-2021</t>
        </is>
      </c>
      <c r="B3307" s="1" t="n">
        <v>44459</v>
      </c>
      <c r="C3307" s="1" t="n">
        <v>45662</v>
      </c>
      <c r="D3307" t="inlineStr">
        <is>
          <t>NORRBOTTENS LÄN</t>
        </is>
      </c>
      <c r="E3307" t="inlineStr">
        <is>
          <t>LULEÅ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50537-2021</t>
        </is>
      </c>
      <c r="B3308" s="1" t="n">
        <v>44459</v>
      </c>
      <c r="C3308" s="1" t="n">
        <v>45662</v>
      </c>
      <c r="D3308" t="inlineStr">
        <is>
          <t>NORRBOTTENS LÄN</t>
        </is>
      </c>
      <c r="E3308" t="inlineStr">
        <is>
          <t>PAJALA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50861-2021</t>
        </is>
      </c>
      <c r="B3309" s="1" t="n">
        <v>44459</v>
      </c>
      <c r="C3309" s="1" t="n">
        <v>45662</v>
      </c>
      <c r="D3309" t="inlineStr">
        <is>
          <t>NORRBOTTENS LÄN</t>
        </is>
      </c>
      <c r="E3309" t="inlineStr">
        <is>
          <t>PAJALA</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50632-2021</t>
        </is>
      </c>
      <c r="B3310" s="1" t="n">
        <v>44459</v>
      </c>
      <c r="C3310" s="1" t="n">
        <v>45662</v>
      </c>
      <c r="D3310" t="inlineStr">
        <is>
          <t>NORRBOTTENS LÄN</t>
        </is>
      </c>
      <c r="E3310" t="inlineStr">
        <is>
          <t>LULEÅ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50917-2021</t>
        </is>
      </c>
      <c r="B3311" s="1" t="n">
        <v>44460</v>
      </c>
      <c r="C3311" s="1" t="n">
        <v>45662</v>
      </c>
      <c r="D3311" t="inlineStr">
        <is>
          <t>NORRBOTTENS LÄN</t>
        </is>
      </c>
      <c r="E3311" t="inlineStr">
        <is>
          <t>ÄLVSBYN</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50719-2021</t>
        </is>
      </c>
      <c r="B3312" s="1" t="n">
        <v>44460</v>
      </c>
      <c r="C3312" s="1" t="n">
        <v>45662</v>
      </c>
      <c r="D3312" t="inlineStr">
        <is>
          <t>NORRBOTTENS LÄN</t>
        </is>
      </c>
      <c r="E3312" t="inlineStr">
        <is>
          <t>HAPARANDA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50746-2021</t>
        </is>
      </c>
      <c r="B3313" s="1" t="n">
        <v>44460</v>
      </c>
      <c r="C3313" s="1" t="n">
        <v>45662</v>
      </c>
      <c r="D3313" t="inlineStr">
        <is>
          <t>NORRBOTTENS LÄN</t>
        </is>
      </c>
      <c r="E3313" t="inlineStr">
        <is>
          <t>ÄLVSBYN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51022-2021</t>
        </is>
      </c>
      <c r="B3314" s="1" t="n">
        <v>44460</v>
      </c>
      <c r="C3314" s="1" t="n">
        <v>45662</v>
      </c>
      <c r="D3314" t="inlineStr">
        <is>
          <t>NORRBOTTENS LÄN</t>
        </is>
      </c>
      <c r="E3314" t="inlineStr">
        <is>
          <t>ÖVERKALIX</t>
        </is>
      </c>
      <c r="F3314" t="inlineStr">
        <is>
          <t>SCA</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50924-2021</t>
        </is>
      </c>
      <c r="B3315" s="1" t="n">
        <v>44460</v>
      </c>
      <c r="C3315" s="1" t="n">
        <v>45662</v>
      </c>
      <c r="D3315" t="inlineStr">
        <is>
          <t>NORRBOTTENS LÄN</t>
        </is>
      </c>
      <c r="E3315" t="inlineStr">
        <is>
          <t>ÄLVSBYN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50744-2021</t>
        </is>
      </c>
      <c r="B3316" s="1" t="n">
        <v>44460</v>
      </c>
      <c r="C3316" s="1" t="n">
        <v>45662</v>
      </c>
      <c r="D3316" t="inlineStr">
        <is>
          <t>NORRBOTTENS LÄN</t>
        </is>
      </c>
      <c r="E3316" t="inlineStr">
        <is>
          <t>ÄLVSBYN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51182-2021</t>
        </is>
      </c>
      <c r="B3317" s="1" t="n">
        <v>44461</v>
      </c>
      <c r="C3317" s="1" t="n">
        <v>45662</v>
      </c>
      <c r="D3317" t="inlineStr">
        <is>
          <t>NORRBOTTENS LÄN</t>
        </is>
      </c>
      <c r="E3317" t="inlineStr">
        <is>
          <t>KALIX</t>
        </is>
      </c>
      <c r="G3317" t="n">
        <v>23.1</v>
      </c>
      <c r="H3317" t="n">
        <v>0</v>
      </c>
      <c r="I3317" t="n">
        <v>0</v>
      </c>
      <c r="J3317" t="n">
        <v>0</v>
      </c>
      <c r="K3317" t="n">
        <v>0</v>
      </c>
      <c r="L3317" t="n">
        <v>0</v>
      </c>
      <c r="M3317" t="n">
        <v>0</v>
      </c>
      <c r="N3317" t="n">
        <v>0</v>
      </c>
      <c r="O3317" t="n">
        <v>0</v>
      </c>
      <c r="P3317" t="n">
        <v>0</v>
      </c>
      <c r="Q3317" t="n">
        <v>0</v>
      </c>
      <c r="R3317" s="2" t="inlineStr"/>
    </row>
    <row r="3318" ht="15" customHeight="1">
      <c r="A3318" t="inlineStr">
        <is>
          <t>A 51141-2021</t>
        </is>
      </c>
      <c r="B3318" s="1" t="n">
        <v>44461</v>
      </c>
      <c r="C3318" s="1" t="n">
        <v>45662</v>
      </c>
      <c r="D3318" t="inlineStr">
        <is>
          <t>NORRBOTTENS LÄN</t>
        </is>
      </c>
      <c r="E3318" t="inlineStr">
        <is>
          <t>KALIX</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51328-2021</t>
        </is>
      </c>
      <c r="B3319" s="1" t="n">
        <v>44461</v>
      </c>
      <c r="C3319" s="1" t="n">
        <v>45662</v>
      </c>
      <c r="D3319" t="inlineStr">
        <is>
          <t>NORRBOTTENS LÄN</t>
        </is>
      </c>
      <c r="E3319" t="inlineStr">
        <is>
          <t>BODEN</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51540-2021</t>
        </is>
      </c>
      <c r="B3320" s="1" t="n">
        <v>44462</v>
      </c>
      <c r="C3320" s="1" t="n">
        <v>45662</v>
      </c>
      <c r="D3320" t="inlineStr">
        <is>
          <t>NORRBOTTENS LÄN</t>
        </is>
      </c>
      <c r="E3320" t="inlineStr">
        <is>
          <t>ÄLVSBYN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51829-2021</t>
        </is>
      </c>
      <c r="B3321" s="1" t="n">
        <v>44462</v>
      </c>
      <c r="C3321" s="1" t="n">
        <v>45662</v>
      </c>
      <c r="D3321" t="inlineStr">
        <is>
          <t>NORRBOTTENS LÄN</t>
        </is>
      </c>
      <c r="E3321" t="inlineStr">
        <is>
          <t>ÄLVSBYN</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51825-2021</t>
        </is>
      </c>
      <c r="B3322" s="1" t="n">
        <v>44462</v>
      </c>
      <c r="C3322" s="1" t="n">
        <v>45662</v>
      </c>
      <c r="D3322" t="inlineStr">
        <is>
          <t>NORRBOTTENS LÄN</t>
        </is>
      </c>
      <c r="E3322" t="inlineStr">
        <is>
          <t>ÄLVSBYN</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51902-2021</t>
        </is>
      </c>
      <c r="B3323" s="1" t="n">
        <v>44463</v>
      </c>
      <c r="C3323" s="1" t="n">
        <v>45662</v>
      </c>
      <c r="D3323" t="inlineStr">
        <is>
          <t>NORRBOTTENS LÄN</t>
        </is>
      </c>
      <c r="E3323" t="inlineStr">
        <is>
          <t>BODEN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51925-2021</t>
        </is>
      </c>
      <c r="B3324" s="1" t="n">
        <v>44462</v>
      </c>
      <c r="C3324" s="1" t="n">
        <v>45662</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51912-2021</t>
        </is>
      </c>
      <c r="B3325" s="1" t="n">
        <v>44462</v>
      </c>
      <c r="C3325" s="1" t="n">
        <v>45662</v>
      </c>
      <c r="D3325" t="inlineStr">
        <is>
          <t>NORRBOTTENS LÄN</t>
        </is>
      </c>
      <c r="E3325" t="inlineStr">
        <is>
          <t>ÄLVSBYN</t>
        </is>
      </c>
      <c r="G3325" t="n">
        <v>26.5</v>
      </c>
      <c r="H3325" t="n">
        <v>0</v>
      </c>
      <c r="I3325" t="n">
        <v>0</v>
      </c>
      <c r="J3325" t="n">
        <v>0</v>
      </c>
      <c r="K3325" t="n">
        <v>0</v>
      </c>
      <c r="L3325" t="n">
        <v>0</v>
      </c>
      <c r="M3325" t="n">
        <v>0</v>
      </c>
      <c r="N3325" t="n">
        <v>0</v>
      </c>
      <c r="O3325" t="n">
        <v>0</v>
      </c>
      <c r="P3325" t="n">
        <v>0</v>
      </c>
      <c r="Q3325" t="n">
        <v>0</v>
      </c>
      <c r="R3325" s="2" t="inlineStr"/>
    </row>
    <row r="3326" ht="15" customHeight="1">
      <c r="A3326" t="inlineStr">
        <is>
          <t>A 52147-2021</t>
        </is>
      </c>
      <c r="B3326" s="1" t="n">
        <v>44462</v>
      </c>
      <c r="C3326" s="1" t="n">
        <v>45662</v>
      </c>
      <c r="D3326" t="inlineStr">
        <is>
          <t>NORRBOTTENS LÄN</t>
        </is>
      </c>
      <c r="E3326" t="inlineStr">
        <is>
          <t>PAJALA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52280-2021</t>
        </is>
      </c>
      <c r="B3327" s="1" t="n">
        <v>44462</v>
      </c>
      <c r="C3327" s="1" t="n">
        <v>45662</v>
      </c>
      <c r="D3327" t="inlineStr">
        <is>
          <t>NORRBOTTENS LÄN</t>
        </is>
      </c>
      <c r="E3327" t="inlineStr">
        <is>
          <t>JOKKMOKK</t>
        </is>
      </c>
      <c r="F3327" t="inlineStr">
        <is>
          <t>Övriga statliga verk och myndigheter</t>
        </is>
      </c>
      <c r="G3327" t="n">
        <v>25.9</v>
      </c>
      <c r="H3327" t="n">
        <v>0</v>
      </c>
      <c r="I3327" t="n">
        <v>0</v>
      </c>
      <c r="J3327" t="n">
        <v>0</v>
      </c>
      <c r="K3327" t="n">
        <v>0</v>
      </c>
      <c r="L3327" t="n">
        <v>0</v>
      </c>
      <c r="M3327" t="n">
        <v>0</v>
      </c>
      <c r="N3327" t="n">
        <v>0</v>
      </c>
      <c r="O3327" t="n">
        <v>0</v>
      </c>
      <c r="P3327" t="n">
        <v>0</v>
      </c>
      <c r="Q3327" t="n">
        <v>0</v>
      </c>
      <c r="R3327" s="2" t="inlineStr"/>
    </row>
    <row r="3328" ht="15" customHeight="1">
      <c r="A3328" t="inlineStr">
        <is>
          <t>A 51963-2021</t>
        </is>
      </c>
      <c r="B3328" s="1" t="n">
        <v>44463</v>
      </c>
      <c r="C3328" s="1" t="n">
        <v>45662</v>
      </c>
      <c r="D3328" t="inlineStr">
        <is>
          <t>NORRBOTTENS LÄN</t>
        </is>
      </c>
      <c r="E3328" t="inlineStr">
        <is>
          <t>BODEN</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51993-2021</t>
        </is>
      </c>
      <c r="B3329" s="1" t="n">
        <v>44463</v>
      </c>
      <c r="C3329" s="1" t="n">
        <v>45662</v>
      </c>
      <c r="D3329" t="inlineStr">
        <is>
          <t>NORRBOTTENS LÄN</t>
        </is>
      </c>
      <c r="E3329" t="inlineStr">
        <is>
          <t>ÄLVSBYN</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52003-2021</t>
        </is>
      </c>
      <c r="B3330" s="1" t="n">
        <v>44463</v>
      </c>
      <c r="C3330" s="1" t="n">
        <v>45662</v>
      </c>
      <c r="D3330" t="inlineStr">
        <is>
          <t>NORRBOTTENS LÄN</t>
        </is>
      </c>
      <c r="E3330" t="inlineStr">
        <is>
          <t>PITEÅ</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52075-2021</t>
        </is>
      </c>
      <c r="B3331" s="1" t="n">
        <v>44463</v>
      </c>
      <c r="C3331" s="1" t="n">
        <v>45662</v>
      </c>
      <c r="D3331" t="inlineStr">
        <is>
          <t>NORRBOTTENS LÄN</t>
        </is>
      </c>
      <c r="E3331" t="inlineStr">
        <is>
          <t>BODEN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51998-2021</t>
        </is>
      </c>
      <c r="B3332" s="1" t="n">
        <v>44463</v>
      </c>
      <c r="C3332" s="1" t="n">
        <v>45662</v>
      </c>
      <c r="D3332" t="inlineStr">
        <is>
          <t>NORRBOTTENS LÄN</t>
        </is>
      </c>
      <c r="E3332" t="inlineStr">
        <is>
          <t>ÄLVSBYN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51973-2021</t>
        </is>
      </c>
      <c r="B3333" s="1" t="n">
        <v>44463</v>
      </c>
      <c r="C3333" s="1" t="n">
        <v>45662</v>
      </c>
      <c r="D3333" t="inlineStr">
        <is>
          <t>NORRBOTTENS LÄN</t>
        </is>
      </c>
      <c r="E3333" t="inlineStr">
        <is>
          <t>BODEN</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52000-2021</t>
        </is>
      </c>
      <c r="B3334" s="1" t="n">
        <v>44463</v>
      </c>
      <c r="C3334" s="1" t="n">
        <v>45662</v>
      </c>
      <c r="D3334" t="inlineStr">
        <is>
          <t>NORRBOTTENS LÄN</t>
        </is>
      </c>
      <c r="E3334" t="inlineStr">
        <is>
          <t>HAPARANDA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52001-2021</t>
        </is>
      </c>
      <c r="B3335" s="1" t="n">
        <v>44463</v>
      </c>
      <c r="C3335" s="1" t="n">
        <v>45662</v>
      </c>
      <c r="D3335" t="inlineStr">
        <is>
          <t>NORRBOTTENS LÄN</t>
        </is>
      </c>
      <c r="E3335" t="inlineStr">
        <is>
          <t>PITEÅ</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52109-2021</t>
        </is>
      </c>
      <c r="B3336" s="1" t="n">
        <v>44463</v>
      </c>
      <c r="C3336" s="1" t="n">
        <v>45662</v>
      </c>
      <c r="D3336" t="inlineStr">
        <is>
          <t>NORRBOTTENS LÄN</t>
        </is>
      </c>
      <c r="E3336" t="inlineStr">
        <is>
          <t>ARVIDSJAUR</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52288-2021</t>
        </is>
      </c>
      <c r="B3337" s="1" t="n">
        <v>44463</v>
      </c>
      <c r="C3337" s="1" t="n">
        <v>45662</v>
      </c>
      <c r="D3337" t="inlineStr">
        <is>
          <t>NORRBOTTENS LÄN</t>
        </is>
      </c>
      <c r="E3337" t="inlineStr">
        <is>
          <t>ÖVERTORNEÅ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52181-2021</t>
        </is>
      </c>
      <c r="B3338" s="1" t="n">
        <v>44463</v>
      </c>
      <c r="C3338" s="1" t="n">
        <v>45662</v>
      </c>
      <c r="D3338" t="inlineStr">
        <is>
          <t>NORRBOTTENS LÄN</t>
        </is>
      </c>
      <c r="E3338" t="inlineStr">
        <is>
          <t>GÄLLIVARE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52253-2021</t>
        </is>
      </c>
      <c r="B3339" s="1" t="n">
        <v>44463</v>
      </c>
      <c r="C3339" s="1" t="n">
        <v>45662</v>
      </c>
      <c r="D3339" t="inlineStr">
        <is>
          <t>NORRBOTTENS LÄN</t>
        </is>
      </c>
      <c r="E3339" t="inlineStr">
        <is>
          <t>ÄLVSBYN</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52407-2021</t>
        </is>
      </c>
      <c r="B3340" s="1" t="n">
        <v>44463</v>
      </c>
      <c r="C3340" s="1" t="n">
        <v>45662</v>
      </c>
      <c r="D3340" t="inlineStr">
        <is>
          <t>NORRBOTTENS LÄN</t>
        </is>
      </c>
      <c r="E3340" t="inlineStr">
        <is>
          <t>ARVIDSJAUR</t>
        </is>
      </c>
      <c r="G3340" t="n">
        <v>10.3</v>
      </c>
      <c r="H3340" t="n">
        <v>0</v>
      </c>
      <c r="I3340" t="n">
        <v>0</v>
      </c>
      <c r="J3340" t="n">
        <v>0</v>
      </c>
      <c r="K3340" t="n">
        <v>0</v>
      </c>
      <c r="L3340" t="n">
        <v>0</v>
      </c>
      <c r="M3340" t="n">
        <v>0</v>
      </c>
      <c r="N3340" t="n">
        <v>0</v>
      </c>
      <c r="O3340" t="n">
        <v>0</v>
      </c>
      <c r="P3340" t="n">
        <v>0</v>
      </c>
      <c r="Q3340" t="n">
        <v>0</v>
      </c>
      <c r="R3340" s="2" t="inlineStr"/>
    </row>
    <row r="3341" ht="15" customHeight="1">
      <c r="A3341" t="inlineStr">
        <is>
          <t>A 52436-2021</t>
        </is>
      </c>
      <c r="B3341" s="1" t="n">
        <v>44463</v>
      </c>
      <c r="C3341" s="1" t="n">
        <v>45662</v>
      </c>
      <c r="D3341" t="inlineStr">
        <is>
          <t>NORRBOTTENS LÄN</t>
        </is>
      </c>
      <c r="E3341" t="inlineStr">
        <is>
          <t>LULEÅ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52411-2021</t>
        </is>
      </c>
      <c r="B3342" s="1" t="n">
        <v>44463</v>
      </c>
      <c r="C3342" s="1" t="n">
        <v>45662</v>
      </c>
      <c r="D3342" t="inlineStr">
        <is>
          <t>NORRBOTTENS LÄN</t>
        </is>
      </c>
      <c r="E3342" t="inlineStr">
        <is>
          <t>ARVIDSJAUR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52444-2021</t>
        </is>
      </c>
      <c r="B3343" s="1" t="n">
        <v>44463</v>
      </c>
      <c r="C3343" s="1" t="n">
        <v>45662</v>
      </c>
      <c r="D3343" t="inlineStr">
        <is>
          <t>NORRBOTTENS LÄN</t>
        </is>
      </c>
      <c r="E3343" t="inlineStr">
        <is>
          <t>LULEÅ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52422-2021</t>
        </is>
      </c>
      <c r="B3344" s="1" t="n">
        <v>44463</v>
      </c>
      <c r="C3344" s="1" t="n">
        <v>45662</v>
      </c>
      <c r="D3344" t="inlineStr">
        <is>
          <t>NORRBOTTENS LÄN</t>
        </is>
      </c>
      <c r="E3344" t="inlineStr">
        <is>
          <t>PITEÅ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52337-2021</t>
        </is>
      </c>
      <c r="B3345" s="1" t="n">
        <v>44464</v>
      </c>
      <c r="C3345" s="1" t="n">
        <v>45662</v>
      </c>
      <c r="D3345" t="inlineStr">
        <is>
          <t>NORRBOTTENS LÄN</t>
        </is>
      </c>
      <c r="E3345" t="inlineStr">
        <is>
          <t>PAJALA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52345-2021</t>
        </is>
      </c>
      <c r="B3346" s="1" t="n">
        <v>44464</v>
      </c>
      <c r="C3346" s="1" t="n">
        <v>45662</v>
      </c>
      <c r="D3346" t="inlineStr">
        <is>
          <t>NORRBOTTENS LÄN</t>
        </is>
      </c>
      <c r="E3346" t="inlineStr">
        <is>
          <t>BODEN</t>
        </is>
      </c>
      <c r="G3346" t="n">
        <v>11.7</v>
      </c>
      <c r="H3346" t="n">
        <v>0</v>
      </c>
      <c r="I3346" t="n">
        <v>0</v>
      </c>
      <c r="J3346" t="n">
        <v>0</v>
      </c>
      <c r="K3346" t="n">
        <v>0</v>
      </c>
      <c r="L3346" t="n">
        <v>0</v>
      </c>
      <c r="M3346" t="n">
        <v>0</v>
      </c>
      <c r="N3346" t="n">
        <v>0</v>
      </c>
      <c r="O3346" t="n">
        <v>0</v>
      </c>
      <c r="P3346" t="n">
        <v>0</v>
      </c>
      <c r="Q3346" t="n">
        <v>0</v>
      </c>
      <c r="R3346" s="2" t="inlineStr"/>
    </row>
    <row r="3347" ht="15" customHeight="1">
      <c r="A3347" t="inlineStr">
        <is>
          <t>A 52338-2021</t>
        </is>
      </c>
      <c r="B3347" s="1" t="n">
        <v>44464</v>
      </c>
      <c r="C3347" s="1" t="n">
        <v>45662</v>
      </c>
      <c r="D3347" t="inlineStr">
        <is>
          <t>NORRBOTTENS LÄN</t>
        </is>
      </c>
      <c r="E3347" t="inlineStr">
        <is>
          <t>PAJALA</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52391-2021</t>
        </is>
      </c>
      <c r="B3348" s="1" t="n">
        <v>44466</v>
      </c>
      <c r="C3348" s="1" t="n">
        <v>45662</v>
      </c>
      <c r="D3348" t="inlineStr">
        <is>
          <t>NORRBOTTENS LÄN</t>
        </is>
      </c>
      <c r="E3348" t="inlineStr">
        <is>
          <t>HAPARANDA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52393-2021</t>
        </is>
      </c>
      <c r="B3349" s="1" t="n">
        <v>44466</v>
      </c>
      <c r="C3349" s="1" t="n">
        <v>45662</v>
      </c>
      <c r="D3349" t="inlineStr">
        <is>
          <t>NORRBOTTENS LÄN</t>
        </is>
      </c>
      <c r="E3349" t="inlineStr">
        <is>
          <t>HAPARANDA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52405-2021</t>
        </is>
      </c>
      <c r="B3350" s="1" t="n">
        <v>44466</v>
      </c>
      <c r="C3350" s="1" t="n">
        <v>45662</v>
      </c>
      <c r="D3350" t="inlineStr">
        <is>
          <t>NORRBOTTENS LÄN</t>
        </is>
      </c>
      <c r="E3350" t="inlineStr">
        <is>
          <t>PAJALA</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52716-2021</t>
        </is>
      </c>
      <c r="B3351" s="1" t="n">
        <v>44466</v>
      </c>
      <c r="C3351" s="1" t="n">
        <v>45662</v>
      </c>
      <c r="D3351" t="inlineStr">
        <is>
          <t>NORRBOTTENS LÄN</t>
        </is>
      </c>
      <c r="E3351" t="inlineStr">
        <is>
          <t>ÄLVSBYN</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52869-2021</t>
        </is>
      </c>
      <c r="B3352" s="1" t="n">
        <v>44466</v>
      </c>
      <c r="C3352" s="1" t="n">
        <v>45662</v>
      </c>
      <c r="D3352" t="inlineStr">
        <is>
          <t>NORRBOTTENS LÄN</t>
        </is>
      </c>
      <c r="E3352" t="inlineStr">
        <is>
          <t>ÖVERKALIX</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52713-2021</t>
        </is>
      </c>
      <c r="B3353" s="1" t="n">
        <v>44467</v>
      </c>
      <c r="C3353" s="1" t="n">
        <v>45662</v>
      </c>
      <c r="D3353" t="inlineStr">
        <is>
          <t>NORRBOTTENS LÄN</t>
        </is>
      </c>
      <c r="E3353" t="inlineStr">
        <is>
          <t>ÖVERKALIX</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53322-2021</t>
        </is>
      </c>
      <c r="B3354" s="1" t="n">
        <v>44466</v>
      </c>
      <c r="C3354" s="1" t="n">
        <v>45662</v>
      </c>
      <c r="D3354" t="inlineStr">
        <is>
          <t>NORRBOTTENS LÄN</t>
        </is>
      </c>
      <c r="E3354" t="inlineStr">
        <is>
          <t>ÖVERKALIX</t>
        </is>
      </c>
      <c r="G3354" t="n">
        <v>19.4</v>
      </c>
      <c r="H3354" t="n">
        <v>0</v>
      </c>
      <c r="I3354" t="n">
        <v>0</v>
      </c>
      <c r="J3354" t="n">
        <v>0</v>
      </c>
      <c r="K3354" t="n">
        <v>0</v>
      </c>
      <c r="L3354" t="n">
        <v>0</v>
      </c>
      <c r="M3354" t="n">
        <v>0</v>
      </c>
      <c r="N3354" t="n">
        <v>0</v>
      </c>
      <c r="O3354" t="n">
        <v>0</v>
      </c>
      <c r="P3354" t="n">
        <v>0</v>
      </c>
      <c r="Q3354" t="n">
        <v>0</v>
      </c>
      <c r="R3354" s="2" t="inlineStr"/>
    </row>
    <row r="3355" ht="15" customHeight="1">
      <c r="A3355" t="inlineStr">
        <is>
          <t>A 53328-2021</t>
        </is>
      </c>
      <c r="B3355" s="1" t="n">
        <v>44466</v>
      </c>
      <c r="C3355" s="1" t="n">
        <v>45662</v>
      </c>
      <c r="D3355" t="inlineStr">
        <is>
          <t>NORRBOTTENS LÄN</t>
        </is>
      </c>
      <c r="E3355" t="inlineStr">
        <is>
          <t>ÖVERKALIX</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52783-2021</t>
        </is>
      </c>
      <c r="B3356" s="1" t="n">
        <v>44467</v>
      </c>
      <c r="C3356" s="1" t="n">
        <v>45662</v>
      </c>
      <c r="D3356" t="inlineStr">
        <is>
          <t>NORRBOTTENS LÄN</t>
        </is>
      </c>
      <c r="E3356" t="inlineStr">
        <is>
          <t>PAJALA</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53005-2021</t>
        </is>
      </c>
      <c r="B3357" s="1" t="n">
        <v>44467</v>
      </c>
      <c r="C3357" s="1" t="n">
        <v>45662</v>
      </c>
      <c r="D3357" t="inlineStr">
        <is>
          <t>NORRBOTTENS LÄN</t>
        </is>
      </c>
      <c r="E3357" t="inlineStr">
        <is>
          <t>BODEN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53331-2021</t>
        </is>
      </c>
      <c r="B3358" s="1" t="n">
        <v>44468</v>
      </c>
      <c r="C3358" s="1" t="n">
        <v>45662</v>
      </c>
      <c r="D3358" t="inlineStr">
        <is>
          <t>NORRBOTTENS LÄN</t>
        </is>
      </c>
      <c r="E3358" t="inlineStr">
        <is>
          <t>PITEÅ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53263-2021</t>
        </is>
      </c>
      <c r="B3359" s="1" t="n">
        <v>44468</v>
      </c>
      <c r="C3359" s="1" t="n">
        <v>45662</v>
      </c>
      <c r="D3359" t="inlineStr">
        <is>
          <t>NORRBOTTENS LÄN</t>
        </is>
      </c>
      <c r="E3359" t="inlineStr">
        <is>
          <t>PITEÅ</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53640-2021</t>
        </is>
      </c>
      <c r="B3360" s="1" t="n">
        <v>44469</v>
      </c>
      <c r="C3360" s="1" t="n">
        <v>45662</v>
      </c>
      <c r="D3360" t="inlineStr">
        <is>
          <t>NORRBOTTENS LÄN</t>
        </is>
      </c>
      <c r="E3360" t="inlineStr">
        <is>
          <t>KALIX</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53628-2021</t>
        </is>
      </c>
      <c r="B3361" s="1" t="n">
        <v>44469</v>
      </c>
      <c r="C3361" s="1" t="n">
        <v>45662</v>
      </c>
      <c r="D3361" t="inlineStr">
        <is>
          <t>NORRBOTTENS LÄN</t>
        </is>
      </c>
      <c r="E3361" t="inlineStr">
        <is>
          <t>BODEN</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53630-2021</t>
        </is>
      </c>
      <c r="B3362" s="1" t="n">
        <v>44469</v>
      </c>
      <c r="C3362" s="1" t="n">
        <v>45662</v>
      </c>
      <c r="D3362" t="inlineStr">
        <is>
          <t>NORRBOTTENS LÄN</t>
        </is>
      </c>
      <c r="E3362" t="inlineStr">
        <is>
          <t>BODEN</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53633-2021</t>
        </is>
      </c>
      <c r="B3363" s="1" t="n">
        <v>44469</v>
      </c>
      <c r="C3363" s="1" t="n">
        <v>45662</v>
      </c>
      <c r="D3363" t="inlineStr">
        <is>
          <t>NORRBOTTENS LÄN</t>
        </is>
      </c>
      <c r="E3363" t="inlineStr">
        <is>
          <t>BODEN</t>
        </is>
      </c>
      <c r="F3363" t="inlineStr">
        <is>
          <t>Sveaskog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53849-2021</t>
        </is>
      </c>
      <c r="B3364" s="1" t="n">
        <v>44469</v>
      </c>
      <c r="C3364" s="1" t="n">
        <v>45662</v>
      </c>
      <c r="D3364" t="inlineStr">
        <is>
          <t>NORRBOTTENS LÄN</t>
        </is>
      </c>
      <c r="E3364" t="inlineStr">
        <is>
          <t>ÖVERKALIX</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54109-2021</t>
        </is>
      </c>
      <c r="B3365" s="1" t="n">
        <v>44469</v>
      </c>
      <c r="C3365" s="1" t="n">
        <v>45662</v>
      </c>
      <c r="D3365" t="inlineStr">
        <is>
          <t>NORRBOTTENS LÄN</t>
        </is>
      </c>
      <c r="E3365" t="inlineStr">
        <is>
          <t>KALIX</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54143-2021</t>
        </is>
      </c>
      <c r="B3366" s="1" t="n">
        <v>44469</v>
      </c>
      <c r="C3366" s="1" t="n">
        <v>45662</v>
      </c>
      <c r="D3366" t="inlineStr">
        <is>
          <t>NORRBOTTENS LÄN</t>
        </is>
      </c>
      <c r="E3366" t="inlineStr">
        <is>
          <t>ÖVERKALIX</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54163-2021</t>
        </is>
      </c>
      <c r="B3367" s="1" t="n">
        <v>44470</v>
      </c>
      <c r="C3367" s="1" t="n">
        <v>45662</v>
      </c>
      <c r="D3367" t="inlineStr">
        <is>
          <t>NORRBOTTENS LÄN</t>
        </is>
      </c>
      <c r="E3367" t="inlineStr">
        <is>
          <t>KALIX</t>
        </is>
      </c>
      <c r="F3367" t="inlineStr">
        <is>
          <t>Sveaskog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54284-2021</t>
        </is>
      </c>
      <c r="B3368" s="1" t="n">
        <v>44471</v>
      </c>
      <c r="C3368" s="1" t="n">
        <v>45662</v>
      </c>
      <c r="D3368" t="inlineStr">
        <is>
          <t>NORRBOTTENS LÄN</t>
        </is>
      </c>
      <c r="E3368" t="inlineStr">
        <is>
          <t>PAJALA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54412-2021</t>
        </is>
      </c>
      <c r="B3369" s="1" t="n">
        <v>44473</v>
      </c>
      <c r="C3369" s="1" t="n">
        <v>45662</v>
      </c>
      <c r="D3369" t="inlineStr">
        <is>
          <t>NORRBOTTENS LÄN</t>
        </is>
      </c>
      <c r="E3369" t="inlineStr">
        <is>
          <t>ARVIDSJAUR</t>
        </is>
      </c>
      <c r="F3369" t="inlineStr">
        <is>
          <t>Sveaskog</t>
        </is>
      </c>
      <c r="G3369" t="n">
        <v>14.5</v>
      </c>
      <c r="H3369" t="n">
        <v>0</v>
      </c>
      <c r="I3369" t="n">
        <v>0</v>
      </c>
      <c r="J3369" t="n">
        <v>0</v>
      </c>
      <c r="K3369" t="n">
        <v>0</v>
      </c>
      <c r="L3369" t="n">
        <v>0</v>
      </c>
      <c r="M3369" t="n">
        <v>0</v>
      </c>
      <c r="N3369" t="n">
        <v>0</v>
      </c>
      <c r="O3369" t="n">
        <v>0</v>
      </c>
      <c r="P3369" t="n">
        <v>0</v>
      </c>
      <c r="Q3369" t="n">
        <v>0</v>
      </c>
      <c r="R3369" s="2" t="inlineStr"/>
    </row>
    <row r="3370" ht="15" customHeight="1">
      <c r="A3370" t="inlineStr">
        <is>
          <t>A 54410-2021</t>
        </is>
      </c>
      <c r="B3370" s="1" t="n">
        <v>44473</v>
      </c>
      <c r="C3370" s="1" t="n">
        <v>45662</v>
      </c>
      <c r="D3370" t="inlineStr">
        <is>
          <t>NORRBOTTENS LÄN</t>
        </is>
      </c>
      <c r="E3370" t="inlineStr">
        <is>
          <t>ARVIDSJAUR</t>
        </is>
      </c>
      <c r="F3370" t="inlineStr">
        <is>
          <t>Sveaskog</t>
        </is>
      </c>
      <c r="G3370" t="n">
        <v>29.4</v>
      </c>
      <c r="H3370" t="n">
        <v>0</v>
      </c>
      <c r="I3370" t="n">
        <v>0</v>
      </c>
      <c r="J3370" t="n">
        <v>0</v>
      </c>
      <c r="K3370" t="n">
        <v>0</v>
      </c>
      <c r="L3370" t="n">
        <v>0</v>
      </c>
      <c r="M3370" t="n">
        <v>0</v>
      </c>
      <c r="N3370" t="n">
        <v>0</v>
      </c>
      <c r="O3370" t="n">
        <v>0</v>
      </c>
      <c r="P3370" t="n">
        <v>0</v>
      </c>
      <c r="Q3370" t="n">
        <v>0</v>
      </c>
      <c r="R3370" s="2" t="inlineStr"/>
    </row>
    <row r="3371" ht="15" customHeight="1">
      <c r="A3371" t="inlineStr">
        <is>
          <t>A 54525-2021</t>
        </is>
      </c>
      <c r="B3371" s="1" t="n">
        <v>44473</v>
      </c>
      <c r="C3371" s="1" t="n">
        <v>45662</v>
      </c>
      <c r="D3371" t="inlineStr">
        <is>
          <t>NORRBOTTENS LÄN</t>
        </is>
      </c>
      <c r="E3371" t="inlineStr">
        <is>
          <t>PAJALA</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54589-2021</t>
        </is>
      </c>
      <c r="B3372" s="1" t="n">
        <v>44473</v>
      </c>
      <c r="C3372" s="1" t="n">
        <v>45662</v>
      </c>
      <c r="D3372" t="inlineStr">
        <is>
          <t>NORRBOTTENS LÄN</t>
        </is>
      </c>
      <c r="E3372" t="inlineStr">
        <is>
          <t>ARJEPLOG</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54804-2021</t>
        </is>
      </c>
      <c r="B3373" s="1" t="n">
        <v>44473</v>
      </c>
      <c r="C3373" s="1" t="n">
        <v>45662</v>
      </c>
      <c r="D3373" t="inlineStr">
        <is>
          <t>NORRBOTTENS LÄN</t>
        </is>
      </c>
      <c r="E3373" t="inlineStr">
        <is>
          <t>ÄLVSBYN</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54820-2021</t>
        </is>
      </c>
      <c r="B3374" s="1" t="n">
        <v>44473</v>
      </c>
      <c r="C3374" s="1" t="n">
        <v>45662</v>
      </c>
      <c r="D3374" t="inlineStr">
        <is>
          <t>NORRBOTTENS LÄN</t>
        </is>
      </c>
      <c r="E3374" t="inlineStr">
        <is>
          <t>GÄLLIVARE</t>
        </is>
      </c>
      <c r="F3374" t="inlineStr">
        <is>
          <t>SCA</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54805-2021</t>
        </is>
      </c>
      <c r="B3375" s="1" t="n">
        <v>44474</v>
      </c>
      <c r="C3375" s="1" t="n">
        <v>45662</v>
      </c>
      <c r="D3375" t="inlineStr">
        <is>
          <t>NORRBOTTENS LÄN</t>
        </is>
      </c>
      <c r="E3375" t="inlineStr">
        <is>
          <t>KALIX</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54818-2021</t>
        </is>
      </c>
      <c r="B3376" s="1" t="n">
        <v>44473</v>
      </c>
      <c r="C3376" s="1" t="n">
        <v>45662</v>
      </c>
      <c r="D3376" t="inlineStr">
        <is>
          <t>NORRBOTTENS LÄN</t>
        </is>
      </c>
      <c r="E3376" t="inlineStr">
        <is>
          <t>BODEN</t>
        </is>
      </c>
      <c r="F3376" t="inlineStr">
        <is>
          <t>SCA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54803-2021</t>
        </is>
      </c>
      <c r="B3377" s="1" t="n">
        <v>44474</v>
      </c>
      <c r="C3377" s="1" t="n">
        <v>45662</v>
      </c>
      <c r="D3377" t="inlineStr">
        <is>
          <t>NORRBOTTENS LÄN</t>
        </is>
      </c>
      <c r="E3377" t="inlineStr">
        <is>
          <t>ÄLVSBYN</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54879-2021</t>
        </is>
      </c>
      <c r="B3378" s="1" t="n">
        <v>44473</v>
      </c>
      <c r="C3378" s="1" t="n">
        <v>45662</v>
      </c>
      <c r="D3378" t="inlineStr">
        <is>
          <t>NORRBOTTENS LÄN</t>
        </is>
      </c>
      <c r="E3378" t="inlineStr">
        <is>
          <t>LULEÅ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55024-2021</t>
        </is>
      </c>
      <c r="B3379" s="1" t="n">
        <v>44474</v>
      </c>
      <c r="C3379" s="1" t="n">
        <v>45662</v>
      </c>
      <c r="D3379" t="inlineStr">
        <is>
          <t>NORRBOTTENS LÄN</t>
        </is>
      </c>
      <c r="E3379" t="inlineStr">
        <is>
          <t>BODEN</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55080-2021</t>
        </is>
      </c>
      <c r="B3380" s="1" t="n">
        <v>44474</v>
      </c>
      <c r="C3380" s="1" t="n">
        <v>45662</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55166-2021</t>
        </is>
      </c>
      <c r="B3381" s="1" t="n">
        <v>44474</v>
      </c>
      <c r="C3381" s="1" t="n">
        <v>45662</v>
      </c>
      <c r="D3381" t="inlineStr">
        <is>
          <t>NORRBOTTENS LÄN</t>
        </is>
      </c>
      <c r="E3381" t="inlineStr">
        <is>
          <t>ARVIDSJAUR</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54935-2021</t>
        </is>
      </c>
      <c r="B3382" s="1" t="n">
        <v>44474</v>
      </c>
      <c r="C3382" s="1" t="n">
        <v>45662</v>
      </c>
      <c r="D3382" t="inlineStr">
        <is>
          <t>NORRBOTTENS LÄN</t>
        </is>
      </c>
      <c r="E3382" t="inlineStr">
        <is>
          <t>BODEN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54881-2021</t>
        </is>
      </c>
      <c r="B3383" s="1" t="n">
        <v>44474</v>
      </c>
      <c r="C3383" s="1" t="n">
        <v>45662</v>
      </c>
      <c r="D3383" t="inlineStr">
        <is>
          <t>NORRBOTTENS LÄN</t>
        </is>
      </c>
      <c r="E3383" t="inlineStr">
        <is>
          <t>BODEN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55164-2021</t>
        </is>
      </c>
      <c r="B3384" s="1" t="n">
        <v>44474</v>
      </c>
      <c r="C3384" s="1" t="n">
        <v>45662</v>
      </c>
      <c r="D3384" t="inlineStr">
        <is>
          <t>NORRBOTTENS LÄN</t>
        </is>
      </c>
      <c r="E3384" t="inlineStr">
        <is>
          <t>ARVIDSJAUR</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55165-2021</t>
        </is>
      </c>
      <c r="B3385" s="1" t="n">
        <v>44474</v>
      </c>
      <c r="C3385" s="1" t="n">
        <v>45662</v>
      </c>
      <c r="D3385" t="inlineStr">
        <is>
          <t>NORRBOTTENS LÄN</t>
        </is>
      </c>
      <c r="E3385" t="inlineStr">
        <is>
          <t>ARVIDSJAUR</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55422-2021</t>
        </is>
      </c>
      <c r="B3386" s="1" t="n">
        <v>44475</v>
      </c>
      <c r="C3386" s="1" t="n">
        <v>45662</v>
      </c>
      <c r="D3386" t="inlineStr">
        <is>
          <t>NORRBOTTENS LÄN</t>
        </is>
      </c>
      <c r="E3386" t="inlineStr">
        <is>
          <t>ARJEPLOG</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55634-2021</t>
        </is>
      </c>
      <c r="B3387" s="1" t="n">
        <v>44476</v>
      </c>
      <c r="C3387" s="1" t="n">
        <v>45662</v>
      </c>
      <c r="D3387" t="inlineStr">
        <is>
          <t>NORRBOTTENS LÄN</t>
        </is>
      </c>
      <c r="E3387" t="inlineStr">
        <is>
          <t>KALIX</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55775-2021</t>
        </is>
      </c>
      <c r="B3388" s="1" t="n">
        <v>44476</v>
      </c>
      <c r="C3388" s="1" t="n">
        <v>45662</v>
      </c>
      <c r="D3388" t="inlineStr">
        <is>
          <t>NORRBOTTENS LÄN</t>
        </is>
      </c>
      <c r="E3388" t="inlineStr">
        <is>
          <t>ÄLVSBYN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55722-2021</t>
        </is>
      </c>
      <c r="B3389" s="1" t="n">
        <v>44476</v>
      </c>
      <c r="C3389" s="1" t="n">
        <v>45662</v>
      </c>
      <c r="D3389" t="inlineStr">
        <is>
          <t>NORRBOTTENS LÄN</t>
        </is>
      </c>
      <c r="E3389" t="inlineStr">
        <is>
          <t>PITEÅ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55723-2021</t>
        </is>
      </c>
      <c r="B3390" s="1" t="n">
        <v>44476</v>
      </c>
      <c r="C3390" s="1" t="n">
        <v>45662</v>
      </c>
      <c r="D3390" t="inlineStr">
        <is>
          <t>NORRBOTTENS LÄN</t>
        </is>
      </c>
      <c r="E3390" t="inlineStr">
        <is>
          <t>PAJALA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56057-2021</t>
        </is>
      </c>
      <c r="B3391" s="1" t="n">
        <v>44477</v>
      </c>
      <c r="C3391" s="1" t="n">
        <v>45662</v>
      </c>
      <c r="D3391" t="inlineStr">
        <is>
          <t>NORRBOTTENS LÄN</t>
        </is>
      </c>
      <c r="E3391" t="inlineStr">
        <is>
          <t>LULEÅ</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56066-2021</t>
        </is>
      </c>
      <c r="B3392" s="1" t="n">
        <v>44477</v>
      </c>
      <c r="C3392" s="1" t="n">
        <v>45662</v>
      </c>
      <c r="D3392" t="inlineStr">
        <is>
          <t>NORRBOTTENS LÄN</t>
        </is>
      </c>
      <c r="E3392" t="inlineStr">
        <is>
          <t>LULEÅ</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56076-2021</t>
        </is>
      </c>
      <c r="B3393" s="1" t="n">
        <v>44477</v>
      </c>
      <c r="C3393" s="1" t="n">
        <v>45662</v>
      </c>
      <c r="D3393" t="inlineStr">
        <is>
          <t>NORRBOTTENS LÄN</t>
        </is>
      </c>
      <c r="E3393" t="inlineStr">
        <is>
          <t>ÖVERKALIX</t>
        </is>
      </c>
      <c r="F3393" t="inlineStr">
        <is>
          <t>Sveaskog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56073-2021</t>
        </is>
      </c>
      <c r="B3394" s="1" t="n">
        <v>44477</v>
      </c>
      <c r="C3394" s="1" t="n">
        <v>45662</v>
      </c>
      <c r="D3394" t="inlineStr">
        <is>
          <t>NORRBOTTENS LÄN</t>
        </is>
      </c>
      <c r="E3394" t="inlineStr">
        <is>
          <t>LULEÅ</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56166-2021</t>
        </is>
      </c>
      <c r="B3395" s="1" t="n">
        <v>44477</v>
      </c>
      <c r="C3395" s="1" t="n">
        <v>45662</v>
      </c>
      <c r="D3395" t="inlineStr">
        <is>
          <t>NORRBOTTENS LÄN</t>
        </is>
      </c>
      <c r="E3395" t="inlineStr">
        <is>
          <t>PAJALA</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56199-2021</t>
        </is>
      </c>
      <c r="B3396" s="1" t="n">
        <v>44477</v>
      </c>
      <c r="C3396" s="1" t="n">
        <v>45662</v>
      </c>
      <c r="D3396" t="inlineStr">
        <is>
          <t>NORRBOTTENS LÄN</t>
        </is>
      </c>
      <c r="E3396" t="inlineStr">
        <is>
          <t>JOKKMOKK</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56111-2021</t>
        </is>
      </c>
      <c r="B3397" s="1" t="n">
        <v>44477</v>
      </c>
      <c r="C3397" s="1" t="n">
        <v>45662</v>
      </c>
      <c r="D3397" t="inlineStr">
        <is>
          <t>NORRBOTTENS LÄN</t>
        </is>
      </c>
      <c r="E3397" t="inlineStr">
        <is>
          <t>BODEN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56412-2021</t>
        </is>
      </c>
      <c r="B3398" s="1" t="n">
        <v>44477</v>
      </c>
      <c r="C3398" s="1" t="n">
        <v>45662</v>
      </c>
      <c r="D3398" t="inlineStr">
        <is>
          <t>NORRBOTTENS LÄN</t>
        </is>
      </c>
      <c r="E3398" t="inlineStr">
        <is>
          <t>JOKKMOKK</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56523-2021</t>
        </is>
      </c>
      <c r="B3399" s="1" t="n">
        <v>44477</v>
      </c>
      <c r="C3399" s="1" t="n">
        <v>45662</v>
      </c>
      <c r="D3399" t="inlineStr">
        <is>
          <t>NORRBOTTENS LÄN</t>
        </is>
      </c>
      <c r="E3399" t="inlineStr">
        <is>
          <t>JOKKMOKK</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56043-2021</t>
        </is>
      </c>
      <c r="B3400" s="1" t="n">
        <v>44477</v>
      </c>
      <c r="C3400" s="1" t="n">
        <v>45662</v>
      </c>
      <c r="D3400" t="inlineStr">
        <is>
          <t>NORRBOTTENS LÄN</t>
        </is>
      </c>
      <c r="E3400" t="inlineStr">
        <is>
          <t>LULEÅ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56275-2021</t>
        </is>
      </c>
      <c r="B3401" s="1" t="n">
        <v>44479</v>
      </c>
      <c r="C3401" s="1" t="n">
        <v>45662</v>
      </c>
      <c r="D3401" t="inlineStr">
        <is>
          <t>NORRBOTTENS LÄN</t>
        </is>
      </c>
      <c r="E3401" t="inlineStr">
        <is>
          <t>ARJEPLOG</t>
        </is>
      </c>
      <c r="G3401" t="n">
        <v>16.2</v>
      </c>
      <c r="H3401" t="n">
        <v>0</v>
      </c>
      <c r="I3401" t="n">
        <v>0</v>
      </c>
      <c r="J3401" t="n">
        <v>0</v>
      </c>
      <c r="K3401" t="n">
        <v>0</v>
      </c>
      <c r="L3401" t="n">
        <v>0</v>
      </c>
      <c r="M3401" t="n">
        <v>0</v>
      </c>
      <c r="N3401" t="n">
        <v>0</v>
      </c>
      <c r="O3401" t="n">
        <v>0</v>
      </c>
      <c r="P3401" t="n">
        <v>0</v>
      </c>
      <c r="Q3401" t="n">
        <v>0</v>
      </c>
      <c r="R3401" s="2" t="inlineStr"/>
    </row>
    <row r="3402" ht="15" customHeight="1">
      <c r="A3402" t="inlineStr">
        <is>
          <t>A 56290-2021</t>
        </is>
      </c>
      <c r="B3402" s="1" t="n">
        <v>44479</v>
      </c>
      <c r="C3402" s="1" t="n">
        <v>45662</v>
      </c>
      <c r="D3402" t="inlineStr">
        <is>
          <t>NORRBOTTENS LÄN</t>
        </is>
      </c>
      <c r="E3402" t="inlineStr">
        <is>
          <t>GÄLLIVARE</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56274-2021</t>
        </is>
      </c>
      <c r="B3403" s="1" t="n">
        <v>44479</v>
      </c>
      <c r="C3403" s="1" t="n">
        <v>45662</v>
      </c>
      <c r="D3403" t="inlineStr">
        <is>
          <t>NORRBOTTENS LÄN</t>
        </is>
      </c>
      <c r="E3403" t="inlineStr">
        <is>
          <t>ARJEPLOG</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56278-2021</t>
        </is>
      </c>
      <c r="B3404" s="1" t="n">
        <v>44479</v>
      </c>
      <c r="C3404" s="1" t="n">
        <v>45662</v>
      </c>
      <c r="D3404" t="inlineStr">
        <is>
          <t>NORRBOTTENS LÄN</t>
        </is>
      </c>
      <c r="E3404" t="inlineStr">
        <is>
          <t>ARJEPLOG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56276-2021</t>
        </is>
      </c>
      <c r="B3405" s="1" t="n">
        <v>44479</v>
      </c>
      <c r="C3405" s="1" t="n">
        <v>45662</v>
      </c>
      <c r="D3405" t="inlineStr">
        <is>
          <t>NORRBOTTENS LÄN</t>
        </is>
      </c>
      <c r="E3405" t="inlineStr">
        <is>
          <t>ARJEPLOG</t>
        </is>
      </c>
      <c r="G3405" t="n">
        <v>19.8</v>
      </c>
      <c r="H3405" t="n">
        <v>0</v>
      </c>
      <c r="I3405" t="n">
        <v>0</v>
      </c>
      <c r="J3405" t="n">
        <v>0</v>
      </c>
      <c r="K3405" t="n">
        <v>0</v>
      </c>
      <c r="L3405" t="n">
        <v>0</v>
      </c>
      <c r="M3405" t="n">
        <v>0</v>
      </c>
      <c r="N3405" t="n">
        <v>0</v>
      </c>
      <c r="O3405" t="n">
        <v>0</v>
      </c>
      <c r="P3405" t="n">
        <v>0</v>
      </c>
      <c r="Q3405" t="n">
        <v>0</v>
      </c>
      <c r="R3405" s="2" t="inlineStr"/>
    </row>
    <row r="3406" ht="15" customHeight="1">
      <c r="A3406" t="inlineStr">
        <is>
          <t>A 56277-2021</t>
        </is>
      </c>
      <c r="B3406" s="1" t="n">
        <v>44479</v>
      </c>
      <c r="C3406" s="1" t="n">
        <v>45662</v>
      </c>
      <c r="D3406" t="inlineStr">
        <is>
          <t>NORRBOTTENS LÄN</t>
        </is>
      </c>
      <c r="E3406" t="inlineStr">
        <is>
          <t>ARJEPLOG</t>
        </is>
      </c>
      <c r="G3406" t="n">
        <v>19.4</v>
      </c>
      <c r="H3406" t="n">
        <v>0</v>
      </c>
      <c r="I3406" t="n">
        <v>0</v>
      </c>
      <c r="J3406" t="n">
        <v>0</v>
      </c>
      <c r="K3406" t="n">
        <v>0</v>
      </c>
      <c r="L3406" t="n">
        <v>0</v>
      </c>
      <c r="M3406" t="n">
        <v>0</v>
      </c>
      <c r="N3406" t="n">
        <v>0</v>
      </c>
      <c r="O3406" t="n">
        <v>0</v>
      </c>
      <c r="P3406" t="n">
        <v>0</v>
      </c>
      <c r="Q3406" t="n">
        <v>0</v>
      </c>
      <c r="R3406" s="2" t="inlineStr"/>
    </row>
    <row r="3407" ht="15" customHeight="1">
      <c r="A3407" t="inlineStr">
        <is>
          <t>A 56288-2021</t>
        </is>
      </c>
      <c r="B3407" s="1" t="n">
        <v>44479</v>
      </c>
      <c r="C3407" s="1" t="n">
        <v>45662</v>
      </c>
      <c r="D3407" t="inlineStr">
        <is>
          <t>NORRBOTTENS LÄN</t>
        </is>
      </c>
      <c r="E3407" t="inlineStr">
        <is>
          <t>GÄLLIVARE</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56467-2021</t>
        </is>
      </c>
      <c r="B3408" s="1" t="n">
        <v>44480</v>
      </c>
      <c r="C3408" s="1" t="n">
        <v>45662</v>
      </c>
      <c r="D3408" t="inlineStr">
        <is>
          <t>NORRBOTTENS LÄN</t>
        </is>
      </c>
      <c r="E3408" t="inlineStr">
        <is>
          <t>BODEN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56485-2021</t>
        </is>
      </c>
      <c r="B3409" s="1" t="n">
        <v>44480</v>
      </c>
      <c r="C3409" s="1" t="n">
        <v>45662</v>
      </c>
      <c r="D3409" t="inlineStr">
        <is>
          <t>NORRBOTTENS LÄN</t>
        </is>
      </c>
      <c r="E3409" t="inlineStr">
        <is>
          <t>BODEN</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56465-2021</t>
        </is>
      </c>
      <c r="B3410" s="1" t="n">
        <v>44480</v>
      </c>
      <c r="C3410" s="1" t="n">
        <v>45662</v>
      </c>
      <c r="D3410" t="inlineStr">
        <is>
          <t>NORRBOTTENS LÄN</t>
        </is>
      </c>
      <c r="E3410" t="inlineStr">
        <is>
          <t>LULEÅ</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56641-2021</t>
        </is>
      </c>
      <c r="B3411" s="1" t="n">
        <v>44480</v>
      </c>
      <c r="C3411" s="1" t="n">
        <v>45662</v>
      </c>
      <c r="D3411" t="inlineStr">
        <is>
          <t>NORRBOTTENS LÄN</t>
        </is>
      </c>
      <c r="E3411" t="inlineStr">
        <is>
          <t>PITEÅ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56781-2021</t>
        </is>
      </c>
      <c r="B3412" s="1" t="n">
        <v>44481</v>
      </c>
      <c r="C3412" s="1" t="n">
        <v>45662</v>
      </c>
      <c r="D3412" t="inlineStr">
        <is>
          <t>NORRBOTTENS LÄN</t>
        </is>
      </c>
      <c r="E3412" t="inlineStr">
        <is>
          <t>LULEÅ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56910-2021</t>
        </is>
      </c>
      <c r="B3413" s="1" t="n">
        <v>44481</v>
      </c>
      <c r="C3413" s="1" t="n">
        <v>45662</v>
      </c>
      <c r="D3413" t="inlineStr">
        <is>
          <t>NORRBOTTENS LÄN</t>
        </is>
      </c>
      <c r="E3413" t="inlineStr">
        <is>
          <t>GÄLLIVARE</t>
        </is>
      </c>
      <c r="F3413" t="inlineStr">
        <is>
          <t>SCA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56888-2021</t>
        </is>
      </c>
      <c r="B3414" s="1" t="n">
        <v>44481</v>
      </c>
      <c r="C3414" s="1" t="n">
        <v>45662</v>
      </c>
      <c r="D3414" t="inlineStr">
        <is>
          <t>NORRBOTTENS LÄN</t>
        </is>
      </c>
      <c r="E3414" t="inlineStr">
        <is>
          <t>PITEÅ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57208-2021</t>
        </is>
      </c>
      <c r="B3415" s="1" t="n">
        <v>44483</v>
      </c>
      <c r="C3415" s="1" t="n">
        <v>45662</v>
      </c>
      <c r="D3415" t="inlineStr">
        <is>
          <t>NORRBOTTENS LÄN</t>
        </is>
      </c>
      <c r="E3415" t="inlineStr">
        <is>
          <t>GÄLLIVARE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57254-2021</t>
        </is>
      </c>
      <c r="B3416" s="1" t="n">
        <v>44482</v>
      </c>
      <c r="C3416" s="1" t="n">
        <v>45662</v>
      </c>
      <c r="D3416" t="inlineStr">
        <is>
          <t>NORRBOTTENS LÄN</t>
        </is>
      </c>
      <c r="E3416" t="inlineStr">
        <is>
          <t>HAPARANDA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57454-2021</t>
        </is>
      </c>
      <c r="B3417" s="1" t="n">
        <v>44483</v>
      </c>
      <c r="C3417" s="1" t="n">
        <v>45662</v>
      </c>
      <c r="D3417" t="inlineStr">
        <is>
          <t>NORRBOTTENS LÄN</t>
        </is>
      </c>
      <c r="E3417" t="inlineStr">
        <is>
          <t>ARVIDSJAUR</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57528-2021</t>
        </is>
      </c>
      <c r="B3418" s="1" t="n">
        <v>44484</v>
      </c>
      <c r="C3418" s="1" t="n">
        <v>45662</v>
      </c>
      <c r="D3418" t="inlineStr">
        <is>
          <t>NORRBOTTENS LÄN</t>
        </is>
      </c>
      <c r="E3418" t="inlineStr">
        <is>
          <t>PITEÅ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57534-2021</t>
        </is>
      </c>
      <c r="B3419" s="1" t="n">
        <v>44483</v>
      </c>
      <c r="C3419" s="1" t="n">
        <v>45662</v>
      </c>
      <c r="D3419" t="inlineStr">
        <is>
          <t>NORRBOTTENS LÄN</t>
        </is>
      </c>
      <c r="E3419" t="inlineStr">
        <is>
          <t>GÄLLIVARE</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57583-2021</t>
        </is>
      </c>
      <c r="B3420" s="1" t="n">
        <v>44484</v>
      </c>
      <c r="C3420" s="1" t="n">
        <v>45662</v>
      </c>
      <c r="D3420" t="inlineStr">
        <is>
          <t>NORRBOTTENS LÄN</t>
        </is>
      </c>
      <c r="E3420" t="inlineStr">
        <is>
          <t>BODEN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57636-2021</t>
        </is>
      </c>
      <c r="B3421" s="1" t="n">
        <v>44484</v>
      </c>
      <c r="C3421" s="1" t="n">
        <v>45662</v>
      </c>
      <c r="D3421" t="inlineStr">
        <is>
          <t>NORRBOTTENS LÄN</t>
        </is>
      </c>
      <c r="E3421" t="inlineStr">
        <is>
          <t>ÖVERTORNEÅ</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57567-2021</t>
        </is>
      </c>
      <c r="B3422" s="1" t="n">
        <v>44484</v>
      </c>
      <c r="C3422" s="1" t="n">
        <v>45662</v>
      </c>
      <c r="D3422" t="inlineStr">
        <is>
          <t>NORRBOTTENS LÄN</t>
        </is>
      </c>
      <c r="E3422" t="inlineStr">
        <is>
          <t>ARVIDSJAUR</t>
        </is>
      </c>
      <c r="F3422" t="inlineStr">
        <is>
          <t>Sveaskog</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57578-2021</t>
        </is>
      </c>
      <c r="B3423" s="1" t="n">
        <v>44484</v>
      </c>
      <c r="C3423" s="1" t="n">
        <v>45662</v>
      </c>
      <c r="D3423" t="inlineStr">
        <is>
          <t>NORRBOTTENS LÄN</t>
        </is>
      </c>
      <c r="E3423" t="inlineStr">
        <is>
          <t>BODEN</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57586-2021</t>
        </is>
      </c>
      <c r="B3424" s="1" t="n">
        <v>44484</v>
      </c>
      <c r="C3424" s="1" t="n">
        <v>45662</v>
      </c>
      <c r="D3424" t="inlineStr">
        <is>
          <t>NORRBOTTENS LÄN</t>
        </is>
      </c>
      <c r="E3424" t="inlineStr">
        <is>
          <t>ARVIDSJAUR</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57600-2021</t>
        </is>
      </c>
      <c r="B3425" s="1" t="n">
        <v>44484</v>
      </c>
      <c r="C3425" s="1" t="n">
        <v>45662</v>
      </c>
      <c r="D3425" t="inlineStr">
        <is>
          <t>NORRBOTTENS LÄN</t>
        </is>
      </c>
      <c r="E3425" t="inlineStr">
        <is>
          <t>BODEN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57568-2021</t>
        </is>
      </c>
      <c r="B3426" s="1" t="n">
        <v>44484</v>
      </c>
      <c r="C3426" s="1" t="n">
        <v>45662</v>
      </c>
      <c r="D3426" t="inlineStr">
        <is>
          <t>NORRBOTTENS LÄN</t>
        </is>
      </c>
      <c r="E3426" t="inlineStr">
        <is>
          <t>ARVIDSJAUR</t>
        </is>
      </c>
      <c r="F3426" t="inlineStr">
        <is>
          <t>Sveaskog</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57604-2021</t>
        </is>
      </c>
      <c r="B3427" s="1" t="n">
        <v>44484</v>
      </c>
      <c r="C3427" s="1" t="n">
        <v>45662</v>
      </c>
      <c r="D3427" t="inlineStr">
        <is>
          <t>NORRBOTTENS LÄN</t>
        </is>
      </c>
      <c r="E3427" t="inlineStr">
        <is>
          <t>BODEN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57754-2021</t>
        </is>
      </c>
      <c r="B3428" s="1" t="n">
        <v>44484</v>
      </c>
      <c r="C3428" s="1" t="n">
        <v>45662</v>
      </c>
      <c r="D3428" t="inlineStr">
        <is>
          <t>NORRBOTTENS LÄN</t>
        </is>
      </c>
      <c r="E3428" t="inlineStr">
        <is>
          <t>ÖVERKALIX</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57816-2021</t>
        </is>
      </c>
      <c r="B3429" s="1" t="n">
        <v>44484</v>
      </c>
      <c r="C3429" s="1" t="n">
        <v>45662</v>
      </c>
      <c r="D3429" t="inlineStr">
        <is>
          <t>NORRBOTTENS LÄN</t>
        </is>
      </c>
      <c r="E3429" t="inlineStr">
        <is>
          <t>ÄLVSBYN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57873-2021</t>
        </is>
      </c>
      <c r="B3430" s="1" t="n">
        <v>44484</v>
      </c>
      <c r="C3430" s="1" t="n">
        <v>45662</v>
      </c>
      <c r="D3430" t="inlineStr">
        <is>
          <t>NORRBOTTENS LÄN</t>
        </is>
      </c>
      <c r="E3430" t="inlineStr">
        <is>
          <t>BODEN</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57759-2021</t>
        </is>
      </c>
      <c r="B3431" s="1" t="n">
        <v>44484</v>
      </c>
      <c r="C3431" s="1" t="n">
        <v>45662</v>
      </c>
      <c r="D3431" t="inlineStr">
        <is>
          <t>NORRBOTTENS LÄN</t>
        </is>
      </c>
      <c r="E3431" t="inlineStr">
        <is>
          <t>ÖVERKALIX</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57849-2021</t>
        </is>
      </c>
      <c r="B3432" s="1" t="n">
        <v>44484</v>
      </c>
      <c r="C3432" s="1" t="n">
        <v>45662</v>
      </c>
      <c r="D3432" t="inlineStr">
        <is>
          <t>NORRBOTTENS LÄN</t>
        </is>
      </c>
      <c r="E3432" t="inlineStr">
        <is>
          <t>ÖVERTORNEÅ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57895-2021</t>
        </is>
      </c>
      <c r="B3433" s="1" t="n">
        <v>44486</v>
      </c>
      <c r="C3433" s="1" t="n">
        <v>45662</v>
      </c>
      <c r="D3433" t="inlineStr">
        <is>
          <t>NORRBOTTENS LÄN</t>
        </is>
      </c>
      <c r="E3433" t="inlineStr">
        <is>
          <t>BODEN</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57958-2021</t>
        </is>
      </c>
      <c r="B3434" s="1" t="n">
        <v>44487</v>
      </c>
      <c r="C3434" s="1" t="n">
        <v>45662</v>
      </c>
      <c r="D3434" t="inlineStr">
        <is>
          <t>NORRBOTTENS LÄN</t>
        </is>
      </c>
      <c r="E3434" t="inlineStr">
        <is>
          <t>ARVIDSJAUR</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57973-2021</t>
        </is>
      </c>
      <c r="B3435" s="1" t="n">
        <v>44487</v>
      </c>
      <c r="C3435" s="1" t="n">
        <v>45662</v>
      </c>
      <c r="D3435" t="inlineStr">
        <is>
          <t>NORRBOTTENS LÄN</t>
        </is>
      </c>
      <c r="E3435" t="inlineStr">
        <is>
          <t>PITEÅ</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58002-2021</t>
        </is>
      </c>
      <c r="B3436" s="1" t="n">
        <v>44487</v>
      </c>
      <c r="C3436" s="1" t="n">
        <v>45662</v>
      </c>
      <c r="D3436" t="inlineStr">
        <is>
          <t>NORRBOTTENS LÄN</t>
        </is>
      </c>
      <c r="E3436" t="inlineStr">
        <is>
          <t>ARVIDSJAUR</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58036-2021</t>
        </is>
      </c>
      <c r="B3437" s="1" t="n">
        <v>44487</v>
      </c>
      <c r="C3437" s="1" t="n">
        <v>45662</v>
      </c>
      <c r="D3437" t="inlineStr">
        <is>
          <t>NORRBOTTENS LÄN</t>
        </is>
      </c>
      <c r="E3437" t="inlineStr">
        <is>
          <t>BODEN</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58191-2021</t>
        </is>
      </c>
      <c r="B3438" s="1" t="n">
        <v>44487</v>
      </c>
      <c r="C3438" s="1" t="n">
        <v>45662</v>
      </c>
      <c r="D3438" t="inlineStr">
        <is>
          <t>NORRBOTTENS LÄN</t>
        </is>
      </c>
      <c r="E3438" t="inlineStr">
        <is>
          <t>KALIX</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57960-2021</t>
        </is>
      </c>
      <c r="B3439" s="1" t="n">
        <v>44487</v>
      </c>
      <c r="C3439" s="1" t="n">
        <v>45662</v>
      </c>
      <c r="D3439" t="inlineStr">
        <is>
          <t>NORRBOTTENS LÄN</t>
        </is>
      </c>
      <c r="E3439" t="inlineStr">
        <is>
          <t>ARVIDSJAUR</t>
        </is>
      </c>
      <c r="F3439" t="inlineStr">
        <is>
          <t>Sveaskog</t>
        </is>
      </c>
      <c r="G3439" t="n">
        <v>23.1</v>
      </c>
      <c r="H3439" t="n">
        <v>0</v>
      </c>
      <c r="I3439" t="n">
        <v>0</v>
      </c>
      <c r="J3439" t="n">
        <v>0</v>
      </c>
      <c r="K3439" t="n">
        <v>0</v>
      </c>
      <c r="L3439" t="n">
        <v>0</v>
      </c>
      <c r="M3439" t="n">
        <v>0</v>
      </c>
      <c r="N3439" t="n">
        <v>0</v>
      </c>
      <c r="O3439" t="n">
        <v>0</v>
      </c>
      <c r="P3439" t="n">
        <v>0</v>
      </c>
      <c r="Q3439" t="n">
        <v>0</v>
      </c>
      <c r="R3439" s="2" t="inlineStr"/>
    </row>
    <row r="3440" ht="15" customHeight="1">
      <c r="A3440" t="inlineStr">
        <is>
          <t>A 57984-2021</t>
        </is>
      </c>
      <c r="B3440" s="1" t="n">
        <v>44487</v>
      </c>
      <c r="C3440" s="1" t="n">
        <v>45662</v>
      </c>
      <c r="D3440" t="inlineStr">
        <is>
          <t>NORRBOTTENS LÄN</t>
        </is>
      </c>
      <c r="E3440" t="inlineStr">
        <is>
          <t>ARVIDSJAUR</t>
        </is>
      </c>
      <c r="F3440" t="inlineStr">
        <is>
          <t>Sveaskog</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58101-2021</t>
        </is>
      </c>
      <c r="B3441" s="1" t="n">
        <v>44487</v>
      </c>
      <c r="C3441" s="1" t="n">
        <v>45662</v>
      </c>
      <c r="D3441" t="inlineStr">
        <is>
          <t>NORRBOTTENS LÄN</t>
        </is>
      </c>
      <c r="E3441" t="inlineStr">
        <is>
          <t>BODEN</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58185-2021</t>
        </is>
      </c>
      <c r="B3442" s="1" t="n">
        <v>44487</v>
      </c>
      <c r="C3442" s="1" t="n">
        <v>45662</v>
      </c>
      <c r="D3442" t="inlineStr">
        <is>
          <t>NORRBOTTENS LÄN</t>
        </is>
      </c>
      <c r="E3442" t="inlineStr">
        <is>
          <t>ÖVERTORNEÅ</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58343-2021</t>
        </is>
      </c>
      <c r="B3443" s="1" t="n">
        <v>44488</v>
      </c>
      <c r="C3443" s="1" t="n">
        <v>45662</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58412-2021</t>
        </is>
      </c>
      <c r="B3444" s="1" t="n">
        <v>44488</v>
      </c>
      <c r="C3444" s="1" t="n">
        <v>45662</v>
      </c>
      <c r="D3444" t="inlineStr">
        <is>
          <t>NORRBOTTENS LÄN</t>
        </is>
      </c>
      <c r="E3444" t="inlineStr">
        <is>
          <t>GÄLLIVARE</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58414-2021</t>
        </is>
      </c>
      <c r="B3445" s="1" t="n">
        <v>44488</v>
      </c>
      <c r="C3445" s="1" t="n">
        <v>45662</v>
      </c>
      <c r="D3445" t="inlineStr">
        <is>
          <t>NORRBOTTENS LÄN</t>
        </is>
      </c>
      <c r="E3445" t="inlineStr">
        <is>
          <t>GÄLLIVARE</t>
        </is>
      </c>
      <c r="F3445" t="inlineStr">
        <is>
          <t>Sveaskog</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58304-2021</t>
        </is>
      </c>
      <c r="B3446" s="1" t="n">
        <v>44488</v>
      </c>
      <c r="C3446" s="1" t="n">
        <v>45662</v>
      </c>
      <c r="D3446" t="inlineStr">
        <is>
          <t>NORRBOTTENS LÄN</t>
        </is>
      </c>
      <c r="E3446" t="inlineStr">
        <is>
          <t>ÖVERTORNEÅ</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58392-2021</t>
        </is>
      </c>
      <c r="B3447" s="1" t="n">
        <v>44488</v>
      </c>
      <c r="C3447" s="1" t="n">
        <v>45662</v>
      </c>
      <c r="D3447" t="inlineStr">
        <is>
          <t>NORRBOTTENS LÄN</t>
        </is>
      </c>
      <c r="E3447" t="inlineStr">
        <is>
          <t>KALIX</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58532-2021</t>
        </is>
      </c>
      <c r="B3448" s="1" t="n">
        <v>44488</v>
      </c>
      <c r="C3448" s="1" t="n">
        <v>45662</v>
      </c>
      <c r="D3448" t="inlineStr">
        <is>
          <t>NORRBOTTENS LÄN</t>
        </is>
      </c>
      <c r="E3448" t="inlineStr">
        <is>
          <t>ÄLVSBYN</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58602-2021</t>
        </is>
      </c>
      <c r="B3449" s="1" t="n">
        <v>44488</v>
      </c>
      <c r="C3449" s="1" t="n">
        <v>45662</v>
      </c>
      <c r="D3449" t="inlineStr">
        <is>
          <t>NORRBOTTENS LÄN</t>
        </is>
      </c>
      <c r="E3449" t="inlineStr">
        <is>
          <t>ARVIDSJAUR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58610-2021</t>
        </is>
      </c>
      <c r="B3450" s="1" t="n">
        <v>44488</v>
      </c>
      <c r="C3450" s="1" t="n">
        <v>45662</v>
      </c>
      <c r="D3450" t="inlineStr">
        <is>
          <t>NORRBOTTENS LÄN</t>
        </is>
      </c>
      <c r="E3450" t="inlineStr">
        <is>
          <t>ARVIDSJAUR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58759-2021</t>
        </is>
      </c>
      <c r="B3451" s="1" t="n">
        <v>44489</v>
      </c>
      <c r="C3451" s="1" t="n">
        <v>45662</v>
      </c>
      <c r="D3451" t="inlineStr">
        <is>
          <t>NORRBOTTENS LÄN</t>
        </is>
      </c>
      <c r="E3451" t="inlineStr">
        <is>
          <t>KALIX</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58658-2021</t>
        </is>
      </c>
      <c r="B3452" s="1" t="n">
        <v>44489</v>
      </c>
      <c r="C3452" s="1" t="n">
        <v>45662</v>
      </c>
      <c r="D3452" t="inlineStr">
        <is>
          <t>NORRBOTTENS LÄN</t>
        </is>
      </c>
      <c r="E3452" t="inlineStr">
        <is>
          <t>KALIX</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58691-2021</t>
        </is>
      </c>
      <c r="B3453" s="1" t="n">
        <v>44489</v>
      </c>
      <c r="C3453" s="1" t="n">
        <v>45662</v>
      </c>
      <c r="D3453" t="inlineStr">
        <is>
          <t>NORRBOTTENS LÄN</t>
        </is>
      </c>
      <c r="E3453" t="inlineStr">
        <is>
          <t>ÖVERTORNEÅ</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58855-2021</t>
        </is>
      </c>
      <c r="B3454" s="1" t="n">
        <v>44489</v>
      </c>
      <c r="C3454" s="1" t="n">
        <v>45662</v>
      </c>
      <c r="D3454" t="inlineStr">
        <is>
          <t>NORRBOTTENS LÄN</t>
        </is>
      </c>
      <c r="E3454" t="inlineStr">
        <is>
          <t>ARVIDSJAUR</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58877-2021</t>
        </is>
      </c>
      <c r="B3455" s="1" t="n">
        <v>44489</v>
      </c>
      <c r="C3455" s="1" t="n">
        <v>45662</v>
      </c>
      <c r="D3455" t="inlineStr">
        <is>
          <t>NORRBOTTENS LÄN</t>
        </is>
      </c>
      <c r="E3455" t="inlineStr">
        <is>
          <t>BODEN</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58879-2021</t>
        </is>
      </c>
      <c r="B3456" s="1" t="n">
        <v>44489</v>
      </c>
      <c r="C3456" s="1" t="n">
        <v>45662</v>
      </c>
      <c r="D3456" t="inlineStr">
        <is>
          <t>NORRBOTTENS LÄN</t>
        </is>
      </c>
      <c r="E3456" t="inlineStr">
        <is>
          <t>ARJEPLOG</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58898-2021</t>
        </is>
      </c>
      <c r="B3457" s="1" t="n">
        <v>44489</v>
      </c>
      <c r="C3457" s="1" t="n">
        <v>45662</v>
      </c>
      <c r="D3457" t="inlineStr">
        <is>
          <t>NORRBOTTENS LÄN</t>
        </is>
      </c>
      <c r="E3457" t="inlineStr">
        <is>
          <t>BODEN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58944-2021</t>
        </is>
      </c>
      <c r="B3458" s="1" t="n">
        <v>44490</v>
      </c>
      <c r="C3458" s="1" t="n">
        <v>45662</v>
      </c>
      <c r="D3458" t="inlineStr">
        <is>
          <t>NORRBOTTENS LÄN</t>
        </is>
      </c>
      <c r="E3458" t="inlineStr">
        <is>
          <t>PITEÅ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58977-2021</t>
        </is>
      </c>
      <c r="B3459" s="1" t="n">
        <v>44489</v>
      </c>
      <c r="C3459" s="1" t="n">
        <v>45662</v>
      </c>
      <c r="D3459" t="inlineStr">
        <is>
          <t>NORRBOTTENS LÄN</t>
        </is>
      </c>
      <c r="E3459" t="inlineStr">
        <is>
          <t>BODEN</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58806-2021</t>
        </is>
      </c>
      <c r="B3460" s="1" t="n">
        <v>44489</v>
      </c>
      <c r="C3460" s="1" t="n">
        <v>45662</v>
      </c>
      <c r="D3460" t="inlineStr">
        <is>
          <t>NORRBOTTENS LÄN</t>
        </is>
      </c>
      <c r="E3460" t="inlineStr">
        <is>
          <t>ARVIDSJAUR</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58743-2021</t>
        </is>
      </c>
      <c r="B3461" s="1" t="n">
        <v>44489</v>
      </c>
      <c r="C3461" s="1" t="n">
        <v>45662</v>
      </c>
      <c r="D3461" t="inlineStr">
        <is>
          <t>NORRBOTTENS LÄN</t>
        </is>
      </c>
      <c r="E3461" t="inlineStr">
        <is>
          <t>PITEÅ</t>
        </is>
      </c>
      <c r="F3461" t="inlineStr">
        <is>
          <t>Sveaskog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58998-2021</t>
        </is>
      </c>
      <c r="B3462" s="1" t="n">
        <v>44489</v>
      </c>
      <c r="C3462" s="1" t="n">
        <v>45662</v>
      </c>
      <c r="D3462" t="inlineStr">
        <is>
          <t>NORRBOTTENS LÄN</t>
        </is>
      </c>
      <c r="E3462" t="inlineStr">
        <is>
          <t>PAJALA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58981-2021</t>
        </is>
      </c>
      <c r="B3463" s="1" t="n">
        <v>44490</v>
      </c>
      <c r="C3463" s="1" t="n">
        <v>45662</v>
      </c>
      <c r="D3463" t="inlineStr">
        <is>
          <t>NORRBOTTENS LÄN</t>
        </is>
      </c>
      <c r="E3463" t="inlineStr">
        <is>
          <t>LULEÅ</t>
        </is>
      </c>
      <c r="F3463" t="inlineStr">
        <is>
          <t>SCA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59049-2021</t>
        </is>
      </c>
      <c r="B3464" s="1" t="n">
        <v>44490</v>
      </c>
      <c r="C3464" s="1" t="n">
        <v>45662</v>
      </c>
      <c r="D3464" t="inlineStr">
        <is>
          <t>NORRBOTTENS LÄN</t>
        </is>
      </c>
      <c r="E3464" t="inlineStr">
        <is>
          <t>ARVIDSJAUR</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59122-2021</t>
        </is>
      </c>
      <c r="B3465" s="1" t="n">
        <v>44490</v>
      </c>
      <c r="C3465" s="1" t="n">
        <v>45662</v>
      </c>
      <c r="D3465" t="inlineStr">
        <is>
          <t>NORRBOTTENS LÄN</t>
        </is>
      </c>
      <c r="E3465" t="inlineStr">
        <is>
          <t>LULEÅ</t>
        </is>
      </c>
      <c r="F3465" t="inlineStr">
        <is>
          <t>Kommuner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59115-2021</t>
        </is>
      </c>
      <c r="B3466" s="1" t="n">
        <v>44490</v>
      </c>
      <c r="C3466" s="1" t="n">
        <v>45662</v>
      </c>
      <c r="D3466" t="inlineStr">
        <is>
          <t>NORRBOTTENS LÄN</t>
        </is>
      </c>
      <c r="E3466" t="inlineStr">
        <is>
          <t>LULEÅ</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59189-2021</t>
        </is>
      </c>
      <c r="B3467" s="1" t="n">
        <v>44490</v>
      </c>
      <c r="C3467" s="1" t="n">
        <v>45662</v>
      </c>
      <c r="D3467" t="inlineStr">
        <is>
          <t>NORRBOTTENS LÄN</t>
        </is>
      </c>
      <c r="E3467" t="inlineStr">
        <is>
          <t>JOKKMOKK</t>
        </is>
      </c>
      <c r="F3467" t="inlineStr">
        <is>
          <t>Sveaskog</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59331-2021</t>
        </is>
      </c>
      <c r="B3468" s="1" t="n">
        <v>44490</v>
      </c>
      <c r="C3468" s="1" t="n">
        <v>45662</v>
      </c>
      <c r="D3468" t="inlineStr">
        <is>
          <t>NORRBOTTENS LÄN</t>
        </is>
      </c>
      <c r="E3468" t="inlineStr">
        <is>
          <t>BODEN</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59394-2021</t>
        </is>
      </c>
      <c r="B3469" s="1" t="n">
        <v>44491</v>
      </c>
      <c r="C3469" s="1" t="n">
        <v>45662</v>
      </c>
      <c r="D3469" t="inlineStr">
        <is>
          <t>NORRBOTTENS LÄN</t>
        </is>
      </c>
      <c r="E3469" t="inlineStr">
        <is>
          <t>KALIX</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59401-2021</t>
        </is>
      </c>
      <c r="B3470" s="1" t="n">
        <v>44491</v>
      </c>
      <c r="C3470" s="1" t="n">
        <v>45662</v>
      </c>
      <c r="D3470" t="inlineStr">
        <is>
          <t>NORRBOTTENS LÄN</t>
        </is>
      </c>
      <c r="E3470" t="inlineStr">
        <is>
          <t>PAJALA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59483-2021</t>
        </is>
      </c>
      <c r="B3471" s="1" t="n">
        <v>44491</v>
      </c>
      <c r="C3471" s="1" t="n">
        <v>45662</v>
      </c>
      <c r="D3471" t="inlineStr">
        <is>
          <t>NORRBOTTENS LÄN</t>
        </is>
      </c>
      <c r="E3471" t="inlineStr">
        <is>
          <t>ÄLVSBYN</t>
        </is>
      </c>
      <c r="F3471" t="inlineStr">
        <is>
          <t>Sveaskog</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59487-2021</t>
        </is>
      </c>
      <c r="B3472" s="1" t="n">
        <v>44491</v>
      </c>
      <c r="C3472" s="1" t="n">
        <v>45662</v>
      </c>
      <c r="D3472" t="inlineStr">
        <is>
          <t>NORRBOTTENS LÄN</t>
        </is>
      </c>
      <c r="E3472" t="inlineStr">
        <is>
          <t>ÄLVSBYN</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59585-2021</t>
        </is>
      </c>
      <c r="B3473" s="1" t="n">
        <v>44491</v>
      </c>
      <c r="C3473" s="1" t="n">
        <v>45662</v>
      </c>
      <c r="D3473" t="inlineStr">
        <is>
          <t>NORRBOTTENS LÄN</t>
        </is>
      </c>
      <c r="E3473" t="inlineStr">
        <is>
          <t>KALIX</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59540-2021</t>
        </is>
      </c>
      <c r="B3474" s="1" t="n">
        <v>44491</v>
      </c>
      <c r="C3474" s="1" t="n">
        <v>45662</v>
      </c>
      <c r="D3474" t="inlineStr">
        <is>
          <t>NORRBOTTENS LÄN</t>
        </is>
      </c>
      <c r="E3474" t="inlineStr">
        <is>
          <t>BODEN</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59552-2021</t>
        </is>
      </c>
      <c r="B3475" s="1" t="n">
        <v>44491</v>
      </c>
      <c r="C3475" s="1" t="n">
        <v>45662</v>
      </c>
      <c r="D3475" t="inlineStr">
        <is>
          <t>NORRBOTTENS LÄN</t>
        </is>
      </c>
      <c r="E3475" t="inlineStr">
        <is>
          <t>LULEÅ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59558-2021</t>
        </is>
      </c>
      <c r="B3476" s="1" t="n">
        <v>44491</v>
      </c>
      <c r="C3476" s="1" t="n">
        <v>45662</v>
      </c>
      <c r="D3476" t="inlineStr">
        <is>
          <t>NORRBOTTENS LÄN</t>
        </is>
      </c>
      <c r="E3476" t="inlineStr">
        <is>
          <t>LULEÅ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59568-2021</t>
        </is>
      </c>
      <c r="B3477" s="1" t="n">
        <v>44491</v>
      </c>
      <c r="C3477" s="1" t="n">
        <v>45662</v>
      </c>
      <c r="D3477" t="inlineStr">
        <is>
          <t>NORRBOTTENS LÄN</t>
        </is>
      </c>
      <c r="E3477" t="inlineStr">
        <is>
          <t>LULEÅ</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59553-2021</t>
        </is>
      </c>
      <c r="B3478" s="1" t="n">
        <v>44491</v>
      </c>
      <c r="C3478" s="1" t="n">
        <v>45662</v>
      </c>
      <c r="D3478" t="inlineStr">
        <is>
          <t>NORRBOTTENS LÄN</t>
        </is>
      </c>
      <c r="E3478" t="inlineStr">
        <is>
          <t>ÄLVSBYN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59849-2021</t>
        </is>
      </c>
      <c r="B3479" s="1" t="n">
        <v>44493</v>
      </c>
      <c r="C3479" s="1" t="n">
        <v>45662</v>
      </c>
      <c r="D3479" t="inlineStr">
        <is>
          <t>NORRBOTTENS LÄN</t>
        </is>
      </c>
      <c r="E3479" t="inlineStr">
        <is>
          <t>JOKKMOKK</t>
        </is>
      </c>
      <c r="F3479" t="inlineStr">
        <is>
          <t>Övriga Aktiebolag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59742-2021</t>
        </is>
      </c>
      <c r="B3480" s="1" t="n">
        <v>44494</v>
      </c>
      <c r="C3480" s="1" t="n">
        <v>45662</v>
      </c>
      <c r="D3480" t="inlineStr">
        <is>
          <t>NORRBOTTENS LÄN</t>
        </is>
      </c>
      <c r="E3480" t="inlineStr">
        <is>
          <t>ÄLVSBYN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59918-2021</t>
        </is>
      </c>
      <c r="B3481" s="1" t="n">
        <v>44494</v>
      </c>
      <c r="C3481" s="1" t="n">
        <v>45662</v>
      </c>
      <c r="D3481" t="inlineStr">
        <is>
          <t>NORRBOTTENS LÄN</t>
        </is>
      </c>
      <c r="E3481" t="inlineStr">
        <is>
          <t>KALIX</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59927-2021</t>
        </is>
      </c>
      <c r="B3482" s="1" t="n">
        <v>44494</v>
      </c>
      <c r="C3482" s="1" t="n">
        <v>45662</v>
      </c>
      <c r="D3482" t="inlineStr">
        <is>
          <t>NORRBOTTENS LÄN</t>
        </is>
      </c>
      <c r="E3482" t="inlineStr">
        <is>
          <t>ÖVERKALIX</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59925-2021</t>
        </is>
      </c>
      <c r="B3483" s="1" t="n">
        <v>44494</v>
      </c>
      <c r="C3483" s="1" t="n">
        <v>45662</v>
      </c>
      <c r="D3483" t="inlineStr">
        <is>
          <t>NORRBOTTENS LÄN</t>
        </is>
      </c>
      <c r="E3483" t="inlineStr">
        <is>
          <t>KALIX</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60030-2021</t>
        </is>
      </c>
      <c r="B3484" s="1" t="n">
        <v>44494</v>
      </c>
      <c r="C3484" s="1" t="n">
        <v>45662</v>
      </c>
      <c r="D3484" t="inlineStr">
        <is>
          <t>NORRBOTTENS LÄN</t>
        </is>
      </c>
      <c r="E3484" t="inlineStr">
        <is>
          <t>ÄLVSBYN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59926-2021</t>
        </is>
      </c>
      <c r="B3485" s="1" t="n">
        <v>44494</v>
      </c>
      <c r="C3485" s="1" t="n">
        <v>45662</v>
      </c>
      <c r="D3485" t="inlineStr">
        <is>
          <t>NORRBOTTENS LÄN</t>
        </is>
      </c>
      <c r="E3485" t="inlineStr">
        <is>
          <t>GÄLLIVARE</t>
        </is>
      </c>
      <c r="F3485" t="inlineStr">
        <is>
          <t>Allmännings- och besparingsskogar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60133-2021</t>
        </is>
      </c>
      <c r="B3486" s="1" t="n">
        <v>44494</v>
      </c>
      <c r="C3486" s="1" t="n">
        <v>45662</v>
      </c>
      <c r="D3486" t="inlineStr">
        <is>
          <t>NORRBOTTENS LÄN</t>
        </is>
      </c>
      <c r="E3486" t="inlineStr">
        <is>
          <t>ÖVERTORNEÅ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61113-2021</t>
        </is>
      </c>
      <c r="B3487" s="1" t="n">
        <v>44495</v>
      </c>
      <c r="C3487" s="1" t="n">
        <v>45662</v>
      </c>
      <c r="D3487" t="inlineStr">
        <is>
          <t>NORRBOTTENS LÄN</t>
        </is>
      </c>
      <c r="E3487" t="inlineStr">
        <is>
          <t>KALIX</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60662-2021</t>
        </is>
      </c>
      <c r="B3488" s="1" t="n">
        <v>44496</v>
      </c>
      <c r="C3488" s="1" t="n">
        <v>45662</v>
      </c>
      <c r="D3488" t="inlineStr">
        <is>
          <t>NORRBOTTENS LÄN</t>
        </is>
      </c>
      <c r="E3488" t="inlineStr">
        <is>
          <t>PAJALA</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60730-2021</t>
        </is>
      </c>
      <c r="B3489" s="1" t="n">
        <v>44496</v>
      </c>
      <c r="C3489" s="1" t="n">
        <v>45662</v>
      </c>
      <c r="D3489" t="inlineStr">
        <is>
          <t>NORRBOTTENS LÄN</t>
        </is>
      </c>
      <c r="E3489" t="inlineStr">
        <is>
          <t>PITEÅ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60686-2021</t>
        </is>
      </c>
      <c r="B3490" s="1" t="n">
        <v>44496</v>
      </c>
      <c r="C3490" s="1" t="n">
        <v>45662</v>
      </c>
      <c r="D3490" t="inlineStr">
        <is>
          <t>NORRBOTTENS LÄN</t>
        </is>
      </c>
      <c r="E3490" t="inlineStr">
        <is>
          <t>PAJALA</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60754-2021</t>
        </is>
      </c>
      <c r="B3491" s="1" t="n">
        <v>44497</v>
      </c>
      <c r="C3491" s="1" t="n">
        <v>45662</v>
      </c>
      <c r="D3491" t="inlineStr">
        <is>
          <t>NORRBOTTENS LÄN</t>
        </is>
      </c>
      <c r="E3491" t="inlineStr">
        <is>
          <t>HAPARANDA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60777-2021</t>
        </is>
      </c>
      <c r="B3492" s="1" t="n">
        <v>44497</v>
      </c>
      <c r="C3492" s="1" t="n">
        <v>45662</v>
      </c>
      <c r="D3492" t="inlineStr">
        <is>
          <t>NORRBOTTENS LÄN</t>
        </is>
      </c>
      <c r="E3492" t="inlineStr">
        <is>
          <t>PITEÅ</t>
        </is>
      </c>
      <c r="F3492" t="inlineStr">
        <is>
          <t>SCA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60954-2021</t>
        </is>
      </c>
      <c r="B3493" s="1" t="n">
        <v>44496</v>
      </c>
      <c r="C3493" s="1" t="n">
        <v>45662</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61594-2021</t>
        </is>
      </c>
      <c r="B3494" s="1" t="n">
        <v>44497</v>
      </c>
      <c r="C3494" s="1" t="n">
        <v>45662</v>
      </c>
      <c r="D3494" t="inlineStr">
        <is>
          <t>NORRBOTTENS LÄN</t>
        </is>
      </c>
      <c r="E3494" t="inlineStr">
        <is>
          <t>KALIX</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60948-2021</t>
        </is>
      </c>
      <c r="B3495" s="1" t="n">
        <v>44497</v>
      </c>
      <c r="C3495" s="1" t="n">
        <v>45662</v>
      </c>
      <c r="D3495" t="inlineStr">
        <is>
          <t>NORRBOTTENS LÄN</t>
        </is>
      </c>
      <c r="E3495" t="inlineStr">
        <is>
          <t>ÖVERTORNEÅ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61578-2021</t>
        </is>
      </c>
      <c r="B3496" s="1" t="n">
        <v>44497</v>
      </c>
      <c r="C3496" s="1" t="n">
        <v>45662</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61567-2021</t>
        </is>
      </c>
      <c r="B3497" s="1" t="n">
        <v>44497</v>
      </c>
      <c r="C3497" s="1" t="n">
        <v>45662</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60888-2021</t>
        </is>
      </c>
      <c r="B3498" s="1" t="n">
        <v>44497</v>
      </c>
      <c r="C3498" s="1" t="n">
        <v>45662</v>
      </c>
      <c r="D3498" t="inlineStr">
        <is>
          <t>NORRBOTTENS LÄN</t>
        </is>
      </c>
      <c r="E3498" t="inlineStr">
        <is>
          <t>ARVIDSJAUR</t>
        </is>
      </c>
      <c r="F3498" t="inlineStr">
        <is>
          <t>Sveaskog</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61112-2021</t>
        </is>
      </c>
      <c r="B3499" s="1" t="n">
        <v>44498</v>
      </c>
      <c r="C3499" s="1" t="n">
        <v>45662</v>
      </c>
      <c r="D3499" t="inlineStr">
        <is>
          <t>NORRBOTTENS LÄN</t>
        </is>
      </c>
      <c r="E3499" t="inlineStr">
        <is>
          <t>PITEÅ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61350-2021</t>
        </is>
      </c>
      <c r="B3500" s="1" t="n">
        <v>44498</v>
      </c>
      <c r="C3500" s="1" t="n">
        <v>45662</v>
      </c>
      <c r="D3500" t="inlineStr">
        <is>
          <t>NORRBOTTENS LÄN</t>
        </is>
      </c>
      <c r="E3500" t="inlineStr">
        <is>
          <t>PITEÅ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61370-2021</t>
        </is>
      </c>
      <c r="B3501" s="1" t="n">
        <v>44499</v>
      </c>
      <c r="C3501" s="1" t="n">
        <v>45662</v>
      </c>
      <c r="D3501" t="inlineStr">
        <is>
          <t>NORRBOTTENS LÄN</t>
        </is>
      </c>
      <c r="E3501" t="inlineStr">
        <is>
          <t>PITEÅ</t>
        </is>
      </c>
      <c r="G3501" t="n">
        <v>18.2</v>
      </c>
      <c r="H3501" t="n">
        <v>0</v>
      </c>
      <c r="I3501" t="n">
        <v>0</v>
      </c>
      <c r="J3501" t="n">
        <v>0</v>
      </c>
      <c r="K3501" t="n">
        <v>0</v>
      </c>
      <c r="L3501" t="n">
        <v>0</v>
      </c>
      <c r="M3501" t="n">
        <v>0</v>
      </c>
      <c r="N3501" t="n">
        <v>0</v>
      </c>
      <c r="O3501" t="n">
        <v>0</v>
      </c>
      <c r="P3501" t="n">
        <v>0</v>
      </c>
      <c r="Q3501" t="n">
        <v>0</v>
      </c>
      <c r="R3501" s="2" t="inlineStr"/>
    </row>
    <row r="3502" ht="15" customHeight="1">
      <c r="A3502" t="inlineStr">
        <is>
          <t>A 61412-2021</t>
        </is>
      </c>
      <c r="B3502" s="1" t="n">
        <v>44500</v>
      </c>
      <c r="C3502" s="1" t="n">
        <v>45662</v>
      </c>
      <c r="D3502" t="inlineStr">
        <is>
          <t>NORRBOTTENS LÄN</t>
        </is>
      </c>
      <c r="E3502" t="inlineStr">
        <is>
          <t>BODEN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61543-2021</t>
        </is>
      </c>
      <c r="B3503" s="1" t="n">
        <v>44501</v>
      </c>
      <c r="C3503" s="1" t="n">
        <v>45662</v>
      </c>
      <c r="D3503" t="inlineStr">
        <is>
          <t>NORRBOTTENS LÄN</t>
        </is>
      </c>
      <c r="E3503" t="inlineStr">
        <is>
          <t>HAPARANDA</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61552-2021</t>
        </is>
      </c>
      <c r="B3504" s="1" t="n">
        <v>44501</v>
      </c>
      <c r="C3504" s="1" t="n">
        <v>45662</v>
      </c>
      <c r="D3504" t="inlineStr">
        <is>
          <t>NORRBOTTENS LÄN</t>
        </is>
      </c>
      <c r="E3504" t="inlineStr">
        <is>
          <t>HAPARANDA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61838-2021</t>
        </is>
      </c>
      <c r="B3505" s="1" t="n">
        <v>44501</v>
      </c>
      <c r="C3505" s="1" t="n">
        <v>45662</v>
      </c>
      <c r="D3505" t="inlineStr">
        <is>
          <t>NORRBOTTENS LÄN</t>
        </is>
      </c>
      <c r="E3505" t="inlineStr">
        <is>
          <t>ARVIDSJAUR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61842-2021</t>
        </is>
      </c>
      <c r="B3506" s="1" t="n">
        <v>44501</v>
      </c>
      <c r="C3506" s="1" t="n">
        <v>45662</v>
      </c>
      <c r="D3506" t="inlineStr">
        <is>
          <t>NORRBOTTENS LÄN</t>
        </is>
      </c>
      <c r="E3506" t="inlineStr">
        <is>
          <t>HAPARANDA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62048-2021</t>
        </is>
      </c>
      <c r="B3507" s="1" t="n">
        <v>44501</v>
      </c>
      <c r="C3507" s="1" t="n">
        <v>45662</v>
      </c>
      <c r="D3507" t="inlineStr">
        <is>
          <t>NORRBOTTENS LÄN</t>
        </is>
      </c>
      <c r="E3507" t="inlineStr">
        <is>
          <t>LULEÅ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61841-2021</t>
        </is>
      </c>
      <c r="B3508" s="1" t="n">
        <v>44501</v>
      </c>
      <c r="C3508" s="1" t="n">
        <v>45662</v>
      </c>
      <c r="D3508" t="inlineStr">
        <is>
          <t>NORRBOTTENS LÄN</t>
        </is>
      </c>
      <c r="E3508" t="inlineStr">
        <is>
          <t>HAPARANDA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62050-2021</t>
        </is>
      </c>
      <c r="B3509" s="1" t="n">
        <v>44501</v>
      </c>
      <c r="C3509" s="1" t="n">
        <v>45662</v>
      </c>
      <c r="D3509" t="inlineStr">
        <is>
          <t>NORRBOTTENS LÄN</t>
        </is>
      </c>
      <c r="E3509" t="inlineStr">
        <is>
          <t>LULEÅ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62259-2021</t>
        </is>
      </c>
      <c r="B3510" s="1" t="n">
        <v>44501</v>
      </c>
      <c r="C3510" s="1" t="n">
        <v>45662</v>
      </c>
      <c r="D3510" t="inlineStr">
        <is>
          <t>NORRBOTTENS LÄN</t>
        </is>
      </c>
      <c r="E3510" t="inlineStr">
        <is>
          <t>ÖVERKALIX</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62115-2021</t>
        </is>
      </c>
      <c r="B3511" s="1" t="n">
        <v>44502</v>
      </c>
      <c r="C3511" s="1" t="n">
        <v>45662</v>
      </c>
      <c r="D3511" t="inlineStr">
        <is>
          <t>NORRBOTTENS LÄN</t>
        </is>
      </c>
      <c r="E3511" t="inlineStr">
        <is>
          <t>PITEÅ</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62269-2021</t>
        </is>
      </c>
      <c r="B3512" s="1" t="n">
        <v>44502</v>
      </c>
      <c r="C3512" s="1" t="n">
        <v>45662</v>
      </c>
      <c r="D3512" t="inlineStr">
        <is>
          <t>NORRBOTTENS LÄN</t>
        </is>
      </c>
      <c r="E3512" t="inlineStr">
        <is>
          <t>ÖVERKALIX</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62654-2021</t>
        </is>
      </c>
      <c r="B3513" s="1" t="n">
        <v>44503</v>
      </c>
      <c r="C3513" s="1" t="n">
        <v>45662</v>
      </c>
      <c r="D3513" t="inlineStr">
        <is>
          <t>NORRBOTTENS LÄN</t>
        </is>
      </c>
      <c r="E3513" t="inlineStr">
        <is>
          <t>ÖVERKALIX</t>
        </is>
      </c>
      <c r="G3513" t="n">
        <v>28.3</v>
      </c>
      <c r="H3513" t="n">
        <v>0</v>
      </c>
      <c r="I3513" t="n">
        <v>0</v>
      </c>
      <c r="J3513" t="n">
        <v>0</v>
      </c>
      <c r="K3513" t="n">
        <v>0</v>
      </c>
      <c r="L3513" t="n">
        <v>0</v>
      </c>
      <c r="M3513" t="n">
        <v>0</v>
      </c>
      <c r="N3513" t="n">
        <v>0</v>
      </c>
      <c r="O3513" t="n">
        <v>0</v>
      </c>
      <c r="P3513" t="n">
        <v>0</v>
      </c>
      <c r="Q3513" t="n">
        <v>0</v>
      </c>
      <c r="R3513" s="2" t="inlineStr"/>
    </row>
    <row r="3514" ht="15" customHeight="1">
      <c r="A3514" t="inlineStr">
        <is>
          <t>A 62732-2021</t>
        </is>
      </c>
      <c r="B3514" s="1" t="n">
        <v>44503</v>
      </c>
      <c r="C3514" s="1" t="n">
        <v>45662</v>
      </c>
      <c r="D3514" t="inlineStr">
        <is>
          <t>NORRBOTTENS LÄN</t>
        </is>
      </c>
      <c r="E3514" t="inlineStr">
        <is>
          <t>LULEÅ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62792-2021</t>
        </is>
      </c>
      <c r="B3515" s="1" t="n">
        <v>44504</v>
      </c>
      <c r="C3515" s="1" t="n">
        <v>45662</v>
      </c>
      <c r="D3515" t="inlineStr">
        <is>
          <t>NORRBOTTENS LÄN</t>
        </is>
      </c>
      <c r="E3515" t="inlineStr">
        <is>
          <t>PAJALA</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62851-2021</t>
        </is>
      </c>
      <c r="B3516" s="1" t="n">
        <v>44504</v>
      </c>
      <c r="C3516" s="1" t="n">
        <v>45662</v>
      </c>
      <c r="D3516" t="inlineStr">
        <is>
          <t>NORRBOTTENS LÄN</t>
        </is>
      </c>
      <c r="E3516" t="inlineStr">
        <is>
          <t>ÖVERTORNEÅ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62797-2021</t>
        </is>
      </c>
      <c r="B3517" s="1" t="n">
        <v>44504</v>
      </c>
      <c r="C3517" s="1" t="n">
        <v>45662</v>
      </c>
      <c r="D3517" t="inlineStr">
        <is>
          <t>NORRBOTTENS LÄN</t>
        </is>
      </c>
      <c r="E3517" t="inlineStr">
        <is>
          <t>PAJALA</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62856-2021</t>
        </is>
      </c>
      <c r="B3518" s="1" t="n">
        <v>44504</v>
      </c>
      <c r="C3518" s="1" t="n">
        <v>45662</v>
      </c>
      <c r="D3518" t="inlineStr">
        <is>
          <t>NORRBOTTENS LÄN</t>
        </is>
      </c>
      <c r="E3518" t="inlineStr">
        <is>
          <t>ÖVERTORNEÅ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62763-2021</t>
        </is>
      </c>
      <c r="B3519" s="1" t="n">
        <v>44504</v>
      </c>
      <c r="C3519" s="1" t="n">
        <v>45662</v>
      </c>
      <c r="D3519" t="inlineStr">
        <is>
          <t>NORRBOTTENS LÄN</t>
        </is>
      </c>
      <c r="E3519" t="inlineStr">
        <is>
          <t>PAJALA</t>
        </is>
      </c>
      <c r="G3519" t="n">
        <v>20.1</v>
      </c>
      <c r="H3519" t="n">
        <v>0</v>
      </c>
      <c r="I3519" t="n">
        <v>0</v>
      </c>
      <c r="J3519" t="n">
        <v>0</v>
      </c>
      <c r="K3519" t="n">
        <v>0</v>
      </c>
      <c r="L3519" t="n">
        <v>0</v>
      </c>
      <c r="M3519" t="n">
        <v>0</v>
      </c>
      <c r="N3519" t="n">
        <v>0</v>
      </c>
      <c r="O3519" t="n">
        <v>0</v>
      </c>
      <c r="P3519" t="n">
        <v>0</v>
      </c>
      <c r="Q3519" t="n">
        <v>0</v>
      </c>
      <c r="R3519" s="2" t="inlineStr"/>
    </row>
    <row r="3520" ht="15" customHeight="1">
      <c r="A3520" t="inlineStr">
        <is>
          <t>A 62905-2021</t>
        </is>
      </c>
      <c r="B3520" s="1" t="n">
        <v>44504</v>
      </c>
      <c r="C3520" s="1" t="n">
        <v>45662</v>
      </c>
      <c r="D3520" t="inlineStr">
        <is>
          <t>NORRBOTTENS LÄN</t>
        </is>
      </c>
      <c r="E3520" t="inlineStr">
        <is>
          <t>PAJALA</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63115-2021</t>
        </is>
      </c>
      <c r="B3521" s="1" t="n">
        <v>44505</v>
      </c>
      <c r="C3521" s="1" t="n">
        <v>45662</v>
      </c>
      <c r="D3521" t="inlineStr">
        <is>
          <t>NORRBOTTENS LÄN</t>
        </is>
      </c>
      <c r="E3521" t="inlineStr">
        <is>
          <t>PAJALA</t>
        </is>
      </c>
      <c r="F3521" t="inlineStr">
        <is>
          <t>Sveaskog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63155-2021</t>
        </is>
      </c>
      <c r="B3522" s="1" t="n">
        <v>44505</v>
      </c>
      <c r="C3522" s="1" t="n">
        <v>45662</v>
      </c>
      <c r="D3522" t="inlineStr">
        <is>
          <t>NORRBOTTENS LÄN</t>
        </is>
      </c>
      <c r="E3522" t="inlineStr">
        <is>
          <t>GÄLLIVARE</t>
        </is>
      </c>
      <c r="F3522" t="inlineStr">
        <is>
          <t>SCA</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63156-2021</t>
        </is>
      </c>
      <c r="B3523" s="1" t="n">
        <v>44505</v>
      </c>
      <c r="C3523" s="1" t="n">
        <v>45662</v>
      </c>
      <c r="D3523" t="inlineStr">
        <is>
          <t>NORRBOTTENS LÄN</t>
        </is>
      </c>
      <c r="E3523" t="inlineStr">
        <is>
          <t>GÄLLIVARE</t>
        </is>
      </c>
      <c r="F3523" t="inlineStr">
        <is>
          <t>SCA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63150-2021</t>
        </is>
      </c>
      <c r="B3524" s="1" t="n">
        <v>44505</v>
      </c>
      <c r="C3524" s="1" t="n">
        <v>45662</v>
      </c>
      <c r="D3524" t="inlineStr">
        <is>
          <t>NORRBOTTENS LÄN</t>
        </is>
      </c>
      <c r="E3524" t="inlineStr">
        <is>
          <t>LULEÅ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63219-2021</t>
        </is>
      </c>
      <c r="B3525" s="1" t="n">
        <v>44508</v>
      </c>
      <c r="C3525" s="1" t="n">
        <v>45662</v>
      </c>
      <c r="D3525" t="inlineStr">
        <is>
          <t>NORRBOTTENS LÄN</t>
        </is>
      </c>
      <c r="E3525" t="inlineStr">
        <is>
          <t>HAPARANDA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63347-2021</t>
        </is>
      </c>
      <c r="B3526" s="1" t="n">
        <v>44508</v>
      </c>
      <c r="C3526" s="1" t="n">
        <v>45662</v>
      </c>
      <c r="D3526" t="inlineStr">
        <is>
          <t>NORRBOTTENS LÄN</t>
        </is>
      </c>
      <c r="E3526" t="inlineStr">
        <is>
          <t>ÖVERTORNEÅ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63351-2021</t>
        </is>
      </c>
      <c r="B3527" s="1" t="n">
        <v>44508</v>
      </c>
      <c r="C3527" s="1" t="n">
        <v>45662</v>
      </c>
      <c r="D3527" t="inlineStr">
        <is>
          <t>NORRBOTTENS LÄN</t>
        </is>
      </c>
      <c r="E3527" t="inlineStr">
        <is>
          <t>ÖVERTORNEÅ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63593-2021</t>
        </is>
      </c>
      <c r="B3528" s="1" t="n">
        <v>44508</v>
      </c>
      <c r="C3528" s="1" t="n">
        <v>45662</v>
      </c>
      <c r="D3528" t="inlineStr">
        <is>
          <t>NORRBOTTENS LÄN</t>
        </is>
      </c>
      <c r="E3528" t="inlineStr">
        <is>
          <t>KALIX</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63594-2021</t>
        </is>
      </c>
      <c r="B3529" s="1" t="n">
        <v>44508</v>
      </c>
      <c r="C3529" s="1" t="n">
        <v>45662</v>
      </c>
      <c r="D3529" t="inlineStr">
        <is>
          <t>NORRBOTTENS LÄN</t>
        </is>
      </c>
      <c r="E3529" t="inlineStr">
        <is>
          <t>ÖVERKALIX</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63735-2021</t>
        </is>
      </c>
      <c r="B3530" s="1" t="n">
        <v>44508</v>
      </c>
      <c r="C3530" s="1" t="n">
        <v>45662</v>
      </c>
      <c r="D3530" t="inlineStr">
        <is>
          <t>NORRBOTTENS LÄN</t>
        </is>
      </c>
      <c r="E3530" t="inlineStr">
        <is>
          <t>ÖVERTORNEÅ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63738-2021</t>
        </is>
      </c>
      <c r="B3531" s="1" t="n">
        <v>44508</v>
      </c>
      <c r="C3531" s="1" t="n">
        <v>45662</v>
      </c>
      <c r="D3531" t="inlineStr">
        <is>
          <t>NORRBOTTENS LÄN</t>
        </is>
      </c>
      <c r="E3531" t="inlineStr">
        <is>
          <t>ÖVERTORNEÅ</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63790-2021</t>
        </is>
      </c>
      <c r="B3532" s="1" t="n">
        <v>44509</v>
      </c>
      <c r="C3532" s="1" t="n">
        <v>45662</v>
      </c>
      <c r="D3532" t="inlineStr">
        <is>
          <t>NORRBOTTENS LÄN</t>
        </is>
      </c>
      <c r="E3532" t="inlineStr">
        <is>
          <t>BODEN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63755-2021</t>
        </is>
      </c>
      <c r="B3533" s="1" t="n">
        <v>44509</v>
      </c>
      <c r="C3533" s="1" t="n">
        <v>45662</v>
      </c>
      <c r="D3533" t="inlineStr">
        <is>
          <t>NORRBOTTENS LÄN</t>
        </is>
      </c>
      <c r="E3533" t="inlineStr">
        <is>
          <t>KALIX</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64088-2021</t>
        </is>
      </c>
      <c r="B3534" s="1" t="n">
        <v>44509</v>
      </c>
      <c r="C3534" s="1" t="n">
        <v>45662</v>
      </c>
      <c r="D3534" t="inlineStr">
        <is>
          <t>NORRBOTTENS LÄN</t>
        </is>
      </c>
      <c r="E3534" t="inlineStr">
        <is>
          <t>HAPARANDA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64085-2021</t>
        </is>
      </c>
      <c r="B3535" s="1" t="n">
        <v>44509</v>
      </c>
      <c r="C3535" s="1" t="n">
        <v>45662</v>
      </c>
      <c r="D3535" t="inlineStr">
        <is>
          <t>NORRBOTTENS LÄN</t>
        </is>
      </c>
      <c r="E3535" t="inlineStr">
        <is>
          <t>HAPARANDA</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64083-2021</t>
        </is>
      </c>
      <c r="B3536" s="1" t="n">
        <v>44509</v>
      </c>
      <c r="C3536" s="1" t="n">
        <v>45662</v>
      </c>
      <c r="D3536" t="inlineStr">
        <is>
          <t>NORRBOTTENS LÄN</t>
        </is>
      </c>
      <c r="E3536" t="inlineStr">
        <is>
          <t>HAPARANDA</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64304-2021</t>
        </is>
      </c>
      <c r="B3537" s="1" t="n">
        <v>44510</v>
      </c>
      <c r="C3537" s="1" t="n">
        <v>45662</v>
      </c>
      <c r="D3537" t="inlineStr">
        <is>
          <t>NORRBOTTENS LÄN</t>
        </is>
      </c>
      <c r="E3537" t="inlineStr">
        <is>
          <t>ÖVERKALIX</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64384-2021</t>
        </is>
      </c>
      <c r="B3538" s="1" t="n">
        <v>44511</v>
      </c>
      <c r="C3538" s="1" t="n">
        <v>45662</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64377-2021</t>
        </is>
      </c>
      <c r="B3539" s="1" t="n">
        <v>44511</v>
      </c>
      <c r="C3539" s="1" t="n">
        <v>45662</v>
      </c>
      <c r="D3539" t="inlineStr">
        <is>
          <t>NORRBOTTENS LÄN</t>
        </is>
      </c>
      <c r="E3539" t="inlineStr">
        <is>
          <t>ARVIDSJAUR</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64889-2021</t>
        </is>
      </c>
      <c r="B3540" s="1" t="n">
        <v>44512</v>
      </c>
      <c r="C3540" s="1" t="n">
        <v>45662</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64907-2021</t>
        </is>
      </c>
      <c r="B3541" s="1" t="n">
        <v>44512</v>
      </c>
      <c r="C3541" s="1" t="n">
        <v>45662</v>
      </c>
      <c r="D3541" t="inlineStr">
        <is>
          <t>NORRBOTTENS LÄN</t>
        </is>
      </c>
      <c r="E3541" t="inlineStr">
        <is>
          <t>KALIX</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64979-2021</t>
        </is>
      </c>
      <c r="B3542" s="1" t="n">
        <v>44513</v>
      </c>
      <c r="C3542" s="1" t="n">
        <v>45662</v>
      </c>
      <c r="D3542" t="inlineStr">
        <is>
          <t>NORRBOTTENS LÄN</t>
        </is>
      </c>
      <c r="E3542" t="inlineStr">
        <is>
          <t>PAJALA</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65218-2021</t>
        </is>
      </c>
      <c r="B3543" s="1" t="n">
        <v>44515</v>
      </c>
      <c r="C3543" s="1" t="n">
        <v>45662</v>
      </c>
      <c r="D3543" t="inlineStr">
        <is>
          <t>NORRBOTTENS LÄN</t>
        </is>
      </c>
      <c r="E3543" t="inlineStr">
        <is>
          <t>BODEN</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65110-2021</t>
        </is>
      </c>
      <c r="B3544" s="1" t="n">
        <v>44515</v>
      </c>
      <c r="C3544" s="1" t="n">
        <v>45662</v>
      </c>
      <c r="D3544" t="inlineStr">
        <is>
          <t>NORRBOTTENS LÄN</t>
        </is>
      </c>
      <c r="E3544" t="inlineStr">
        <is>
          <t>ÖVERTORNEÅ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65225-2021</t>
        </is>
      </c>
      <c r="B3545" s="1" t="n">
        <v>44515</v>
      </c>
      <c r="C3545" s="1" t="n">
        <v>45662</v>
      </c>
      <c r="D3545" t="inlineStr">
        <is>
          <t>NORRBOTTENS LÄN</t>
        </is>
      </c>
      <c r="E3545" t="inlineStr">
        <is>
          <t>BODEN</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65410-2021</t>
        </is>
      </c>
      <c r="B3546" s="1" t="n">
        <v>44515</v>
      </c>
      <c r="C3546" s="1" t="n">
        <v>45662</v>
      </c>
      <c r="D3546" t="inlineStr">
        <is>
          <t>NORRBOTTENS LÄN</t>
        </is>
      </c>
      <c r="E3546" t="inlineStr">
        <is>
          <t>ÄLVSBYN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65517-2021</t>
        </is>
      </c>
      <c r="B3547" s="1" t="n">
        <v>44516</v>
      </c>
      <c r="C3547" s="1" t="n">
        <v>45662</v>
      </c>
      <c r="D3547" t="inlineStr">
        <is>
          <t>NORRBOTTENS LÄN</t>
        </is>
      </c>
      <c r="E3547" t="inlineStr">
        <is>
          <t>GÄLLIVARE</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65769-2021</t>
        </is>
      </c>
      <c r="B3548" s="1" t="n">
        <v>44516</v>
      </c>
      <c r="C3548" s="1" t="n">
        <v>45662</v>
      </c>
      <c r="D3548" t="inlineStr">
        <is>
          <t>NORRBOTTENS LÄN</t>
        </is>
      </c>
      <c r="E3548" t="inlineStr">
        <is>
          <t>PITEÅ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65914-2021</t>
        </is>
      </c>
      <c r="B3549" s="1" t="n">
        <v>44517</v>
      </c>
      <c r="C3549" s="1" t="n">
        <v>45662</v>
      </c>
      <c r="D3549" t="inlineStr">
        <is>
          <t>NORRBOTTENS LÄN</t>
        </is>
      </c>
      <c r="E3549" t="inlineStr">
        <is>
          <t>PAJALA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65931-2021</t>
        </is>
      </c>
      <c r="B3550" s="1" t="n">
        <v>44517</v>
      </c>
      <c r="C3550" s="1" t="n">
        <v>45662</v>
      </c>
      <c r="D3550" t="inlineStr">
        <is>
          <t>NORRBOTTENS LÄN</t>
        </is>
      </c>
      <c r="E3550" t="inlineStr">
        <is>
          <t>PAJALA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65976-2021</t>
        </is>
      </c>
      <c r="B3551" s="1" t="n">
        <v>44517</v>
      </c>
      <c r="C3551" s="1" t="n">
        <v>45662</v>
      </c>
      <c r="D3551" t="inlineStr">
        <is>
          <t>NORRBOTTENS LÄN</t>
        </is>
      </c>
      <c r="E3551" t="inlineStr">
        <is>
          <t>PAJALA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66225-2021</t>
        </is>
      </c>
      <c r="B3552" s="1" t="n">
        <v>44517</v>
      </c>
      <c r="C3552" s="1" t="n">
        <v>45662</v>
      </c>
      <c r="D3552" t="inlineStr">
        <is>
          <t>NORRBOTTENS LÄN</t>
        </is>
      </c>
      <c r="E3552" t="inlineStr">
        <is>
          <t>LULEÅ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66264-2021</t>
        </is>
      </c>
      <c r="B3553" s="1" t="n">
        <v>44518</v>
      </c>
      <c r="C3553" s="1" t="n">
        <v>45662</v>
      </c>
      <c r="D3553" t="inlineStr">
        <is>
          <t>NORRBOTTENS LÄN</t>
        </is>
      </c>
      <c r="E3553" t="inlineStr">
        <is>
          <t>GÄLLIVARE</t>
        </is>
      </c>
      <c r="F3553" t="inlineStr">
        <is>
          <t>Sveaskog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66269-2021</t>
        </is>
      </c>
      <c r="B3554" s="1" t="n">
        <v>44518</v>
      </c>
      <c r="C3554" s="1" t="n">
        <v>45662</v>
      </c>
      <c r="D3554" t="inlineStr">
        <is>
          <t>NORRBOTTENS LÄN</t>
        </is>
      </c>
      <c r="E3554" t="inlineStr">
        <is>
          <t>GÄLLIVARE</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66282-2021</t>
        </is>
      </c>
      <c r="B3555" s="1" t="n">
        <v>44518</v>
      </c>
      <c r="C3555" s="1" t="n">
        <v>45662</v>
      </c>
      <c r="D3555" t="inlineStr">
        <is>
          <t>NORRBOTTENS LÄN</t>
        </is>
      </c>
      <c r="E3555" t="inlineStr">
        <is>
          <t>GÄLLIVARE</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66257-2021</t>
        </is>
      </c>
      <c r="B3556" s="1" t="n">
        <v>44518</v>
      </c>
      <c r="C3556" s="1" t="n">
        <v>45662</v>
      </c>
      <c r="D3556" t="inlineStr">
        <is>
          <t>NORRBOTTENS LÄN</t>
        </is>
      </c>
      <c r="E3556" t="inlineStr">
        <is>
          <t>GÄLLIVARE</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66278-2021</t>
        </is>
      </c>
      <c r="B3557" s="1" t="n">
        <v>44518</v>
      </c>
      <c r="C3557" s="1" t="n">
        <v>45662</v>
      </c>
      <c r="D3557" t="inlineStr">
        <is>
          <t>NORRBOTTENS LÄN</t>
        </is>
      </c>
      <c r="E3557" t="inlineStr">
        <is>
          <t>GÄLLIVARE</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66287-2021</t>
        </is>
      </c>
      <c r="B3558" s="1" t="n">
        <v>44518</v>
      </c>
      <c r="C3558" s="1" t="n">
        <v>45662</v>
      </c>
      <c r="D3558" t="inlineStr">
        <is>
          <t>NORRBOTTENS LÄN</t>
        </is>
      </c>
      <c r="E3558" t="inlineStr">
        <is>
          <t>GÄLLIVARE</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66326-2021</t>
        </is>
      </c>
      <c r="B3559" s="1" t="n">
        <v>44518</v>
      </c>
      <c r="C3559" s="1" t="n">
        <v>45662</v>
      </c>
      <c r="D3559" t="inlineStr">
        <is>
          <t>NORRBOTTENS LÄN</t>
        </is>
      </c>
      <c r="E3559" t="inlineStr">
        <is>
          <t>PAJALA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66353-2021</t>
        </is>
      </c>
      <c r="B3560" s="1" t="n">
        <v>44518</v>
      </c>
      <c r="C3560" s="1" t="n">
        <v>45662</v>
      </c>
      <c r="D3560" t="inlineStr">
        <is>
          <t>NORRBOTTENS LÄN</t>
        </is>
      </c>
      <c r="E3560" t="inlineStr">
        <is>
          <t>PAJALA</t>
        </is>
      </c>
      <c r="G3560" t="n">
        <v>22.5</v>
      </c>
      <c r="H3560" t="n">
        <v>0</v>
      </c>
      <c r="I3560" t="n">
        <v>0</v>
      </c>
      <c r="J3560" t="n">
        <v>0</v>
      </c>
      <c r="K3560" t="n">
        <v>0</v>
      </c>
      <c r="L3560" t="n">
        <v>0</v>
      </c>
      <c r="M3560" t="n">
        <v>0</v>
      </c>
      <c r="N3560" t="n">
        <v>0</v>
      </c>
      <c r="O3560" t="n">
        <v>0</v>
      </c>
      <c r="P3560" t="n">
        <v>0</v>
      </c>
      <c r="Q3560" t="n">
        <v>0</v>
      </c>
      <c r="R3560" s="2" t="inlineStr"/>
    </row>
    <row r="3561" ht="15" customHeight="1">
      <c r="A3561" t="inlineStr">
        <is>
          <t>A 66464-2021</t>
        </is>
      </c>
      <c r="B3561" s="1" t="n">
        <v>44518</v>
      </c>
      <c r="C3561" s="1" t="n">
        <v>45662</v>
      </c>
      <c r="D3561" t="inlineStr">
        <is>
          <t>NORRBOTTENS LÄN</t>
        </is>
      </c>
      <c r="E3561" t="inlineStr">
        <is>
          <t>BODEN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66702-2021</t>
        </is>
      </c>
      <c r="B3562" s="1" t="n">
        <v>44519</v>
      </c>
      <c r="C3562" s="1" t="n">
        <v>45662</v>
      </c>
      <c r="D3562" t="inlineStr">
        <is>
          <t>NORRBOTTENS LÄN</t>
        </is>
      </c>
      <c r="E3562" t="inlineStr">
        <is>
          <t>LULEÅ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66737-2021</t>
        </is>
      </c>
      <c r="B3563" s="1" t="n">
        <v>44520</v>
      </c>
      <c r="C3563" s="1" t="n">
        <v>45662</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66844-2021</t>
        </is>
      </c>
      <c r="B3564" s="1" t="n">
        <v>44520</v>
      </c>
      <c r="C3564" s="1" t="n">
        <v>45662</v>
      </c>
      <c r="D3564" t="inlineStr">
        <is>
          <t>NORRBOTTENS LÄN</t>
        </is>
      </c>
      <c r="E3564" t="inlineStr">
        <is>
          <t>ARJEPLOG</t>
        </is>
      </c>
      <c r="G3564" t="n">
        <v>44.8</v>
      </c>
      <c r="H3564" t="n">
        <v>0</v>
      </c>
      <c r="I3564" t="n">
        <v>0</v>
      </c>
      <c r="J3564" t="n">
        <v>0</v>
      </c>
      <c r="K3564" t="n">
        <v>0</v>
      </c>
      <c r="L3564" t="n">
        <v>0</v>
      </c>
      <c r="M3564" t="n">
        <v>0</v>
      </c>
      <c r="N3564" t="n">
        <v>0</v>
      </c>
      <c r="O3564" t="n">
        <v>0</v>
      </c>
      <c r="P3564" t="n">
        <v>0</v>
      </c>
      <c r="Q3564" t="n">
        <v>0</v>
      </c>
      <c r="R3564" s="2" t="inlineStr"/>
    </row>
    <row r="3565" ht="15" customHeight="1">
      <c r="A3565" t="inlineStr">
        <is>
          <t>A 66739-2021</t>
        </is>
      </c>
      <c r="B3565" s="1" t="n">
        <v>44520</v>
      </c>
      <c r="C3565" s="1" t="n">
        <v>45662</v>
      </c>
      <c r="D3565" t="inlineStr">
        <is>
          <t>NORRBOTTENS LÄN</t>
        </is>
      </c>
      <c r="E3565" t="inlineStr">
        <is>
          <t>KALIX</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66767-2021</t>
        </is>
      </c>
      <c r="B3566" s="1" t="n">
        <v>44521</v>
      </c>
      <c r="C3566" s="1" t="n">
        <v>45662</v>
      </c>
      <c r="D3566" t="inlineStr">
        <is>
          <t>NORRBOTTENS LÄN</t>
        </is>
      </c>
      <c r="E3566" t="inlineStr">
        <is>
          <t>PAJALA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66766-2021</t>
        </is>
      </c>
      <c r="B3567" s="1" t="n">
        <v>44521</v>
      </c>
      <c r="C3567" s="1" t="n">
        <v>45662</v>
      </c>
      <c r="D3567" t="inlineStr">
        <is>
          <t>NORRBOTTENS LÄN</t>
        </is>
      </c>
      <c r="E3567" t="inlineStr">
        <is>
          <t>PAJALA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66914-2021</t>
        </is>
      </c>
      <c r="B3568" s="1" t="n">
        <v>44522</v>
      </c>
      <c r="C3568" s="1" t="n">
        <v>45662</v>
      </c>
      <c r="D3568" t="inlineStr">
        <is>
          <t>NORRBOTTENS LÄN</t>
        </is>
      </c>
      <c r="E3568" t="inlineStr">
        <is>
          <t>PAJALA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66950-2021</t>
        </is>
      </c>
      <c r="B3569" s="1" t="n">
        <v>44522</v>
      </c>
      <c r="C3569" s="1" t="n">
        <v>45662</v>
      </c>
      <c r="D3569" t="inlineStr">
        <is>
          <t>NORRBOTTENS LÄN</t>
        </is>
      </c>
      <c r="E3569" t="inlineStr">
        <is>
          <t>GÄLLIVARE</t>
        </is>
      </c>
      <c r="F3569" t="inlineStr">
        <is>
          <t>Allmännings- och besparingsskogar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66957-2021</t>
        </is>
      </c>
      <c r="B3570" s="1" t="n">
        <v>44522</v>
      </c>
      <c r="C3570" s="1" t="n">
        <v>45662</v>
      </c>
      <c r="D3570" t="inlineStr">
        <is>
          <t>NORRBOTTENS LÄN</t>
        </is>
      </c>
      <c r="E3570" t="inlineStr">
        <is>
          <t>GÄLLIVARE</t>
        </is>
      </c>
      <c r="F3570" t="inlineStr">
        <is>
          <t>Allmännings- och besparingsskogar</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66775-2021</t>
        </is>
      </c>
      <c r="B3571" s="1" t="n">
        <v>44522</v>
      </c>
      <c r="C3571" s="1" t="n">
        <v>45662</v>
      </c>
      <c r="D3571" t="inlineStr">
        <is>
          <t>NORRBOTTENS LÄN</t>
        </is>
      </c>
      <c r="E3571" t="inlineStr">
        <is>
          <t>ÖVERTORNEÅ</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67008-2021</t>
        </is>
      </c>
      <c r="B3572" s="1" t="n">
        <v>44522</v>
      </c>
      <c r="C3572" s="1" t="n">
        <v>45662</v>
      </c>
      <c r="D3572" t="inlineStr">
        <is>
          <t>NORRBOTTENS LÄN</t>
        </is>
      </c>
      <c r="E3572" t="inlineStr">
        <is>
          <t>KALIX</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67004-2021</t>
        </is>
      </c>
      <c r="B3573" s="1" t="n">
        <v>44522</v>
      </c>
      <c r="C3573" s="1" t="n">
        <v>45662</v>
      </c>
      <c r="D3573" t="inlineStr">
        <is>
          <t>NORRBOTTENS LÄN</t>
        </is>
      </c>
      <c r="E3573" t="inlineStr">
        <is>
          <t>KALIX</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67068-2021</t>
        </is>
      </c>
      <c r="B3574" s="1" t="n">
        <v>44522</v>
      </c>
      <c r="C3574" s="1" t="n">
        <v>45662</v>
      </c>
      <c r="D3574" t="inlineStr">
        <is>
          <t>NORRBOTTENS LÄN</t>
        </is>
      </c>
      <c r="E3574" t="inlineStr">
        <is>
          <t>BODEN</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67103-2021</t>
        </is>
      </c>
      <c r="B3575" s="1" t="n">
        <v>44522</v>
      </c>
      <c r="C3575" s="1" t="n">
        <v>45662</v>
      </c>
      <c r="D3575" t="inlineStr">
        <is>
          <t>NORRBOTTENS LÄN</t>
        </is>
      </c>
      <c r="E3575" t="inlineStr">
        <is>
          <t>ÄLVSBYN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67020-2021</t>
        </is>
      </c>
      <c r="B3576" s="1" t="n">
        <v>44522</v>
      </c>
      <c r="C3576" s="1" t="n">
        <v>45662</v>
      </c>
      <c r="D3576" t="inlineStr">
        <is>
          <t>NORRBOTTENS LÄN</t>
        </is>
      </c>
      <c r="E3576" t="inlineStr">
        <is>
          <t>PITEÅ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67106-2021</t>
        </is>
      </c>
      <c r="B3577" s="1" t="n">
        <v>44522</v>
      </c>
      <c r="C3577" s="1" t="n">
        <v>45662</v>
      </c>
      <c r="D3577" t="inlineStr">
        <is>
          <t>NORRBOTTENS LÄN</t>
        </is>
      </c>
      <c r="E3577" t="inlineStr">
        <is>
          <t>ÄLVSBYN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67272-2021</t>
        </is>
      </c>
      <c r="B3578" s="1" t="n">
        <v>44523</v>
      </c>
      <c r="C3578" s="1" t="n">
        <v>45662</v>
      </c>
      <c r="D3578" t="inlineStr">
        <is>
          <t>NORRBOTTENS LÄN</t>
        </is>
      </c>
      <c r="E3578" t="inlineStr">
        <is>
          <t>PAJALA</t>
        </is>
      </c>
      <c r="F3578" t="inlineStr">
        <is>
          <t>Allmännings- och besparingsskogar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67376-2021</t>
        </is>
      </c>
      <c r="B3579" s="1" t="n">
        <v>44523</v>
      </c>
      <c r="C3579" s="1" t="n">
        <v>45662</v>
      </c>
      <c r="D3579" t="inlineStr">
        <is>
          <t>NORRBOTTENS LÄN</t>
        </is>
      </c>
      <c r="E3579" t="inlineStr">
        <is>
          <t>PITEÅ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67430-2021</t>
        </is>
      </c>
      <c r="B3580" s="1" t="n">
        <v>44524</v>
      </c>
      <c r="C3580" s="1" t="n">
        <v>45662</v>
      </c>
      <c r="D3580" t="inlineStr">
        <is>
          <t>NORRBOTTENS LÄN</t>
        </is>
      </c>
      <c r="E3580" t="inlineStr">
        <is>
          <t>BODEN</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67438-2021</t>
        </is>
      </c>
      <c r="B3581" s="1" t="n">
        <v>44524</v>
      </c>
      <c r="C3581" s="1" t="n">
        <v>45662</v>
      </c>
      <c r="D3581" t="inlineStr">
        <is>
          <t>NORRBOTTENS LÄN</t>
        </is>
      </c>
      <c r="E3581" t="inlineStr">
        <is>
          <t>BODEN</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67927-2021</t>
        </is>
      </c>
      <c r="B3582" s="1" t="n">
        <v>44525</v>
      </c>
      <c r="C3582" s="1" t="n">
        <v>45662</v>
      </c>
      <c r="D3582" t="inlineStr">
        <is>
          <t>NORRBOTTENS LÄN</t>
        </is>
      </c>
      <c r="E3582" t="inlineStr">
        <is>
          <t>PITEÅ</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68199-2021</t>
        </is>
      </c>
      <c r="B3583" s="1" t="n">
        <v>44525</v>
      </c>
      <c r="C3583" s="1" t="n">
        <v>45662</v>
      </c>
      <c r="D3583" t="inlineStr">
        <is>
          <t>NORRBOTTENS LÄN</t>
        </is>
      </c>
      <c r="E3583" t="inlineStr">
        <is>
          <t>GÄLLIVARE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67904-2021</t>
        </is>
      </c>
      <c r="B3584" s="1" t="n">
        <v>44525</v>
      </c>
      <c r="C3584" s="1" t="n">
        <v>45662</v>
      </c>
      <c r="D3584" t="inlineStr">
        <is>
          <t>NORRBOTTENS LÄN</t>
        </is>
      </c>
      <c r="E3584" t="inlineStr">
        <is>
          <t>PITEÅ</t>
        </is>
      </c>
      <c r="G3584" t="n">
        <v>12.7</v>
      </c>
      <c r="H3584" t="n">
        <v>0</v>
      </c>
      <c r="I3584" t="n">
        <v>0</v>
      </c>
      <c r="J3584" t="n">
        <v>0</v>
      </c>
      <c r="K3584" t="n">
        <v>0</v>
      </c>
      <c r="L3584" t="n">
        <v>0</v>
      </c>
      <c r="M3584" t="n">
        <v>0</v>
      </c>
      <c r="N3584" t="n">
        <v>0</v>
      </c>
      <c r="O3584" t="n">
        <v>0</v>
      </c>
      <c r="P3584" t="n">
        <v>0</v>
      </c>
      <c r="Q3584" t="n">
        <v>0</v>
      </c>
      <c r="R3584" s="2" t="inlineStr"/>
    </row>
    <row r="3585" ht="15" customHeight="1">
      <c r="A3585" t="inlineStr">
        <is>
          <t>A 68307-2021</t>
        </is>
      </c>
      <c r="B3585" s="1" t="n">
        <v>44526</v>
      </c>
      <c r="C3585" s="1" t="n">
        <v>45662</v>
      </c>
      <c r="D3585" t="inlineStr">
        <is>
          <t>NORRBOTTENS LÄN</t>
        </is>
      </c>
      <c r="E3585" t="inlineStr">
        <is>
          <t>LULEÅ</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68352-2021</t>
        </is>
      </c>
      <c r="B3586" s="1" t="n">
        <v>44528</v>
      </c>
      <c r="C3586" s="1" t="n">
        <v>45662</v>
      </c>
      <c r="D3586" t="inlineStr">
        <is>
          <t>NORRBOTTENS LÄN</t>
        </is>
      </c>
      <c r="E3586" t="inlineStr">
        <is>
          <t>KALIX</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68569-2021</t>
        </is>
      </c>
      <c r="B3587" s="1" t="n">
        <v>44529</v>
      </c>
      <c r="C3587" s="1" t="n">
        <v>45662</v>
      </c>
      <c r="D3587" t="inlineStr">
        <is>
          <t>NORRBOTTENS LÄN</t>
        </is>
      </c>
      <c r="E3587" t="inlineStr">
        <is>
          <t>BODEN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68591-2021</t>
        </is>
      </c>
      <c r="B3588" s="1" t="n">
        <v>44529</v>
      </c>
      <c r="C3588" s="1" t="n">
        <v>45662</v>
      </c>
      <c r="D3588" t="inlineStr">
        <is>
          <t>NORRBOTTENS LÄN</t>
        </is>
      </c>
      <c r="E3588" t="inlineStr">
        <is>
          <t>BODEN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68438-2021</t>
        </is>
      </c>
      <c r="B3589" s="1" t="n">
        <v>44529</v>
      </c>
      <c r="C3589" s="1" t="n">
        <v>45662</v>
      </c>
      <c r="D3589" t="inlineStr">
        <is>
          <t>NORRBOTTENS LÄN</t>
        </is>
      </c>
      <c r="E3589" t="inlineStr">
        <is>
          <t>KALIX</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68560-2021</t>
        </is>
      </c>
      <c r="B3590" s="1" t="n">
        <v>44529</v>
      </c>
      <c r="C3590" s="1" t="n">
        <v>45662</v>
      </c>
      <c r="D3590" t="inlineStr">
        <is>
          <t>NORRBOTTENS LÄN</t>
        </is>
      </c>
      <c r="E3590" t="inlineStr">
        <is>
          <t>BODEN</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68376-2021</t>
        </is>
      </c>
      <c r="B3591" s="1" t="n">
        <v>44529</v>
      </c>
      <c r="C3591" s="1" t="n">
        <v>45662</v>
      </c>
      <c r="D3591" t="inlineStr">
        <is>
          <t>NORRBOTTENS LÄN</t>
        </is>
      </c>
      <c r="E3591" t="inlineStr">
        <is>
          <t>ARVIDSJAUR</t>
        </is>
      </c>
      <c r="F3591" t="inlineStr">
        <is>
          <t>Sveaskog</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68780-2021</t>
        </is>
      </c>
      <c r="B3592" s="1" t="n">
        <v>44529</v>
      </c>
      <c r="C3592" s="1" t="n">
        <v>45662</v>
      </c>
      <c r="D3592" t="inlineStr">
        <is>
          <t>NORRBOTTENS LÄN</t>
        </is>
      </c>
      <c r="E3592" t="inlineStr">
        <is>
          <t>JOKKMOKK</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68514-2021</t>
        </is>
      </c>
      <c r="B3593" s="1" t="n">
        <v>44529</v>
      </c>
      <c r="C3593" s="1" t="n">
        <v>45662</v>
      </c>
      <c r="D3593" t="inlineStr">
        <is>
          <t>NORRBOTTENS LÄN</t>
        </is>
      </c>
      <c r="E3593" t="inlineStr">
        <is>
          <t>BODEN</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68716-2021</t>
        </is>
      </c>
      <c r="B3594" s="1" t="n">
        <v>44529</v>
      </c>
      <c r="C3594" s="1" t="n">
        <v>45662</v>
      </c>
      <c r="D3594" t="inlineStr">
        <is>
          <t>NORRBOTTENS LÄN</t>
        </is>
      </c>
      <c r="E3594" t="inlineStr">
        <is>
          <t>KALIX</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68764-2021</t>
        </is>
      </c>
      <c r="B3595" s="1" t="n">
        <v>44529</v>
      </c>
      <c r="C3595" s="1" t="n">
        <v>45662</v>
      </c>
      <c r="D3595" t="inlineStr">
        <is>
          <t>NORRBOTTENS LÄN</t>
        </is>
      </c>
      <c r="E3595" t="inlineStr">
        <is>
          <t>ÖVERTORNEÅ</t>
        </is>
      </c>
      <c r="G3595" t="n">
        <v>19.2</v>
      </c>
      <c r="H3595" t="n">
        <v>0</v>
      </c>
      <c r="I3595" t="n">
        <v>0</v>
      </c>
      <c r="J3595" t="n">
        <v>0</v>
      </c>
      <c r="K3595" t="n">
        <v>0</v>
      </c>
      <c r="L3595" t="n">
        <v>0</v>
      </c>
      <c r="M3595" t="n">
        <v>0</v>
      </c>
      <c r="N3595" t="n">
        <v>0</v>
      </c>
      <c r="O3595" t="n">
        <v>0</v>
      </c>
      <c r="P3595" t="n">
        <v>0</v>
      </c>
      <c r="Q3595" t="n">
        <v>0</v>
      </c>
      <c r="R3595" s="2" t="inlineStr"/>
    </row>
    <row r="3596" ht="15" customHeight="1">
      <c r="A3596" t="inlineStr">
        <is>
          <t>A 68565-2021</t>
        </is>
      </c>
      <c r="B3596" s="1" t="n">
        <v>44529</v>
      </c>
      <c r="C3596" s="1" t="n">
        <v>45662</v>
      </c>
      <c r="D3596" t="inlineStr">
        <is>
          <t>NORRBOTTENS LÄN</t>
        </is>
      </c>
      <c r="E3596" t="inlineStr">
        <is>
          <t>BODEN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68589-2021</t>
        </is>
      </c>
      <c r="B3597" s="1" t="n">
        <v>44529</v>
      </c>
      <c r="C3597" s="1" t="n">
        <v>45662</v>
      </c>
      <c r="D3597" t="inlineStr">
        <is>
          <t>NORRBOTTENS LÄN</t>
        </is>
      </c>
      <c r="E3597" t="inlineStr">
        <is>
          <t>BODEN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68611-2021</t>
        </is>
      </c>
      <c r="B3598" s="1" t="n">
        <v>44529</v>
      </c>
      <c r="C3598" s="1" t="n">
        <v>45662</v>
      </c>
      <c r="D3598" t="inlineStr">
        <is>
          <t>NORRBOTTENS LÄN</t>
        </is>
      </c>
      <c r="E3598" t="inlineStr">
        <is>
          <t>BODEN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68718-2021</t>
        </is>
      </c>
      <c r="B3599" s="1" t="n">
        <v>44529</v>
      </c>
      <c r="C3599" s="1" t="n">
        <v>45662</v>
      </c>
      <c r="D3599" t="inlineStr">
        <is>
          <t>NORRBOTTENS LÄN</t>
        </is>
      </c>
      <c r="E3599" t="inlineStr">
        <is>
          <t>KALIX</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68808-2021</t>
        </is>
      </c>
      <c r="B3600" s="1" t="n">
        <v>44529</v>
      </c>
      <c r="C3600" s="1" t="n">
        <v>45662</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68804-2021</t>
        </is>
      </c>
      <c r="B3601" s="1" t="n">
        <v>44529</v>
      </c>
      <c r="C3601" s="1" t="n">
        <v>45662</v>
      </c>
      <c r="D3601" t="inlineStr">
        <is>
          <t>NORRBOTTENS LÄN</t>
        </is>
      </c>
      <c r="E3601" t="inlineStr">
        <is>
          <t>KALIX</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68960-2021</t>
        </is>
      </c>
      <c r="B3602" s="1" t="n">
        <v>44529</v>
      </c>
      <c r="C3602" s="1" t="n">
        <v>45662</v>
      </c>
      <c r="D3602" t="inlineStr">
        <is>
          <t>NORRBOTTENS LÄN</t>
        </is>
      </c>
      <c r="E3602" t="inlineStr">
        <is>
          <t>GÄLLIVARE</t>
        </is>
      </c>
      <c r="F3602" t="inlineStr">
        <is>
          <t>Allmännings- och besparingsskogar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69078-2021</t>
        </is>
      </c>
      <c r="B3603" s="1" t="n">
        <v>44529</v>
      </c>
      <c r="C3603" s="1" t="n">
        <v>45662</v>
      </c>
      <c r="D3603" t="inlineStr">
        <is>
          <t>NORRBOTTENS LÄN</t>
        </is>
      </c>
      <c r="E3603" t="inlineStr">
        <is>
          <t>PITEÅ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69202-2021</t>
        </is>
      </c>
      <c r="B3604" s="1" t="n">
        <v>44529</v>
      </c>
      <c r="C3604" s="1" t="n">
        <v>45662</v>
      </c>
      <c r="D3604" t="inlineStr">
        <is>
          <t>NORRBOTTENS LÄN</t>
        </is>
      </c>
      <c r="E3604" t="inlineStr">
        <is>
          <t>KALIX</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68987-2021</t>
        </is>
      </c>
      <c r="B3605" s="1" t="n">
        <v>44530</v>
      </c>
      <c r="C3605" s="1" t="n">
        <v>45662</v>
      </c>
      <c r="D3605" t="inlineStr">
        <is>
          <t>NORRBOTTENS LÄN</t>
        </is>
      </c>
      <c r="E3605" t="inlineStr">
        <is>
          <t>PITEÅ</t>
        </is>
      </c>
      <c r="F3605" t="inlineStr">
        <is>
          <t>Övriga Aktiebolag</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68914-2021</t>
        </is>
      </c>
      <c r="B3606" s="1" t="n">
        <v>44530</v>
      </c>
      <c r="C3606" s="1" t="n">
        <v>45662</v>
      </c>
      <c r="D3606" t="inlineStr">
        <is>
          <t>NORRBOTTENS LÄN</t>
        </is>
      </c>
      <c r="E3606" t="inlineStr">
        <is>
          <t>BODEN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68995-2021</t>
        </is>
      </c>
      <c r="B3607" s="1" t="n">
        <v>44530</v>
      </c>
      <c r="C3607" s="1" t="n">
        <v>45662</v>
      </c>
      <c r="D3607" t="inlineStr">
        <is>
          <t>NORRBOTTENS LÄN</t>
        </is>
      </c>
      <c r="E3607" t="inlineStr">
        <is>
          <t>PITEÅ</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69124-2021</t>
        </is>
      </c>
      <c r="B3608" s="1" t="n">
        <v>44530</v>
      </c>
      <c r="C3608" s="1" t="n">
        <v>45662</v>
      </c>
      <c r="D3608" t="inlineStr">
        <is>
          <t>NORRBOTTENS LÄN</t>
        </is>
      </c>
      <c r="E3608" t="inlineStr">
        <is>
          <t>BODEN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69080-2021</t>
        </is>
      </c>
      <c r="B3609" s="1" t="n">
        <v>44530</v>
      </c>
      <c r="C3609" s="1" t="n">
        <v>45662</v>
      </c>
      <c r="D3609" t="inlineStr">
        <is>
          <t>NORRBOTTENS LÄN</t>
        </is>
      </c>
      <c r="E3609" t="inlineStr">
        <is>
          <t>ARVIDSJAUR</t>
        </is>
      </c>
      <c r="F3609" t="inlineStr">
        <is>
          <t>Sveaskog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69110-2021</t>
        </is>
      </c>
      <c r="B3610" s="1" t="n">
        <v>44530</v>
      </c>
      <c r="C3610" s="1" t="n">
        <v>45662</v>
      </c>
      <c r="D3610" t="inlineStr">
        <is>
          <t>NORRBOTTENS LÄN</t>
        </is>
      </c>
      <c r="E3610" t="inlineStr">
        <is>
          <t>ÖVERKALIX</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69405-2021</t>
        </is>
      </c>
      <c r="B3611" s="1" t="n">
        <v>44531</v>
      </c>
      <c r="C3611" s="1" t="n">
        <v>45662</v>
      </c>
      <c r="D3611" t="inlineStr">
        <is>
          <t>NORRBOTTENS LÄN</t>
        </is>
      </c>
      <c r="E3611" t="inlineStr">
        <is>
          <t>ÖVERKALIX</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69537-2021</t>
        </is>
      </c>
      <c r="B3612" s="1" t="n">
        <v>44531</v>
      </c>
      <c r="C3612" s="1" t="n">
        <v>45662</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69314-2021</t>
        </is>
      </c>
      <c r="B3613" s="1" t="n">
        <v>44531</v>
      </c>
      <c r="C3613" s="1" t="n">
        <v>45662</v>
      </c>
      <c r="D3613" t="inlineStr">
        <is>
          <t>NORRBOTTENS LÄN</t>
        </is>
      </c>
      <c r="E3613" t="inlineStr">
        <is>
          <t>ÄLVSBYN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69402-2021</t>
        </is>
      </c>
      <c r="B3614" s="1" t="n">
        <v>44531</v>
      </c>
      <c r="C3614" s="1" t="n">
        <v>45662</v>
      </c>
      <c r="D3614" t="inlineStr">
        <is>
          <t>NORRBOTTENS LÄN</t>
        </is>
      </c>
      <c r="E3614" t="inlineStr">
        <is>
          <t>ÖVERTORNEÅ</t>
        </is>
      </c>
      <c r="F3614" t="inlineStr">
        <is>
          <t>Sveaskog</t>
        </is>
      </c>
      <c r="G3614" t="n">
        <v>21.1</v>
      </c>
      <c r="H3614" t="n">
        <v>0</v>
      </c>
      <c r="I3614" t="n">
        <v>0</v>
      </c>
      <c r="J3614" t="n">
        <v>0</v>
      </c>
      <c r="K3614" t="n">
        <v>0</v>
      </c>
      <c r="L3614" t="n">
        <v>0</v>
      </c>
      <c r="M3614" t="n">
        <v>0</v>
      </c>
      <c r="N3614" t="n">
        <v>0</v>
      </c>
      <c r="O3614" t="n">
        <v>0</v>
      </c>
      <c r="P3614" t="n">
        <v>0</v>
      </c>
      <c r="Q3614" t="n">
        <v>0</v>
      </c>
      <c r="R3614" s="2" t="inlineStr"/>
    </row>
    <row r="3615" ht="15" customHeight="1">
      <c r="A3615" t="inlineStr">
        <is>
          <t>A 70093-2021</t>
        </is>
      </c>
      <c r="B3615" s="1" t="n">
        <v>44531</v>
      </c>
      <c r="C3615" s="1" t="n">
        <v>45662</v>
      </c>
      <c r="D3615" t="inlineStr">
        <is>
          <t>NORRBOTTENS LÄN</t>
        </is>
      </c>
      <c r="E3615" t="inlineStr">
        <is>
          <t>PITEÅ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69576-2021</t>
        </is>
      </c>
      <c r="B3616" s="1" t="n">
        <v>44532</v>
      </c>
      <c r="C3616" s="1" t="n">
        <v>45662</v>
      </c>
      <c r="D3616" t="inlineStr">
        <is>
          <t>NORRBOTTENS LÄN</t>
        </is>
      </c>
      <c r="E3616" t="inlineStr">
        <is>
          <t>ARVIDSJAUR</t>
        </is>
      </c>
      <c r="F3616" t="inlineStr">
        <is>
          <t>Övriga Aktiebolag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69749-2021</t>
        </is>
      </c>
      <c r="B3617" s="1" t="n">
        <v>44532</v>
      </c>
      <c r="C3617" s="1" t="n">
        <v>45662</v>
      </c>
      <c r="D3617" t="inlineStr">
        <is>
          <t>NORRBOTTENS LÄN</t>
        </is>
      </c>
      <c r="E3617" t="inlineStr">
        <is>
          <t>PAJALA</t>
        </is>
      </c>
      <c r="F3617" t="inlineStr">
        <is>
          <t>Allmännings- och besparingsskogar</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69808-2021</t>
        </is>
      </c>
      <c r="B3618" s="1" t="n">
        <v>44532</v>
      </c>
      <c r="C3618" s="1" t="n">
        <v>45662</v>
      </c>
      <c r="D3618" t="inlineStr">
        <is>
          <t>NORRBOTTENS LÄN</t>
        </is>
      </c>
      <c r="E3618" t="inlineStr">
        <is>
          <t>BODEN</t>
        </is>
      </c>
      <c r="F3618" t="inlineStr">
        <is>
          <t>Övriga Aktiebolag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69883-2021</t>
        </is>
      </c>
      <c r="B3619" s="1" t="n">
        <v>44532</v>
      </c>
      <c r="C3619" s="1" t="n">
        <v>45662</v>
      </c>
      <c r="D3619" t="inlineStr">
        <is>
          <t>NORRBOTTENS LÄN</t>
        </is>
      </c>
      <c r="E3619" t="inlineStr">
        <is>
          <t>JOKKMOKK</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69895-2021</t>
        </is>
      </c>
      <c r="B3620" s="1" t="n">
        <v>44532</v>
      </c>
      <c r="C3620" s="1" t="n">
        <v>45662</v>
      </c>
      <c r="D3620" t="inlineStr">
        <is>
          <t>NORRBOTTENS LÄN</t>
        </is>
      </c>
      <c r="E3620" t="inlineStr">
        <is>
          <t>LULEÅ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69898-2021</t>
        </is>
      </c>
      <c r="B3621" s="1" t="n">
        <v>44532</v>
      </c>
      <c r="C3621" s="1" t="n">
        <v>45662</v>
      </c>
      <c r="D3621" t="inlineStr">
        <is>
          <t>NORRBOTTENS LÄN</t>
        </is>
      </c>
      <c r="E3621" t="inlineStr">
        <is>
          <t>ÖVERTORNEÅ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70321-2021</t>
        </is>
      </c>
      <c r="B3622" s="1" t="n">
        <v>44536</v>
      </c>
      <c r="C3622" s="1" t="n">
        <v>45662</v>
      </c>
      <c r="D3622" t="inlineStr">
        <is>
          <t>NORRBOTTENS LÄN</t>
        </is>
      </c>
      <c r="E3622" t="inlineStr">
        <is>
          <t>HAPARANDA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70348-2021</t>
        </is>
      </c>
      <c r="B3623" s="1" t="n">
        <v>44536</v>
      </c>
      <c r="C3623" s="1" t="n">
        <v>45662</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70334-2021</t>
        </is>
      </c>
      <c r="B3624" s="1" t="n">
        <v>44536</v>
      </c>
      <c r="C3624" s="1" t="n">
        <v>45662</v>
      </c>
      <c r="D3624" t="inlineStr">
        <is>
          <t>NORRBOTTENS LÄN</t>
        </is>
      </c>
      <c r="E3624" t="inlineStr">
        <is>
          <t>HAPARANDA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70336-2021</t>
        </is>
      </c>
      <c r="B3625" s="1" t="n">
        <v>44536</v>
      </c>
      <c r="C3625" s="1" t="n">
        <v>45662</v>
      </c>
      <c r="D3625" t="inlineStr">
        <is>
          <t>NORRBOTTENS LÄN</t>
        </is>
      </c>
      <c r="E3625" t="inlineStr">
        <is>
          <t>HAPARANDA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70415-2021</t>
        </is>
      </c>
      <c r="B3626" s="1" t="n">
        <v>44536</v>
      </c>
      <c r="C3626" s="1" t="n">
        <v>45662</v>
      </c>
      <c r="D3626" t="inlineStr">
        <is>
          <t>NORRBOTTENS LÄN</t>
        </is>
      </c>
      <c r="E3626" t="inlineStr">
        <is>
          <t>ÖVERTORNEÅ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70619-2021</t>
        </is>
      </c>
      <c r="B3627" s="1" t="n">
        <v>44536</v>
      </c>
      <c r="C3627" s="1" t="n">
        <v>45662</v>
      </c>
      <c r="D3627" t="inlineStr">
        <is>
          <t>NORRBOTTENS LÄN</t>
        </is>
      </c>
      <c r="E3627" t="inlineStr">
        <is>
          <t>PITEÅ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70413-2021</t>
        </is>
      </c>
      <c r="B3628" s="1" t="n">
        <v>44536</v>
      </c>
      <c r="C3628" s="1" t="n">
        <v>45662</v>
      </c>
      <c r="D3628" t="inlineStr">
        <is>
          <t>NORRBOTTENS LÄN</t>
        </is>
      </c>
      <c r="E3628" t="inlineStr">
        <is>
          <t>ÖVERTORNEÅ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70706-2021</t>
        </is>
      </c>
      <c r="B3629" s="1" t="n">
        <v>44536</v>
      </c>
      <c r="C3629" s="1" t="n">
        <v>45662</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70617-2021</t>
        </is>
      </c>
      <c r="B3630" s="1" t="n">
        <v>44537</v>
      </c>
      <c r="C3630" s="1" t="n">
        <v>45662</v>
      </c>
      <c r="D3630" t="inlineStr">
        <is>
          <t>NORRBOTTENS LÄN</t>
        </is>
      </c>
      <c r="E3630" t="inlineStr">
        <is>
          <t>ÖVERTORNEÅ</t>
        </is>
      </c>
      <c r="F3630" t="inlineStr">
        <is>
          <t>Kyrkan</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70865-2021</t>
        </is>
      </c>
      <c r="B3631" s="1" t="n">
        <v>44537</v>
      </c>
      <c r="C3631" s="1" t="n">
        <v>45662</v>
      </c>
      <c r="D3631" t="inlineStr">
        <is>
          <t>NORRBOTTENS LÄN</t>
        </is>
      </c>
      <c r="E3631" t="inlineStr">
        <is>
          <t>ARJEPLOG</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70956-2021</t>
        </is>
      </c>
      <c r="B3632" s="1" t="n">
        <v>44538</v>
      </c>
      <c r="C3632" s="1" t="n">
        <v>45662</v>
      </c>
      <c r="D3632" t="inlineStr">
        <is>
          <t>NORRBOTTENS LÄN</t>
        </is>
      </c>
      <c r="E3632" t="inlineStr">
        <is>
          <t>BODEN</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71287-2021</t>
        </is>
      </c>
      <c r="B3633" s="1" t="n">
        <v>44538</v>
      </c>
      <c r="C3633" s="1" t="n">
        <v>45662</v>
      </c>
      <c r="D3633" t="inlineStr">
        <is>
          <t>NORRBOTTENS LÄN</t>
        </is>
      </c>
      <c r="E3633" t="inlineStr">
        <is>
          <t>PITEÅ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71297-2021</t>
        </is>
      </c>
      <c r="B3634" s="1" t="n">
        <v>44538</v>
      </c>
      <c r="C3634" s="1" t="n">
        <v>45662</v>
      </c>
      <c r="D3634" t="inlineStr">
        <is>
          <t>NORRBOTTENS LÄN</t>
        </is>
      </c>
      <c r="E3634" t="inlineStr">
        <is>
          <t>PITEÅ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71242-2021</t>
        </is>
      </c>
      <c r="B3635" s="1" t="n">
        <v>44538</v>
      </c>
      <c r="C3635" s="1" t="n">
        <v>45662</v>
      </c>
      <c r="D3635" t="inlineStr">
        <is>
          <t>NORRBOTTENS LÄN</t>
        </is>
      </c>
      <c r="E3635" t="inlineStr">
        <is>
          <t>PITEÅ</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71283-2021</t>
        </is>
      </c>
      <c r="B3636" s="1" t="n">
        <v>44538</v>
      </c>
      <c r="C3636" s="1" t="n">
        <v>45662</v>
      </c>
      <c r="D3636" t="inlineStr">
        <is>
          <t>NORRBOTTENS LÄN</t>
        </is>
      </c>
      <c r="E3636" t="inlineStr">
        <is>
          <t>PITEÅ</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71278-2021</t>
        </is>
      </c>
      <c r="B3637" s="1" t="n">
        <v>44538</v>
      </c>
      <c r="C3637" s="1" t="n">
        <v>45662</v>
      </c>
      <c r="D3637" t="inlineStr">
        <is>
          <t>NORRBOTTENS LÄN</t>
        </is>
      </c>
      <c r="E3637" t="inlineStr">
        <is>
          <t>PITEÅ</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71381-2021</t>
        </is>
      </c>
      <c r="B3638" s="1" t="n">
        <v>44538</v>
      </c>
      <c r="C3638" s="1" t="n">
        <v>45662</v>
      </c>
      <c r="D3638" t="inlineStr">
        <is>
          <t>NORRBOTTENS LÄN</t>
        </is>
      </c>
      <c r="E3638" t="inlineStr">
        <is>
          <t>ÖVERTORNEÅ</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71294-2021</t>
        </is>
      </c>
      <c r="B3639" s="1" t="n">
        <v>44538</v>
      </c>
      <c r="C3639" s="1" t="n">
        <v>45662</v>
      </c>
      <c r="D3639" t="inlineStr">
        <is>
          <t>NORRBOTTENS LÄN</t>
        </is>
      </c>
      <c r="E3639" t="inlineStr">
        <is>
          <t>PITEÅ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71270-2021</t>
        </is>
      </c>
      <c r="B3640" s="1" t="n">
        <v>44538</v>
      </c>
      <c r="C3640" s="1" t="n">
        <v>45662</v>
      </c>
      <c r="D3640" t="inlineStr">
        <is>
          <t>NORRBOTTENS LÄN</t>
        </is>
      </c>
      <c r="E3640" t="inlineStr">
        <is>
          <t>PITEÅ</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71301-2021</t>
        </is>
      </c>
      <c r="B3641" s="1" t="n">
        <v>44538</v>
      </c>
      <c r="C3641" s="1" t="n">
        <v>45662</v>
      </c>
      <c r="D3641" t="inlineStr">
        <is>
          <t>NORRBOTTENS LÄN</t>
        </is>
      </c>
      <c r="E3641" t="inlineStr">
        <is>
          <t>PITEÅ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71368-2021</t>
        </is>
      </c>
      <c r="B3642" s="1" t="n">
        <v>44539</v>
      </c>
      <c r="C3642" s="1" t="n">
        <v>45662</v>
      </c>
      <c r="D3642" t="inlineStr">
        <is>
          <t>NORRBOTTENS LÄN</t>
        </is>
      </c>
      <c r="E3642" t="inlineStr">
        <is>
          <t>JOKKMOKK</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71369-2021</t>
        </is>
      </c>
      <c r="B3643" s="1" t="n">
        <v>44539</v>
      </c>
      <c r="C3643" s="1" t="n">
        <v>45662</v>
      </c>
      <c r="D3643" t="inlineStr">
        <is>
          <t>NORRBOTTENS LÄN</t>
        </is>
      </c>
      <c r="E3643" t="inlineStr">
        <is>
          <t>JOKKMOKK</t>
        </is>
      </c>
      <c r="F3643" t="inlineStr">
        <is>
          <t>SCA</t>
        </is>
      </c>
      <c r="G3643" t="n">
        <v>15.7</v>
      </c>
      <c r="H3643" t="n">
        <v>0</v>
      </c>
      <c r="I3643" t="n">
        <v>0</v>
      </c>
      <c r="J3643" t="n">
        <v>0</v>
      </c>
      <c r="K3643" t="n">
        <v>0</v>
      </c>
      <c r="L3643" t="n">
        <v>0</v>
      </c>
      <c r="M3643" t="n">
        <v>0</v>
      </c>
      <c r="N3643" t="n">
        <v>0</v>
      </c>
      <c r="O3643" t="n">
        <v>0</v>
      </c>
      <c r="P3643" t="n">
        <v>0</v>
      </c>
      <c r="Q3643" t="n">
        <v>0</v>
      </c>
      <c r="R3643" s="2" t="inlineStr"/>
    </row>
    <row r="3644" ht="15" customHeight="1">
      <c r="A3644" t="inlineStr">
        <is>
          <t>A 71904-2021</t>
        </is>
      </c>
      <c r="B3644" s="1" t="n">
        <v>44539</v>
      </c>
      <c r="C3644" s="1" t="n">
        <v>45662</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71370-2021</t>
        </is>
      </c>
      <c r="B3645" s="1" t="n">
        <v>44539</v>
      </c>
      <c r="C3645" s="1" t="n">
        <v>45662</v>
      </c>
      <c r="D3645" t="inlineStr">
        <is>
          <t>NORRBOTTENS LÄN</t>
        </is>
      </c>
      <c r="E3645" t="inlineStr">
        <is>
          <t>JOKKMOKK</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71371-2021</t>
        </is>
      </c>
      <c r="B3646" s="1" t="n">
        <v>44539</v>
      </c>
      <c r="C3646" s="1" t="n">
        <v>45662</v>
      </c>
      <c r="D3646" t="inlineStr">
        <is>
          <t>NORRBOTTENS LÄN</t>
        </is>
      </c>
      <c r="E3646" t="inlineStr">
        <is>
          <t>JOKKMOKK</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71487-2021</t>
        </is>
      </c>
      <c r="B3647" s="1" t="n">
        <v>44539</v>
      </c>
      <c r="C3647" s="1" t="n">
        <v>45662</v>
      </c>
      <c r="D3647" t="inlineStr">
        <is>
          <t>NORRBOTTENS LÄN</t>
        </is>
      </c>
      <c r="E3647" t="inlineStr">
        <is>
          <t>PITEÅ</t>
        </is>
      </c>
      <c r="F3647" t="inlineStr">
        <is>
          <t>Kommuner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71902-2021</t>
        </is>
      </c>
      <c r="B3648" s="1" t="n">
        <v>44539</v>
      </c>
      <c r="C3648" s="1" t="n">
        <v>45662</v>
      </c>
      <c r="D3648" t="inlineStr">
        <is>
          <t>NORRBOTTENS LÄN</t>
        </is>
      </c>
      <c r="E3648" t="inlineStr">
        <is>
          <t>ÖVERKALIX</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71402-2021</t>
        </is>
      </c>
      <c r="B3649" s="1" t="n">
        <v>44540</v>
      </c>
      <c r="C3649" s="1" t="n">
        <v>45662</v>
      </c>
      <c r="D3649" t="inlineStr">
        <is>
          <t>NORRBOTTENS LÄN</t>
        </is>
      </c>
      <c r="E3649" t="inlineStr">
        <is>
          <t>JOKKMOKK</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71446-2021</t>
        </is>
      </c>
      <c r="B3650" s="1" t="n">
        <v>44540</v>
      </c>
      <c r="C3650" s="1" t="n">
        <v>45662</v>
      </c>
      <c r="D3650" t="inlineStr">
        <is>
          <t>NORRBOTTENS LÄN</t>
        </is>
      </c>
      <c r="E3650" t="inlineStr">
        <is>
          <t>HAPARANDA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71683-2021</t>
        </is>
      </c>
      <c r="B3651" s="1" t="n">
        <v>44543</v>
      </c>
      <c r="C3651" s="1" t="n">
        <v>45662</v>
      </c>
      <c r="D3651" t="inlineStr">
        <is>
          <t>NORRBOTTENS LÄN</t>
        </is>
      </c>
      <c r="E3651" t="inlineStr">
        <is>
          <t>ARVIDSJAUR</t>
        </is>
      </c>
      <c r="F3651" t="inlineStr">
        <is>
          <t>Sveaskog</t>
        </is>
      </c>
      <c r="G3651" t="n">
        <v>17.8</v>
      </c>
      <c r="H3651" t="n">
        <v>0</v>
      </c>
      <c r="I3651" t="n">
        <v>0</v>
      </c>
      <c r="J3651" t="n">
        <v>0</v>
      </c>
      <c r="K3651" t="n">
        <v>0</v>
      </c>
      <c r="L3651" t="n">
        <v>0</v>
      </c>
      <c r="M3651" t="n">
        <v>0</v>
      </c>
      <c r="N3651" t="n">
        <v>0</v>
      </c>
      <c r="O3651" t="n">
        <v>0</v>
      </c>
      <c r="P3651" t="n">
        <v>0</v>
      </c>
      <c r="Q3651" t="n">
        <v>0</v>
      </c>
      <c r="R3651" s="2" t="inlineStr"/>
    </row>
    <row r="3652" ht="15" customHeight="1">
      <c r="A3652" t="inlineStr">
        <is>
          <t>A 71695-2021</t>
        </is>
      </c>
      <c r="B3652" s="1" t="n">
        <v>44543</v>
      </c>
      <c r="C3652" s="1" t="n">
        <v>45662</v>
      </c>
      <c r="D3652" t="inlineStr">
        <is>
          <t>NORRBOTTENS LÄN</t>
        </is>
      </c>
      <c r="E3652" t="inlineStr">
        <is>
          <t>ARVIDSJAUR</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71921-2021</t>
        </is>
      </c>
      <c r="B3653" s="1" t="n">
        <v>44543</v>
      </c>
      <c r="C3653" s="1" t="n">
        <v>45662</v>
      </c>
      <c r="D3653" t="inlineStr">
        <is>
          <t>NORRBOTTENS LÄN</t>
        </is>
      </c>
      <c r="E3653" t="inlineStr">
        <is>
          <t>JOKKMOKK</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71925-2021</t>
        </is>
      </c>
      <c r="B3654" s="1" t="n">
        <v>44543</v>
      </c>
      <c r="C3654" s="1" t="n">
        <v>45662</v>
      </c>
      <c r="D3654" t="inlineStr">
        <is>
          <t>NORRBOTTENS LÄN</t>
        </is>
      </c>
      <c r="E3654" t="inlineStr">
        <is>
          <t>ÄLVSBYN</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71932-2021</t>
        </is>
      </c>
      <c r="B3655" s="1" t="n">
        <v>44543</v>
      </c>
      <c r="C3655" s="1" t="n">
        <v>45662</v>
      </c>
      <c r="D3655" t="inlineStr">
        <is>
          <t>NORRBOTTENS LÄN</t>
        </is>
      </c>
      <c r="E3655" t="inlineStr">
        <is>
          <t>JOKKMOKK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71937-2021</t>
        </is>
      </c>
      <c r="B3656" s="1" t="n">
        <v>44543</v>
      </c>
      <c r="C3656" s="1" t="n">
        <v>45662</v>
      </c>
      <c r="D3656" t="inlineStr">
        <is>
          <t>NORRBOTTENS LÄN</t>
        </is>
      </c>
      <c r="E3656" t="inlineStr">
        <is>
          <t>JOKKMOKK</t>
        </is>
      </c>
      <c r="F3656" t="inlineStr">
        <is>
          <t>Naturvårdsverket</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71948-2021</t>
        </is>
      </c>
      <c r="B3657" s="1" t="n">
        <v>44543</v>
      </c>
      <c r="C3657" s="1" t="n">
        <v>45662</v>
      </c>
      <c r="D3657" t="inlineStr">
        <is>
          <t>NORRBOTTENS LÄN</t>
        </is>
      </c>
      <c r="E3657" t="inlineStr">
        <is>
          <t>JOKKMOKK</t>
        </is>
      </c>
      <c r="F3657" t="inlineStr">
        <is>
          <t>SCA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71955-2021</t>
        </is>
      </c>
      <c r="B3658" s="1" t="n">
        <v>44543</v>
      </c>
      <c r="C3658" s="1" t="n">
        <v>45662</v>
      </c>
      <c r="D3658" t="inlineStr">
        <is>
          <t>NORRBOTTENS LÄN</t>
        </is>
      </c>
      <c r="E3658" t="inlineStr">
        <is>
          <t>JOKKMOKK</t>
        </is>
      </c>
      <c r="F3658" t="inlineStr">
        <is>
          <t>SCA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71923-2021</t>
        </is>
      </c>
      <c r="B3659" s="1" t="n">
        <v>44543</v>
      </c>
      <c r="C3659" s="1" t="n">
        <v>45662</v>
      </c>
      <c r="D3659" t="inlineStr">
        <is>
          <t>NORRBOTTENS LÄN</t>
        </is>
      </c>
      <c r="E3659" t="inlineStr">
        <is>
          <t>ÄLVSBYN</t>
        </is>
      </c>
      <c r="F3659" t="inlineStr">
        <is>
          <t>SCA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71927-2021</t>
        </is>
      </c>
      <c r="B3660" s="1" t="n">
        <v>44543</v>
      </c>
      <c r="C3660" s="1" t="n">
        <v>45662</v>
      </c>
      <c r="D3660" t="inlineStr">
        <is>
          <t>NORRBOTTENS LÄN</t>
        </is>
      </c>
      <c r="E3660" t="inlineStr">
        <is>
          <t>JOKKMOKK</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71935-2021</t>
        </is>
      </c>
      <c r="B3661" s="1" t="n">
        <v>44543</v>
      </c>
      <c r="C3661" s="1" t="n">
        <v>45662</v>
      </c>
      <c r="D3661" t="inlineStr">
        <is>
          <t>NORRBOTTENS LÄN</t>
        </is>
      </c>
      <c r="E3661" t="inlineStr">
        <is>
          <t>PITEÅ</t>
        </is>
      </c>
      <c r="F3661" t="inlineStr">
        <is>
          <t>SCA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71940-2021</t>
        </is>
      </c>
      <c r="B3662" s="1" t="n">
        <v>44543</v>
      </c>
      <c r="C3662" s="1" t="n">
        <v>45662</v>
      </c>
      <c r="D3662" t="inlineStr">
        <is>
          <t>NORRBOTTENS LÄN</t>
        </is>
      </c>
      <c r="E3662" t="inlineStr">
        <is>
          <t>PITEÅ</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71945-2021</t>
        </is>
      </c>
      <c r="B3663" s="1" t="n">
        <v>44543</v>
      </c>
      <c r="C3663" s="1" t="n">
        <v>45662</v>
      </c>
      <c r="D3663" t="inlineStr">
        <is>
          <t>NORRBOTTENS LÄN</t>
        </is>
      </c>
      <c r="E3663" t="inlineStr">
        <is>
          <t>PITEÅ</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71953-2021</t>
        </is>
      </c>
      <c r="B3664" s="1" t="n">
        <v>44543</v>
      </c>
      <c r="C3664" s="1" t="n">
        <v>45662</v>
      </c>
      <c r="D3664" t="inlineStr">
        <is>
          <t>NORRBOTTENS LÄN</t>
        </is>
      </c>
      <c r="E3664" t="inlineStr">
        <is>
          <t>PITEÅ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71936-2021</t>
        </is>
      </c>
      <c r="B3665" s="1" t="n">
        <v>44543</v>
      </c>
      <c r="C3665" s="1" t="n">
        <v>45662</v>
      </c>
      <c r="D3665" t="inlineStr">
        <is>
          <t>NORRBOTTENS LÄN</t>
        </is>
      </c>
      <c r="E3665" t="inlineStr">
        <is>
          <t>JOKKMOKK</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71941-2021</t>
        </is>
      </c>
      <c r="B3666" s="1" t="n">
        <v>44543</v>
      </c>
      <c r="C3666" s="1" t="n">
        <v>45662</v>
      </c>
      <c r="D3666" t="inlineStr">
        <is>
          <t>NORRBOTTENS LÄN</t>
        </is>
      </c>
      <c r="E3666" t="inlineStr">
        <is>
          <t>GÄLLIVARE</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71947-2021</t>
        </is>
      </c>
      <c r="B3667" s="1" t="n">
        <v>44543</v>
      </c>
      <c r="C3667" s="1" t="n">
        <v>45662</v>
      </c>
      <c r="D3667" t="inlineStr">
        <is>
          <t>NORRBOTTENS LÄN</t>
        </is>
      </c>
      <c r="E3667" t="inlineStr">
        <is>
          <t>JOKKMOKK</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71954-2021</t>
        </is>
      </c>
      <c r="B3668" s="1" t="n">
        <v>44543</v>
      </c>
      <c r="C3668" s="1" t="n">
        <v>45662</v>
      </c>
      <c r="D3668" t="inlineStr">
        <is>
          <t>NORRBOTTENS LÄN</t>
        </is>
      </c>
      <c r="E3668" t="inlineStr">
        <is>
          <t>JOKKMOKK</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71833-2021</t>
        </is>
      </c>
      <c r="B3669" s="1" t="n">
        <v>44543</v>
      </c>
      <c r="C3669" s="1" t="n">
        <v>45662</v>
      </c>
      <c r="D3669" t="inlineStr">
        <is>
          <t>NORRBOTTENS LÄN</t>
        </is>
      </c>
      <c r="E3669" t="inlineStr">
        <is>
          <t>BODEN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71909-2021</t>
        </is>
      </c>
      <c r="B3670" s="1" t="n">
        <v>44543</v>
      </c>
      <c r="C3670" s="1" t="n">
        <v>45662</v>
      </c>
      <c r="D3670" t="inlineStr">
        <is>
          <t>NORRBOTTENS LÄN</t>
        </is>
      </c>
      <c r="E3670" t="inlineStr">
        <is>
          <t>LULEÅ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71922-2021</t>
        </is>
      </c>
      <c r="B3671" s="1" t="n">
        <v>44543</v>
      </c>
      <c r="C3671" s="1" t="n">
        <v>45662</v>
      </c>
      <c r="D3671" t="inlineStr">
        <is>
          <t>NORRBOTTENS LÄN</t>
        </is>
      </c>
      <c r="E3671" t="inlineStr">
        <is>
          <t>JOKKMOKK</t>
        </is>
      </c>
      <c r="F3671" t="inlineStr">
        <is>
          <t>SCA</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71926-2021</t>
        </is>
      </c>
      <c r="B3672" s="1" t="n">
        <v>44543</v>
      </c>
      <c r="C3672" s="1" t="n">
        <v>45662</v>
      </c>
      <c r="D3672" t="inlineStr">
        <is>
          <t>NORRBOTTENS LÄN</t>
        </is>
      </c>
      <c r="E3672" t="inlineStr">
        <is>
          <t>JOKKMOKK</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71939-2021</t>
        </is>
      </c>
      <c r="B3673" s="1" t="n">
        <v>44543</v>
      </c>
      <c r="C3673" s="1" t="n">
        <v>45662</v>
      </c>
      <c r="D3673" t="inlineStr">
        <is>
          <t>NORRBOTTENS LÄN</t>
        </is>
      </c>
      <c r="E3673" t="inlineStr">
        <is>
          <t>ÄLVSBYN</t>
        </is>
      </c>
      <c r="F3673" t="inlineStr">
        <is>
          <t>SCA</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71944-2021</t>
        </is>
      </c>
      <c r="B3674" s="1" t="n">
        <v>44543</v>
      </c>
      <c r="C3674" s="1" t="n">
        <v>45662</v>
      </c>
      <c r="D3674" t="inlineStr">
        <is>
          <t>NORRBOTTENS LÄN</t>
        </is>
      </c>
      <c r="E3674" t="inlineStr">
        <is>
          <t>JOKKMOKK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71950-2021</t>
        </is>
      </c>
      <c r="B3675" s="1" t="n">
        <v>44543</v>
      </c>
      <c r="C3675" s="1" t="n">
        <v>45662</v>
      </c>
      <c r="D3675" t="inlineStr">
        <is>
          <t>NORRBOTTENS LÄN</t>
        </is>
      </c>
      <c r="E3675" t="inlineStr">
        <is>
          <t>JOKKMOKK</t>
        </is>
      </c>
      <c r="F3675" t="inlineStr">
        <is>
          <t>Naturvårdsverket</t>
        </is>
      </c>
      <c r="G3675" t="n">
        <v>13.3</v>
      </c>
      <c r="H3675" t="n">
        <v>0</v>
      </c>
      <c r="I3675" t="n">
        <v>0</v>
      </c>
      <c r="J3675" t="n">
        <v>0</v>
      </c>
      <c r="K3675" t="n">
        <v>0</v>
      </c>
      <c r="L3675" t="n">
        <v>0</v>
      </c>
      <c r="M3675" t="n">
        <v>0</v>
      </c>
      <c r="N3675" t="n">
        <v>0</v>
      </c>
      <c r="O3675" t="n">
        <v>0</v>
      </c>
      <c r="P3675" t="n">
        <v>0</v>
      </c>
      <c r="Q3675" t="n">
        <v>0</v>
      </c>
      <c r="R3675" s="2" t="inlineStr"/>
    </row>
    <row r="3676" ht="15" customHeight="1">
      <c r="A3676" t="inlineStr">
        <is>
          <t>A 72279-2021</t>
        </is>
      </c>
      <c r="B3676" s="1" t="n">
        <v>44543</v>
      </c>
      <c r="C3676" s="1" t="n">
        <v>45662</v>
      </c>
      <c r="D3676" t="inlineStr">
        <is>
          <t>NORRBOTTENS LÄN</t>
        </is>
      </c>
      <c r="E3676" t="inlineStr">
        <is>
          <t>ARJEPLOG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72364-2021</t>
        </is>
      </c>
      <c r="B3677" s="1" t="n">
        <v>44543</v>
      </c>
      <c r="C3677" s="1" t="n">
        <v>45662</v>
      </c>
      <c r="D3677" t="inlineStr">
        <is>
          <t>NORRBOTTENS LÄN</t>
        </is>
      </c>
      <c r="E3677" t="inlineStr">
        <is>
          <t>ÖVERKALIX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72031-2021</t>
        </is>
      </c>
      <c r="B3678" s="1" t="n">
        <v>44544</v>
      </c>
      <c r="C3678" s="1" t="n">
        <v>45662</v>
      </c>
      <c r="D3678" t="inlineStr">
        <is>
          <t>NORRBOTTENS LÄN</t>
        </is>
      </c>
      <c r="E3678" t="inlineStr">
        <is>
          <t>KALIX</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72442-2021</t>
        </is>
      </c>
      <c r="B3679" s="1" t="n">
        <v>44544</v>
      </c>
      <c r="C3679" s="1" t="n">
        <v>45662</v>
      </c>
      <c r="D3679" t="inlineStr">
        <is>
          <t>NORRBOTTENS LÄN</t>
        </is>
      </c>
      <c r="E3679" t="inlineStr">
        <is>
          <t>ÖVERTORNEÅ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72242-2021</t>
        </is>
      </c>
      <c r="B3680" s="1" t="n">
        <v>44544</v>
      </c>
      <c r="C3680" s="1" t="n">
        <v>45662</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72299-2021</t>
        </is>
      </c>
      <c r="B3681" s="1" t="n">
        <v>44545</v>
      </c>
      <c r="C3681" s="1" t="n">
        <v>45662</v>
      </c>
      <c r="D3681" t="inlineStr">
        <is>
          <t>NORRBOTTENS LÄN</t>
        </is>
      </c>
      <c r="E3681" t="inlineStr">
        <is>
          <t>ÖVERTORNEÅ</t>
        </is>
      </c>
      <c r="F3681" t="inlineStr">
        <is>
          <t>Sveaskog</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72550-2021</t>
        </is>
      </c>
      <c r="B3682" s="1" t="n">
        <v>44546</v>
      </c>
      <c r="C3682" s="1" t="n">
        <v>45662</v>
      </c>
      <c r="D3682" t="inlineStr">
        <is>
          <t>NORRBOTTENS LÄN</t>
        </is>
      </c>
      <c r="E3682" t="inlineStr">
        <is>
          <t>ÖVERKALIX</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72555-2021</t>
        </is>
      </c>
      <c r="B3683" s="1" t="n">
        <v>44546</v>
      </c>
      <c r="C3683" s="1" t="n">
        <v>45662</v>
      </c>
      <c r="D3683" t="inlineStr">
        <is>
          <t>NORRBOTTENS LÄN</t>
        </is>
      </c>
      <c r="E3683" t="inlineStr">
        <is>
          <t>LULEÅ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72601-2021</t>
        </is>
      </c>
      <c r="B3684" s="1" t="n">
        <v>44546</v>
      </c>
      <c r="C3684" s="1" t="n">
        <v>45662</v>
      </c>
      <c r="D3684" t="inlineStr">
        <is>
          <t>NORRBOTTENS LÄN</t>
        </is>
      </c>
      <c r="E3684" t="inlineStr">
        <is>
          <t>ÖVERKALIX</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72616-2021</t>
        </is>
      </c>
      <c r="B3685" s="1" t="n">
        <v>44546</v>
      </c>
      <c r="C3685" s="1" t="n">
        <v>45662</v>
      </c>
      <c r="D3685" t="inlineStr">
        <is>
          <t>NORRBOTTENS LÄN</t>
        </is>
      </c>
      <c r="E3685" t="inlineStr">
        <is>
          <t>ÖVERKALIX</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72623-2021</t>
        </is>
      </c>
      <c r="B3686" s="1" t="n">
        <v>44546</v>
      </c>
      <c r="C3686" s="1" t="n">
        <v>45662</v>
      </c>
      <c r="D3686" t="inlineStr">
        <is>
          <t>NORRBOTTENS LÄN</t>
        </is>
      </c>
      <c r="E3686" t="inlineStr">
        <is>
          <t>ÖVERKALIX</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72752-2021</t>
        </is>
      </c>
      <c r="B3687" s="1" t="n">
        <v>44546</v>
      </c>
      <c r="C3687" s="1" t="n">
        <v>45662</v>
      </c>
      <c r="D3687" t="inlineStr">
        <is>
          <t>NORRBOTTENS LÄN</t>
        </is>
      </c>
      <c r="E3687" t="inlineStr">
        <is>
          <t>LULEÅ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72756-2021</t>
        </is>
      </c>
      <c r="B3688" s="1" t="n">
        <v>44546</v>
      </c>
      <c r="C3688" s="1" t="n">
        <v>45662</v>
      </c>
      <c r="D3688" t="inlineStr">
        <is>
          <t>NORRBOTTENS LÄN</t>
        </is>
      </c>
      <c r="E3688" t="inlineStr">
        <is>
          <t>LULEÅ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72762-2021</t>
        </is>
      </c>
      <c r="B3689" s="1" t="n">
        <v>44546</v>
      </c>
      <c r="C3689" s="1" t="n">
        <v>45662</v>
      </c>
      <c r="D3689" t="inlineStr">
        <is>
          <t>NORRBOTTENS LÄN</t>
        </is>
      </c>
      <c r="E3689" t="inlineStr">
        <is>
          <t>GÄLLIVARE</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72809-2021</t>
        </is>
      </c>
      <c r="B3690" s="1" t="n">
        <v>44546</v>
      </c>
      <c r="C3690" s="1" t="n">
        <v>45662</v>
      </c>
      <c r="D3690" t="inlineStr">
        <is>
          <t>NORRBOTTENS LÄN</t>
        </is>
      </c>
      <c r="E3690" t="inlineStr">
        <is>
          <t>ÖVERKALIX</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72877-2021</t>
        </is>
      </c>
      <c r="B3691" s="1" t="n">
        <v>44547</v>
      </c>
      <c r="C3691" s="1" t="n">
        <v>45662</v>
      </c>
      <c r="D3691" t="inlineStr">
        <is>
          <t>NORRBOTTENS LÄN</t>
        </is>
      </c>
      <c r="E3691" t="inlineStr">
        <is>
          <t>ÖVERKALIX</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72951-2021</t>
        </is>
      </c>
      <c r="B3692" s="1" t="n">
        <v>44547</v>
      </c>
      <c r="C3692" s="1" t="n">
        <v>45662</v>
      </c>
      <c r="D3692" t="inlineStr">
        <is>
          <t>NORRBOTTENS LÄN</t>
        </is>
      </c>
      <c r="E3692" t="inlineStr">
        <is>
          <t>ÄLVSBYN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72919-2021</t>
        </is>
      </c>
      <c r="B3693" s="1" t="n">
        <v>44547</v>
      </c>
      <c r="C3693" s="1" t="n">
        <v>45662</v>
      </c>
      <c r="D3693" t="inlineStr">
        <is>
          <t>NORRBOTTENS LÄN</t>
        </is>
      </c>
      <c r="E3693" t="inlineStr">
        <is>
          <t>LULEÅ</t>
        </is>
      </c>
      <c r="F3693" t="inlineStr">
        <is>
          <t>Övriga Aktiebolag</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73216-2021</t>
        </is>
      </c>
      <c r="B3694" s="1" t="n">
        <v>44547</v>
      </c>
      <c r="C3694" s="1" t="n">
        <v>45662</v>
      </c>
      <c r="D3694" t="inlineStr">
        <is>
          <t>NORRBOTTENS LÄN</t>
        </is>
      </c>
      <c r="E3694" t="inlineStr">
        <is>
          <t>ÖVERKALIX</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72927-2021</t>
        </is>
      </c>
      <c r="B3695" s="1" t="n">
        <v>44547</v>
      </c>
      <c r="C3695" s="1" t="n">
        <v>45662</v>
      </c>
      <c r="D3695" t="inlineStr">
        <is>
          <t>NORRBOTTENS LÄN</t>
        </is>
      </c>
      <c r="E3695" t="inlineStr">
        <is>
          <t>PITEÅ</t>
        </is>
      </c>
      <c r="F3695" t="inlineStr">
        <is>
          <t>Övriga Aktiebolag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73221-2021</t>
        </is>
      </c>
      <c r="B3696" s="1" t="n">
        <v>44547</v>
      </c>
      <c r="C3696" s="1" t="n">
        <v>45662</v>
      </c>
      <c r="D3696" t="inlineStr">
        <is>
          <t>NORRBOTTENS LÄN</t>
        </is>
      </c>
      <c r="E3696" t="inlineStr">
        <is>
          <t>ÖVERKALIX</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73128-2021</t>
        </is>
      </c>
      <c r="B3697" s="1" t="n">
        <v>44547</v>
      </c>
      <c r="C3697" s="1" t="n">
        <v>45662</v>
      </c>
      <c r="D3697" t="inlineStr">
        <is>
          <t>NORRBOTTENS LÄN</t>
        </is>
      </c>
      <c r="E3697" t="inlineStr">
        <is>
          <t>PAJALA</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73026-2021</t>
        </is>
      </c>
      <c r="B3698" s="1" t="n">
        <v>44550</v>
      </c>
      <c r="C3698" s="1" t="n">
        <v>45662</v>
      </c>
      <c r="D3698" t="inlineStr">
        <is>
          <t>NORRBOTTENS LÄN</t>
        </is>
      </c>
      <c r="E3698" t="inlineStr">
        <is>
          <t>PITEÅ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73341-2021</t>
        </is>
      </c>
      <c r="B3699" s="1" t="n">
        <v>44550</v>
      </c>
      <c r="C3699" s="1" t="n">
        <v>45662</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73337-2021</t>
        </is>
      </c>
      <c r="B3700" s="1" t="n">
        <v>44550</v>
      </c>
      <c r="C3700" s="1" t="n">
        <v>45662</v>
      </c>
      <c r="D3700" t="inlineStr">
        <is>
          <t>NORRBOTTENS LÄN</t>
        </is>
      </c>
      <c r="E3700" t="inlineStr">
        <is>
          <t>GÄLLIVARE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73400-2021</t>
        </is>
      </c>
      <c r="B3701" s="1" t="n">
        <v>44550</v>
      </c>
      <c r="C3701" s="1" t="n">
        <v>45662</v>
      </c>
      <c r="D3701" t="inlineStr">
        <is>
          <t>NORRBOTTENS LÄN</t>
        </is>
      </c>
      <c r="E3701" t="inlineStr">
        <is>
          <t>PITEÅ</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73645-2021</t>
        </is>
      </c>
      <c r="B3702" s="1" t="n">
        <v>44550</v>
      </c>
      <c r="C3702" s="1" t="n">
        <v>45662</v>
      </c>
      <c r="D3702" t="inlineStr">
        <is>
          <t>NORRBOTTENS LÄN</t>
        </is>
      </c>
      <c r="E3702" t="inlineStr">
        <is>
          <t>LULEÅ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73180-2021</t>
        </is>
      </c>
      <c r="B3703" s="1" t="n">
        <v>44550</v>
      </c>
      <c r="C3703" s="1" t="n">
        <v>45662</v>
      </c>
      <c r="D3703" t="inlineStr">
        <is>
          <t>NORRBOTTENS LÄN</t>
        </is>
      </c>
      <c r="E3703" t="inlineStr">
        <is>
          <t>PAJALA</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73335-2021</t>
        </is>
      </c>
      <c r="B3704" s="1" t="n">
        <v>44550</v>
      </c>
      <c r="C3704" s="1" t="n">
        <v>45662</v>
      </c>
      <c r="D3704" t="inlineStr">
        <is>
          <t>NORRBOTTENS LÄN</t>
        </is>
      </c>
      <c r="E3704" t="inlineStr">
        <is>
          <t>GÄLLIVARE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73348-2021</t>
        </is>
      </c>
      <c r="B3705" s="1" t="n">
        <v>44550</v>
      </c>
      <c r="C3705" s="1" t="n">
        <v>45662</v>
      </c>
      <c r="D3705" t="inlineStr">
        <is>
          <t>NORRBOTTENS LÄN</t>
        </is>
      </c>
      <c r="E3705" t="inlineStr">
        <is>
          <t>ÖVERKALIX</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73393-2021</t>
        </is>
      </c>
      <c r="B3706" s="1" t="n">
        <v>44550</v>
      </c>
      <c r="C3706" s="1" t="n">
        <v>45662</v>
      </c>
      <c r="D3706" t="inlineStr">
        <is>
          <t>NORRBOTTENS LÄN</t>
        </is>
      </c>
      <c r="E3706" t="inlineStr">
        <is>
          <t>JOKKMOKK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73539-2021</t>
        </is>
      </c>
      <c r="B3707" s="1" t="n">
        <v>44550</v>
      </c>
      <c r="C3707" s="1" t="n">
        <v>45662</v>
      </c>
      <c r="D3707" t="inlineStr">
        <is>
          <t>NORRBOTTENS LÄN</t>
        </is>
      </c>
      <c r="E3707" t="inlineStr">
        <is>
          <t>LULEÅ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73353-2021</t>
        </is>
      </c>
      <c r="B3708" s="1" t="n">
        <v>44551</v>
      </c>
      <c r="C3708" s="1" t="n">
        <v>45662</v>
      </c>
      <c r="D3708" t="inlineStr">
        <is>
          <t>NORRBOTTENS LÄN</t>
        </is>
      </c>
      <c r="E3708" t="inlineStr">
        <is>
          <t>GÄLLIVARE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73488-2021</t>
        </is>
      </c>
      <c r="B3709" s="1" t="n">
        <v>44551</v>
      </c>
      <c r="C3709" s="1" t="n">
        <v>45662</v>
      </c>
      <c r="D3709" t="inlineStr">
        <is>
          <t>NORRBOTTENS LÄN</t>
        </is>
      </c>
      <c r="E3709" t="inlineStr">
        <is>
          <t>ARVIDSJAUR</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73490-2021</t>
        </is>
      </c>
      <c r="B3710" s="1" t="n">
        <v>44551</v>
      </c>
      <c r="C3710" s="1" t="n">
        <v>45662</v>
      </c>
      <c r="D3710" t="inlineStr">
        <is>
          <t>NORRBOTTENS LÄN</t>
        </is>
      </c>
      <c r="E3710" t="inlineStr">
        <is>
          <t>ARVIDSJAUR</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73757-2021</t>
        </is>
      </c>
      <c r="B3711" s="1" t="n">
        <v>44551</v>
      </c>
      <c r="C3711" s="1" t="n">
        <v>45662</v>
      </c>
      <c r="D3711" t="inlineStr">
        <is>
          <t>NORRBOTTENS LÄN</t>
        </is>
      </c>
      <c r="E3711" t="inlineStr">
        <is>
          <t>ÖVERKALIX</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73605-2021</t>
        </is>
      </c>
      <c r="B3712" s="1" t="n">
        <v>44551</v>
      </c>
      <c r="C3712" s="1" t="n">
        <v>45662</v>
      </c>
      <c r="D3712" t="inlineStr">
        <is>
          <t>NORRBOTTENS LÄN</t>
        </is>
      </c>
      <c r="E3712" t="inlineStr">
        <is>
          <t>ÖVERTORNEÅ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73603-2021</t>
        </is>
      </c>
      <c r="B3713" s="1" t="n">
        <v>44551</v>
      </c>
      <c r="C3713" s="1" t="n">
        <v>45662</v>
      </c>
      <c r="D3713" t="inlineStr">
        <is>
          <t>NORRBOTTENS LÄN</t>
        </is>
      </c>
      <c r="E3713" t="inlineStr">
        <is>
          <t>ÖVERTORNEÅ</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73759-2021</t>
        </is>
      </c>
      <c r="B3714" s="1" t="n">
        <v>44551</v>
      </c>
      <c r="C3714" s="1" t="n">
        <v>45662</v>
      </c>
      <c r="D3714" t="inlineStr">
        <is>
          <t>NORRBOTTENS LÄN</t>
        </is>
      </c>
      <c r="E3714" t="inlineStr">
        <is>
          <t>ÖVERKALIX</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73589-2021</t>
        </is>
      </c>
      <c r="B3715" s="1" t="n">
        <v>44552</v>
      </c>
      <c r="C3715" s="1" t="n">
        <v>45662</v>
      </c>
      <c r="D3715" t="inlineStr">
        <is>
          <t>NORRBOTTENS LÄN</t>
        </is>
      </c>
      <c r="E3715" t="inlineStr">
        <is>
          <t>ÄLVSBYN</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73648-2021</t>
        </is>
      </c>
      <c r="B3716" s="1" t="n">
        <v>44552</v>
      </c>
      <c r="C3716" s="1" t="n">
        <v>45662</v>
      </c>
      <c r="D3716" t="inlineStr">
        <is>
          <t>NORRBOTTENS LÄN</t>
        </is>
      </c>
      <c r="E3716" t="inlineStr">
        <is>
          <t>ÄLVSBYN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73616-2021</t>
        </is>
      </c>
      <c r="B3717" s="1" t="n">
        <v>44552</v>
      </c>
      <c r="C3717" s="1" t="n">
        <v>45662</v>
      </c>
      <c r="D3717" t="inlineStr">
        <is>
          <t>NORRBOTTENS LÄN</t>
        </is>
      </c>
      <c r="E3717" t="inlineStr">
        <is>
          <t>ÄLVSBYN</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73713-2021</t>
        </is>
      </c>
      <c r="B3718" s="1" t="n">
        <v>44552</v>
      </c>
      <c r="C3718" s="1" t="n">
        <v>45662</v>
      </c>
      <c r="D3718" t="inlineStr">
        <is>
          <t>NORRBOTTENS LÄN</t>
        </is>
      </c>
      <c r="E3718" t="inlineStr">
        <is>
          <t>PAJALA</t>
        </is>
      </c>
      <c r="F3718" t="inlineStr">
        <is>
          <t>Sveaskog</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73880-2021</t>
        </is>
      </c>
      <c r="B3719" s="1" t="n">
        <v>44552</v>
      </c>
      <c r="C3719" s="1" t="n">
        <v>45662</v>
      </c>
      <c r="D3719" t="inlineStr">
        <is>
          <t>NORRBOTTENS LÄN</t>
        </is>
      </c>
      <c r="E3719" t="inlineStr">
        <is>
          <t>ARJEPLOG</t>
        </is>
      </c>
      <c r="G3719" t="n">
        <v>11.2</v>
      </c>
      <c r="H3719" t="n">
        <v>0</v>
      </c>
      <c r="I3719" t="n">
        <v>0</v>
      </c>
      <c r="J3719" t="n">
        <v>0</v>
      </c>
      <c r="K3719" t="n">
        <v>0</v>
      </c>
      <c r="L3719" t="n">
        <v>0</v>
      </c>
      <c r="M3719" t="n">
        <v>0</v>
      </c>
      <c r="N3719" t="n">
        <v>0</v>
      </c>
      <c r="O3719" t="n">
        <v>0</v>
      </c>
      <c r="P3719" t="n">
        <v>0</v>
      </c>
      <c r="Q3719" t="n">
        <v>0</v>
      </c>
      <c r="R3719" s="2" t="inlineStr"/>
    </row>
    <row r="3720" ht="15" customHeight="1">
      <c r="A3720" t="inlineStr">
        <is>
          <t>A 73716-2021</t>
        </is>
      </c>
      <c r="B3720" s="1" t="n">
        <v>44552</v>
      </c>
      <c r="C3720" s="1" t="n">
        <v>45662</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73774-2021</t>
        </is>
      </c>
      <c r="B3721" s="1" t="n">
        <v>44552</v>
      </c>
      <c r="C3721" s="1" t="n">
        <v>45662</v>
      </c>
      <c r="D3721" t="inlineStr">
        <is>
          <t>NORRBOTTENS LÄN</t>
        </is>
      </c>
      <c r="E3721" t="inlineStr">
        <is>
          <t>ÄLVSBYN</t>
        </is>
      </c>
      <c r="F3721" t="inlineStr">
        <is>
          <t>Sveaskog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73782-2021</t>
        </is>
      </c>
      <c r="B3722" s="1" t="n">
        <v>44552</v>
      </c>
      <c r="C3722" s="1" t="n">
        <v>45662</v>
      </c>
      <c r="D3722" t="inlineStr">
        <is>
          <t>NORRBOTTENS LÄN</t>
        </is>
      </c>
      <c r="E3722" t="inlineStr">
        <is>
          <t>ARVIDSJAUR</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73907-2021</t>
        </is>
      </c>
      <c r="B3723" s="1" t="n">
        <v>44552</v>
      </c>
      <c r="C3723" s="1" t="n">
        <v>45662</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73910-2021</t>
        </is>
      </c>
      <c r="B3724" s="1" t="n">
        <v>44552</v>
      </c>
      <c r="C3724" s="1" t="n">
        <v>45662</v>
      </c>
      <c r="D3724" t="inlineStr">
        <is>
          <t>NORRBOTTENS LÄN</t>
        </is>
      </c>
      <c r="E3724" t="inlineStr">
        <is>
          <t>BODEN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73905-2021</t>
        </is>
      </c>
      <c r="B3725" s="1" t="n">
        <v>44552</v>
      </c>
      <c r="C3725" s="1" t="n">
        <v>45662</v>
      </c>
      <c r="D3725" t="inlineStr">
        <is>
          <t>NORRBOTTENS LÄN</t>
        </is>
      </c>
      <c r="E3725" t="inlineStr">
        <is>
          <t>LULEÅ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74231-2021</t>
        </is>
      </c>
      <c r="B3726" s="1" t="n">
        <v>44553</v>
      </c>
      <c r="C3726" s="1" t="n">
        <v>45662</v>
      </c>
      <c r="D3726" t="inlineStr">
        <is>
          <t>NORRBOTTENS LÄN</t>
        </is>
      </c>
      <c r="E3726" t="inlineStr">
        <is>
          <t>ÖVERTORNEÅ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74228-2021</t>
        </is>
      </c>
      <c r="B3727" s="1" t="n">
        <v>44553</v>
      </c>
      <c r="C3727" s="1" t="n">
        <v>45662</v>
      </c>
      <c r="D3727" t="inlineStr">
        <is>
          <t>NORRBOTTENS LÄN</t>
        </is>
      </c>
      <c r="E3727" t="inlineStr">
        <is>
          <t>ÖVERTORNEÅ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74232-2021</t>
        </is>
      </c>
      <c r="B3728" s="1" t="n">
        <v>44553</v>
      </c>
      <c r="C3728" s="1" t="n">
        <v>45662</v>
      </c>
      <c r="D3728" t="inlineStr">
        <is>
          <t>NORRBOTTENS LÄN</t>
        </is>
      </c>
      <c r="E3728" t="inlineStr">
        <is>
          <t>ÖVERTORNEÅ</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74235-2021</t>
        </is>
      </c>
      <c r="B3729" s="1" t="n">
        <v>44553</v>
      </c>
      <c r="C3729" s="1" t="n">
        <v>45662</v>
      </c>
      <c r="D3729" t="inlineStr">
        <is>
          <t>NORRBOTTENS LÄN</t>
        </is>
      </c>
      <c r="E3729" t="inlineStr">
        <is>
          <t>ÖVERTORNEÅ</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74057-2021</t>
        </is>
      </c>
      <c r="B3730" s="1" t="n">
        <v>44557</v>
      </c>
      <c r="C3730" s="1" t="n">
        <v>45662</v>
      </c>
      <c r="D3730" t="inlineStr">
        <is>
          <t>NORRBOTTENS LÄN</t>
        </is>
      </c>
      <c r="E3730" t="inlineStr">
        <is>
          <t>ÖVERTORNEÅ</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74158-2021</t>
        </is>
      </c>
      <c r="B3731" s="1" t="n">
        <v>44557</v>
      </c>
      <c r="C3731" s="1" t="n">
        <v>45662</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74163-2021</t>
        </is>
      </c>
      <c r="B3732" s="1" t="n">
        <v>44557</v>
      </c>
      <c r="C3732" s="1" t="n">
        <v>45662</v>
      </c>
      <c r="D3732" t="inlineStr">
        <is>
          <t>NORRBOTTENS LÄN</t>
        </is>
      </c>
      <c r="E3732" t="inlineStr">
        <is>
          <t>ÖVERTORNEÅ</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74264-2021</t>
        </is>
      </c>
      <c r="B3733" s="1" t="n">
        <v>44558</v>
      </c>
      <c r="C3733" s="1" t="n">
        <v>45662</v>
      </c>
      <c r="D3733" t="inlineStr">
        <is>
          <t>NORRBOTTENS LÄN</t>
        </is>
      </c>
      <c r="E3733" t="inlineStr">
        <is>
          <t>BODEN</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74440-2021</t>
        </is>
      </c>
      <c r="B3734" s="1" t="n">
        <v>44558</v>
      </c>
      <c r="C3734" s="1" t="n">
        <v>45662</v>
      </c>
      <c r="D3734" t="inlineStr">
        <is>
          <t>NORRBOTTENS LÄN</t>
        </is>
      </c>
      <c r="E3734" t="inlineStr">
        <is>
          <t>LULEÅ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74441-2021</t>
        </is>
      </c>
      <c r="B3735" s="1" t="n">
        <v>44558</v>
      </c>
      <c r="C3735" s="1" t="n">
        <v>45662</v>
      </c>
      <c r="D3735" t="inlineStr">
        <is>
          <t>NORRBOTTENS LÄN</t>
        </is>
      </c>
      <c r="E3735" t="inlineStr">
        <is>
          <t>LULEÅ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74276-2021</t>
        </is>
      </c>
      <c r="B3736" s="1" t="n">
        <v>44558</v>
      </c>
      <c r="C3736" s="1" t="n">
        <v>45662</v>
      </c>
      <c r="D3736" t="inlineStr">
        <is>
          <t>NORRBOTTENS LÄN</t>
        </is>
      </c>
      <c r="E3736" t="inlineStr">
        <is>
          <t>LULEÅ</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74437-2021</t>
        </is>
      </c>
      <c r="B3737" s="1" t="n">
        <v>44558</v>
      </c>
      <c r="C3737" s="1" t="n">
        <v>45662</v>
      </c>
      <c r="D3737" t="inlineStr">
        <is>
          <t>NORRBOTTENS LÄN</t>
        </is>
      </c>
      <c r="E3737" t="inlineStr">
        <is>
          <t>LULEÅ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74274-2021</t>
        </is>
      </c>
      <c r="B3738" s="1" t="n">
        <v>44558</v>
      </c>
      <c r="C3738" s="1" t="n">
        <v>45662</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74433-2021</t>
        </is>
      </c>
      <c r="B3739" s="1" t="n">
        <v>44558</v>
      </c>
      <c r="C3739" s="1" t="n">
        <v>45662</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74445-2021</t>
        </is>
      </c>
      <c r="B3740" s="1" t="n">
        <v>44558</v>
      </c>
      <c r="C3740" s="1" t="n">
        <v>45662</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225-2022</t>
        </is>
      </c>
      <c r="B3741" s="1" t="n">
        <v>44564</v>
      </c>
      <c r="C3741" s="1" t="n">
        <v>45662</v>
      </c>
      <c r="D3741" t="inlineStr">
        <is>
          <t>NORRBOTTENS LÄN</t>
        </is>
      </c>
      <c r="E3741" t="inlineStr">
        <is>
          <t>KIRUNA</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313-2022</t>
        </is>
      </c>
      <c r="B3742" s="1" t="n">
        <v>44564</v>
      </c>
      <c r="C3742" s="1" t="n">
        <v>45662</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434-2022</t>
        </is>
      </c>
      <c r="B3743" s="1" t="n">
        <v>44565</v>
      </c>
      <c r="C3743" s="1" t="n">
        <v>45662</v>
      </c>
      <c r="D3743" t="inlineStr">
        <is>
          <t>NORRBOTTENS LÄN</t>
        </is>
      </c>
      <c r="E3743" t="inlineStr">
        <is>
          <t>LULEÅ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433-2022</t>
        </is>
      </c>
      <c r="B3744" s="1" t="n">
        <v>44565</v>
      </c>
      <c r="C3744" s="1" t="n">
        <v>45662</v>
      </c>
      <c r="D3744" t="inlineStr">
        <is>
          <t>NORRBOTTENS LÄN</t>
        </is>
      </c>
      <c r="E3744" t="inlineStr">
        <is>
          <t>LULEÅ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432-2022</t>
        </is>
      </c>
      <c r="B3745" s="1" t="n">
        <v>44565</v>
      </c>
      <c r="C3745" s="1" t="n">
        <v>45662</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452-2022</t>
        </is>
      </c>
      <c r="B3746" s="1" t="n">
        <v>44565</v>
      </c>
      <c r="C3746" s="1" t="n">
        <v>45662</v>
      </c>
      <c r="D3746" t="inlineStr">
        <is>
          <t>NORRBOTTENS LÄN</t>
        </is>
      </c>
      <c r="E3746" t="inlineStr">
        <is>
          <t>BODEN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467-2022</t>
        </is>
      </c>
      <c r="B3747" s="1" t="n">
        <v>44565</v>
      </c>
      <c r="C3747" s="1" t="n">
        <v>45662</v>
      </c>
      <c r="D3747" t="inlineStr">
        <is>
          <t>NORRBOTTENS LÄN</t>
        </is>
      </c>
      <c r="E3747" t="inlineStr">
        <is>
          <t>BODEN</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446-2022</t>
        </is>
      </c>
      <c r="B3748" s="1" t="n">
        <v>44565</v>
      </c>
      <c r="C3748" s="1" t="n">
        <v>45662</v>
      </c>
      <c r="D3748" t="inlineStr">
        <is>
          <t>NORRBOTTENS LÄN</t>
        </is>
      </c>
      <c r="E3748" t="inlineStr">
        <is>
          <t>BODEN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588-2022</t>
        </is>
      </c>
      <c r="B3749" s="1" t="n">
        <v>44566</v>
      </c>
      <c r="C3749" s="1" t="n">
        <v>45662</v>
      </c>
      <c r="D3749" t="inlineStr">
        <is>
          <t>NORRBOTTENS LÄN</t>
        </is>
      </c>
      <c r="E3749" t="inlineStr">
        <is>
          <t>GÄLLIVARE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706-2022</t>
        </is>
      </c>
      <c r="B3750" s="1" t="n">
        <v>44566</v>
      </c>
      <c r="C3750" s="1" t="n">
        <v>45662</v>
      </c>
      <c r="D3750" t="inlineStr">
        <is>
          <t>NORRBOTTENS LÄN</t>
        </is>
      </c>
      <c r="E3750" t="inlineStr">
        <is>
          <t>BODEN</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710-2022</t>
        </is>
      </c>
      <c r="B3751" s="1" t="n">
        <v>44566</v>
      </c>
      <c r="C3751" s="1" t="n">
        <v>45662</v>
      </c>
      <c r="D3751" t="inlineStr">
        <is>
          <t>NORRBOTTENS LÄN</t>
        </is>
      </c>
      <c r="E3751" t="inlineStr">
        <is>
          <t>BODEN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711-2022</t>
        </is>
      </c>
      <c r="B3752" s="1" t="n">
        <v>44566</v>
      </c>
      <c r="C3752" s="1" t="n">
        <v>45662</v>
      </c>
      <c r="D3752" t="inlineStr">
        <is>
          <t>NORRBOTTENS LÄN</t>
        </is>
      </c>
      <c r="E3752" t="inlineStr">
        <is>
          <t>BODEN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714-2022</t>
        </is>
      </c>
      <c r="B3753" s="1" t="n">
        <v>44566</v>
      </c>
      <c r="C3753" s="1" t="n">
        <v>45662</v>
      </c>
      <c r="D3753" t="inlineStr">
        <is>
          <t>NORRBOTTENS LÄN</t>
        </is>
      </c>
      <c r="E3753" t="inlineStr">
        <is>
          <t>BODEN</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708-2022</t>
        </is>
      </c>
      <c r="B3754" s="1" t="n">
        <v>44566</v>
      </c>
      <c r="C3754" s="1" t="n">
        <v>45662</v>
      </c>
      <c r="D3754" t="inlineStr">
        <is>
          <t>NORRBOTTENS LÄN</t>
        </is>
      </c>
      <c r="E3754" t="inlineStr">
        <is>
          <t>BODEN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674-2022</t>
        </is>
      </c>
      <c r="B3755" s="1" t="n">
        <v>44568</v>
      </c>
      <c r="C3755" s="1" t="n">
        <v>45662</v>
      </c>
      <c r="D3755" t="inlineStr">
        <is>
          <t>NORRBOTTENS LÄN</t>
        </is>
      </c>
      <c r="E3755" t="inlineStr">
        <is>
          <t>PAJALA</t>
        </is>
      </c>
      <c r="G3755" t="n">
        <v>19.5</v>
      </c>
      <c r="H3755" t="n">
        <v>0</v>
      </c>
      <c r="I3755" t="n">
        <v>0</v>
      </c>
      <c r="J3755" t="n">
        <v>0</v>
      </c>
      <c r="K3755" t="n">
        <v>0</v>
      </c>
      <c r="L3755" t="n">
        <v>0</v>
      </c>
      <c r="M3755" t="n">
        <v>0</v>
      </c>
      <c r="N3755" t="n">
        <v>0</v>
      </c>
      <c r="O3755" t="n">
        <v>0</v>
      </c>
      <c r="P3755" t="n">
        <v>0</v>
      </c>
      <c r="Q3755" t="n">
        <v>0</v>
      </c>
      <c r="R3755" s="2" t="inlineStr"/>
    </row>
    <row r="3756" ht="15" customHeight="1">
      <c r="A3756" t="inlineStr">
        <is>
          <t>A 718-2022</t>
        </is>
      </c>
      <c r="B3756" s="1" t="n">
        <v>44568</v>
      </c>
      <c r="C3756" s="1" t="n">
        <v>45662</v>
      </c>
      <c r="D3756" t="inlineStr">
        <is>
          <t>NORRBOTTENS LÄN</t>
        </is>
      </c>
      <c r="E3756" t="inlineStr">
        <is>
          <t>BODEN</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690-2022</t>
        </is>
      </c>
      <c r="B3757" s="1" t="n">
        <v>44568</v>
      </c>
      <c r="C3757" s="1" t="n">
        <v>45662</v>
      </c>
      <c r="D3757" t="inlineStr">
        <is>
          <t>NORRBOTTENS LÄN</t>
        </is>
      </c>
      <c r="E3757" t="inlineStr">
        <is>
          <t>KALIX</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684-2022</t>
        </is>
      </c>
      <c r="B3758" s="1" t="n">
        <v>44568</v>
      </c>
      <c r="C3758" s="1" t="n">
        <v>45662</v>
      </c>
      <c r="D3758" t="inlineStr">
        <is>
          <t>NORRBOTTENS LÄN</t>
        </is>
      </c>
      <c r="E3758" t="inlineStr">
        <is>
          <t>PAJALA</t>
        </is>
      </c>
      <c r="G3758" t="n">
        <v>20.5</v>
      </c>
      <c r="H3758" t="n">
        <v>0</v>
      </c>
      <c r="I3758" t="n">
        <v>0</v>
      </c>
      <c r="J3758" t="n">
        <v>0</v>
      </c>
      <c r="K3758" t="n">
        <v>0</v>
      </c>
      <c r="L3758" t="n">
        <v>0</v>
      </c>
      <c r="M3758" t="n">
        <v>0</v>
      </c>
      <c r="N3758" t="n">
        <v>0</v>
      </c>
      <c r="O3758" t="n">
        <v>0</v>
      </c>
      <c r="P3758" t="n">
        <v>0</v>
      </c>
      <c r="Q3758" t="n">
        <v>0</v>
      </c>
      <c r="R3758" s="2" t="inlineStr"/>
    </row>
    <row r="3759" ht="15" customHeight="1">
      <c r="A3759" t="inlineStr">
        <is>
          <t>A 694-2022</t>
        </is>
      </c>
      <c r="B3759" s="1" t="n">
        <v>44568</v>
      </c>
      <c r="C3759" s="1" t="n">
        <v>45662</v>
      </c>
      <c r="D3759" t="inlineStr">
        <is>
          <t>NORRBOTTENS LÄN</t>
        </is>
      </c>
      <c r="E3759" t="inlineStr">
        <is>
          <t>KALIX</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890-2022</t>
        </is>
      </c>
      <c r="B3760" s="1" t="n">
        <v>44568</v>
      </c>
      <c r="C3760" s="1" t="n">
        <v>45662</v>
      </c>
      <c r="D3760" t="inlineStr">
        <is>
          <t>NORRBOTTENS LÄN</t>
        </is>
      </c>
      <c r="E3760" t="inlineStr">
        <is>
          <t>HAPARANDA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810-2022</t>
        </is>
      </c>
      <c r="B3761" s="1" t="n">
        <v>44571</v>
      </c>
      <c r="C3761" s="1" t="n">
        <v>45662</v>
      </c>
      <c r="D3761" t="inlineStr">
        <is>
          <t>NORRBOTTENS LÄN</t>
        </is>
      </c>
      <c r="E3761" t="inlineStr">
        <is>
          <t>PITEÅ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1052-2022</t>
        </is>
      </c>
      <c r="B3762" s="1" t="n">
        <v>44571</v>
      </c>
      <c r="C3762" s="1" t="n">
        <v>45662</v>
      </c>
      <c r="D3762" t="inlineStr">
        <is>
          <t>NORRBOTTENS LÄN</t>
        </is>
      </c>
      <c r="E3762" t="inlineStr">
        <is>
          <t>HAPARANDA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1091-2022</t>
        </is>
      </c>
      <c r="B3763" s="1" t="n">
        <v>44571</v>
      </c>
      <c r="C3763" s="1" t="n">
        <v>45662</v>
      </c>
      <c r="D3763" t="inlineStr">
        <is>
          <t>NORRBOTTENS LÄN</t>
        </is>
      </c>
      <c r="E3763" t="inlineStr">
        <is>
          <t>ÖVERTORNEÅ</t>
        </is>
      </c>
      <c r="G3763" t="n">
        <v>10.7</v>
      </c>
      <c r="H3763" t="n">
        <v>0</v>
      </c>
      <c r="I3763" t="n">
        <v>0</v>
      </c>
      <c r="J3763" t="n">
        <v>0</v>
      </c>
      <c r="K3763" t="n">
        <v>0</v>
      </c>
      <c r="L3763" t="n">
        <v>0</v>
      </c>
      <c r="M3763" t="n">
        <v>0</v>
      </c>
      <c r="N3763" t="n">
        <v>0</v>
      </c>
      <c r="O3763" t="n">
        <v>0</v>
      </c>
      <c r="P3763" t="n">
        <v>0</v>
      </c>
      <c r="Q3763" t="n">
        <v>0</v>
      </c>
      <c r="R3763" s="2" t="inlineStr"/>
    </row>
    <row r="3764" ht="15" customHeight="1">
      <c r="A3764" t="inlineStr">
        <is>
          <t>A 1092-2022</t>
        </is>
      </c>
      <c r="B3764" s="1" t="n">
        <v>44571</v>
      </c>
      <c r="C3764" s="1" t="n">
        <v>45662</v>
      </c>
      <c r="D3764" t="inlineStr">
        <is>
          <t>NORRBOTTENS LÄN</t>
        </is>
      </c>
      <c r="E3764" t="inlineStr">
        <is>
          <t>ÖVERTORNEÅ</t>
        </is>
      </c>
      <c r="G3764" t="n">
        <v>23.5</v>
      </c>
      <c r="H3764" t="n">
        <v>0</v>
      </c>
      <c r="I3764" t="n">
        <v>0</v>
      </c>
      <c r="J3764" t="n">
        <v>0</v>
      </c>
      <c r="K3764" t="n">
        <v>0</v>
      </c>
      <c r="L3764" t="n">
        <v>0</v>
      </c>
      <c r="M3764" t="n">
        <v>0</v>
      </c>
      <c r="N3764" t="n">
        <v>0</v>
      </c>
      <c r="O3764" t="n">
        <v>0</v>
      </c>
      <c r="P3764" t="n">
        <v>0</v>
      </c>
      <c r="Q3764" t="n">
        <v>0</v>
      </c>
      <c r="R3764" s="2" t="inlineStr"/>
    </row>
    <row r="3765" ht="15" customHeight="1">
      <c r="A3765" t="inlineStr">
        <is>
          <t>A 1206-2022</t>
        </is>
      </c>
      <c r="B3765" s="1" t="n">
        <v>44572</v>
      </c>
      <c r="C3765" s="1" t="n">
        <v>45662</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1336-2022</t>
        </is>
      </c>
      <c r="B3766" s="1" t="n">
        <v>44572</v>
      </c>
      <c r="C3766" s="1" t="n">
        <v>45662</v>
      </c>
      <c r="D3766" t="inlineStr">
        <is>
          <t>NORRBOTTENS LÄN</t>
        </is>
      </c>
      <c r="E3766" t="inlineStr">
        <is>
          <t>LULEÅ</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1454-2022</t>
        </is>
      </c>
      <c r="B3767" s="1" t="n">
        <v>44573</v>
      </c>
      <c r="C3767" s="1" t="n">
        <v>45662</v>
      </c>
      <c r="D3767" t="inlineStr">
        <is>
          <t>NORRBOTTENS LÄN</t>
        </is>
      </c>
      <c r="E3767" t="inlineStr">
        <is>
          <t>BODEN</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1525-2022</t>
        </is>
      </c>
      <c r="B3768" s="1" t="n">
        <v>44573</v>
      </c>
      <c r="C3768" s="1" t="n">
        <v>45662</v>
      </c>
      <c r="D3768" t="inlineStr">
        <is>
          <t>NORRBOTTENS LÄN</t>
        </is>
      </c>
      <c r="E3768" t="inlineStr">
        <is>
          <t>ÖVERKALIX</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1497-2022</t>
        </is>
      </c>
      <c r="B3769" s="1" t="n">
        <v>44573</v>
      </c>
      <c r="C3769" s="1" t="n">
        <v>45662</v>
      </c>
      <c r="D3769" t="inlineStr">
        <is>
          <t>NORRBOTTENS LÄN</t>
        </is>
      </c>
      <c r="E3769" t="inlineStr">
        <is>
          <t>BODEN</t>
        </is>
      </c>
      <c r="F3769" t="inlineStr">
        <is>
          <t>Övriga statliga verk och myndigheter</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1447-2022</t>
        </is>
      </c>
      <c r="B3770" s="1" t="n">
        <v>44573</v>
      </c>
      <c r="C3770" s="1" t="n">
        <v>45662</v>
      </c>
      <c r="D3770" t="inlineStr">
        <is>
          <t>NORRBOTTENS LÄN</t>
        </is>
      </c>
      <c r="E3770" t="inlineStr">
        <is>
          <t>BODEN</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1633-2022</t>
        </is>
      </c>
      <c r="B3771" s="1" t="n">
        <v>44573</v>
      </c>
      <c r="C3771" s="1" t="n">
        <v>45662</v>
      </c>
      <c r="D3771" t="inlineStr">
        <is>
          <t>NORRBOTTENS LÄN</t>
        </is>
      </c>
      <c r="E3771" t="inlineStr">
        <is>
          <t>JOKKMOKK</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1631-2022</t>
        </is>
      </c>
      <c r="B3772" s="1" t="n">
        <v>44573</v>
      </c>
      <c r="C3772" s="1" t="n">
        <v>45662</v>
      </c>
      <c r="D3772" t="inlineStr">
        <is>
          <t>NORRBOTTENS LÄN</t>
        </is>
      </c>
      <c r="E3772" t="inlineStr">
        <is>
          <t>JOKKMOKK</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1507-2022</t>
        </is>
      </c>
      <c r="B3773" s="1" t="n">
        <v>44573</v>
      </c>
      <c r="C3773" s="1" t="n">
        <v>45662</v>
      </c>
      <c r="D3773" t="inlineStr">
        <is>
          <t>NORRBOTTENS LÄN</t>
        </is>
      </c>
      <c r="E3773" t="inlineStr">
        <is>
          <t>BODEN</t>
        </is>
      </c>
      <c r="F3773" t="inlineStr">
        <is>
          <t>Övriga statliga verk och myndigheter</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1770-2022</t>
        </is>
      </c>
      <c r="B3774" s="1" t="n">
        <v>44574</v>
      </c>
      <c r="C3774" s="1" t="n">
        <v>45662</v>
      </c>
      <c r="D3774" t="inlineStr">
        <is>
          <t>NORRBOTTENS LÄN</t>
        </is>
      </c>
      <c r="E3774" t="inlineStr">
        <is>
          <t>PAJALA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1857-2022</t>
        </is>
      </c>
      <c r="B3775" s="1" t="n">
        <v>44574</v>
      </c>
      <c r="C3775" s="1" t="n">
        <v>45662</v>
      </c>
      <c r="D3775" t="inlineStr">
        <is>
          <t>NORRBOTTENS LÄN</t>
        </is>
      </c>
      <c r="E3775" t="inlineStr">
        <is>
          <t>LULEÅ</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1872-2022</t>
        </is>
      </c>
      <c r="B3776" s="1" t="n">
        <v>44574</v>
      </c>
      <c r="C3776" s="1" t="n">
        <v>45662</v>
      </c>
      <c r="D3776" t="inlineStr">
        <is>
          <t>NORRBOTTENS LÄN</t>
        </is>
      </c>
      <c r="E3776" t="inlineStr">
        <is>
          <t>JOKKMOKK</t>
        </is>
      </c>
      <c r="F3776" t="inlineStr">
        <is>
          <t>SCA</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1944-2022</t>
        </is>
      </c>
      <c r="B3777" s="1" t="n">
        <v>44575</v>
      </c>
      <c r="C3777" s="1" t="n">
        <v>45662</v>
      </c>
      <c r="D3777" t="inlineStr">
        <is>
          <t>NORRBOTTENS LÄN</t>
        </is>
      </c>
      <c r="E3777" t="inlineStr">
        <is>
          <t>ÖVERKALIX</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2018-2022</t>
        </is>
      </c>
      <c r="B3778" s="1" t="n">
        <v>44575</v>
      </c>
      <c r="C3778" s="1" t="n">
        <v>45662</v>
      </c>
      <c r="D3778" t="inlineStr">
        <is>
          <t>NORRBOTTENS LÄN</t>
        </is>
      </c>
      <c r="E3778" t="inlineStr">
        <is>
          <t>GÄLLIVARE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2099-2022</t>
        </is>
      </c>
      <c r="B3779" s="1" t="n">
        <v>44577</v>
      </c>
      <c r="C3779" s="1" t="n">
        <v>45662</v>
      </c>
      <c r="D3779" t="inlineStr">
        <is>
          <t>NORRBOTTENS LÄN</t>
        </is>
      </c>
      <c r="E3779" t="inlineStr">
        <is>
          <t>KALIX</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2097-2022</t>
        </is>
      </c>
      <c r="B3780" s="1" t="n">
        <v>44577</v>
      </c>
      <c r="C3780" s="1" t="n">
        <v>45662</v>
      </c>
      <c r="D3780" t="inlineStr">
        <is>
          <t>NORRBOTTENS LÄN</t>
        </is>
      </c>
      <c r="E3780" t="inlineStr">
        <is>
          <t>KALIX</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2100-2022</t>
        </is>
      </c>
      <c r="B3781" s="1" t="n">
        <v>44577</v>
      </c>
      <c r="C3781" s="1" t="n">
        <v>45662</v>
      </c>
      <c r="D3781" t="inlineStr">
        <is>
          <t>NORRBOTTENS LÄN</t>
        </is>
      </c>
      <c r="E3781" t="inlineStr">
        <is>
          <t>BODEN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2175-2022</t>
        </is>
      </c>
      <c r="B3782" s="1" t="n">
        <v>44578</v>
      </c>
      <c r="C3782" s="1" t="n">
        <v>45662</v>
      </c>
      <c r="D3782" t="inlineStr">
        <is>
          <t>NORRBOTTENS LÄN</t>
        </is>
      </c>
      <c r="E3782" t="inlineStr">
        <is>
          <t>PAJALA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2339-2022</t>
        </is>
      </c>
      <c r="B3783" s="1" t="n">
        <v>44578</v>
      </c>
      <c r="C3783" s="1" t="n">
        <v>45662</v>
      </c>
      <c r="D3783" t="inlineStr">
        <is>
          <t>NORRBOTTENS LÄN</t>
        </is>
      </c>
      <c r="E3783" t="inlineStr">
        <is>
          <t>LULEÅ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2477-2022</t>
        </is>
      </c>
      <c r="B3784" s="1" t="n">
        <v>44579</v>
      </c>
      <c r="C3784" s="1" t="n">
        <v>45662</v>
      </c>
      <c r="D3784" t="inlineStr">
        <is>
          <t>NORRBOTTENS LÄN</t>
        </is>
      </c>
      <c r="E3784" t="inlineStr">
        <is>
          <t>HAPARANDA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2561-2022</t>
        </is>
      </c>
      <c r="B3785" s="1" t="n">
        <v>44579</v>
      </c>
      <c r="C3785" s="1" t="n">
        <v>45662</v>
      </c>
      <c r="D3785" t="inlineStr">
        <is>
          <t>NORRBOTTENS LÄN</t>
        </is>
      </c>
      <c r="E3785" t="inlineStr">
        <is>
          <t>LULEÅ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2698-2022</t>
        </is>
      </c>
      <c r="B3786" s="1" t="n">
        <v>44580</v>
      </c>
      <c r="C3786" s="1" t="n">
        <v>45662</v>
      </c>
      <c r="D3786" t="inlineStr">
        <is>
          <t>NORRBOTTENS LÄN</t>
        </is>
      </c>
      <c r="E3786" t="inlineStr">
        <is>
          <t>ARVIDSJAUR</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2629-2022</t>
        </is>
      </c>
      <c r="B3787" s="1" t="n">
        <v>44580</v>
      </c>
      <c r="C3787" s="1" t="n">
        <v>45662</v>
      </c>
      <c r="D3787" t="inlineStr">
        <is>
          <t>NORRBOTTENS LÄN</t>
        </is>
      </c>
      <c r="E3787" t="inlineStr">
        <is>
          <t>KALIX</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2748-2022</t>
        </is>
      </c>
      <c r="B3788" s="1" t="n">
        <v>44580</v>
      </c>
      <c r="C3788" s="1" t="n">
        <v>45662</v>
      </c>
      <c r="D3788" t="inlineStr">
        <is>
          <t>NORRBOTTENS LÄN</t>
        </is>
      </c>
      <c r="E3788" t="inlineStr">
        <is>
          <t>LULEÅ</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2751-2022</t>
        </is>
      </c>
      <c r="B3789" s="1" t="n">
        <v>44580</v>
      </c>
      <c r="C3789" s="1" t="n">
        <v>45662</v>
      </c>
      <c r="D3789" t="inlineStr">
        <is>
          <t>NORRBOTTENS LÄN</t>
        </is>
      </c>
      <c r="E3789" t="inlineStr">
        <is>
          <t>ÄLVSBYN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2917-2022</t>
        </is>
      </c>
      <c r="B3790" s="1" t="n">
        <v>44581</v>
      </c>
      <c r="C3790" s="1" t="n">
        <v>45662</v>
      </c>
      <c r="D3790" t="inlineStr">
        <is>
          <t>NORRBOTTENS LÄN</t>
        </is>
      </c>
      <c r="E3790" t="inlineStr">
        <is>
          <t>KALIX</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3010-2022</t>
        </is>
      </c>
      <c r="B3791" s="1" t="n">
        <v>44581</v>
      </c>
      <c r="C3791" s="1" t="n">
        <v>45662</v>
      </c>
      <c r="D3791" t="inlineStr">
        <is>
          <t>NORRBOTTENS LÄN</t>
        </is>
      </c>
      <c r="E3791" t="inlineStr">
        <is>
          <t>ÖVERTORNEÅ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3089-2022</t>
        </is>
      </c>
      <c r="B3792" s="1" t="n">
        <v>44582</v>
      </c>
      <c r="C3792" s="1" t="n">
        <v>45662</v>
      </c>
      <c r="D3792" t="inlineStr">
        <is>
          <t>NORRBOTTENS LÄN</t>
        </is>
      </c>
      <c r="E3792" t="inlineStr">
        <is>
          <t>PITEÅ</t>
        </is>
      </c>
      <c r="G3792" t="n">
        <v>43.8</v>
      </c>
      <c r="H3792" t="n">
        <v>0</v>
      </c>
      <c r="I3792" t="n">
        <v>0</v>
      </c>
      <c r="J3792" t="n">
        <v>0</v>
      </c>
      <c r="K3792" t="n">
        <v>0</v>
      </c>
      <c r="L3792" t="n">
        <v>0</v>
      </c>
      <c r="M3792" t="n">
        <v>0</v>
      </c>
      <c r="N3792" t="n">
        <v>0</v>
      </c>
      <c r="O3792" t="n">
        <v>0</v>
      </c>
      <c r="P3792" t="n">
        <v>0</v>
      </c>
      <c r="Q3792" t="n">
        <v>0</v>
      </c>
      <c r="R3792" s="2" t="inlineStr"/>
    </row>
    <row r="3793" ht="15" customHeight="1">
      <c r="A3793" t="inlineStr">
        <is>
          <t>A 3093-2022</t>
        </is>
      </c>
      <c r="B3793" s="1" t="n">
        <v>44582</v>
      </c>
      <c r="C3793" s="1" t="n">
        <v>45662</v>
      </c>
      <c r="D3793" t="inlineStr">
        <is>
          <t>NORRBOTTENS LÄN</t>
        </is>
      </c>
      <c r="E3793" t="inlineStr">
        <is>
          <t>PITEÅ</t>
        </is>
      </c>
      <c r="G3793" t="n">
        <v>9.800000000000001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3095-2022</t>
        </is>
      </c>
      <c r="B3794" s="1" t="n">
        <v>44582</v>
      </c>
      <c r="C3794" s="1" t="n">
        <v>45662</v>
      </c>
      <c r="D3794" t="inlineStr">
        <is>
          <t>NORRBOTTENS LÄN</t>
        </is>
      </c>
      <c r="E3794" t="inlineStr">
        <is>
          <t>PITEÅ</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3138-2022</t>
        </is>
      </c>
      <c r="B3795" s="1" t="n">
        <v>44582</v>
      </c>
      <c r="C3795" s="1" t="n">
        <v>45662</v>
      </c>
      <c r="D3795" t="inlineStr">
        <is>
          <t>NORRBOTTENS LÄN</t>
        </is>
      </c>
      <c r="E3795" t="inlineStr">
        <is>
          <t>PAJALA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3174-2022</t>
        </is>
      </c>
      <c r="B3796" s="1" t="n">
        <v>44582</v>
      </c>
      <c r="C3796" s="1" t="n">
        <v>45662</v>
      </c>
      <c r="D3796" t="inlineStr">
        <is>
          <t>NORRBOTTENS LÄN</t>
        </is>
      </c>
      <c r="E3796" t="inlineStr">
        <is>
          <t>ÖVERKALIX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3233-2022</t>
        </is>
      </c>
      <c r="B3797" s="1" t="n">
        <v>44582</v>
      </c>
      <c r="C3797" s="1" t="n">
        <v>45662</v>
      </c>
      <c r="D3797" t="inlineStr">
        <is>
          <t>NORRBOTTENS LÄN</t>
        </is>
      </c>
      <c r="E3797" t="inlineStr">
        <is>
          <t>ÖVERKALIX</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3242-2022</t>
        </is>
      </c>
      <c r="B3798" s="1" t="n">
        <v>44582</v>
      </c>
      <c r="C3798" s="1" t="n">
        <v>45662</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3416-2022</t>
        </is>
      </c>
      <c r="B3799" s="1" t="n">
        <v>44585</v>
      </c>
      <c r="C3799" s="1" t="n">
        <v>45662</v>
      </c>
      <c r="D3799" t="inlineStr">
        <is>
          <t>NORRBOTTENS LÄN</t>
        </is>
      </c>
      <c r="E3799" t="inlineStr">
        <is>
          <t>ÖVERTORNEÅ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3431-2022</t>
        </is>
      </c>
      <c r="B3800" s="1" t="n">
        <v>44585</v>
      </c>
      <c r="C3800" s="1" t="n">
        <v>45662</v>
      </c>
      <c r="D3800" t="inlineStr">
        <is>
          <t>NORRBOTTENS LÄN</t>
        </is>
      </c>
      <c r="E3800" t="inlineStr">
        <is>
          <t>ÖVERTORNEÅ</t>
        </is>
      </c>
      <c r="G3800" t="n">
        <v>11.2</v>
      </c>
      <c r="H3800" t="n">
        <v>0</v>
      </c>
      <c r="I3800" t="n">
        <v>0</v>
      </c>
      <c r="J3800" t="n">
        <v>0</v>
      </c>
      <c r="K3800" t="n">
        <v>0</v>
      </c>
      <c r="L3800" t="n">
        <v>0</v>
      </c>
      <c r="M3800" t="n">
        <v>0</v>
      </c>
      <c r="N3800" t="n">
        <v>0</v>
      </c>
      <c r="O3800" t="n">
        <v>0</v>
      </c>
      <c r="P3800" t="n">
        <v>0</v>
      </c>
      <c r="Q3800" t="n">
        <v>0</v>
      </c>
      <c r="R3800" s="2" t="inlineStr"/>
    </row>
    <row r="3801" ht="15" customHeight="1">
      <c r="A3801" t="inlineStr">
        <is>
          <t>A 3389-2022</t>
        </is>
      </c>
      <c r="B3801" s="1" t="n">
        <v>44585</v>
      </c>
      <c r="C3801" s="1" t="n">
        <v>45662</v>
      </c>
      <c r="D3801" t="inlineStr">
        <is>
          <t>NORRBOTTENS LÄN</t>
        </is>
      </c>
      <c r="E3801" t="inlineStr">
        <is>
          <t>ÖVERTORNEÅ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3462-2022</t>
        </is>
      </c>
      <c r="B3802" s="1" t="n">
        <v>44585</v>
      </c>
      <c r="C3802" s="1" t="n">
        <v>45662</v>
      </c>
      <c r="D3802" t="inlineStr">
        <is>
          <t>NORRBOTTENS LÄN</t>
        </is>
      </c>
      <c r="E3802" t="inlineStr">
        <is>
          <t>BODEN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3536-2022</t>
        </is>
      </c>
      <c r="B3803" s="1" t="n">
        <v>44585</v>
      </c>
      <c r="C3803" s="1" t="n">
        <v>45662</v>
      </c>
      <c r="D3803" t="inlineStr">
        <is>
          <t>NORRBOTTENS LÄN</t>
        </is>
      </c>
      <c r="E3803" t="inlineStr">
        <is>
          <t>LULEÅ</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3631-2022</t>
        </is>
      </c>
      <c r="B3804" s="1" t="n">
        <v>44586</v>
      </c>
      <c r="C3804" s="1" t="n">
        <v>45662</v>
      </c>
      <c r="D3804" t="inlineStr">
        <is>
          <t>NORRBOTTENS LÄN</t>
        </is>
      </c>
      <c r="E3804" t="inlineStr">
        <is>
          <t>HAPARANDA</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3772-2022</t>
        </is>
      </c>
      <c r="B3805" s="1" t="n">
        <v>44586</v>
      </c>
      <c r="C3805" s="1" t="n">
        <v>45662</v>
      </c>
      <c r="D3805" t="inlineStr">
        <is>
          <t>NORRBOTTENS LÄN</t>
        </is>
      </c>
      <c r="E3805" t="inlineStr">
        <is>
          <t>JOKKMOKK</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3771-2022</t>
        </is>
      </c>
      <c r="B3806" s="1" t="n">
        <v>44586</v>
      </c>
      <c r="C3806" s="1" t="n">
        <v>45662</v>
      </c>
      <c r="D3806" t="inlineStr">
        <is>
          <t>NORRBOTTENS LÄN</t>
        </is>
      </c>
      <c r="E3806" t="inlineStr">
        <is>
          <t>JOKKMOKK</t>
        </is>
      </c>
      <c r="F3806" t="inlineStr">
        <is>
          <t>SCA</t>
        </is>
      </c>
      <c r="G3806" t="n">
        <v>10</v>
      </c>
      <c r="H3806" t="n">
        <v>0</v>
      </c>
      <c r="I3806" t="n">
        <v>0</v>
      </c>
      <c r="J3806" t="n">
        <v>0</v>
      </c>
      <c r="K3806" t="n">
        <v>0</v>
      </c>
      <c r="L3806" t="n">
        <v>0</v>
      </c>
      <c r="M3806" t="n">
        <v>0</v>
      </c>
      <c r="N3806" t="n">
        <v>0</v>
      </c>
      <c r="O3806" t="n">
        <v>0</v>
      </c>
      <c r="P3806" t="n">
        <v>0</v>
      </c>
      <c r="Q3806" t="n">
        <v>0</v>
      </c>
      <c r="R3806" s="2" t="inlineStr"/>
    </row>
    <row r="3807" ht="15" customHeight="1">
      <c r="A3807" t="inlineStr">
        <is>
          <t>A 3776-2022</t>
        </is>
      </c>
      <c r="B3807" s="1" t="n">
        <v>44586</v>
      </c>
      <c r="C3807" s="1" t="n">
        <v>45662</v>
      </c>
      <c r="D3807" t="inlineStr">
        <is>
          <t>NORRBOTTENS LÄN</t>
        </is>
      </c>
      <c r="E3807" t="inlineStr">
        <is>
          <t>JOKKMOKK</t>
        </is>
      </c>
      <c r="F3807" t="inlineStr">
        <is>
          <t>SCA</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3778-2022</t>
        </is>
      </c>
      <c r="B3808" s="1" t="n">
        <v>44586</v>
      </c>
      <c r="C3808" s="1" t="n">
        <v>45662</v>
      </c>
      <c r="D3808" t="inlineStr">
        <is>
          <t>NORRBOTTENS LÄN</t>
        </is>
      </c>
      <c r="E3808" t="inlineStr">
        <is>
          <t>JOKKMOKK</t>
        </is>
      </c>
      <c r="G3808" t="n">
        <v>13.2</v>
      </c>
      <c r="H3808" t="n">
        <v>0</v>
      </c>
      <c r="I3808" t="n">
        <v>0</v>
      </c>
      <c r="J3808" t="n">
        <v>0</v>
      </c>
      <c r="K3808" t="n">
        <v>0</v>
      </c>
      <c r="L3808" t="n">
        <v>0</v>
      </c>
      <c r="M3808" t="n">
        <v>0</v>
      </c>
      <c r="N3808" t="n">
        <v>0</v>
      </c>
      <c r="O3808" t="n">
        <v>0</v>
      </c>
      <c r="P3808" t="n">
        <v>0</v>
      </c>
      <c r="Q3808" t="n">
        <v>0</v>
      </c>
      <c r="R3808" s="2" t="inlineStr"/>
    </row>
    <row r="3809" ht="15" customHeight="1">
      <c r="A3809" t="inlineStr">
        <is>
          <t>A 3787-2022</t>
        </is>
      </c>
      <c r="B3809" s="1" t="n">
        <v>44586</v>
      </c>
      <c r="C3809" s="1" t="n">
        <v>45662</v>
      </c>
      <c r="D3809" t="inlineStr">
        <is>
          <t>NORRBOTTENS LÄN</t>
        </is>
      </c>
      <c r="E3809" t="inlineStr">
        <is>
          <t>JOKKMOKK</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3783-2022</t>
        </is>
      </c>
      <c r="B3810" s="1" t="n">
        <v>44586</v>
      </c>
      <c r="C3810" s="1" t="n">
        <v>45662</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3843-2022</t>
        </is>
      </c>
      <c r="B3811" s="1" t="n">
        <v>44586</v>
      </c>
      <c r="C3811" s="1" t="n">
        <v>45662</v>
      </c>
      <c r="D3811" t="inlineStr">
        <is>
          <t>NORRBOTTENS LÄN</t>
        </is>
      </c>
      <c r="E3811" t="inlineStr">
        <is>
          <t>LULEÅ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3784-2022</t>
        </is>
      </c>
      <c r="B3812" s="1" t="n">
        <v>44586</v>
      </c>
      <c r="C3812" s="1" t="n">
        <v>45662</v>
      </c>
      <c r="D3812" t="inlineStr">
        <is>
          <t>NORRBOTTENS LÄN</t>
        </is>
      </c>
      <c r="E3812" t="inlineStr">
        <is>
          <t>JOKKMOKK</t>
        </is>
      </c>
      <c r="F3812" t="inlineStr">
        <is>
          <t>SCA</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3951-2022</t>
        </is>
      </c>
      <c r="B3813" s="1" t="n">
        <v>44587</v>
      </c>
      <c r="C3813" s="1" t="n">
        <v>45662</v>
      </c>
      <c r="D3813" t="inlineStr">
        <is>
          <t>NORRBOTTENS LÄN</t>
        </is>
      </c>
      <c r="E3813" t="inlineStr">
        <is>
          <t>LULEÅ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4012-2022</t>
        </is>
      </c>
      <c r="B3814" s="1" t="n">
        <v>44587</v>
      </c>
      <c r="C3814" s="1" t="n">
        <v>45662</v>
      </c>
      <c r="D3814" t="inlineStr">
        <is>
          <t>NORRBOTTENS LÄN</t>
        </is>
      </c>
      <c r="E3814" t="inlineStr">
        <is>
          <t>ÖVERTORNEÅ</t>
        </is>
      </c>
      <c r="F3814" t="inlineStr">
        <is>
          <t>Kommuner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4062-2022</t>
        </is>
      </c>
      <c r="B3815" s="1" t="n">
        <v>44587</v>
      </c>
      <c r="C3815" s="1" t="n">
        <v>45662</v>
      </c>
      <c r="D3815" t="inlineStr">
        <is>
          <t>NORRBOTTENS LÄN</t>
        </is>
      </c>
      <c r="E3815" t="inlineStr">
        <is>
          <t>PAJALA</t>
        </is>
      </c>
      <c r="F3815" t="inlineStr">
        <is>
          <t>Allmännings- och besparingsskogar</t>
        </is>
      </c>
      <c r="G3815" t="n">
        <v>65.8</v>
      </c>
      <c r="H3815" t="n">
        <v>0</v>
      </c>
      <c r="I3815" t="n">
        <v>0</v>
      </c>
      <c r="J3815" t="n">
        <v>0</v>
      </c>
      <c r="K3815" t="n">
        <v>0</v>
      </c>
      <c r="L3815" t="n">
        <v>0</v>
      </c>
      <c r="M3815" t="n">
        <v>0</v>
      </c>
      <c r="N3815" t="n">
        <v>0</v>
      </c>
      <c r="O3815" t="n">
        <v>0</v>
      </c>
      <c r="P3815" t="n">
        <v>0</v>
      </c>
      <c r="Q3815" t="n">
        <v>0</v>
      </c>
      <c r="R3815" s="2" t="inlineStr"/>
    </row>
    <row r="3816" ht="15" customHeight="1">
      <c r="A3816" t="inlineStr">
        <is>
          <t>A 4011-2022</t>
        </is>
      </c>
      <c r="B3816" s="1" t="n">
        <v>44587</v>
      </c>
      <c r="C3816" s="1" t="n">
        <v>45662</v>
      </c>
      <c r="D3816" t="inlineStr">
        <is>
          <t>NORRBOTTENS LÄN</t>
        </is>
      </c>
      <c r="E3816" t="inlineStr">
        <is>
          <t>ÖVERTORNEÅ</t>
        </is>
      </c>
      <c r="F3816" t="inlineStr">
        <is>
          <t>Kommuner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4016-2022</t>
        </is>
      </c>
      <c r="B3817" s="1" t="n">
        <v>44587</v>
      </c>
      <c r="C3817" s="1" t="n">
        <v>45662</v>
      </c>
      <c r="D3817" t="inlineStr">
        <is>
          <t>NORRBOTTENS LÄN</t>
        </is>
      </c>
      <c r="E3817" t="inlineStr">
        <is>
          <t>GÄLLIVARE</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4022-2022</t>
        </is>
      </c>
      <c r="B3818" s="1" t="n">
        <v>44587</v>
      </c>
      <c r="C3818" s="1" t="n">
        <v>45662</v>
      </c>
      <c r="D3818" t="inlineStr">
        <is>
          <t>NORRBOTTENS LÄN</t>
        </is>
      </c>
      <c r="E3818" t="inlineStr">
        <is>
          <t>JOKKMOKK</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4135-2022</t>
        </is>
      </c>
      <c r="B3819" s="1" t="n">
        <v>44588</v>
      </c>
      <c r="C3819" s="1" t="n">
        <v>45662</v>
      </c>
      <c r="D3819" t="inlineStr">
        <is>
          <t>NORRBOTTENS LÄN</t>
        </is>
      </c>
      <c r="E3819" t="inlineStr">
        <is>
          <t>GÄLLIVARE</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4107-2022</t>
        </is>
      </c>
      <c r="B3820" s="1" t="n">
        <v>44588</v>
      </c>
      <c r="C3820" s="1" t="n">
        <v>45662</v>
      </c>
      <c r="D3820" t="inlineStr">
        <is>
          <t>NORRBOTTENS LÄN</t>
        </is>
      </c>
      <c r="E3820" t="inlineStr">
        <is>
          <t>PAJALA</t>
        </is>
      </c>
      <c r="F3820" t="inlineStr">
        <is>
          <t>Allmännings- och besparingsskogar</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4330-2022</t>
        </is>
      </c>
      <c r="B3821" s="1" t="n">
        <v>44588</v>
      </c>
      <c r="C3821" s="1" t="n">
        <v>45662</v>
      </c>
      <c r="D3821" t="inlineStr">
        <is>
          <t>NORRBOTTENS LÄN</t>
        </is>
      </c>
      <c r="E3821" t="inlineStr">
        <is>
          <t>PITEÅ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4437-2022</t>
        </is>
      </c>
      <c r="B3822" s="1" t="n">
        <v>44589</v>
      </c>
      <c r="C3822" s="1" t="n">
        <v>45662</v>
      </c>
      <c r="D3822" t="inlineStr">
        <is>
          <t>NORRBOTTENS LÄN</t>
        </is>
      </c>
      <c r="E3822" t="inlineStr">
        <is>
          <t>PITEÅ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4512-2022</t>
        </is>
      </c>
      <c r="B3823" s="1" t="n">
        <v>44589</v>
      </c>
      <c r="C3823" s="1" t="n">
        <v>45662</v>
      </c>
      <c r="D3823" t="inlineStr">
        <is>
          <t>NORRBOTTENS LÄN</t>
        </is>
      </c>
      <c r="E3823" t="inlineStr">
        <is>
          <t>ÖVERTORNEÅ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4517-2022</t>
        </is>
      </c>
      <c r="B3824" s="1" t="n">
        <v>44589</v>
      </c>
      <c r="C3824" s="1" t="n">
        <v>45662</v>
      </c>
      <c r="D3824" t="inlineStr">
        <is>
          <t>NORRBOTTENS LÄN</t>
        </is>
      </c>
      <c r="E3824" t="inlineStr">
        <is>
          <t>JOKKMOKK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4515-2022</t>
        </is>
      </c>
      <c r="B3825" s="1" t="n">
        <v>44589</v>
      </c>
      <c r="C3825" s="1" t="n">
        <v>45662</v>
      </c>
      <c r="D3825" t="inlineStr">
        <is>
          <t>NORRBOTTENS LÄN</t>
        </is>
      </c>
      <c r="E3825" t="inlineStr">
        <is>
          <t>ÖVERTORNEÅ</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4514-2022</t>
        </is>
      </c>
      <c r="B3826" s="1" t="n">
        <v>44589</v>
      </c>
      <c r="C3826" s="1" t="n">
        <v>45662</v>
      </c>
      <c r="D3826" t="inlineStr">
        <is>
          <t>NORRBOTTENS LÄN</t>
        </is>
      </c>
      <c r="E3826" t="inlineStr">
        <is>
          <t>ÖVERTORNEÅ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4513-2022</t>
        </is>
      </c>
      <c r="B3827" s="1" t="n">
        <v>44589</v>
      </c>
      <c r="C3827" s="1" t="n">
        <v>45662</v>
      </c>
      <c r="D3827" t="inlineStr">
        <is>
          <t>NORRBOTTENS LÄN</t>
        </is>
      </c>
      <c r="E3827" t="inlineStr">
        <is>
          <t>ÖVERTORNEÅ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4661-2022</t>
        </is>
      </c>
      <c r="B3828" s="1" t="n">
        <v>44589</v>
      </c>
      <c r="C3828" s="1" t="n">
        <v>45662</v>
      </c>
      <c r="D3828" t="inlineStr">
        <is>
          <t>NORRBOTTENS LÄN</t>
        </is>
      </c>
      <c r="E3828" t="inlineStr">
        <is>
          <t>JOKKMOKK</t>
        </is>
      </c>
      <c r="G3828" t="n">
        <v>39.5</v>
      </c>
      <c r="H3828" t="n">
        <v>0</v>
      </c>
      <c r="I3828" t="n">
        <v>0</v>
      </c>
      <c r="J3828" t="n">
        <v>0</v>
      </c>
      <c r="K3828" t="n">
        <v>0</v>
      </c>
      <c r="L3828" t="n">
        <v>0</v>
      </c>
      <c r="M3828" t="n">
        <v>0</v>
      </c>
      <c r="N3828" t="n">
        <v>0</v>
      </c>
      <c r="O3828" t="n">
        <v>0</v>
      </c>
      <c r="P3828" t="n">
        <v>0</v>
      </c>
      <c r="Q3828" t="n">
        <v>0</v>
      </c>
      <c r="R3828" s="2" t="inlineStr"/>
    </row>
    <row r="3829" ht="15" customHeight="1">
      <c r="A3829" t="inlineStr">
        <is>
          <t>A 4535-2022</t>
        </is>
      </c>
      <c r="B3829" s="1" t="n">
        <v>44590</v>
      </c>
      <c r="C3829" s="1" t="n">
        <v>45662</v>
      </c>
      <c r="D3829" t="inlineStr">
        <is>
          <t>NORRBOTTENS LÄN</t>
        </is>
      </c>
      <c r="E3829" t="inlineStr">
        <is>
          <t>PITEÅ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4536-2022</t>
        </is>
      </c>
      <c r="B3830" s="1" t="n">
        <v>44590</v>
      </c>
      <c r="C3830" s="1" t="n">
        <v>45662</v>
      </c>
      <c r="D3830" t="inlineStr">
        <is>
          <t>NORRBOTTENS LÄN</t>
        </is>
      </c>
      <c r="E3830" t="inlineStr">
        <is>
          <t>PITEÅ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4776-2022</t>
        </is>
      </c>
      <c r="B3831" s="1" t="n">
        <v>44592</v>
      </c>
      <c r="C3831" s="1" t="n">
        <v>45662</v>
      </c>
      <c r="D3831" t="inlineStr">
        <is>
          <t>NORRBOTTENS LÄN</t>
        </is>
      </c>
      <c r="E3831" t="inlineStr">
        <is>
          <t>PITEÅ</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4847-2022</t>
        </is>
      </c>
      <c r="B3832" s="1" t="n">
        <v>44592</v>
      </c>
      <c r="C3832" s="1" t="n">
        <v>45662</v>
      </c>
      <c r="D3832" t="inlineStr">
        <is>
          <t>NORRBOTTENS LÄN</t>
        </is>
      </c>
      <c r="E3832" t="inlineStr">
        <is>
          <t>PAJALA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4848-2022</t>
        </is>
      </c>
      <c r="B3833" s="1" t="n">
        <v>44592</v>
      </c>
      <c r="C3833" s="1" t="n">
        <v>45662</v>
      </c>
      <c r="D3833" t="inlineStr">
        <is>
          <t>NORRBOTTENS LÄN</t>
        </is>
      </c>
      <c r="E3833" t="inlineStr">
        <is>
          <t>PAJALA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5290-2022</t>
        </is>
      </c>
      <c r="B3834" s="1" t="n">
        <v>44592</v>
      </c>
      <c r="C3834" s="1" t="n">
        <v>45662</v>
      </c>
      <c r="D3834" t="inlineStr">
        <is>
          <t>NORRBOTTENS LÄN</t>
        </is>
      </c>
      <c r="E3834" t="inlineStr">
        <is>
          <t>PITEÅ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4975-2022</t>
        </is>
      </c>
      <c r="B3835" s="1" t="n">
        <v>44593</v>
      </c>
      <c r="C3835" s="1" t="n">
        <v>45662</v>
      </c>
      <c r="D3835" t="inlineStr">
        <is>
          <t>NORRBOTTENS LÄN</t>
        </is>
      </c>
      <c r="E3835" t="inlineStr">
        <is>
          <t>BODEN</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5646-2022</t>
        </is>
      </c>
      <c r="B3836" s="1" t="n">
        <v>44595</v>
      </c>
      <c r="C3836" s="1" t="n">
        <v>45662</v>
      </c>
      <c r="D3836" t="inlineStr">
        <is>
          <t>NORRBOTTENS LÄN</t>
        </is>
      </c>
      <c r="E3836" t="inlineStr">
        <is>
          <t>ÖVERKALIX</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5653-2022</t>
        </is>
      </c>
      <c r="B3837" s="1" t="n">
        <v>44595</v>
      </c>
      <c r="C3837" s="1" t="n">
        <v>45662</v>
      </c>
      <c r="D3837" t="inlineStr">
        <is>
          <t>NORRBOTTENS LÄN</t>
        </is>
      </c>
      <c r="E3837" t="inlineStr">
        <is>
          <t>ÖVERKALIX</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5733-2022</t>
        </is>
      </c>
      <c r="B3838" s="1" t="n">
        <v>44596</v>
      </c>
      <c r="C3838" s="1" t="n">
        <v>45662</v>
      </c>
      <c r="D3838" t="inlineStr">
        <is>
          <t>NORRBOTTENS LÄN</t>
        </is>
      </c>
      <c r="E3838" t="inlineStr">
        <is>
          <t>BODEN</t>
        </is>
      </c>
      <c r="F3838" t="inlineStr">
        <is>
          <t>Övriga statliga verk och myndigheter</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5906-2022</t>
        </is>
      </c>
      <c r="B3839" s="1" t="n">
        <v>44596</v>
      </c>
      <c r="C3839" s="1" t="n">
        <v>45662</v>
      </c>
      <c r="D3839" t="inlineStr">
        <is>
          <t>NORRBOTTENS LÄN</t>
        </is>
      </c>
      <c r="E3839" t="inlineStr">
        <is>
          <t>PITEÅ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6028-2022</t>
        </is>
      </c>
      <c r="B3840" s="1" t="n">
        <v>44599</v>
      </c>
      <c r="C3840" s="1" t="n">
        <v>45662</v>
      </c>
      <c r="D3840" t="inlineStr">
        <is>
          <t>NORRBOTTENS LÄN</t>
        </is>
      </c>
      <c r="E3840" t="inlineStr">
        <is>
          <t>ÄLVSBYN</t>
        </is>
      </c>
      <c r="F3840" t="inlineStr">
        <is>
          <t>Sveaskog</t>
        </is>
      </c>
      <c r="G3840" t="n">
        <v>27.9</v>
      </c>
      <c r="H3840" t="n">
        <v>0</v>
      </c>
      <c r="I3840" t="n">
        <v>0</v>
      </c>
      <c r="J3840" t="n">
        <v>0</v>
      </c>
      <c r="K3840" t="n">
        <v>0</v>
      </c>
      <c r="L3840" t="n">
        <v>0</v>
      </c>
      <c r="M3840" t="n">
        <v>0</v>
      </c>
      <c r="N3840" t="n">
        <v>0</v>
      </c>
      <c r="O3840" t="n">
        <v>0</v>
      </c>
      <c r="P3840" t="n">
        <v>0</v>
      </c>
      <c r="Q3840" t="n">
        <v>0</v>
      </c>
      <c r="R3840" s="2" t="inlineStr"/>
    </row>
    <row r="3841" ht="15" customHeight="1">
      <c r="A3841" t="inlineStr">
        <is>
          <t>A 6110-2022</t>
        </is>
      </c>
      <c r="B3841" s="1" t="n">
        <v>44599</v>
      </c>
      <c r="C3841" s="1" t="n">
        <v>45662</v>
      </c>
      <c r="D3841" t="inlineStr">
        <is>
          <t>NORRBOTTENS LÄN</t>
        </is>
      </c>
      <c r="E3841" t="inlineStr">
        <is>
          <t>PITEÅ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6181-2022</t>
        </is>
      </c>
      <c r="B3842" s="1" t="n">
        <v>44600</v>
      </c>
      <c r="C3842" s="1" t="n">
        <v>45662</v>
      </c>
      <c r="D3842" t="inlineStr">
        <is>
          <t>NORRBOTTENS LÄN</t>
        </is>
      </c>
      <c r="E3842" t="inlineStr">
        <is>
          <t>BODEN</t>
        </is>
      </c>
      <c r="F3842" t="inlineStr">
        <is>
          <t>Sveaskog</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6514-2022</t>
        </is>
      </c>
      <c r="B3843" s="1" t="n">
        <v>44601</v>
      </c>
      <c r="C3843" s="1" t="n">
        <v>45662</v>
      </c>
      <c r="D3843" t="inlineStr">
        <is>
          <t>NORRBOTTENS LÄN</t>
        </is>
      </c>
      <c r="E3843" t="inlineStr">
        <is>
          <t>ÖVERKALIX</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6593-2022</t>
        </is>
      </c>
      <c r="B3844" s="1" t="n">
        <v>44601</v>
      </c>
      <c r="C3844" s="1" t="n">
        <v>45662</v>
      </c>
      <c r="D3844" t="inlineStr">
        <is>
          <t>NORRBOTTENS LÄN</t>
        </is>
      </c>
      <c r="E3844" t="inlineStr">
        <is>
          <t>ÖVERTORNEÅ</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6641-2022</t>
        </is>
      </c>
      <c r="B3845" s="1" t="n">
        <v>44601</v>
      </c>
      <c r="C3845" s="1" t="n">
        <v>45662</v>
      </c>
      <c r="D3845" t="inlineStr">
        <is>
          <t>NORRBOTTENS LÄN</t>
        </is>
      </c>
      <c r="E3845" t="inlineStr">
        <is>
          <t>ÖVERKALIX</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6738-2022</t>
        </is>
      </c>
      <c r="B3846" s="1" t="n">
        <v>44602</v>
      </c>
      <c r="C3846" s="1" t="n">
        <v>45662</v>
      </c>
      <c r="D3846" t="inlineStr">
        <is>
          <t>NORRBOTTENS LÄN</t>
        </is>
      </c>
      <c r="E3846" t="inlineStr">
        <is>
          <t>BODEN</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6820-2022</t>
        </is>
      </c>
      <c r="B3847" s="1" t="n">
        <v>44602</v>
      </c>
      <c r="C3847" s="1" t="n">
        <v>45662</v>
      </c>
      <c r="D3847" t="inlineStr">
        <is>
          <t>NORRBOTTENS LÄN</t>
        </is>
      </c>
      <c r="E3847" t="inlineStr">
        <is>
          <t>ÄLVSBYN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6831-2022</t>
        </is>
      </c>
      <c r="B3848" s="1" t="n">
        <v>44602</v>
      </c>
      <c r="C3848" s="1" t="n">
        <v>45662</v>
      </c>
      <c r="D3848" t="inlineStr">
        <is>
          <t>NORRBOTTENS LÄN</t>
        </is>
      </c>
      <c r="E3848" t="inlineStr">
        <is>
          <t>ÄLVSBYN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6907-2022</t>
        </is>
      </c>
      <c r="B3849" s="1" t="n">
        <v>44602</v>
      </c>
      <c r="C3849" s="1" t="n">
        <v>45662</v>
      </c>
      <c r="D3849" t="inlineStr">
        <is>
          <t>NORRBOTTENS LÄN</t>
        </is>
      </c>
      <c r="E3849" t="inlineStr">
        <is>
          <t>ÖVERKALIX</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6916-2022</t>
        </is>
      </c>
      <c r="B3850" s="1" t="n">
        <v>44602</v>
      </c>
      <c r="C3850" s="1" t="n">
        <v>45662</v>
      </c>
      <c r="D3850" t="inlineStr">
        <is>
          <t>NORRBOTTENS LÄN</t>
        </is>
      </c>
      <c r="E3850" t="inlineStr">
        <is>
          <t>ÖVERKALIX</t>
        </is>
      </c>
      <c r="F3850" t="inlineStr">
        <is>
          <t>SCA</t>
        </is>
      </c>
      <c r="G3850" t="n">
        <v>15.6</v>
      </c>
      <c r="H3850" t="n">
        <v>0</v>
      </c>
      <c r="I3850" t="n">
        <v>0</v>
      </c>
      <c r="J3850" t="n">
        <v>0</v>
      </c>
      <c r="K3850" t="n">
        <v>0</v>
      </c>
      <c r="L3850" t="n">
        <v>0</v>
      </c>
      <c r="M3850" t="n">
        <v>0</v>
      </c>
      <c r="N3850" t="n">
        <v>0</v>
      </c>
      <c r="O3850" t="n">
        <v>0</v>
      </c>
      <c r="P3850" t="n">
        <v>0</v>
      </c>
      <c r="Q3850" t="n">
        <v>0</v>
      </c>
      <c r="R3850" s="2" t="inlineStr"/>
    </row>
    <row r="3851" ht="15" customHeight="1">
      <c r="A3851" t="inlineStr">
        <is>
          <t>A 6913-2022</t>
        </is>
      </c>
      <c r="B3851" s="1" t="n">
        <v>44602</v>
      </c>
      <c r="C3851" s="1" t="n">
        <v>45662</v>
      </c>
      <c r="D3851" t="inlineStr">
        <is>
          <t>NORRBOTTENS LÄN</t>
        </is>
      </c>
      <c r="E3851" t="inlineStr">
        <is>
          <t>PAJALA</t>
        </is>
      </c>
      <c r="F3851" t="inlineStr">
        <is>
          <t>SCA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6914-2022</t>
        </is>
      </c>
      <c r="B3852" s="1" t="n">
        <v>44602</v>
      </c>
      <c r="C3852" s="1" t="n">
        <v>45662</v>
      </c>
      <c r="D3852" t="inlineStr">
        <is>
          <t>NORRBOTTENS LÄN</t>
        </is>
      </c>
      <c r="E3852" t="inlineStr">
        <is>
          <t>PAJALA</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7039-2022</t>
        </is>
      </c>
      <c r="B3853" s="1" t="n">
        <v>44603</v>
      </c>
      <c r="C3853" s="1" t="n">
        <v>45662</v>
      </c>
      <c r="D3853" t="inlineStr">
        <is>
          <t>NORRBOTTENS LÄN</t>
        </is>
      </c>
      <c r="E3853" t="inlineStr">
        <is>
          <t>ÖVERKALIX</t>
        </is>
      </c>
      <c r="F3853" t="inlineStr">
        <is>
          <t>Övriga statliga verk och myndigheter</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7236-2022</t>
        </is>
      </c>
      <c r="B3854" s="1" t="n">
        <v>44603</v>
      </c>
      <c r="C3854" s="1" t="n">
        <v>45662</v>
      </c>
      <c r="D3854" t="inlineStr">
        <is>
          <t>NORRBOTTENS LÄN</t>
        </is>
      </c>
      <c r="E3854" t="inlineStr">
        <is>
          <t>KALIX</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7261-2022</t>
        </is>
      </c>
      <c r="B3855" s="1" t="n">
        <v>44603</v>
      </c>
      <c r="C3855" s="1" t="n">
        <v>45662</v>
      </c>
      <c r="D3855" t="inlineStr">
        <is>
          <t>NORRBOTTENS LÄN</t>
        </is>
      </c>
      <c r="E3855" t="inlineStr">
        <is>
          <t>KALIX</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7538-2022</t>
        </is>
      </c>
      <c r="B3856" s="1" t="n">
        <v>44607</v>
      </c>
      <c r="C3856" s="1" t="n">
        <v>45662</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7673-2022</t>
        </is>
      </c>
      <c r="B3857" s="1" t="n">
        <v>44607</v>
      </c>
      <c r="C3857" s="1" t="n">
        <v>45662</v>
      </c>
      <c r="D3857" t="inlineStr">
        <is>
          <t>NORRBOTTENS LÄN</t>
        </is>
      </c>
      <c r="E3857" t="inlineStr">
        <is>
          <t>PAJALA</t>
        </is>
      </c>
      <c r="F3857" t="inlineStr">
        <is>
          <t>SCA</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7677-2022</t>
        </is>
      </c>
      <c r="B3858" s="1" t="n">
        <v>44607</v>
      </c>
      <c r="C3858" s="1" t="n">
        <v>45662</v>
      </c>
      <c r="D3858" t="inlineStr">
        <is>
          <t>NORRBOTTENS LÄN</t>
        </is>
      </c>
      <c r="E3858" t="inlineStr">
        <is>
          <t>ÖVERKALIX</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7683-2022</t>
        </is>
      </c>
      <c r="B3859" s="1" t="n">
        <v>44607</v>
      </c>
      <c r="C3859" s="1" t="n">
        <v>45662</v>
      </c>
      <c r="D3859" t="inlineStr">
        <is>
          <t>NORRBOTTENS LÄN</t>
        </is>
      </c>
      <c r="E3859" t="inlineStr">
        <is>
          <t>GÄLLIVARE</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7693-2022</t>
        </is>
      </c>
      <c r="B3860" s="1" t="n">
        <v>44607</v>
      </c>
      <c r="C3860" s="1" t="n">
        <v>45662</v>
      </c>
      <c r="D3860" t="inlineStr">
        <is>
          <t>NORRBOTTENS LÄN</t>
        </is>
      </c>
      <c r="E3860" t="inlineStr">
        <is>
          <t>GÄLLIVARE</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7676-2022</t>
        </is>
      </c>
      <c r="B3861" s="1" t="n">
        <v>44607</v>
      </c>
      <c r="C3861" s="1" t="n">
        <v>45662</v>
      </c>
      <c r="D3861" t="inlineStr">
        <is>
          <t>NORRBOTTENS LÄN</t>
        </is>
      </c>
      <c r="E3861" t="inlineStr">
        <is>
          <t>GÄLLIVARE</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7682-2022</t>
        </is>
      </c>
      <c r="B3862" s="1" t="n">
        <v>44607</v>
      </c>
      <c r="C3862" s="1" t="n">
        <v>45662</v>
      </c>
      <c r="D3862" t="inlineStr">
        <is>
          <t>NORRBOTTENS LÄN</t>
        </is>
      </c>
      <c r="E3862" t="inlineStr">
        <is>
          <t>GÄLLIVARE</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7692-2022</t>
        </is>
      </c>
      <c r="B3863" s="1" t="n">
        <v>44607</v>
      </c>
      <c r="C3863" s="1" t="n">
        <v>45662</v>
      </c>
      <c r="D3863" t="inlineStr">
        <is>
          <t>NORRBOTTENS LÄN</t>
        </is>
      </c>
      <c r="E3863" t="inlineStr">
        <is>
          <t>ÖVERKALIX</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7681-2022</t>
        </is>
      </c>
      <c r="B3864" s="1" t="n">
        <v>44607</v>
      </c>
      <c r="C3864" s="1" t="n">
        <v>45662</v>
      </c>
      <c r="D3864" t="inlineStr">
        <is>
          <t>NORRBOTTENS LÄN</t>
        </is>
      </c>
      <c r="E3864" t="inlineStr">
        <is>
          <t>GÄLLIVARE</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7690-2022</t>
        </is>
      </c>
      <c r="B3865" s="1" t="n">
        <v>44607</v>
      </c>
      <c r="C3865" s="1" t="n">
        <v>45662</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7678-2022</t>
        </is>
      </c>
      <c r="B3866" s="1" t="n">
        <v>44607</v>
      </c>
      <c r="C3866" s="1" t="n">
        <v>45662</v>
      </c>
      <c r="D3866" t="inlineStr">
        <is>
          <t>NORRBOTTENS LÄN</t>
        </is>
      </c>
      <c r="E3866" t="inlineStr">
        <is>
          <t>GÄLLIVARE</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7685-2022</t>
        </is>
      </c>
      <c r="B3867" s="1" t="n">
        <v>44607</v>
      </c>
      <c r="C3867" s="1" t="n">
        <v>45662</v>
      </c>
      <c r="D3867" t="inlineStr">
        <is>
          <t>NORRBOTTENS LÄN</t>
        </is>
      </c>
      <c r="E3867" t="inlineStr">
        <is>
          <t>GÄLLIVARE</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7949-2022</t>
        </is>
      </c>
      <c r="B3868" s="1" t="n">
        <v>44608</v>
      </c>
      <c r="C3868" s="1" t="n">
        <v>45662</v>
      </c>
      <c r="D3868" t="inlineStr">
        <is>
          <t>NORRBOTTENS LÄN</t>
        </is>
      </c>
      <c r="E3868" t="inlineStr">
        <is>
          <t>ÖVERKALIX</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7954-2022</t>
        </is>
      </c>
      <c r="B3869" s="1" t="n">
        <v>44608</v>
      </c>
      <c r="C3869" s="1" t="n">
        <v>45662</v>
      </c>
      <c r="D3869" t="inlineStr">
        <is>
          <t>NORRBOTTENS LÄN</t>
        </is>
      </c>
      <c r="E3869" t="inlineStr">
        <is>
          <t>PAJALA</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7928-2022</t>
        </is>
      </c>
      <c r="B3870" s="1" t="n">
        <v>44608</v>
      </c>
      <c r="C3870" s="1" t="n">
        <v>45662</v>
      </c>
      <c r="D3870" t="inlineStr">
        <is>
          <t>NORRBOTTENS LÄN</t>
        </is>
      </c>
      <c r="E3870" t="inlineStr">
        <is>
          <t>PITEÅ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8018-2022</t>
        </is>
      </c>
      <c r="B3871" s="1" t="n">
        <v>44609</v>
      </c>
      <c r="C3871" s="1" t="n">
        <v>45662</v>
      </c>
      <c r="D3871" t="inlineStr">
        <is>
          <t>NORRBOTTENS LÄN</t>
        </is>
      </c>
      <c r="E3871" t="inlineStr">
        <is>
          <t>GÄLLIVARE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8112-2022</t>
        </is>
      </c>
      <c r="B3872" s="1" t="n">
        <v>44609</v>
      </c>
      <c r="C3872" s="1" t="n">
        <v>45662</v>
      </c>
      <c r="D3872" t="inlineStr">
        <is>
          <t>NORRBOTTENS LÄN</t>
        </is>
      </c>
      <c r="E3872" t="inlineStr">
        <is>
          <t>BODEN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8120-2022</t>
        </is>
      </c>
      <c r="B3873" s="1" t="n">
        <v>44609</v>
      </c>
      <c r="C3873" s="1" t="n">
        <v>45662</v>
      </c>
      <c r="D3873" t="inlineStr">
        <is>
          <t>NORRBOTTENS LÄN</t>
        </is>
      </c>
      <c r="E3873" t="inlineStr">
        <is>
          <t>BODEN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8078-2022</t>
        </is>
      </c>
      <c r="B3874" s="1" t="n">
        <v>44609</v>
      </c>
      <c r="C3874" s="1" t="n">
        <v>45662</v>
      </c>
      <c r="D3874" t="inlineStr">
        <is>
          <t>NORRBOTTENS LÄN</t>
        </is>
      </c>
      <c r="E3874" t="inlineStr">
        <is>
          <t>BODEN</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8125-2022</t>
        </is>
      </c>
      <c r="B3875" s="1" t="n">
        <v>44609</v>
      </c>
      <c r="C3875" s="1" t="n">
        <v>45662</v>
      </c>
      <c r="D3875" t="inlineStr">
        <is>
          <t>NORRBOTTENS LÄN</t>
        </is>
      </c>
      <c r="E3875" t="inlineStr">
        <is>
          <t>BODEN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8118-2022</t>
        </is>
      </c>
      <c r="B3876" s="1" t="n">
        <v>44609</v>
      </c>
      <c r="C3876" s="1" t="n">
        <v>45662</v>
      </c>
      <c r="D3876" t="inlineStr">
        <is>
          <t>NORRBOTTENS LÄN</t>
        </is>
      </c>
      <c r="E3876" t="inlineStr">
        <is>
          <t>BODEN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8123-2022</t>
        </is>
      </c>
      <c r="B3877" s="1" t="n">
        <v>44609</v>
      </c>
      <c r="C3877" s="1" t="n">
        <v>45662</v>
      </c>
      <c r="D3877" t="inlineStr">
        <is>
          <t>NORRBOTTENS LÄN</t>
        </is>
      </c>
      <c r="E3877" t="inlineStr">
        <is>
          <t>BODEN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8121-2022</t>
        </is>
      </c>
      <c r="B3878" s="1" t="n">
        <v>44609</v>
      </c>
      <c r="C3878" s="1" t="n">
        <v>45662</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8472-2022</t>
        </is>
      </c>
      <c r="B3879" s="1" t="n">
        <v>44610</v>
      </c>
      <c r="C3879" s="1" t="n">
        <v>45662</v>
      </c>
      <c r="D3879" t="inlineStr">
        <is>
          <t>NORRBOTTENS LÄN</t>
        </is>
      </c>
      <c r="E3879" t="inlineStr">
        <is>
          <t>LULEÅ</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8390-2022</t>
        </is>
      </c>
      <c r="B3880" s="1" t="n">
        <v>44610</v>
      </c>
      <c r="C3880" s="1" t="n">
        <v>45662</v>
      </c>
      <c r="D3880" t="inlineStr">
        <is>
          <t>NORRBOTTENS LÄN</t>
        </is>
      </c>
      <c r="E3880" t="inlineStr">
        <is>
          <t>LULEÅ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8521-2022</t>
        </is>
      </c>
      <c r="B3881" s="1" t="n">
        <v>44610</v>
      </c>
      <c r="C3881" s="1" t="n">
        <v>45662</v>
      </c>
      <c r="D3881" t="inlineStr">
        <is>
          <t>NORRBOTTENS LÄN</t>
        </is>
      </c>
      <c r="E3881" t="inlineStr">
        <is>
          <t>LULEÅ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8727-2022</t>
        </is>
      </c>
      <c r="B3882" s="1" t="n">
        <v>44613</v>
      </c>
      <c r="C3882" s="1" t="n">
        <v>45662</v>
      </c>
      <c r="D3882" t="inlineStr">
        <is>
          <t>NORRBOTTENS LÄN</t>
        </is>
      </c>
      <c r="E3882" t="inlineStr">
        <is>
          <t>ÖVERKALIX</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8776-2022</t>
        </is>
      </c>
      <c r="B3883" s="1" t="n">
        <v>44614</v>
      </c>
      <c r="C3883" s="1" t="n">
        <v>45662</v>
      </c>
      <c r="D3883" t="inlineStr">
        <is>
          <t>NORRBOTTENS LÄN</t>
        </is>
      </c>
      <c r="E3883" t="inlineStr">
        <is>
          <t>BODEN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8914-2022</t>
        </is>
      </c>
      <c r="B3884" s="1" t="n">
        <v>44614</v>
      </c>
      <c r="C3884" s="1" t="n">
        <v>45662</v>
      </c>
      <c r="D3884" t="inlineStr">
        <is>
          <t>NORRBOTTENS LÄN</t>
        </is>
      </c>
      <c r="E3884" t="inlineStr">
        <is>
          <t>KALIX</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9031-2022</t>
        </is>
      </c>
      <c r="B3885" s="1" t="n">
        <v>44615</v>
      </c>
      <c r="C3885" s="1" t="n">
        <v>45662</v>
      </c>
      <c r="D3885" t="inlineStr">
        <is>
          <t>NORRBOTTENS LÄN</t>
        </is>
      </c>
      <c r="E3885" t="inlineStr">
        <is>
          <t>PAJALA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9193-2022</t>
        </is>
      </c>
      <c r="B3886" s="1" t="n">
        <v>44615</v>
      </c>
      <c r="C3886" s="1" t="n">
        <v>45662</v>
      </c>
      <c r="D3886" t="inlineStr">
        <is>
          <t>NORRBOTTENS LÄN</t>
        </is>
      </c>
      <c r="E3886" t="inlineStr">
        <is>
          <t>PITEÅ</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9234-2022</t>
        </is>
      </c>
      <c r="B3887" s="1" t="n">
        <v>44616</v>
      </c>
      <c r="C3887" s="1" t="n">
        <v>45662</v>
      </c>
      <c r="D3887" t="inlineStr">
        <is>
          <t>NORRBOTTENS LÄN</t>
        </is>
      </c>
      <c r="E3887" t="inlineStr">
        <is>
          <t>ARVIDSJAUR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9333-2022</t>
        </is>
      </c>
      <c r="B3888" s="1" t="n">
        <v>44616</v>
      </c>
      <c r="C3888" s="1" t="n">
        <v>45662</v>
      </c>
      <c r="D3888" t="inlineStr">
        <is>
          <t>NORRBOTTENS LÄN</t>
        </is>
      </c>
      <c r="E3888" t="inlineStr">
        <is>
          <t>ÄLVSBYN</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9497-2022</t>
        </is>
      </c>
      <c r="B3889" s="1" t="n">
        <v>44616</v>
      </c>
      <c r="C3889" s="1" t="n">
        <v>45662</v>
      </c>
      <c r="D3889" t="inlineStr">
        <is>
          <t>NORRBOTTENS LÄN</t>
        </is>
      </c>
      <c r="E3889" t="inlineStr">
        <is>
          <t>PITEÅ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9494-2022</t>
        </is>
      </c>
      <c r="B3890" s="1" t="n">
        <v>44616</v>
      </c>
      <c r="C3890" s="1" t="n">
        <v>45662</v>
      </c>
      <c r="D3890" t="inlineStr">
        <is>
          <t>NORRBOTTENS LÄN</t>
        </is>
      </c>
      <c r="E3890" t="inlineStr">
        <is>
          <t>BODEN</t>
        </is>
      </c>
      <c r="F3890" t="inlineStr">
        <is>
          <t>SCA</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9495-2022</t>
        </is>
      </c>
      <c r="B3891" s="1" t="n">
        <v>44616</v>
      </c>
      <c r="C3891" s="1" t="n">
        <v>45662</v>
      </c>
      <c r="D3891" t="inlineStr">
        <is>
          <t>NORRBOTTENS LÄN</t>
        </is>
      </c>
      <c r="E3891" t="inlineStr">
        <is>
          <t>BODEN</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9504-2022</t>
        </is>
      </c>
      <c r="B3892" s="1" t="n">
        <v>44616</v>
      </c>
      <c r="C3892" s="1" t="n">
        <v>45662</v>
      </c>
      <c r="D3892" t="inlineStr">
        <is>
          <t>NORRBOTTENS LÄN</t>
        </is>
      </c>
      <c r="E3892" t="inlineStr">
        <is>
          <t>GÄLLIVARE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9493-2022</t>
        </is>
      </c>
      <c r="B3893" s="1" t="n">
        <v>44616</v>
      </c>
      <c r="C3893" s="1" t="n">
        <v>45662</v>
      </c>
      <c r="D3893" t="inlineStr">
        <is>
          <t>NORRBOTTENS LÄN</t>
        </is>
      </c>
      <c r="E3893" t="inlineStr">
        <is>
          <t>GÄLLIVARE</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9580-2022</t>
        </is>
      </c>
      <c r="B3894" s="1" t="n">
        <v>44617</v>
      </c>
      <c r="C3894" s="1" t="n">
        <v>45662</v>
      </c>
      <c r="D3894" t="inlineStr">
        <is>
          <t>NORRBOTTENS LÄN</t>
        </is>
      </c>
      <c r="E3894" t="inlineStr">
        <is>
          <t>LULEÅ</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9643-2022</t>
        </is>
      </c>
      <c r="B3895" s="1" t="n">
        <v>44617</v>
      </c>
      <c r="C3895" s="1" t="n">
        <v>45662</v>
      </c>
      <c r="D3895" t="inlineStr">
        <is>
          <t>NORRBOTTENS LÄN</t>
        </is>
      </c>
      <c r="E3895" t="inlineStr">
        <is>
          <t>ÄLVSBYN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9530-2022</t>
        </is>
      </c>
      <c r="B3896" s="1" t="n">
        <v>44617</v>
      </c>
      <c r="C3896" s="1" t="n">
        <v>45662</v>
      </c>
      <c r="D3896" t="inlineStr">
        <is>
          <t>NORRBOTTENS LÄN</t>
        </is>
      </c>
      <c r="E3896" t="inlineStr">
        <is>
          <t>BODEN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9623-2022</t>
        </is>
      </c>
      <c r="B3897" s="1" t="n">
        <v>44617</v>
      </c>
      <c r="C3897" s="1" t="n">
        <v>45662</v>
      </c>
      <c r="D3897" t="inlineStr">
        <is>
          <t>NORRBOTTENS LÄN</t>
        </is>
      </c>
      <c r="E3897" t="inlineStr">
        <is>
          <t>ÄLVSBYN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9631-2022</t>
        </is>
      </c>
      <c r="B3898" s="1" t="n">
        <v>44617</v>
      </c>
      <c r="C3898" s="1" t="n">
        <v>45662</v>
      </c>
      <c r="D3898" t="inlineStr">
        <is>
          <t>NORRBOTTENS LÄN</t>
        </is>
      </c>
      <c r="E3898" t="inlineStr">
        <is>
          <t>ÄLVSBYN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9527-2022</t>
        </is>
      </c>
      <c r="B3899" s="1" t="n">
        <v>44617</v>
      </c>
      <c r="C3899" s="1" t="n">
        <v>45662</v>
      </c>
      <c r="D3899" t="inlineStr">
        <is>
          <t>NORRBOTTENS LÄN</t>
        </is>
      </c>
      <c r="E3899" t="inlineStr">
        <is>
          <t>BODEN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9582-2022</t>
        </is>
      </c>
      <c r="B3900" s="1" t="n">
        <v>44617</v>
      </c>
      <c r="C3900" s="1" t="n">
        <v>45662</v>
      </c>
      <c r="D3900" t="inlineStr">
        <is>
          <t>NORRBOTTENS LÄN</t>
        </is>
      </c>
      <c r="E3900" t="inlineStr">
        <is>
          <t>LULEÅ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9618-2022</t>
        </is>
      </c>
      <c r="B3901" s="1" t="n">
        <v>44617</v>
      </c>
      <c r="C3901" s="1" t="n">
        <v>45662</v>
      </c>
      <c r="D3901" t="inlineStr">
        <is>
          <t>NORRBOTTENS LÄN</t>
        </is>
      </c>
      <c r="E3901" t="inlineStr">
        <is>
          <t>ÄLVSBYN</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9634-2022</t>
        </is>
      </c>
      <c r="B3902" s="1" t="n">
        <v>44617</v>
      </c>
      <c r="C3902" s="1" t="n">
        <v>45662</v>
      </c>
      <c r="D3902" t="inlineStr">
        <is>
          <t>NORRBOTTENS LÄN</t>
        </is>
      </c>
      <c r="E3902" t="inlineStr">
        <is>
          <t>ÄLVSBYN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9706-2022</t>
        </is>
      </c>
      <c r="B3903" s="1" t="n">
        <v>44617</v>
      </c>
      <c r="C3903" s="1" t="n">
        <v>45662</v>
      </c>
      <c r="D3903" t="inlineStr">
        <is>
          <t>NORRBOTTENS LÄN</t>
        </is>
      </c>
      <c r="E3903" t="inlineStr">
        <is>
          <t>LULEÅ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9690-2022</t>
        </is>
      </c>
      <c r="B3904" s="1" t="n">
        <v>44617</v>
      </c>
      <c r="C3904" s="1" t="n">
        <v>45662</v>
      </c>
      <c r="D3904" t="inlineStr">
        <is>
          <t>NORRBOTTENS LÄN</t>
        </is>
      </c>
      <c r="E3904" t="inlineStr">
        <is>
          <t>PITEÅ</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9929-2022</t>
        </is>
      </c>
      <c r="B3905" s="1" t="n">
        <v>44620</v>
      </c>
      <c r="C3905" s="1" t="n">
        <v>45662</v>
      </c>
      <c r="D3905" t="inlineStr">
        <is>
          <t>NORRBOTTENS LÄN</t>
        </is>
      </c>
      <c r="E3905" t="inlineStr">
        <is>
          <t>LULEÅ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9930-2022</t>
        </is>
      </c>
      <c r="B3906" s="1" t="n">
        <v>44620</v>
      </c>
      <c r="C3906" s="1" t="n">
        <v>45662</v>
      </c>
      <c r="D3906" t="inlineStr">
        <is>
          <t>NORRBOTTENS LÄN</t>
        </is>
      </c>
      <c r="E3906" t="inlineStr">
        <is>
          <t>LULEÅ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9932-2022</t>
        </is>
      </c>
      <c r="B3907" s="1" t="n">
        <v>44620</v>
      </c>
      <c r="C3907" s="1" t="n">
        <v>45662</v>
      </c>
      <c r="D3907" t="inlineStr">
        <is>
          <t>NORRBOTTENS LÄN</t>
        </is>
      </c>
      <c r="E3907" t="inlineStr">
        <is>
          <t>LULEÅ</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9978-2022</t>
        </is>
      </c>
      <c r="B3908" s="1" t="n">
        <v>44621</v>
      </c>
      <c r="C3908" s="1" t="n">
        <v>45662</v>
      </c>
      <c r="D3908" t="inlineStr">
        <is>
          <t>NORRBOTTENS LÄN</t>
        </is>
      </c>
      <c r="E3908" t="inlineStr">
        <is>
          <t>ARVIDSJAUR</t>
        </is>
      </c>
      <c r="F3908" t="inlineStr">
        <is>
          <t>Sveaskog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10030-2022</t>
        </is>
      </c>
      <c r="B3909" s="1" t="n">
        <v>44621</v>
      </c>
      <c r="C3909" s="1" t="n">
        <v>45662</v>
      </c>
      <c r="D3909" t="inlineStr">
        <is>
          <t>NORRBOTTENS LÄN</t>
        </is>
      </c>
      <c r="E3909" t="inlineStr">
        <is>
          <t>PITEÅ</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10134-2022</t>
        </is>
      </c>
      <c r="B3910" s="1" t="n">
        <v>44621</v>
      </c>
      <c r="C3910" s="1" t="n">
        <v>45662</v>
      </c>
      <c r="D3910" t="inlineStr">
        <is>
          <t>NORRBOTTENS LÄN</t>
        </is>
      </c>
      <c r="E3910" t="inlineStr">
        <is>
          <t>PITEÅ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10303-2022</t>
        </is>
      </c>
      <c r="B3911" s="1" t="n">
        <v>44622</v>
      </c>
      <c r="C3911" s="1" t="n">
        <v>45662</v>
      </c>
      <c r="D3911" t="inlineStr">
        <is>
          <t>NORRBOTTENS LÄN</t>
        </is>
      </c>
      <c r="E3911" t="inlineStr">
        <is>
          <t>LULEÅ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10304-2022</t>
        </is>
      </c>
      <c r="B3912" s="1" t="n">
        <v>44622</v>
      </c>
      <c r="C3912" s="1" t="n">
        <v>45662</v>
      </c>
      <c r="D3912" t="inlineStr">
        <is>
          <t>NORRBOTTENS LÄN</t>
        </is>
      </c>
      <c r="E3912" t="inlineStr">
        <is>
          <t>LULEÅ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10195-2022</t>
        </is>
      </c>
      <c r="B3913" s="1" t="n">
        <v>44622</v>
      </c>
      <c r="C3913" s="1" t="n">
        <v>45662</v>
      </c>
      <c r="D3913" t="inlineStr">
        <is>
          <t>NORRBOTTENS LÄN</t>
        </is>
      </c>
      <c r="E3913" t="inlineStr">
        <is>
          <t>LULEÅ</t>
        </is>
      </c>
      <c r="G3913" t="n">
        <v>33.4</v>
      </c>
      <c r="H3913" t="n">
        <v>0</v>
      </c>
      <c r="I3913" t="n">
        <v>0</v>
      </c>
      <c r="J3913" t="n">
        <v>0</v>
      </c>
      <c r="K3913" t="n">
        <v>0</v>
      </c>
      <c r="L3913" t="n">
        <v>0</v>
      </c>
      <c r="M3913" t="n">
        <v>0</v>
      </c>
      <c r="N3913" t="n">
        <v>0</v>
      </c>
      <c r="O3913" t="n">
        <v>0</v>
      </c>
      <c r="P3913" t="n">
        <v>0</v>
      </c>
      <c r="Q3913" t="n">
        <v>0</v>
      </c>
      <c r="R3913" s="2" t="inlineStr"/>
    </row>
    <row r="3914" ht="15" customHeight="1">
      <c r="A3914" t="inlineStr">
        <is>
          <t>A 10216-2022</t>
        </is>
      </c>
      <c r="B3914" s="1" t="n">
        <v>44622</v>
      </c>
      <c r="C3914" s="1" t="n">
        <v>45662</v>
      </c>
      <c r="D3914" t="inlineStr">
        <is>
          <t>NORRBOTTENS LÄN</t>
        </is>
      </c>
      <c r="E3914" t="inlineStr">
        <is>
          <t>BODEN</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10395-2022</t>
        </is>
      </c>
      <c r="B3915" s="1" t="n">
        <v>44622</v>
      </c>
      <c r="C3915" s="1" t="n">
        <v>45662</v>
      </c>
      <c r="D3915" t="inlineStr">
        <is>
          <t>NORRBOTTENS LÄN</t>
        </is>
      </c>
      <c r="E3915" t="inlineStr">
        <is>
          <t>PAJALA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10353-2022</t>
        </is>
      </c>
      <c r="B3916" s="1" t="n">
        <v>44622</v>
      </c>
      <c r="C3916" s="1" t="n">
        <v>45662</v>
      </c>
      <c r="D3916" t="inlineStr">
        <is>
          <t>NORRBOTTENS LÄN</t>
        </is>
      </c>
      <c r="E3916" t="inlineStr">
        <is>
          <t>PITEÅ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10544-2022</t>
        </is>
      </c>
      <c r="B3917" s="1" t="n">
        <v>44623</v>
      </c>
      <c r="C3917" s="1" t="n">
        <v>45662</v>
      </c>
      <c r="D3917" t="inlineStr">
        <is>
          <t>NORRBOTTENS LÄN</t>
        </is>
      </c>
      <c r="E3917" t="inlineStr">
        <is>
          <t>PITEÅ</t>
        </is>
      </c>
      <c r="G3917" t="n">
        <v>21.9</v>
      </c>
      <c r="H3917" t="n">
        <v>0</v>
      </c>
      <c r="I3917" t="n">
        <v>0</v>
      </c>
      <c r="J3917" t="n">
        <v>0</v>
      </c>
      <c r="K3917" t="n">
        <v>0</v>
      </c>
      <c r="L3917" t="n">
        <v>0</v>
      </c>
      <c r="M3917" t="n">
        <v>0</v>
      </c>
      <c r="N3917" t="n">
        <v>0</v>
      </c>
      <c r="O3917" t="n">
        <v>0</v>
      </c>
      <c r="P3917" t="n">
        <v>0</v>
      </c>
      <c r="Q3917" t="n">
        <v>0</v>
      </c>
      <c r="R3917" s="2" t="inlineStr"/>
    </row>
    <row r="3918" ht="15" customHeight="1">
      <c r="A3918" t="inlineStr">
        <is>
          <t>A 10546-2022</t>
        </is>
      </c>
      <c r="B3918" s="1" t="n">
        <v>44623</v>
      </c>
      <c r="C3918" s="1" t="n">
        <v>45662</v>
      </c>
      <c r="D3918" t="inlineStr">
        <is>
          <t>NORRBOTTENS LÄN</t>
        </is>
      </c>
      <c r="E3918" t="inlineStr">
        <is>
          <t>KIRUNA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10545-2022</t>
        </is>
      </c>
      <c r="B3919" s="1" t="n">
        <v>44623</v>
      </c>
      <c r="C3919" s="1" t="n">
        <v>45662</v>
      </c>
      <c r="D3919" t="inlineStr">
        <is>
          <t>NORRBOTTENS LÄN</t>
        </is>
      </c>
      <c r="E3919" t="inlineStr">
        <is>
          <t>KIRUNA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10553-2022</t>
        </is>
      </c>
      <c r="B3920" s="1" t="n">
        <v>44623</v>
      </c>
      <c r="C3920" s="1" t="n">
        <v>45662</v>
      </c>
      <c r="D3920" t="inlineStr">
        <is>
          <t>NORRBOTTENS LÄN</t>
        </is>
      </c>
      <c r="E3920" t="inlineStr">
        <is>
          <t>ÖVERKALIX</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10652-2022</t>
        </is>
      </c>
      <c r="B3921" s="1" t="n">
        <v>44624</v>
      </c>
      <c r="C3921" s="1" t="n">
        <v>45662</v>
      </c>
      <c r="D3921" t="inlineStr">
        <is>
          <t>NORRBOTTENS LÄN</t>
        </is>
      </c>
      <c r="E3921" t="inlineStr">
        <is>
          <t>GÄLLIVARE</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10648-2022</t>
        </is>
      </c>
      <c r="B3922" s="1" t="n">
        <v>44624</v>
      </c>
      <c r="C3922" s="1" t="n">
        <v>45662</v>
      </c>
      <c r="D3922" t="inlineStr">
        <is>
          <t>NORRBOTTENS LÄN</t>
        </is>
      </c>
      <c r="E3922" t="inlineStr">
        <is>
          <t>ARVIDSJAUR</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10709-2022</t>
        </is>
      </c>
      <c r="B3923" s="1" t="n">
        <v>44625</v>
      </c>
      <c r="C3923" s="1" t="n">
        <v>45662</v>
      </c>
      <c r="D3923" t="inlineStr">
        <is>
          <t>NORRBOTTENS LÄN</t>
        </is>
      </c>
      <c r="E3923" t="inlineStr">
        <is>
          <t>BODEN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10778-2022</t>
        </is>
      </c>
      <c r="B3924" s="1" t="n">
        <v>44627</v>
      </c>
      <c r="C3924" s="1" t="n">
        <v>45662</v>
      </c>
      <c r="D3924" t="inlineStr">
        <is>
          <t>NORRBOTTENS LÄN</t>
        </is>
      </c>
      <c r="E3924" t="inlineStr">
        <is>
          <t>PAJALA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10784-2022</t>
        </is>
      </c>
      <c r="B3925" s="1" t="n">
        <v>44627</v>
      </c>
      <c r="C3925" s="1" t="n">
        <v>45662</v>
      </c>
      <c r="D3925" t="inlineStr">
        <is>
          <t>NORRBOTTENS LÄN</t>
        </is>
      </c>
      <c r="E3925" t="inlineStr">
        <is>
          <t>PAJALA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10798-2022</t>
        </is>
      </c>
      <c r="B3926" s="1" t="n">
        <v>44627</v>
      </c>
      <c r="C3926" s="1" t="n">
        <v>45662</v>
      </c>
      <c r="D3926" t="inlineStr">
        <is>
          <t>NORRBOTTENS LÄN</t>
        </is>
      </c>
      <c r="E3926" t="inlineStr">
        <is>
          <t>PAJALA</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10788-2022</t>
        </is>
      </c>
      <c r="B3927" s="1" t="n">
        <v>44627</v>
      </c>
      <c r="C3927" s="1" t="n">
        <v>45662</v>
      </c>
      <c r="D3927" t="inlineStr">
        <is>
          <t>NORRBOTTENS LÄN</t>
        </is>
      </c>
      <c r="E3927" t="inlineStr">
        <is>
          <t>PAJALA</t>
        </is>
      </c>
      <c r="G3927" t="n">
        <v>12.8</v>
      </c>
      <c r="H3927" t="n">
        <v>0</v>
      </c>
      <c r="I3927" t="n">
        <v>0</v>
      </c>
      <c r="J3927" t="n">
        <v>0</v>
      </c>
      <c r="K3927" t="n">
        <v>0</v>
      </c>
      <c r="L3927" t="n">
        <v>0</v>
      </c>
      <c r="M3927" t="n">
        <v>0</v>
      </c>
      <c r="N3927" t="n">
        <v>0</v>
      </c>
      <c r="O3927" t="n">
        <v>0</v>
      </c>
      <c r="P3927" t="n">
        <v>0</v>
      </c>
      <c r="Q3927" t="n">
        <v>0</v>
      </c>
      <c r="R3927" s="2" t="inlineStr"/>
    </row>
    <row r="3928" ht="15" customHeight="1">
      <c r="A3928" t="inlineStr">
        <is>
          <t>A 10812-2022</t>
        </is>
      </c>
      <c r="B3928" s="1" t="n">
        <v>44627</v>
      </c>
      <c r="C3928" s="1" t="n">
        <v>45662</v>
      </c>
      <c r="D3928" t="inlineStr">
        <is>
          <t>NORRBOTTENS LÄN</t>
        </is>
      </c>
      <c r="E3928" t="inlineStr">
        <is>
          <t>ÄLVSBYN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10930-2022</t>
        </is>
      </c>
      <c r="B3929" s="1" t="n">
        <v>44627</v>
      </c>
      <c r="C3929" s="1" t="n">
        <v>45662</v>
      </c>
      <c r="D3929" t="inlineStr">
        <is>
          <t>NORRBOTTENS LÄN</t>
        </is>
      </c>
      <c r="E3929" t="inlineStr">
        <is>
          <t>ÖVERKALIX</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11092-2022</t>
        </is>
      </c>
      <c r="B3930" s="1" t="n">
        <v>44628</v>
      </c>
      <c r="C3930" s="1" t="n">
        <v>45662</v>
      </c>
      <c r="D3930" t="inlineStr">
        <is>
          <t>NORRBOTTENS LÄN</t>
        </is>
      </c>
      <c r="E3930" t="inlineStr">
        <is>
          <t>BODEN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11208-2022</t>
        </is>
      </c>
      <c r="B3931" s="1" t="n">
        <v>44629</v>
      </c>
      <c r="C3931" s="1" t="n">
        <v>45662</v>
      </c>
      <c r="D3931" t="inlineStr">
        <is>
          <t>NORRBOTTENS LÄN</t>
        </is>
      </c>
      <c r="E3931" t="inlineStr">
        <is>
          <t>PAJALA</t>
        </is>
      </c>
      <c r="F3931" t="inlineStr">
        <is>
          <t>Allmännings- och besparingsskogar</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11284-2022</t>
        </is>
      </c>
      <c r="B3932" s="1" t="n">
        <v>44629</v>
      </c>
      <c r="C3932" s="1" t="n">
        <v>45662</v>
      </c>
      <c r="D3932" t="inlineStr">
        <is>
          <t>NORRBOTTENS LÄN</t>
        </is>
      </c>
      <c r="E3932" t="inlineStr">
        <is>
          <t>HAPARANDA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11285-2022</t>
        </is>
      </c>
      <c r="B3933" s="1" t="n">
        <v>44629</v>
      </c>
      <c r="C3933" s="1" t="n">
        <v>45662</v>
      </c>
      <c r="D3933" t="inlineStr">
        <is>
          <t>NORRBOTTENS LÄN</t>
        </is>
      </c>
      <c r="E3933" t="inlineStr">
        <is>
          <t>HAPARANDA</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11477-2022</t>
        </is>
      </c>
      <c r="B3934" s="1" t="n">
        <v>44630</v>
      </c>
      <c r="C3934" s="1" t="n">
        <v>45662</v>
      </c>
      <c r="D3934" t="inlineStr">
        <is>
          <t>NORRBOTTENS LÄN</t>
        </is>
      </c>
      <c r="E3934" t="inlineStr">
        <is>
          <t>ÄLVSBYN</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11704-2022</t>
        </is>
      </c>
      <c r="B3935" s="1" t="n">
        <v>44634</v>
      </c>
      <c r="C3935" s="1" t="n">
        <v>45662</v>
      </c>
      <c r="D3935" t="inlineStr">
        <is>
          <t>NORRBOTTENS LÄN</t>
        </is>
      </c>
      <c r="E3935" t="inlineStr">
        <is>
          <t>KALIX</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11717-2022</t>
        </is>
      </c>
      <c r="B3936" s="1" t="n">
        <v>44634</v>
      </c>
      <c r="C3936" s="1" t="n">
        <v>45662</v>
      </c>
      <c r="D3936" t="inlineStr">
        <is>
          <t>NORRBOTTENS LÄN</t>
        </is>
      </c>
      <c r="E3936" t="inlineStr">
        <is>
          <t>PAJALA</t>
        </is>
      </c>
      <c r="F3936" t="inlineStr">
        <is>
          <t>Allmännings- och besparingsskogar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11831-2022</t>
        </is>
      </c>
      <c r="B3937" s="1" t="n">
        <v>44634</v>
      </c>
      <c r="C3937" s="1" t="n">
        <v>45662</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11793-2022</t>
        </is>
      </c>
      <c r="B3938" s="1" t="n">
        <v>44634</v>
      </c>
      <c r="C3938" s="1" t="n">
        <v>45662</v>
      </c>
      <c r="D3938" t="inlineStr">
        <is>
          <t>NORRBOTTENS LÄN</t>
        </is>
      </c>
      <c r="E3938" t="inlineStr">
        <is>
          <t>LULEÅ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11830-2022</t>
        </is>
      </c>
      <c r="B3939" s="1" t="n">
        <v>44634</v>
      </c>
      <c r="C3939" s="1" t="n">
        <v>45662</v>
      </c>
      <c r="D3939" t="inlineStr">
        <is>
          <t>NORRBOTTENS LÄN</t>
        </is>
      </c>
      <c r="E3939" t="inlineStr">
        <is>
          <t>ÖVERTORNEÅ</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11833-2022</t>
        </is>
      </c>
      <c r="B3940" s="1" t="n">
        <v>44634</v>
      </c>
      <c r="C3940" s="1" t="n">
        <v>45662</v>
      </c>
      <c r="D3940" t="inlineStr">
        <is>
          <t>NORRBOTTENS LÄN</t>
        </is>
      </c>
      <c r="E3940" t="inlineStr">
        <is>
          <t>LULEÅ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11935-2022</t>
        </is>
      </c>
      <c r="B3941" s="1" t="n">
        <v>44635</v>
      </c>
      <c r="C3941" s="1" t="n">
        <v>45662</v>
      </c>
      <c r="D3941" t="inlineStr">
        <is>
          <t>NORRBOTTENS LÄN</t>
        </is>
      </c>
      <c r="E3941" t="inlineStr">
        <is>
          <t>BODEN</t>
        </is>
      </c>
      <c r="F3941" t="inlineStr">
        <is>
          <t>Kyrkan</t>
        </is>
      </c>
      <c r="G3941" t="n">
        <v>16.5</v>
      </c>
      <c r="H3941" t="n">
        <v>0</v>
      </c>
      <c r="I3941" t="n">
        <v>0</v>
      </c>
      <c r="J3941" t="n">
        <v>0</v>
      </c>
      <c r="K3941" t="n">
        <v>0</v>
      </c>
      <c r="L3941" t="n">
        <v>0</v>
      </c>
      <c r="M3941" t="n">
        <v>0</v>
      </c>
      <c r="N3941" t="n">
        <v>0</v>
      </c>
      <c r="O3941" t="n">
        <v>0</v>
      </c>
      <c r="P3941" t="n">
        <v>0</v>
      </c>
      <c r="Q3941" t="n">
        <v>0</v>
      </c>
      <c r="R3941" s="2" t="inlineStr"/>
    </row>
    <row r="3942" ht="15" customHeight="1">
      <c r="A3942" t="inlineStr">
        <is>
          <t>A 12004-2022</t>
        </is>
      </c>
      <c r="B3942" s="1" t="n">
        <v>44635</v>
      </c>
      <c r="C3942" s="1" t="n">
        <v>45662</v>
      </c>
      <c r="D3942" t="inlineStr">
        <is>
          <t>NORRBOTTENS LÄN</t>
        </is>
      </c>
      <c r="E3942" t="inlineStr">
        <is>
          <t>ÖVERTORNEÅ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12010-2022</t>
        </is>
      </c>
      <c r="B3943" s="1" t="n">
        <v>44635</v>
      </c>
      <c r="C3943" s="1" t="n">
        <v>45662</v>
      </c>
      <c r="D3943" t="inlineStr">
        <is>
          <t>NORRBOTTENS LÄN</t>
        </is>
      </c>
      <c r="E3943" t="inlineStr">
        <is>
          <t>LULEÅ</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12005-2022</t>
        </is>
      </c>
      <c r="B3944" s="1" t="n">
        <v>44635</v>
      </c>
      <c r="C3944" s="1" t="n">
        <v>45662</v>
      </c>
      <c r="D3944" t="inlineStr">
        <is>
          <t>NORRBOTTENS LÄN</t>
        </is>
      </c>
      <c r="E3944" t="inlineStr">
        <is>
          <t>ÖVERTORNEÅ</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12193-2022</t>
        </is>
      </c>
      <c r="B3945" s="1" t="n">
        <v>44636</v>
      </c>
      <c r="C3945" s="1" t="n">
        <v>45662</v>
      </c>
      <c r="D3945" t="inlineStr">
        <is>
          <t>NORRBOTTENS LÄN</t>
        </is>
      </c>
      <c r="E3945" t="inlineStr">
        <is>
          <t>KALIX</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12156-2022</t>
        </is>
      </c>
      <c r="B3946" s="1" t="n">
        <v>44636</v>
      </c>
      <c r="C3946" s="1" t="n">
        <v>45662</v>
      </c>
      <c r="D3946" t="inlineStr">
        <is>
          <t>NORRBOTTENS LÄN</t>
        </is>
      </c>
      <c r="E3946" t="inlineStr">
        <is>
          <t>ÄLVSBYN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12195-2022</t>
        </is>
      </c>
      <c r="B3947" s="1" t="n">
        <v>44636</v>
      </c>
      <c r="C3947" s="1" t="n">
        <v>45662</v>
      </c>
      <c r="D3947" t="inlineStr">
        <is>
          <t>NORRBOTTENS LÄN</t>
        </is>
      </c>
      <c r="E3947" t="inlineStr">
        <is>
          <t>KALIX</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12202-2022</t>
        </is>
      </c>
      <c r="B3948" s="1" t="n">
        <v>44636</v>
      </c>
      <c r="C3948" s="1" t="n">
        <v>45662</v>
      </c>
      <c r="D3948" t="inlineStr">
        <is>
          <t>NORRBOTTENS LÄN</t>
        </is>
      </c>
      <c r="E3948" t="inlineStr">
        <is>
          <t>GÄLLIVARE</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12576-2022</t>
        </is>
      </c>
      <c r="B3949" s="1" t="n">
        <v>44638</v>
      </c>
      <c r="C3949" s="1" t="n">
        <v>45662</v>
      </c>
      <c r="D3949" t="inlineStr">
        <is>
          <t>NORRBOTTENS LÄN</t>
        </is>
      </c>
      <c r="E3949" t="inlineStr">
        <is>
          <t>JOKKMOKK</t>
        </is>
      </c>
      <c r="F3949" t="inlineStr">
        <is>
          <t>SCA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12682-2022</t>
        </is>
      </c>
      <c r="B3950" s="1" t="n">
        <v>44641</v>
      </c>
      <c r="C3950" s="1" t="n">
        <v>45662</v>
      </c>
      <c r="D3950" t="inlineStr">
        <is>
          <t>NORRBOTTENS LÄN</t>
        </is>
      </c>
      <c r="E3950" t="inlineStr">
        <is>
          <t>PAJALA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12789-2022</t>
        </is>
      </c>
      <c r="B3951" s="1" t="n">
        <v>44642</v>
      </c>
      <c r="C3951" s="1" t="n">
        <v>45662</v>
      </c>
      <c r="D3951" t="inlineStr">
        <is>
          <t>NORRBOTTENS LÄN</t>
        </is>
      </c>
      <c r="E3951" t="inlineStr">
        <is>
          <t>ARJEPLOG</t>
        </is>
      </c>
      <c r="F3951" t="inlineStr">
        <is>
          <t>Övriga statliga verk och myndigheter</t>
        </is>
      </c>
      <c r="G3951" t="n">
        <v>56.1</v>
      </c>
      <c r="H3951" t="n">
        <v>0</v>
      </c>
      <c r="I3951" t="n">
        <v>0</v>
      </c>
      <c r="J3951" t="n">
        <v>0</v>
      </c>
      <c r="K3951" t="n">
        <v>0</v>
      </c>
      <c r="L3951" t="n">
        <v>0</v>
      </c>
      <c r="M3951" t="n">
        <v>0</v>
      </c>
      <c r="N3951" t="n">
        <v>0</v>
      </c>
      <c r="O3951" t="n">
        <v>0</v>
      </c>
      <c r="P3951" t="n">
        <v>0</v>
      </c>
      <c r="Q3951" t="n">
        <v>0</v>
      </c>
      <c r="R3951" s="2" t="inlineStr"/>
    </row>
    <row r="3952" ht="15" customHeight="1">
      <c r="A3952" t="inlineStr">
        <is>
          <t>A 12832-2022</t>
        </is>
      </c>
      <c r="B3952" s="1" t="n">
        <v>44642</v>
      </c>
      <c r="C3952" s="1" t="n">
        <v>45662</v>
      </c>
      <c r="D3952" t="inlineStr">
        <is>
          <t>NORRBOTTENS LÄN</t>
        </is>
      </c>
      <c r="E3952" t="inlineStr">
        <is>
          <t>BODEN</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12902-2022</t>
        </is>
      </c>
      <c r="B3953" s="1" t="n">
        <v>44642</v>
      </c>
      <c r="C3953" s="1" t="n">
        <v>45662</v>
      </c>
      <c r="D3953" t="inlineStr">
        <is>
          <t>NORRBOTTENS LÄN</t>
        </is>
      </c>
      <c r="E3953" t="inlineStr">
        <is>
          <t>BODEN</t>
        </is>
      </c>
      <c r="F3953" t="inlineStr">
        <is>
          <t>Övriga statliga verk och myndigheter</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12893-2022</t>
        </is>
      </c>
      <c r="B3954" s="1" t="n">
        <v>44642</v>
      </c>
      <c r="C3954" s="1" t="n">
        <v>45662</v>
      </c>
      <c r="D3954" t="inlineStr">
        <is>
          <t>NORRBOTTENS LÄN</t>
        </is>
      </c>
      <c r="E3954" t="inlineStr">
        <is>
          <t>BODEN</t>
        </is>
      </c>
      <c r="F3954" t="inlineStr">
        <is>
          <t>Övriga statliga verk och myndigheter</t>
        </is>
      </c>
      <c r="G3954" t="n">
        <v>15.8</v>
      </c>
      <c r="H3954" t="n">
        <v>0</v>
      </c>
      <c r="I3954" t="n">
        <v>0</v>
      </c>
      <c r="J3954" t="n">
        <v>0</v>
      </c>
      <c r="K3954" t="n">
        <v>0</v>
      </c>
      <c r="L3954" t="n">
        <v>0</v>
      </c>
      <c r="M3954" t="n">
        <v>0</v>
      </c>
      <c r="N3954" t="n">
        <v>0</v>
      </c>
      <c r="O3954" t="n">
        <v>0</v>
      </c>
      <c r="P3954" t="n">
        <v>0</v>
      </c>
      <c r="Q3954" t="n">
        <v>0</v>
      </c>
      <c r="R3954" s="2" t="inlineStr"/>
    </row>
    <row r="3955" ht="15" customHeight="1">
      <c r="A3955" t="inlineStr">
        <is>
          <t>A 12834-2022</t>
        </is>
      </c>
      <c r="B3955" s="1" t="n">
        <v>44642</v>
      </c>
      <c r="C3955" s="1" t="n">
        <v>45662</v>
      </c>
      <c r="D3955" t="inlineStr">
        <is>
          <t>NORRBOTTENS LÄN</t>
        </is>
      </c>
      <c r="E3955" t="inlineStr">
        <is>
          <t>PAJALA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12916-2022</t>
        </is>
      </c>
      <c r="B3956" s="1" t="n">
        <v>44642</v>
      </c>
      <c r="C3956" s="1" t="n">
        <v>45662</v>
      </c>
      <c r="D3956" t="inlineStr">
        <is>
          <t>NORRBOTTENS LÄN</t>
        </is>
      </c>
      <c r="E3956" t="inlineStr">
        <is>
          <t>PITEÅ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13090-2022</t>
        </is>
      </c>
      <c r="B3957" s="1" t="n">
        <v>44643</v>
      </c>
      <c r="C3957" s="1" t="n">
        <v>45662</v>
      </c>
      <c r="D3957" t="inlineStr">
        <is>
          <t>NORRBOTTENS LÄN</t>
        </is>
      </c>
      <c r="E3957" t="inlineStr">
        <is>
          <t>PITEÅ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13095-2022</t>
        </is>
      </c>
      <c r="B3958" s="1" t="n">
        <v>44643</v>
      </c>
      <c r="C3958" s="1" t="n">
        <v>45662</v>
      </c>
      <c r="D3958" t="inlineStr">
        <is>
          <t>NORRBOTTENS LÄN</t>
        </is>
      </c>
      <c r="E3958" t="inlineStr">
        <is>
          <t>LULEÅ</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13103-2022</t>
        </is>
      </c>
      <c r="B3959" s="1" t="n">
        <v>44643</v>
      </c>
      <c r="C3959" s="1" t="n">
        <v>45662</v>
      </c>
      <c r="D3959" t="inlineStr">
        <is>
          <t>NORRBOTTENS LÄN</t>
        </is>
      </c>
      <c r="E3959" t="inlineStr">
        <is>
          <t>PITEÅ</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13234-2022</t>
        </is>
      </c>
      <c r="B3960" s="1" t="n">
        <v>44644</v>
      </c>
      <c r="C3960" s="1" t="n">
        <v>45662</v>
      </c>
      <c r="D3960" t="inlineStr">
        <is>
          <t>NORRBOTTENS LÄN</t>
        </is>
      </c>
      <c r="E3960" t="inlineStr">
        <is>
          <t>PITEÅ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13463-2022</t>
        </is>
      </c>
      <c r="B3961" s="1" t="n">
        <v>44645</v>
      </c>
      <c r="C3961" s="1" t="n">
        <v>45662</v>
      </c>
      <c r="D3961" t="inlineStr">
        <is>
          <t>NORRBOTTENS LÄN</t>
        </is>
      </c>
      <c r="E3961" t="inlineStr">
        <is>
          <t>ÖVERKALIX</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13456-2022</t>
        </is>
      </c>
      <c r="B3962" s="1" t="n">
        <v>44645</v>
      </c>
      <c r="C3962" s="1" t="n">
        <v>45662</v>
      </c>
      <c r="D3962" t="inlineStr">
        <is>
          <t>NORRBOTTENS LÄN</t>
        </is>
      </c>
      <c r="E3962" t="inlineStr">
        <is>
          <t>ÄLVSBYN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13465-2022</t>
        </is>
      </c>
      <c r="B3963" s="1" t="n">
        <v>44645</v>
      </c>
      <c r="C3963" s="1" t="n">
        <v>45662</v>
      </c>
      <c r="D3963" t="inlineStr">
        <is>
          <t>NORRBOTTENS LÄN</t>
        </is>
      </c>
      <c r="E3963" t="inlineStr">
        <is>
          <t>ÖVERKALIX</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13556-2022</t>
        </is>
      </c>
      <c r="B3964" s="1" t="n">
        <v>44648</v>
      </c>
      <c r="C3964" s="1" t="n">
        <v>45662</v>
      </c>
      <c r="D3964" t="inlineStr">
        <is>
          <t>NORRBOTTENS LÄN</t>
        </is>
      </c>
      <c r="E3964" t="inlineStr">
        <is>
          <t>BODEN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13573-2022</t>
        </is>
      </c>
      <c r="B3965" s="1" t="n">
        <v>44648</v>
      </c>
      <c r="C3965" s="1" t="n">
        <v>45662</v>
      </c>
      <c r="D3965" t="inlineStr">
        <is>
          <t>NORRBOTTENS LÄN</t>
        </is>
      </c>
      <c r="E3965" t="inlineStr">
        <is>
          <t>BODEN</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13592-2022</t>
        </is>
      </c>
      <c r="B3966" s="1" t="n">
        <v>44648</v>
      </c>
      <c r="C3966" s="1" t="n">
        <v>45662</v>
      </c>
      <c r="D3966" t="inlineStr">
        <is>
          <t>NORRBOTTENS LÄN</t>
        </is>
      </c>
      <c r="E3966" t="inlineStr">
        <is>
          <t>BODEN</t>
        </is>
      </c>
      <c r="F3966" t="inlineStr">
        <is>
          <t>Sveaskog</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13537-2022</t>
        </is>
      </c>
      <c r="B3967" s="1" t="n">
        <v>44648</v>
      </c>
      <c r="C3967" s="1" t="n">
        <v>45662</v>
      </c>
      <c r="D3967" t="inlineStr">
        <is>
          <t>NORRBOTTENS LÄN</t>
        </is>
      </c>
      <c r="E3967" t="inlineStr">
        <is>
          <t>KALIX</t>
        </is>
      </c>
      <c r="F3967" t="inlineStr">
        <is>
          <t>BillerudKorsnäs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13552-2022</t>
        </is>
      </c>
      <c r="B3968" s="1" t="n">
        <v>44648</v>
      </c>
      <c r="C3968" s="1" t="n">
        <v>45662</v>
      </c>
      <c r="D3968" t="inlineStr">
        <is>
          <t>NORRBOTTENS LÄN</t>
        </is>
      </c>
      <c r="E3968" t="inlineStr">
        <is>
          <t>BODEN</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13577-2022</t>
        </is>
      </c>
      <c r="B3969" s="1" t="n">
        <v>44648</v>
      </c>
      <c r="C3969" s="1" t="n">
        <v>45662</v>
      </c>
      <c r="D3969" t="inlineStr">
        <is>
          <t>NORRBOTTENS LÄN</t>
        </is>
      </c>
      <c r="E3969" t="inlineStr">
        <is>
          <t>BODEN</t>
        </is>
      </c>
      <c r="F3969" t="inlineStr">
        <is>
          <t>Sveaskog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13535-2022</t>
        </is>
      </c>
      <c r="B3970" s="1" t="n">
        <v>44648</v>
      </c>
      <c r="C3970" s="1" t="n">
        <v>45662</v>
      </c>
      <c r="D3970" t="inlineStr">
        <is>
          <t>NORRBOTTENS LÄN</t>
        </is>
      </c>
      <c r="E3970" t="inlineStr">
        <is>
          <t>BODEN</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13568-2022</t>
        </is>
      </c>
      <c r="B3971" s="1" t="n">
        <v>44648</v>
      </c>
      <c r="C3971" s="1" t="n">
        <v>45662</v>
      </c>
      <c r="D3971" t="inlineStr">
        <is>
          <t>NORRBOTTENS LÄN</t>
        </is>
      </c>
      <c r="E3971" t="inlineStr">
        <is>
          <t>BODEN</t>
        </is>
      </c>
      <c r="F3971" t="inlineStr">
        <is>
          <t>Sveaskog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13663-2022</t>
        </is>
      </c>
      <c r="B3972" s="1" t="n">
        <v>44648</v>
      </c>
      <c r="C3972" s="1" t="n">
        <v>45662</v>
      </c>
      <c r="D3972" t="inlineStr">
        <is>
          <t>NORRBOTTENS LÄN</t>
        </is>
      </c>
      <c r="E3972" t="inlineStr">
        <is>
          <t>BODEN</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13715-2022</t>
        </is>
      </c>
      <c r="B3973" s="1" t="n">
        <v>44648</v>
      </c>
      <c r="C3973" s="1" t="n">
        <v>45662</v>
      </c>
      <c r="D3973" t="inlineStr">
        <is>
          <t>NORRBOTTENS LÄN</t>
        </is>
      </c>
      <c r="E3973" t="inlineStr">
        <is>
          <t>BODEN</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13659-2022</t>
        </is>
      </c>
      <c r="B3974" s="1" t="n">
        <v>44648</v>
      </c>
      <c r="C3974" s="1" t="n">
        <v>45662</v>
      </c>
      <c r="D3974" t="inlineStr">
        <is>
          <t>NORRBOTTENS LÄN</t>
        </is>
      </c>
      <c r="E3974" t="inlineStr">
        <is>
          <t>BODEN</t>
        </is>
      </c>
      <c r="F3974" t="inlineStr">
        <is>
          <t>Sveaskog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13714-2022</t>
        </is>
      </c>
      <c r="B3975" s="1" t="n">
        <v>44648</v>
      </c>
      <c r="C3975" s="1" t="n">
        <v>45662</v>
      </c>
      <c r="D3975" t="inlineStr">
        <is>
          <t>NORRBOTTENS LÄN</t>
        </is>
      </c>
      <c r="E3975" t="inlineStr">
        <is>
          <t>BODEN</t>
        </is>
      </c>
      <c r="F3975" t="inlineStr">
        <is>
          <t>Sveaskog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13717-2022</t>
        </is>
      </c>
      <c r="B3976" s="1" t="n">
        <v>44648</v>
      </c>
      <c r="C3976" s="1" t="n">
        <v>45662</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14279-2022</t>
        </is>
      </c>
      <c r="B3977" s="1" t="n">
        <v>44651</v>
      </c>
      <c r="C3977" s="1" t="n">
        <v>45662</v>
      </c>
      <c r="D3977" t="inlineStr">
        <is>
          <t>NORRBOTTENS LÄN</t>
        </is>
      </c>
      <c r="E3977" t="inlineStr">
        <is>
          <t>GÄLLIVARE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14307-2022</t>
        </is>
      </c>
      <c r="B3978" s="1" t="n">
        <v>44651</v>
      </c>
      <c r="C3978" s="1" t="n">
        <v>45662</v>
      </c>
      <c r="D3978" t="inlineStr">
        <is>
          <t>NORRBOTTENS LÄN</t>
        </is>
      </c>
      <c r="E3978" t="inlineStr">
        <is>
          <t>BODEN</t>
        </is>
      </c>
      <c r="F3978" t="inlineStr">
        <is>
          <t>SCA</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14561-2022</t>
        </is>
      </c>
      <c r="B3979" s="1" t="n">
        <v>44655</v>
      </c>
      <c r="C3979" s="1" t="n">
        <v>45662</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14685-2022</t>
        </is>
      </c>
      <c r="B3980" s="1" t="n">
        <v>44656</v>
      </c>
      <c r="C3980" s="1" t="n">
        <v>45662</v>
      </c>
      <c r="D3980" t="inlineStr">
        <is>
          <t>NORRBOTTENS LÄN</t>
        </is>
      </c>
      <c r="E3980" t="inlineStr">
        <is>
          <t>ÖVERKALIX</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14871-2022</t>
        </is>
      </c>
      <c r="B3981" s="1" t="n">
        <v>44656</v>
      </c>
      <c r="C3981" s="1" t="n">
        <v>45662</v>
      </c>
      <c r="D3981" t="inlineStr">
        <is>
          <t>NORRBOTTENS LÄN</t>
        </is>
      </c>
      <c r="E3981" t="inlineStr">
        <is>
          <t>PITEÅ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14545-2022</t>
        </is>
      </c>
      <c r="B3982" s="1" t="n">
        <v>44657</v>
      </c>
      <c r="C3982" s="1" t="n">
        <v>45662</v>
      </c>
      <c r="D3982" t="inlineStr">
        <is>
          <t>NORRBOTTENS LÄN</t>
        </is>
      </c>
      <c r="E3982" t="inlineStr">
        <is>
          <t>BODEN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14964-2022</t>
        </is>
      </c>
      <c r="B3983" s="1" t="n">
        <v>44657</v>
      </c>
      <c r="C3983" s="1" t="n">
        <v>45662</v>
      </c>
      <c r="D3983" t="inlineStr">
        <is>
          <t>NORRBOTTENS LÄN</t>
        </is>
      </c>
      <c r="E3983" t="inlineStr">
        <is>
          <t>ARVIDSJAUR</t>
        </is>
      </c>
      <c r="F3983" t="inlineStr">
        <is>
          <t>Sveaskog</t>
        </is>
      </c>
      <c r="G3983" t="n">
        <v>15.3</v>
      </c>
      <c r="H3983" t="n">
        <v>0</v>
      </c>
      <c r="I3983" t="n">
        <v>0</v>
      </c>
      <c r="J3983" t="n">
        <v>0</v>
      </c>
      <c r="K3983" t="n">
        <v>0</v>
      </c>
      <c r="L3983" t="n">
        <v>0</v>
      </c>
      <c r="M3983" t="n">
        <v>0</v>
      </c>
      <c r="N3983" t="n">
        <v>0</v>
      </c>
      <c r="O3983" t="n">
        <v>0</v>
      </c>
      <c r="P3983" t="n">
        <v>0</v>
      </c>
      <c r="Q3983" t="n">
        <v>0</v>
      </c>
      <c r="R3983" s="2" t="inlineStr"/>
    </row>
    <row r="3984" ht="15" customHeight="1">
      <c r="A3984" t="inlineStr">
        <is>
          <t>A 14995-2022</t>
        </is>
      </c>
      <c r="B3984" s="1" t="n">
        <v>44657</v>
      </c>
      <c r="C3984" s="1" t="n">
        <v>45662</v>
      </c>
      <c r="D3984" t="inlineStr">
        <is>
          <t>NORRBOTTENS LÄN</t>
        </is>
      </c>
      <c r="E3984" t="inlineStr">
        <is>
          <t>BODEN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15017-2022</t>
        </is>
      </c>
      <c r="B3985" s="1" t="n">
        <v>44657</v>
      </c>
      <c r="C3985" s="1" t="n">
        <v>45662</v>
      </c>
      <c r="D3985" t="inlineStr">
        <is>
          <t>NORRBOTTENS LÄN</t>
        </is>
      </c>
      <c r="E3985" t="inlineStr">
        <is>
          <t>BODEN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15047-2022</t>
        </is>
      </c>
      <c r="B3986" s="1" t="n">
        <v>44657</v>
      </c>
      <c r="C3986" s="1" t="n">
        <v>45662</v>
      </c>
      <c r="D3986" t="inlineStr">
        <is>
          <t>NORRBOTTENS LÄN</t>
        </is>
      </c>
      <c r="E3986" t="inlineStr">
        <is>
          <t>LULEÅ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15000-2022</t>
        </is>
      </c>
      <c r="B3987" s="1" t="n">
        <v>44657</v>
      </c>
      <c r="C3987" s="1" t="n">
        <v>45662</v>
      </c>
      <c r="D3987" t="inlineStr">
        <is>
          <t>NORRBOTTENS LÄN</t>
        </is>
      </c>
      <c r="E3987" t="inlineStr">
        <is>
          <t>BODEN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15133-2022</t>
        </is>
      </c>
      <c r="B3988" s="1" t="n">
        <v>44658</v>
      </c>
      <c r="C3988" s="1" t="n">
        <v>45662</v>
      </c>
      <c r="D3988" t="inlineStr">
        <is>
          <t>NORRBOTTENS LÄN</t>
        </is>
      </c>
      <c r="E3988" t="inlineStr">
        <is>
          <t>ÖVERKALIX</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15194-2022</t>
        </is>
      </c>
      <c r="B3989" s="1" t="n">
        <v>44658</v>
      </c>
      <c r="C3989" s="1" t="n">
        <v>45662</v>
      </c>
      <c r="D3989" t="inlineStr">
        <is>
          <t>NORRBOTTENS LÄN</t>
        </is>
      </c>
      <c r="E3989" t="inlineStr">
        <is>
          <t>LULEÅ</t>
        </is>
      </c>
      <c r="G3989" t="n">
        <v>26.9</v>
      </c>
      <c r="H3989" t="n">
        <v>0</v>
      </c>
      <c r="I3989" t="n">
        <v>0</v>
      </c>
      <c r="J3989" t="n">
        <v>0</v>
      </c>
      <c r="K3989" t="n">
        <v>0</v>
      </c>
      <c r="L3989" t="n">
        <v>0</v>
      </c>
      <c r="M3989" t="n">
        <v>0</v>
      </c>
      <c r="N3989" t="n">
        <v>0</v>
      </c>
      <c r="O3989" t="n">
        <v>0</v>
      </c>
      <c r="P3989" t="n">
        <v>0</v>
      </c>
      <c r="Q3989" t="n">
        <v>0</v>
      </c>
      <c r="R3989" s="2" t="inlineStr"/>
    </row>
    <row r="3990" ht="15" customHeight="1">
      <c r="A3990" t="inlineStr">
        <is>
          <t>A 15199-2022</t>
        </is>
      </c>
      <c r="B3990" s="1" t="n">
        <v>44658</v>
      </c>
      <c r="C3990" s="1" t="n">
        <v>45662</v>
      </c>
      <c r="D3990" t="inlineStr">
        <is>
          <t>NORRBOTTENS LÄN</t>
        </is>
      </c>
      <c r="E3990" t="inlineStr">
        <is>
          <t>PITEÅ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15301-2022</t>
        </is>
      </c>
      <c r="B3991" s="1" t="n">
        <v>44659</v>
      </c>
      <c r="C3991" s="1" t="n">
        <v>45662</v>
      </c>
      <c r="D3991" t="inlineStr">
        <is>
          <t>NORRBOTTENS LÄN</t>
        </is>
      </c>
      <c r="E3991" t="inlineStr">
        <is>
          <t>ÖVERKALIX</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15406-2022</t>
        </is>
      </c>
      <c r="B3992" s="1" t="n">
        <v>44659</v>
      </c>
      <c r="C3992" s="1" t="n">
        <v>45662</v>
      </c>
      <c r="D3992" t="inlineStr">
        <is>
          <t>NORRBOTTENS LÄN</t>
        </is>
      </c>
      <c r="E3992" t="inlineStr">
        <is>
          <t>BODEN</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15305-2022</t>
        </is>
      </c>
      <c r="B3993" s="1" t="n">
        <v>44659</v>
      </c>
      <c r="C3993" s="1" t="n">
        <v>45662</v>
      </c>
      <c r="D3993" t="inlineStr">
        <is>
          <t>NORRBOTTENS LÄN</t>
        </is>
      </c>
      <c r="E3993" t="inlineStr">
        <is>
          <t>KALIX</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15494-2022</t>
        </is>
      </c>
      <c r="B3994" s="1" t="n">
        <v>44662</v>
      </c>
      <c r="C3994" s="1" t="n">
        <v>45662</v>
      </c>
      <c r="D3994" t="inlineStr">
        <is>
          <t>NORRBOTTENS LÄN</t>
        </is>
      </c>
      <c r="E3994" t="inlineStr">
        <is>
          <t>ÖVERTORNEÅ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15495-2022</t>
        </is>
      </c>
      <c r="B3995" s="1" t="n">
        <v>44662</v>
      </c>
      <c r="C3995" s="1" t="n">
        <v>45662</v>
      </c>
      <c r="D3995" t="inlineStr">
        <is>
          <t>NORRBOTTENS LÄN</t>
        </is>
      </c>
      <c r="E3995" t="inlineStr">
        <is>
          <t>ÖVERTORNEÅ</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15500-2022</t>
        </is>
      </c>
      <c r="B3996" s="1" t="n">
        <v>44662</v>
      </c>
      <c r="C3996" s="1" t="n">
        <v>45662</v>
      </c>
      <c r="D3996" t="inlineStr">
        <is>
          <t>NORRBOTTENS LÄN</t>
        </is>
      </c>
      <c r="E3996" t="inlineStr">
        <is>
          <t>ÖVERTORNEÅ</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15526-2022</t>
        </is>
      </c>
      <c r="B3997" s="1" t="n">
        <v>44662</v>
      </c>
      <c r="C3997" s="1" t="n">
        <v>45662</v>
      </c>
      <c r="D3997" t="inlineStr">
        <is>
          <t>NORRBOTTENS LÄN</t>
        </is>
      </c>
      <c r="E3997" t="inlineStr">
        <is>
          <t>ÄLVSBYN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15796-2022</t>
        </is>
      </c>
      <c r="B3998" s="1" t="n">
        <v>44663</v>
      </c>
      <c r="C3998" s="1" t="n">
        <v>45662</v>
      </c>
      <c r="D3998" t="inlineStr">
        <is>
          <t>NORRBOTTENS LÄN</t>
        </is>
      </c>
      <c r="E3998" t="inlineStr">
        <is>
          <t>PAJALA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15714-2022</t>
        </is>
      </c>
      <c r="B3999" s="1" t="n">
        <v>44663</v>
      </c>
      <c r="C3999" s="1" t="n">
        <v>45662</v>
      </c>
      <c r="D3999" t="inlineStr">
        <is>
          <t>NORRBOTTENS LÄN</t>
        </is>
      </c>
      <c r="E3999" t="inlineStr">
        <is>
          <t>JOKKMOKK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15798-2022</t>
        </is>
      </c>
      <c r="B4000" s="1" t="n">
        <v>44663</v>
      </c>
      <c r="C4000" s="1" t="n">
        <v>45662</v>
      </c>
      <c r="D4000" t="inlineStr">
        <is>
          <t>NORRBOTTENS LÄN</t>
        </is>
      </c>
      <c r="E4000" t="inlineStr">
        <is>
          <t>PAJALA</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15800-2022</t>
        </is>
      </c>
      <c r="B4001" s="1" t="n">
        <v>44663</v>
      </c>
      <c r="C4001" s="1" t="n">
        <v>45662</v>
      </c>
      <c r="D4001" t="inlineStr">
        <is>
          <t>NORRBOTTENS LÄN</t>
        </is>
      </c>
      <c r="E4001" t="inlineStr">
        <is>
          <t>PAJALA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15807-2022</t>
        </is>
      </c>
      <c r="B4002" s="1" t="n">
        <v>44663</v>
      </c>
      <c r="C4002" s="1" t="n">
        <v>45662</v>
      </c>
      <c r="D4002" t="inlineStr">
        <is>
          <t>NORRBOTTENS LÄN</t>
        </is>
      </c>
      <c r="E4002" t="inlineStr">
        <is>
          <t>BODEN</t>
        </is>
      </c>
      <c r="F4002" t="inlineStr">
        <is>
          <t>SCA</t>
        </is>
      </c>
      <c r="G4002" t="n">
        <v>32.9</v>
      </c>
      <c r="H4002" t="n">
        <v>0</v>
      </c>
      <c r="I4002" t="n">
        <v>0</v>
      </c>
      <c r="J4002" t="n">
        <v>0</v>
      </c>
      <c r="K4002" t="n">
        <v>0</v>
      </c>
      <c r="L4002" t="n">
        <v>0</v>
      </c>
      <c r="M4002" t="n">
        <v>0</v>
      </c>
      <c r="N4002" t="n">
        <v>0</v>
      </c>
      <c r="O4002" t="n">
        <v>0</v>
      </c>
      <c r="P4002" t="n">
        <v>0</v>
      </c>
      <c r="Q4002" t="n">
        <v>0</v>
      </c>
      <c r="R4002" s="2" t="inlineStr"/>
    </row>
    <row r="4003" ht="15" customHeight="1">
      <c r="A4003" t="inlineStr">
        <is>
          <t>A 15926-2022</t>
        </is>
      </c>
      <c r="B4003" s="1" t="n">
        <v>44664</v>
      </c>
      <c r="C4003" s="1" t="n">
        <v>45662</v>
      </c>
      <c r="D4003" t="inlineStr">
        <is>
          <t>NORRBOTTENS LÄN</t>
        </is>
      </c>
      <c r="E4003" t="inlineStr">
        <is>
          <t>ÖVERKALIX</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15848-2022</t>
        </is>
      </c>
      <c r="B4004" s="1" t="n">
        <v>44664</v>
      </c>
      <c r="C4004" s="1" t="n">
        <v>45662</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16186-2022</t>
        </is>
      </c>
      <c r="B4005" s="1" t="n">
        <v>44669</v>
      </c>
      <c r="C4005" s="1" t="n">
        <v>45662</v>
      </c>
      <c r="D4005" t="inlineStr">
        <is>
          <t>NORRBOTTENS LÄN</t>
        </is>
      </c>
      <c r="E4005" t="inlineStr">
        <is>
          <t>KALIX</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16471-2022</t>
        </is>
      </c>
      <c r="B4006" s="1" t="n">
        <v>44671</v>
      </c>
      <c r="C4006" s="1" t="n">
        <v>45662</v>
      </c>
      <c r="D4006" t="inlineStr">
        <is>
          <t>NORRBOTTENS LÄN</t>
        </is>
      </c>
      <c r="E4006" t="inlineStr">
        <is>
          <t>ÖVERTORNEÅ</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16478-2022</t>
        </is>
      </c>
      <c r="B4007" s="1" t="n">
        <v>44671</v>
      </c>
      <c r="C4007" s="1" t="n">
        <v>45662</v>
      </c>
      <c r="D4007" t="inlineStr">
        <is>
          <t>NORRBOTTENS LÄN</t>
        </is>
      </c>
      <c r="E4007" t="inlineStr">
        <is>
          <t>BODEN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16531-2022</t>
        </is>
      </c>
      <c r="B4008" s="1" t="n">
        <v>44671</v>
      </c>
      <c r="C4008" s="1" t="n">
        <v>45662</v>
      </c>
      <c r="D4008" t="inlineStr">
        <is>
          <t>NORRBOTTENS LÄN</t>
        </is>
      </c>
      <c r="E4008" t="inlineStr">
        <is>
          <t>BODEN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16530-2022</t>
        </is>
      </c>
      <c r="B4009" s="1" t="n">
        <v>44671</v>
      </c>
      <c r="C4009" s="1" t="n">
        <v>45662</v>
      </c>
      <c r="D4009" t="inlineStr">
        <is>
          <t>NORRBOTTENS LÄN</t>
        </is>
      </c>
      <c r="E4009" t="inlineStr">
        <is>
          <t>BODEN</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16566-2022</t>
        </is>
      </c>
      <c r="B4010" s="1" t="n">
        <v>44672</v>
      </c>
      <c r="C4010" s="1" t="n">
        <v>45662</v>
      </c>
      <c r="D4010" t="inlineStr">
        <is>
          <t>NORRBOTTENS LÄN</t>
        </is>
      </c>
      <c r="E4010" t="inlineStr">
        <is>
          <t>ÖVERTORNEÅ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16549-2022</t>
        </is>
      </c>
      <c r="B4011" s="1" t="n">
        <v>44672</v>
      </c>
      <c r="C4011" s="1" t="n">
        <v>45662</v>
      </c>
      <c r="D4011" t="inlineStr">
        <is>
          <t>NORRBOTTENS LÄN</t>
        </is>
      </c>
      <c r="E4011" t="inlineStr">
        <is>
          <t>GÄLLIVARE</t>
        </is>
      </c>
      <c r="G4011" t="n">
        <v>25.9</v>
      </c>
      <c r="H4011" t="n">
        <v>0</v>
      </c>
      <c r="I4011" t="n">
        <v>0</v>
      </c>
      <c r="J4011" t="n">
        <v>0</v>
      </c>
      <c r="K4011" t="n">
        <v>0</v>
      </c>
      <c r="L4011" t="n">
        <v>0</v>
      </c>
      <c r="M4011" t="n">
        <v>0</v>
      </c>
      <c r="N4011" t="n">
        <v>0</v>
      </c>
      <c r="O4011" t="n">
        <v>0</v>
      </c>
      <c r="P4011" t="n">
        <v>0</v>
      </c>
      <c r="Q4011" t="n">
        <v>0</v>
      </c>
      <c r="R4011" s="2" t="inlineStr"/>
    </row>
    <row r="4012" ht="15" customHeight="1">
      <c r="A4012" t="inlineStr">
        <is>
          <t>A 16561-2022</t>
        </is>
      </c>
      <c r="B4012" s="1" t="n">
        <v>44672</v>
      </c>
      <c r="C4012" s="1" t="n">
        <v>45662</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16741-2022</t>
        </is>
      </c>
      <c r="B4013" s="1" t="n">
        <v>44673</v>
      </c>
      <c r="C4013" s="1" t="n">
        <v>45662</v>
      </c>
      <c r="D4013" t="inlineStr">
        <is>
          <t>NORRBOTTENS LÄN</t>
        </is>
      </c>
      <c r="E4013" t="inlineStr">
        <is>
          <t>BODEN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16793-2022</t>
        </is>
      </c>
      <c r="B4014" s="1" t="n">
        <v>44673</v>
      </c>
      <c r="C4014" s="1" t="n">
        <v>45662</v>
      </c>
      <c r="D4014" t="inlineStr">
        <is>
          <t>NORRBOTTENS LÄN</t>
        </is>
      </c>
      <c r="E4014" t="inlineStr">
        <is>
          <t>LULEÅ</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17000-2022</t>
        </is>
      </c>
      <c r="B4015" s="1" t="n">
        <v>44676</v>
      </c>
      <c r="C4015" s="1" t="n">
        <v>45662</v>
      </c>
      <c r="D4015" t="inlineStr">
        <is>
          <t>NORRBOTTENS LÄN</t>
        </is>
      </c>
      <c r="E4015" t="inlineStr">
        <is>
          <t>JOKKMOKK</t>
        </is>
      </c>
      <c r="G4015" t="n">
        <v>36.6</v>
      </c>
      <c r="H4015" t="n">
        <v>0</v>
      </c>
      <c r="I4015" t="n">
        <v>0</v>
      </c>
      <c r="J4015" t="n">
        <v>0</v>
      </c>
      <c r="K4015" t="n">
        <v>0</v>
      </c>
      <c r="L4015" t="n">
        <v>0</v>
      </c>
      <c r="M4015" t="n">
        <v>0</v>
      </c>
      <c r="N4015" t="n">
        <v>0</v>
      </c>
      <c r="O4015" t="n">
        <v>0</v>
      </c>
      <c r="P4015" t="n">
        <v>0</v>
      </c>
      <c r="Q4015" t="n">
        <v>0</v>
      </c>
      <c r="R4015" s="2" t="inlineStr"/>
    </row>
    <row r="4016" ht="15" customHeight="1">
      <c r="A4016" t="inlineStr">
        <is>
          <t>A 16987-2022</t>
        </is>
      </c>
      <c r="B4016" s="1" t="n">
        <v>44676</v>
      </c>
      <c r="C4016" s="1" t="n">
        <v>45662</v>
      </c>
      <c r="D4016" t="inlineStr">
        <is>
          <t>NORRBOTTENS LÄN</t>
        </is>
      </c>
      <c r="E4016" t="inlineStr">
        <is>
          <t>LULEÅ</t>
        </is>
      </c>
      <c r="G4016" t="n">
        <v>29.9</v>
      </c>
      <c r="H4016" t="n">
        <v>0</v>
      </c>
      <c r="I4016" t="n">
        <v>0</v>
      </c>
      <c r="J4016" t="n">
        <v>0</v>
      </c>
      <c r="K4016" t="n">
        <v>0</v>
      </c>
      <c r="L4016" t="n">
        <v>0</v>
      </c>
      <c r="M4016" t="n">
        <v>0</v>
      </c>
      <c r="N4016" t="n">
        <v>0</v>
      </c>
      <c r="O4016" t="n">
        <v>0</v>
      </c>
      <c r="P4016" t="n">
        <v>0</v>
      </c>
      <c r="Q4016" t="n">
        <v>0</v>
      </c>
      <c r="R4016" s="2" t="inlineStr"/>
    </row>
    <row r="4017" ht="15" customHeight="1">
      <c r="A4017" t="inlineStr">
        <is>
          <t>A 17121-2022</t>
        </is>
      </c>
      <c r="B4017" s="1" t="n">
        <v>44677</v>
      </c>
      <c r="C4017" s="1" t="n">
        <v>45662</v>
      </c>
      <c r="D4017" t="inlineStr">
        <is>
          <t>NORRBOTTENS LÄN</t>
        </is>
      </c>
      <c r="E4017" t="inlineStr">
        <is>
          <t>BODEN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17094-2022</t>
        </is>
      </c>
      <c r="B4018" s="1" t="n">
        <v>44677</v>
      </c>
      <c r="C4018" s="1" t="n">
        <v>45662</v>
      </c>
      <c r="D4018" t="inlineStr">
        <is>
          <t>NORRBOTTENS LÄN</t>
        </is>
      </c>
      <c r="E4018" t="inlineStr">
        <is>
          <t>ÄLVSBYN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17289-2022</t>
        </is>
      </c>
      <c r="B4019" s="1" t="n">
        <v>44678</v>
      </c>
      <c r="C4019" s="1" t="n">
        <v>45662</v>
      </c>
      <c r="D4019" t="inlineStr">
        <is>
          <t>NORRBOTTENS LÄN</t>
        </is>
      </c>
      <c r="E4019" t="inlineStr">
        <is>
          <t>BODEN</t>
        </is>
      </c>
      <c r="F4019" t="inlineStr">
        <is>
          <t>Kyrkan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17548-2022</t>
        </is>
      </c>
      <c r="B4020" s="1" t="n">
        <v>44679</v>
      </c>
      <c r="C4020" s="1" t="n">
        <v>45662</v>
      </c>
      <c r="D4020" t="inlineStr">
        <is>
          <t>NORRBOTTENS LÄN</t>
        </is>
      </c>
      <c r="E4020" t="inlineStr">
        <is>
          <t>LULEÅ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17686-2022</t>
        </is>
      </c>
      <c r="B4021" s="1" t="n">
        <v>44680</v>
      </c>
      <c r="C4021" s="1" t="n">
        <v>45662</v>
      </c>
      <c r="D4021" t="inlineStr">
        <is>
          <t>NORRBOTTENS LÄN</t>
        </is>
      </c>
      <c r="E4021" t="inlineStr">
        <is>
          <t>ARVIDSJAUR</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17850-2022</t>
        </is>
      </c>
      <c r="B4022" s="1" t="n">
        <v>44683</v>
      </c>
      <c r="C4022" s="1" t="n">
        <v>45662</v>
      </c>
      <c r="D4022" t="inlineStr">
        <is>
          <t>NORRBOTTENS LÄN</t>
        </is>
      </c>
      <c r="E4022" t="inlineStr">
        <is>
          <t>ÖVERKALIX</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17928-2022</t>
        </is>
      </c>
      <c r="B4023" s="1" t="n">
        <v>44683</v>
      </c>
      <c r="C4023" s="1" t="n">
        <v>45662</v>
      </c>
      <c r="D4023" t="inlineStr">
        <is>
          <t>NORRBOTTENS LÄN</t>
        </is>
      </c>
      <c r="E4023" t="inlineStr">
        <is>
          <t>ÖVERTORNEÅ</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18059-2022</t>
        </is>
      </c>
      <c r="B4024" s="1" t="n">
        <v>44683</v>
      </c>
      <c r="C4024" s="1" t="n">
        <v>45662</v>
      </c>
      <c r="D4024" t="inlineStr">
        <is>
          <t>NORRBOTTENS LÄN</t>
        </is>
      </c>
      <c r="E4024" t="inlineStr">
        <is>
          <t>PITEÅ</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18065-2022</t>
        </is>
      </c>
      <c r="B4025" s="1" t="n">
        <v>44683</v>
      </c>
      <c r="C4025" s="1" t="n">
        <v>45662</v>
      </c>
      <c r="D4025" t="inlineStr">
        <is>
          <t>NORRBOTTENS LÄN</t>
        </is>
      </c>
      <c r="E4025" t="inlineStr">
        <is>
          <t>PITEÅ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18129-2022</t>
        </is>
      </c>
      <c r="B4026" s="1" t="n">
        <v>44684</v>
      </c>
      <c r="C4026" s="1" t="n">
        <v>45662</v>
      </c>
      <c r="D4026" t="inlineStr">
        <is>
          <t>NORRBOTTENS LÄN</t>
        </is>
      </c>
      <c r="E4026" t="inlineStr">
        <is>
          <t>PAJALA</t>
        </is>
      </c>
      <c r="G4026" t="n">
        <v>24.3</v>
      </c>
      <c r="H4026" t="n">
        <v>0</v>
      </c>
      <c r="I4026" t="n">
        <v>0</v>
      </c>
      <c r="J4026" t="n">
        <v>0</v>
      </c>
      <c r="K4026" t="n">
        <v>0</v>
      </c>
      <c r="L4026" t="n">
        <v>0</v>
      </c>
      <c r="M4026" t="n">
        <v>0</v>
      </c>
      <c r="N4026" t="n">
        <v>0</v>
      </c>
      <c r="O4026" t="n">
        <v>0</v>
      </c>
      <c r="P4026" t="n">
        <v>0</v>
      </c>
      <c r="Q4026" t="n">
        <v>0</v>
      </c>
      <c r="R4026" s="2" t="inlineStr"/>
    </row>
    <row r="4027" ht="15" customHeight="1">
      <c r="A4027" t="inlineStr">
        <is>
          <t>A 18137-2022</t>
        </is>
      </c>
      <c r="B4027" s="1" t="n">
        <v>44684</v>
      </c>
      <c r="C4027" s="1" t="n">
        <v>45662</v>
      </c>
      <c r="D4027" t="inlineStr">
        <is>
          <t>NORRBOTTENS LÄN</t>
        </is>
      </c>
      <c r="E4027" t="inlineStr">
        <is>
          <t>PAJALA</t>
        </is>
      </c>
      <c r="G4027" t="n">
        <v>19.1</v>
      </c>
      <c r="H4027" t="n">
        <v>0</v>
      </c>
      <c r="I4027" t="n">
        <v>0</v>
      </c>
      <c r="J4027" t="n">
        <v>0</v>
      </c>
      <c r="K4027" t="n">
        <v>0</v>
      </c>
      <c r="L4027" t="n">
        <v>0</v>
      </c>
      <c r="M4027" t="n">
        <v>0</v>
      </c>
      <c r="N4027" t="n">
        <v>0</v>
      </c>
      <c r="O4027" t="n">
        <v>0</v>
      </c>
      <c r="P4027" t="n">
        <v>0</v>
      </c>
      <c r="Q4027" t="n">
        <v>0</v>
      </c>
      <c r="R4027" s="2" t="inlineStr"/>
    </row>
    <row r="4028" ht="15" customHeight="1">
      <c r="A4028" t="inlineStr">
        <is>
          <t>A 18104-2022</t>
        </is>
      </c>
      <c r="B4028" s="1" t="n">
        <v>44684</v>
      </c>
      <c r="C4028" s="1" t="n">
        <v>45662</v>
      </c>
      <c r="D4028" t="inlineStr">
        <is>
          <t>NORRBOTTENS LÄN</t>
        </is>
      </c>
      <c r="E4028" t="inlineStr">
        <is>
          <t>GÄLLIVARE</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18269-2022</t>
        </is>
      </c>
      <c r="B4029" s="1" t="n">
        <v>44685</v>
      </c>
      <c r="C4029" s="1" t="n">
        <v>45662</v>
      </c>
      <c r="D4029" t="inlineStr">
        <is>
          <t>NORRBOTTENS LÄN</t>
        </is>
      </c>
      <c r="E4029" t="inlineStr">
        <is>
          <t>PITEÅ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18267-2022</t>
        </is>
      </c>
      <c r="B4030" s="1" t="n">
        <v>44685</v>
      </c>
      <c r="C4030" s="1" t="n">
        <v>45662</v>
      </c>
      <c r="D4030" t="inlineStr">
        <is>
          <t>NORRBOTTENS LÄN</t>
        </is>
      </c>
      <c r="E4030" t="inlineStr">
        <is>
          <t>PITEÅ</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18248-2022</t>
        </is>
      </c>
      <c r="B4031" s="1" t="n">
        <v>44685</v>
      </c>
      <c r="C4031" s="1" t="n">
        <v>45662</v>
      </c>
      <c r="D4031" t="inlineStr">
        <is>
          <t>NORRBOTTENS LÄN</t>
        </is>
      </c>
      <c r="E4031" t="inlineStr">
        <is>
          <t>JOKKMOKK</t>
        </is>
      </c>
      <c r="F4031" t="inlineStr">
        <is>
          <t>Övriga statliga verk och myndigheter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18268-2022</t>
        </is>
      </c>
      <c r="B4032" s="1" t="n">
        <v>44685</v>
      </c>
      <c r="C4032" s="1" t="n">
        <v>45662</v>
      </c>
      <c r="D4032" t="inlineStr">
        <is>
          <t>NORRBOTTENS LÄN</t>
        </is>
      </c>
      <c r="E4032" t="inlineStr">
        <is>
          <t>ÄLVSBYN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18397-2022</t>
        </is>
      </c>
      <c r="B4033" s="1" t="n">
        <v>44685</v>
      </c>
      <c r="C4033" s="1" t="n">
        <v>45662</v>
      </c>
      <c r="D4033" t="inlineStr">
        <is>
          <t>NORRBOTTENS LÄN</t>
        </is>
      </c>
      <c r="E4033" t="inlineStr">
        <is>
          <t>PITEÅ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18698-2022</t>
        </is>
      </c>
      <c r="B4034" s="1" t="n">
        <v>44687</v>
      </c>
      <c r="C4034" s="1" t="n">
        <v>45662</v>
      </c>
      <c r="D4034" t="inlineStr">
        <is>
          <t>NORRBOTTENS LÄN</t>
        </is>
      </c>
      <c r="E4034" t="inlineStr">
        <is>
          <t>ÖVERTORNEÅ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18738-2022</t>
        </is>
      </c>
      <c r="B4035" s="1" t="n">
        <v>44687</v>
      </c>
      <c r="C4035" s="1" t="n">
        <v>45662</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18733-2022</t>
        </is>
      </c>
      <c r="B4036" s="1" t="n">
        <v>44687</v>
      </c>
      <c r="C4036" s="1" t="n">
        <v>45662</v>
      </c>
      <c r="D4036" t="inlineStr">
        <is>
          <t>NORRBOTTENS LÄN</t>
        </is>
      </c>
      <c r="E4036" t="inlineStr">
        <is>
          <t>KIRUNA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18740-2022</t>
        </is>
      </c>
      <c r="B4037" s="1" t="n">
        <v>44687</v>
      </c>
      <c r="C4037" s="1" t="n">
        <v>45662</v>
      </c>
      <c r="D4037" t="inlineStr">
        <is>
          <t>NORRBOTTENS LÄN</t>
        </is>
      </c>
      <c r="E4037" t="inlineStr">
        <is>
          <t>PITEÅ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18742-2022</t>
        </is>
      </c>
      <c r="B4038" s="1" t="n">
        <v>44687</v>
      </c>
      <c r="C4038" s="1" t="n">
        <v>45662</v>
      </c>
      <c r="D4038" t="inlineStr">
        <is>
          <t>NORRBOTTENS LÄN</t>
        </is>
      </c>
      <c r="E4038" t="inlineStr">
        <is>
          <t>PAJALA</t>
        </is>
      </c>
      <c r="F4038" t="inlineStr">
        <is>
          <t>SCA</t>
        </is>
      </c>
      <c r="G4038" t="n">
        <v>92.09999999999999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18743-2022</t>
        </is>
      </c>
      <c r="B4039" s="1" t="n">
        <v>44688</v>
      </c>
      <c r="C4039" s="1" t="n">
        <v>45662</v>
      </c>
      <c r="D4039" t="inlineStr">
        <is>
          <t>NORRBOTTENS LÄN</t>
        </is>
      </c>
      <c r="E4039" t="inlineStr">
        <is>
          <t>KALIX</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18841-2022</t>
        </is>
      </c>
      <c r="B4040" s="1" t="n">
        <v>44690</v>
      </c>
      <c r="C4040" s="1" t="n">
        <v>45662</v>
      </c>
      <c r="D4040" t="inlineStr">
        <is>
          <t>NORRBOTTENS LÄN</t>
        </is>
      </c>
      <c r="E4040" t="inlineStr">
        <is>
          <t>ÄLVSBYN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18920-2022</t>
        </is>
      </c>
      <c r="B4041" s="1" t="n">
        <v>44690</v>
      </c>
      <c r="C4041" s="1" t="n">
        <v>45662</v>
      </c>
      <c r="D4041" t="inlineStr">
        <is>
          <t>NORRBOTTENS LÄN</t>
        </is>
      </c>
      <c r="E4041" t="inlineStr">
        <is>
          <t>ARVIDSJAUR</t>
        </is>
      </c>
      <c r="F4041" t="inlineStr">
        <is>
          <t>Allmännings- och besparingsskogar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18879-2022</t>
        </is>
      </c>
      <c r="B4042" s="1" t="n">
        <v>44690</v>
      </c>
      <c r="C4042" s="1" t="n">
        <v>45662</v>
      </c>
      <c r="D4042" t="inlineStr">
        <is>
          <t>NORRBOTTENS LÄN</t>
        </is>
      </c>
      <c r="E4042" t="inlineStr">
        <is>
          <t>ÖVERTORNEÅ</t>
        </is>
      </c>
      <c r="G4042" t="n">
        <v>14.6</v>
      </c>
      <c r="H4042" t="n">
        <v>0</v>
      </c>
      <c r="I4042" t="n">
        <v>0</v>
      </c>
      <c r="J4042" t="n">
        <v>0</v>
      </c>
      <c r="K4042" t="n">
        <v>0</v>
      </c>
      <c r="L4042" t="n">
        <v>0</v>
      </c>
      <c r="M4042" t="n">
        <v>0</v>
      </c>
      <c r="N4042" t="n">
        <v>0</v>
      </c>
      <c r="O4042" t="n">
        <v>0</v>
      </c>
      <c r="P4042" t="n">
        <v>0</v>
      </c>
      <c r="Q4042" t="n">
        <v>0</v>
      </c>
      <c r="R4042" s="2" t="inlineStr"/>
    </row>
    <row r="4043" ht="15" customHeight="1">
      <c r="A4043" t="inlineStr">
        <is>
          <t>A 18886-2022</t>
        </is>
      </c>
      <c r="B4043" s="1" t="n">
        <v>44690</v>
      </c>
      <c r="C4043" s="1" t="n">
        <v>45662</v>
      </c>
      <c r="D4043" t="inlineStr">
        <is>
          <t>NORRBOTTENS LÄN</t>
        </is>
      </c>
      <c r="E4043" t="inlineStr">
        <is>
          <t>ARVIDSJAUR</t>
        </is>
      </c>
      <c r="F4043" t="inlineStr">
        <is>
          <t>Allmännings- och besparingsskogar</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18914-2022</t>
        </is>
      </c>
      <c r="B4044" s="1" t="n">
        <v>44690</v>
      </c>
      <c r="C4044" s="1" t="n">
        <v>45662</v>
      </c>
      <c r="D4044" t="inlineStr">
        <is>
          <t>NORRBOTTENS LÄN</t>
        </is>
      </c>
      <c r="E4044" t="inlineStr">
        <is>
          <t>ARVIDSJAUR</t>
        </is>
      </c>
      <c r="F4044" t="inlineStr">
        <is>
          <t>Allmännings- och besparingsskogar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19202-2022</t>
        </is>
      </c>
      <c r="B4045" s="1" t="n">
        <v>44692</v>
      </c>
      <c r="C4045" s="1" t="n">
        <v>45662</v>
      </c>
      <c r="D4045" t="inlineStr">
        <is>
          <t>NORRBOTTENS LÄN</t>
        </is>
      </c>
      <c r="E4045" t="inlineStr">
        <is>
          <t>KALIX</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19219-2022</t>
        </is>
      </c>
      <c r="B4046" s="1" t="n">
        <v>44691</v>
      </c>
      <c r="C4046" s="1" t="n">
        <v>45662</v>
      </c>
      <c r="D4046" t="inlineStr">
        <is>
          <t>NORRBOTTENS LÄN</t>
        </is>
      </c>
      <c r="E4046" t="inlineStr">
        <is>
          <t>PAJALA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19230-2022</t>
        </is>
      </c>
      <c r="B4047" s="1" t="n">
        <v>44691</v>
      </c>
      <c r="C4047" s="1" t="n">
        <v>45662</v>
      </c>
      <c r="D4047" t="inlineStr">
        <is>
          <t>NORRBOTTENS LÄN</t>
        </is>
      </c>
      <c r="E4047" t="inlineStr">
        <is>
          <t>PAJALA</t>
        </is>
      </c>
      <c r="G4047" t="n">
        <v>18.7</v>
      </c>
      <c r="H4047" t="n">
        <v>0</v>
      </c>
      <c r="I4047" t="n">
        <v>0</v>
      </c>
      <c r="J4047" t="n">
        <v>0</v>
      </c>
      <c r="K4047" t="n">
        <v>0</v>
      </c>
      <c r="L4047" t="n">
        <v>0</v>
      </c>
      <c r="M4047" t="n">
        <v>0</v>
      </c>
      <c r="N4047" t="n">
        <v>0</v>
      </c>
      <c r="O4047" t="n">
        <v>0</v>
      </c>
      <c r="P4047" t="n">
        <v>0</v>
      </c>
      <c r="Q4047" t="n">
        <v>0</v>
      </c>
      <c r="R4047" s="2" t="inlineStr"/>
    </row>
    <row r="4048" ht="15" customHeight="1">
      <c r="A4048" t="inlineStr">
        <is>
          <t>A 19220-2022</t>
        </is>
      </c>
      <c r="B4048" s="1" t="n">
        <v>44691</v>
      </c>
      <c r="C4048" s="1" t="n">
        <v>45662</v>
      </c>
      <c r="D4048" t="inlineStr">
        <is>
          <t>NORRBOTTENS LÄN</t>
        </is>
      </c>
      <c r="E4048" t="inlineStr">
        <is>
          <t>PAJALA</t>
        </is>
      </c>
      <c r="G4048" t="n">
        <v>12.6</v>
      </c>
      <c r="H4048" t="n">
        <v>0</v>
      </c>
      <c r="I4048" t="n">
        <v>0</v>
      </c>
      <c r="J4048" t="n">
        <v>0</v>
      </c>
      <c r="K4048" t="n">
        <v>0</v>
      </c>
      <c r="L4048" t="n">
        <v>0</v>
      </c>
      <c r="M4048" t="n">
        <v>0</v>
      </c>
      <c r="N4048" t="n">
        <v>0</v>
      </c>
      <c r="O4048" t="n">
        <v>0</v>
      </c>
      <c r="P4048" t="n">
        <v>0</v>
      </c>
      <c r="Q4048" t="n">
        <v>0</v>
      </c>
      <c r="R4048" s="2" t="inlineStr"/>
    </row>
    <row r="4049" ht="15" customHeight="1">
      <c r="A4049" t="inlineStr">
        <is>
          <t>A 19234-2022</t>
        </is>
      </c>
      <c r="B4049" s="1" t="n">
        <v>44691</v>
      </c>
      <c r="C4049" s="1" t="n">
        <v>45662</v>
      </c>
      <c r="D4049" t="inlineStr">
        <is>
          <t>NORRBOTTENS LÄN</t>
        </is>
      </c>
      <c r="E4049" t="inlineStr">
        <is>
          <t>PAJALA</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19217-2022</t>
        </is>
      </c>
      <c r="B4050" s="1" t="n">
        <v>44691</v>
      </c>
      <c r="C4050" s="1" t="n">
        <v>45662</v>
      </c>
      <c r="D4050" t="inlineStr">
        <is>
          <t>NORRBOTTENS LÄN</t>
        </is>
      </c>
      <c r="E4050" t="inlineStr">
        <is>
          <t>PAJALA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19227-2022</t>
        </is>
      </c>
      <c r="B4051" s="1" t="n">
        <v>44691</v>
      </c>
      <c r="C4051" s="1" t="n">
        <v>45662</v>
      </c>
      <c r="D4051" t="inlineStr">
        <is>
          <t>NORRBOTTENS LÄN</t>
        </is>
      </c>
      <c r="E4051" t="inlineStr">
        <is>
          <t>PAJALA</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19269-2022</t>
        </is>
      </c>
      <c r="B4052" s="1" t="n">
        <v>44691</v>
      </c>
      <c r="C4052" s="1" t="n">
        <v>45662</v>
      </c>
      <c r="D4052" t="inlineStr">
        <is>
          <t>NORRBOTTENS LÄN</t>
        </is>
      </c>
      <c r="E4052" t="inlineStr">
        <is>
          <t>PAJALA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19215-2022</t>
        </is>
      </c>
      <c r="B4053" s="1" t="n">
        <v>44691</v>
      </c>
      <c r="C4053" s="1" t="n">
        <v>45662</v>
      </c>
      <c r="D4053" t="inlineStr">
        <is>
          <t>NORRBOTTENS LÄN</t>
        </is>
      </c>
      <c r="E4053" t="inlineStr">
        <is>
          <t>PAJALA</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19226-2022</t>
        </is>
      </c>
      <c r="B4054" s="1" t="n">
        <v>44691</v>
      </c>
      <c r="C4054" s="1" t="n">
        <v>45662</v>
      </c>
      <c r="D4054" t="inlineStr">
        <is>
          <t>NORRBOTTENS LÄN</t>
        </is>
      </c>
      <c r="E4054" t="inlineStr">
        <is>
          <t>PAJALA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19259-2022</t>
        </is>
      </c>
      <c r="B4055" s="1" t="n">
        <v>44691</v>
      </c>
      <c r="C4055" s="1" t="n">
        <v>45662</v>
      </c>
      <c r="D4055" t="inlineStr">
        <is>
          <t>NORRBOTTENS LÄN</t>
        </is>
      </c>
      <c r="E4055" t="inlineStr">
        <is>
          <t>PAJALA</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19247-2022</t>
        </is>
      </c>
      <c r="B4056" s="1" t="n">
        <v>44692</v>
      </c>
      <c r="C4056" s="1" t="n">
        <v>45662</v>
      </c>
      <c r="D4056" t="inlineStr">
        <is>
          <t>NORRBOTTENS LÄN</t>
        </is>
      </c>
      <c r="E4056" t="inlineStr">
        <is>
          <t>ÖVERTORNEÅ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19257-2022</t>
        </is>
      </c>
      <c r="B4057" s="1" t="n">
        <v>44692</v>
      </c>
      <c r="C4057" s="1" t="n">
        <v>45662</v>
      </c>
      <c r="D4057" t="inlineStr">
        <is>
          <t>NORRBOTTENS LÄN</t>
        </is>
      </c>
      <c r="E4057" t="inlineStr">
        <is>
          <t>ÖVERTORNEÅ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19314-2022</t>
        </is>
      </c>
      <c r="B4058" s="1" t="n">
        <v>44692</v>
      </c>
      <c r="C4058" s="1" t="n">
        <v>45662</v>
      </c>
      <c r="D4058" t="inlineStr">
        <is>
          <t>NORRBOTTENS LÄN</t>
        </is>
      </c>
      <c r="E4058" t="inlineStr">
        <is>
          <t>ARVIDSJAUR</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19358-2022</t>
        </is>
      </c>
      <c r="B4059" s="1" t="n">
        <v>44692</v>
      </c>
      <c r="C4059" s="1" t="n">
        <v>45662</v>
      </c>
      <c r="D4059" t="inlineStr">
        <is>
          <t>NORRBOTTENS LÄN</t>
        </is>
      </c>
      <c r="E4059" t="inlineStr">
        <is>
          <t>ÖVERTORNEÅ</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19392-2022</t>
        </is>
      </c>
      <c r="B4060" s="1" t="n">
        <v>44693</v>
      </c>
      <c r="C4060" s="1" t="n">
        <v>45662</v>
      </c>
      <c r="D4060" t="inlineStr">
        <is>
          <t>NORRBOTTENS LÄN</t>
        </is>
      </c>
      <c r="E4060" t="inlineStr">
        <is>
          <t>LULEÅ</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19391-2022</t>
        </is>
      </c>
      <c r="B4061" s="1" t="n">
        <v>44693</v>
      </c>
      <c r="C4061" s="1" t="n">
        <v>45662</v>
      </c>
      <c r="D4061" t="inlineStr">
        <is>
          <t>NORRBOTTENS LÄN</t>
        </is>
      </c>
      <c r="E4061" t="inlineStr">
        <is>
          <t>LULEÅ</t>
        </is>
      </c>
      <c r="F4061" t="inlineStr">
        <is>
          <t>SCA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19403-2022</t>
        </is>
      </c>
      <c r="B4062" s="1" t="n">
        <v>44693</v>
      </c>
      <c r="C4062" s="1" t="n">
        <v>45662</v>
      </c>
      <c r="D4062" t="inlineStr">
        <is>
          <t>NORRBOTTENS LÄN</t>
        </is>
      </c>
      <c r="E4062" t="inlineStr">
        <is>
          <t>BODEN</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19404-2022</t>
        </is>
      </c>
      <c r="B4063" s="1" t="n">
        <v>44693</v>
      </c>
      <c r="C4063" s="1" t="n">
        <v>45662</v>
      </c>
      <c r="D4063" t="inlineStr">
        <is>
          <t>NORRBOTTENS LÄN</t>
        </is>
      </c>
      <c r="E4063" t="inlineStr">
        <is>
          <t>BODEN</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19459-2022</t>
        </is>
      </c>
      <c r="B4064" s="1" t="n">
        <v>44693</v>
      </c>
      <c r="C4064" s="1" t="n">
        <v>45662</v>
      </c>
      <c r="D4064" t="inlineStr">
        <is>
          <t>NORRBOTTENS LÄN</t>
        </is>
      </c>
      <c r="E4064" t="inlineStr">
        <is>
          <t>ÄLVSBYN</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19514-2022</t>
        </is>
      </c>
      <c r="B4065" s="1" t="n">
        <v>44693</v>
      </c>
      <c r="C4065" s="1" t="n">
        <v>45662</v>
      </c>
      <c r="D4065" t="inlineStr">
        <is>
          <t>NORRBOTTENS LÄN</t>
        </is>
      </c>
      <c r="E4065" t="inlineStr">
        <is>
          <t>ARJEPLOG</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19620-2022</t>
        </is>
      </c>
      <c r="B4066" s="1" t="n">
        <v>44694</v>
      </c>
      <c r="C4066" s="1" t="n">
        <v>45662</v>
      </c>
      <c r="D4066" t="inlineStr">
        <is>
          <t>NORRBOTTENS LÄN</t>
        </is>
      </c>
      <c r="E4066" t="inlineStr">
        <is>
          <t>ARJEPLOG</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19746-2022</t>
        </is>
      </c>
      <c r="B4067" s="1" t="n">
        <v>44694</v>
      </c>
      <c r="C4067" s="1" t="n">
        <v>45662</v>
      </c>
      <c r="D4067" t="inlineStr">
        <is>
          <t>NORRBOTTENS LÄN</t>
        </is>
      </c>
      <c r="E4067" t="inlineStr">
        <is>
          <t>ÄLVSBYN</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19790-2022</t>
        </is>
      </c>
      <c r="B4068" s="1" t="n">
        <v>44695</v>
      </c>
      <c r="C4068" s="1" t="n">
        <v>45662</v>
      </c>
      <c r="D4068" t="inlineStr">
        <is>
          <t>NORRBOTTENS LÄN</t>
        </is>
      </c>
      <c r="E4068" t="inlineStr">
        <is>
          <t>LULEÅ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19747-2022</t>
        </is>
      </c>
      <c r="B4069" s="1" t="n">
        <v>44694</v>
      </c>
      <c r="C4069" s="1" t="n">
        <v>45662</v>
      </c>
      <c r="D4069" t="inlineStr">
        <is>
          <t>NORRBOTTENS LÄN</t>
        </is>
      </c>
      <c r="E4069" t="inlineStr">
        <is>
          <t>ÄLVSBYN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19824-2022</t>
        </is>
      </c>
      <c r="B4070" s="1" t="n">
        <v>44695</v>
      </c>
      <c r="C4070" s="1" t="n">
        <v>45662</v>
      </c>
      <c r="D4070" t="inlineStr">
        <is>
          <t>NORRBOTTENS LÄN</t>
        </is>
      </c>
      <c r="E4070" t="inlineStr">
        <is>
          <t>KALIX</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19791-2022</t>
        </is>
      </c>
      <c r="B4071" s="1" t="n">
        <v>44695</v>
      </c>
      <c r="C4071" s="1" t="n">
        <v>45662</v>
      </c>
      <c r="D4071" t="inlineStr">
        <is>
          <t>NORRBOTTENS LÄN</t>
        </is>
      </c>
      <c r="E4071" t="inlineStr">
        <is>
          <t>LULEÅ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20000-2022</t>
        </is>
      </c>
      <c r="B4072" s="1" t="n">
        <v>44697</v>
      </c>
      <c r="C4072" s="1" t="n">
        <v>45662</v>
      </c>
      <c r="D4072" t="inlineStr">
        <is>
          <t>NORRBOTTENS LÄN</t>
        </is>
      </c>
      <c r="E4072" t="inlineStr">
        <is>
          <t>GÄLLIVARE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20242-2022</t>
        </is>
      </c>
      <c r="B4073" s="1" t="n">
        <v>44698</v>
      </c>
      <c r="C4073" s="1" t="n">
        <v>45662</v>
      </c>
      <c r="D4073" t="inlineStr">
        <is>
          <t>NORRBOTTENS LÄN</t>
        </is>
      </c>
      <c r="E4073" t="inlineStr">
        <is>
          <t>ÖVERKALIX</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20335-2022</t>
        </is>
      </c>
      <c r="B4074" s="1" t="n">
        <v>44698</v>
      </c>
      <c r="C4074" s="1" t="n">
        <v>45662</v>
      </c>
      <c r="D4074" t="inlineStr">
        <is>
          <t>NORRBOTTENS LÄN</t>
        </is>
      </c>
      <c r="E4074" t="inlineStr">
        <is>
          <t>ÖVERKALIX</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20403-2022</t>
        </is>
      </c>
      <c r="B4075" s="1" t="n">
        <v>44699</v>
      </c>
      <c r="C4075" s="1" t="n">
        <v>45662</v>
      </c>
      <c r="D4075" t="inlineStr">
        <is>
          <t>NORRBOTTENS LÄN</t>
        </is>
      </c>
      <c r="E4075" t="inlineStr">
        <is>
          <t>ARVIDSJAUR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20585-2022</t>
        </is>
      </c>
      <c r="B4076" s="1" t="n">
        <v>44700</v>
      </c>
      <c r="C4076" s="1" t="n">
        <v>45662</v>
      </c>
      <c r="D4076" t="inlineStr">
        <is>
          <t>NORRBOTTENS LÄN</t>
        </is>
      </c>
      <c r="E4076" t="inlineStr">
        <is>
          <t>PAJALA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20695-2022</t>
        </is>
      </c>
      <c r="B4077" s="1" t="n">
        <v>44700</v>
      </c>
      <c r="C4077" s="1" t="n">
        <v>45662</v>
      </c>
      <c r="D4077" t="inlineStr">
        <is>
          <t>NORRBOTTENS LÄN</t>
        </is>
      </c>
      <c r="E4077" t="inlineStr">
        <is>
          <t>PAJALA</t>
        </is>
      </c>
      <c r="G4077" t="n">
        <v>15.3</v>
      </c>
      <c r="H4077" t="n">
        <v>0</v>
      </c>
      <c r="I4077" t="n">
        <v>0</v>
      </c>
      <c r="J4077" t="n">
        <v>0</v>
      </c>
      <c r="K4077" t="n">
        <v>0</v>
      </c>
      <c r="L4077" t="n">
        <v>0</v>
      </c>
      <c r="M4077" t="n">
        <v>0</v>
      </c>
      <c r="N4077" t="n">
        <v>0</v>
      </c>
      <c r="O4077" t="n">
        <v>0</v>
      </c>
      <c r="P4077" t="n">
        <v>0</v>
      </c>
      <c r="Q4077" t="n">
        <v>0</v>
      </c>
      <c r="R4077" s="2" t="inlineStr"/>
    </row>
    <row r="4078" ht="15" customHeight="1">
      <c r="A4078" t="inlineStr">
        <is>
          <t>A 20689-2022</t>
        </is>
      </c>
      <c r="B4078" s="1" t="n">
        <v>44700</v>
      </c>
      <c r="C4078" s="1" t="n">
        <v>45662</v>
      </c>
      <c r="D4078" t="inlineStr">
        <is>
          <t>NORRBOTTENS LÄN</t>
        </is>
      </c>
      <c r="E4078" t="inlineStr">
        <is>
          <t>PITEÅ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20698-2022</t>
        </is>
      </c>
      <c r="B4079" s="1" t="n">
        <v>44700</v>
      </c>
      <c r="C4079" s="1" t="n">
        <v>45662</v>
      </c>
      <c r="D4079" t="inlineStr">
        <is>
          <t>NORRBOTTENS LÄN</t>
        </is>
      </c>
      <c r="E4079" t="inlineStr">
        <is>
          <t>ARVIDSJAUR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20789-2022</t>
        </is>
      </c>
      <c r="B4080" s="1" t="n">
        <v>44701</v>
      </c>
      <c r="C4080" s="1" t="n">
        <v>45662</v>
      </c>
      <c r="D4080" t="inlineStr">
        <is>
          <t>NORRBOTTENS LÄN</t>
        </is>
      </c>
      <c r="E4080" t="inlineStr">
        <is>
          <t>ARJEPLOG</t>
        </is>
      </c>
      <c r="G4080" t="n">
        <v>20.3</v>
      </c>
      <c r="H4080" t="n">
        <v>0</v>
      </c>
      <c r="I4080" t="n">
        <v>0</v>
      </c>
      <c r="J4080" t="n">
        <v>0</v>
      </c>
      <c r="K4080" t="n">
        <v>0</v>
      </c>
      <c r="L4080" t="n">
        <v>0</v>
      </c>
      <c r="M4080" t="n">
        <v>0</v>
      </c>
      <c r="N4080" t="n">
        <v>0</v>
      </c>
      <c r="O4080" t="n">
        <v>0</v>
      </c>
      <c r="P4080" t="n">
        <v>0</v>
      </c>
      <c r="Q4080" t="n">
        <v>0</v>
      </c>
      <c r="R4080" s="2" t="inlineStr"/>
    </row>
    <row r="4081" ht="15" customHeight="1">
      <c r="A4081" t="inlineStr">
        <is>
          <t>A 20810-2022</t>
        </is>
      </c>
      <c r="B4081" s="1" t="n">
        <v>44701</v>
      </c>
      <c r="C4081" s="1" t="n">
        <v>45662</v>
      </c>
      <c r="D4081" t="inlineStr">
        <is>
          <t>NORRBOTTENS LÄN</t>
        </is>
      </c>
      <c r="E4081" t="inlineStr">
        <is>
          <t>ÄLVSBYN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21004-2022</t>
        </is>
      </c>
      <c r="B4082" s="1" t="n">
        <v>44701</v>
      </c>
      <c r="C4082" s="1" t="n">
        <v>45662</v>
      </c>
      <c r="D4082" t="inlineStr">
        <is>
          <t>NORRBOTTENS LÄN</t>
        </is>
      </c>
      <c r="E4082" t="inlineStr">
        <is>
          <t>ARJEPLOG</t>
        </is>
      </c>
      <c r="F4082" t="inlineStr">
        <is>
          <t>Övriga statliga verk och myndigheter</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21216-2022</t>
        </is>
      </c>
      <c r="B4083" s="1" t="n">
        <v>44705</v>
      </c>
      <c r="C4083" s="1" t="n">
        <v>45662</v>
      </c>
      <c r="D4083" t="inlineStr">
        <is>
          <t>NORRBOTTENS LÄN</t>
        </is>
      </c>
      <c r="E4083" t="inlineStr">
        <is>
          <t>BODEN</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21236-2022</t>
        </is>
      </c>
      <c r="B4084" s="1" t="n">
        <v>44705</v>
      </c>
      <c r="C4084" s="1" t="n">
        <v>45662</v>
      </c>
      <c r="D4084" t="inlineStr">
        <is>
          <t>NORRBOTTENS LÄN</t>
        </is>
      </c>
      <c r="E4084" t="inlineStr">
        <is>
          <t>JOKKMOKK</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21262-2022</t>
        </is>
      </c>
      <c r="B4085" s="1" t="n">
        <v>44705</v>
      </c>
      <c r="C4085" s="1" t="n">
        <v>45662</v>
      </c>
      <c r="D4085" t="inlineStr">
        <is>
          <t>NORRBOTTENS LÄN</t>
        </is>
      </c>
      <c r="E4085" t="inlineStr">
        <is>
          <t>ÖVERTORNEÅ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21313-2022</t>
        </is>
      </c>
      <c r="B4086" s="1" t="n">
        <v>44705</v>
      </c>
      <c r="C4086" s="1" t="n">
        <v>45662</v>
      </c>
      <c r="D4086" t="inlineStr">
        <is>
          <t>NORRBOTTENS LÄN</t>
        </is>
      </c>
      <c r="E4086" t="inlineStr">
        <is>
          <t>ÄLVSBYN</t>
        </is>
      </c>
      <c r="G4086" t="n">
        <v>21.5</v>
      </c>
      <c r="H4086" t="n">
        <v>0</v>
      </c>
      <c r="I4086" t="n">
        <v>0</v>
      </c>
      <c r="J4086" t="n">
        <v>0</v>
      </c>
      <c r="K4086" t="n">
        <v>0</v>
      </c>
      <c r="L4086" t="n">
        <v>0</v>
      </c>
      <c r="M4086" t="n">
        <v>0</v>
      </c>
      <c r="N4086" t="n">
        <v>0</v>
      </c>
      <c r="O4086" t="n">
        <v>0</v>
      </c>
      <c r="P4086" t="n">
        <v>0</v>
      </c>
      <c r="Q4086" t="n">
        <v>0</v>
      </c>
      <c r="R4086" s="2" t="inlineStr"/>
    </row>
    <row r="4087" ht="15" customHeight="1">
      <c r="A4087" t="inlineStr">
        <is>
          <t>A 21421-2022</t>
        </is>
      </c>
      <c r="B4087" s="1" t="n">
        <v>44706</v>
      </c>
      <c r="C4087" s="1" t="n">
        <v>45662</v>
      </c>
      <c r="D4087" t="inlineStr">
        <is>
          <t>NORRBOTTENS LÄN</t>
        </is>
      </c>
      <c r="E4087" t="inlineStr">
        <is>
          <t>BODEN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21420-2022</t>
        </is>
      </c>
      <c r="B4088" s="1" t="n">
        <v>44706</v>
      </c>
      <c r="C4088" s="1" t="n">
        <v>45662</v>
      </c>
      <c r="D4088" t="inlineStr">
        <is>
          <t>NORRBOTTENS LÄN</t>
        </is>
      </c>
      <c r="E4088" t="inlineStr">
        <is>
          <t>BODEN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21640-2022</t>
        </is>
      </c>
      <c r="B4089" s="1" t="n">
        <v>44707</v>
      </c>
      <c r="C4089" s="1" t="n">
        <v>45662</v>
      </c>
      <c r="D4089" t="inlineStr">
        <is>
          <t>NORRBOTTENS LÄN</t>
        </is>
      </c>
      <c r="E4089" t="inlineStr">
        <is>
          <t>KALIX</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21639-2022</t>
        </is>
      </c>
      <c r="B4090" s="1" t="n">
        <v>44707</v>
      </c>
      <c r="C4090" s="1" t="n">
        <v>45662</v>
      </c>
      <c r="D4090" t="inlineStr">
        <is>
          <t>NORRBOTTENS LÄN</t>
        </is>
      </c>
      <c r="E4090" t="inlineStr">
        <is>
          <t>KALIX</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21638-2022</t>
        </is>
      </c>
      <c r="B4091" s="1" t="n">
        <v>44707</v>
      </c>
      <c r="C4091" s="1" t="n">
        <v>45662</v>
      </c>
      <c r="D4091" t="inlineStr">
        <is>
          <t>NORRBOTTENS LÄN</t>
        </is>
      </c>
      <c r="E4091" t="inlineStr">
        <is>
          <t>KALIX</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21854-2022</t>
        </is>
      </c>
      <c r="B4092" s="1" t="n">
        <v>44708</v>
      </c>
      <c r="C4092" s="1" t="n">
        <v>45662</v>
      </c>
      <c r="D4092" t="inlineStr">
        <is>
          <t>NORRBOTTENS LÄN</t>
        </is>
      </c>
      <c r="E4092" t="inlineStr">
        <is>
          <t>PITEÅ</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21856-2022</t>
        </is>
      </c>
      <c r="B4093" s="1" t="n">
        <v>44708</v>
      </c>
      <c r="C4093" s="1" t="n">
        <v>45662</v>
      </c>
      <c r="D4093" t="inlineStr">
        <is>
          <t>NORRBOTTENS LÄN</t>
        </is>
      </c>
      <c r="E4093" t="inlineStr">
        <is>
          <t>PITEÅ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21851-2022</t>
        </is>
      </c>
      <c r="B4094" s="1" t="n">
        <v>44708</v>
      </c>
      <c r="C4094" s="1" t="n">
        <v>45662</v>
      </c>
      <c r="D4094" t="inlineStr">
        <is>
          <t>NORRBOTTENS LÄN</t>
        </is>
      </c>
      <c r="E4094" t="inlineStr">
        <is>
          <t>PITEÅ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21847-2022</t>
        </is>
      </c>
      <c r="B4095" s="1" t="n">
        <v>44711</v>
      </c>
      <c r="C4095" s="1" t="n">
        <v>45662</v>
      </c>
      <c r="D4095" t="inlineStr">
        <is>
          <t>NORRBOTTENS LÄN</t>
        </is>
      </c>
      <c r="E4095" t="inlineStr">
        <is>
          <t>ÖVERKALIX</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22098-2022</t>
        </is>
      </c>
      <c r="B4096" s="1" t="n">
        <v>44711</v>
      </c>
      <c r="C4096" s="1" t="n">
        <v>45662</v>
      </c>
      <c r="D4096" t="inlineStr">
        <is>
          <t>NORRBOTTENS LÄN</t>
        </is>
      </c>
      <c r="E4096" t="inlineStr">
        <is>
          <t>ÄLVSBYN</t>
        </is>
      </c>
      <c r="F4096" t="inlineStr">
        <is>
          <t>SCA</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22180-2022</t>
        </is>
      </c>
      <c r="B4097" s="1" t="n">
        <v>44712</v>
      </c>
      <c r="C4097" s="1" t="n">
        <v>45662</v>
      </c>
      <c r="D4097" t="inlineStr">
        <is>
          <t>NORRBOTTENS LÄN</t>
        </is>
      </c>
      <c r="E4097" t="inlineStr">
        <is>
          <t>KALIX</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22346-2022</t>
        </is>
      </c>
      <c r="B4098" s="1" t="n">
        <v>44712</v>
      </c>
      <c r="C4098" s="1" t="n">
        <v>45662</v>
      </c>
      <c r="D4098" t="inlineStr">
        <is>
          <t>NORRBOTTENS LÄN</t>
        </is>
      </c>
      <c r="E4098" t="inlineStr">
        <is>
          <t>GÄLLIVARE</t>
        </is>
      </c>
      <c r="F4098" t="inlineStr">
        <is>
          <t>SCA</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22347-2022</t>
        </is>
      </c>
      <c r="B4099" s="1" t="n">
        <v>44712</v>
      </c>
      <c r="C4099" s="1" t="n">
        <v>45662</v>
      </c>
      <c r="D4099" t="inlineStr">
        <is>
          <t>NORRBOTTENS LÄN</t>
        </is>
      </c>
      <c r="E4099" t="inlineStr">
        <is>
          <t>GÄLLIVARE</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22348-2022</t>
        </is>
      </c>
      <c r="B4100" s="1" t="n">
        <v>44712</v>
      </c>
      <c r="C4100" s="1" t="n">
        <v>45662</v>
      </c>
      <c r="D4100" t="inlineStr">
        <is>
          <t>NORRBOTTENS LÄN</t>
        </is>
      </c>
      <c r="E4100" t="inlineStr">
        <is>
          <t>GÄLLIVARE</t>
        </is>
      </c>
      <c r="F4100" t="inlineStr">
        <is>
          <t>SCA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22349-2022</t>
        </is>
      </c>
      <c r="B4101" s="1" t="n">
        <v>44712</v>
      </c>
      <c r="C4101" s="1" t="n">
        <v>45662</v>
      </c>
      <c r="D4101" t="inlineStr">
        <is>
          <t>NORRBOTTENS LÄN</t>
        </is>
      </c>
      <c r="E4101" t="inlineStr">
        <is>
          <t>GÄLLIVARE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22784-2022</t>
        </is>
      </c>
      <c r="B4102" s="1" t="n">
        <v>44714</v>
      </c>
      <c r="C4102" s="1" t="n">
        <v>45662</v>
      </c>
      <c r="D4102" t="inlineStr">
        <is>
          <t>NORRBOTTENS LÄN</t>
        </is>
      </c>
      <c r="E4102" t="inlineStr">
        <is>
          <t>LULEÅ</t>
        </is>
      </c>
      <c r="F4102" t="inlineStr">
        <is>
          <t>SCA</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22832-2022</t>
        </is>
      </c>
      <c r="B4103" s="1" t="n">
        <v>44715</v>
      </c>
      <c r="C4103" s="1" t="n">
        <v>45662</v>
      </c>
      <c r="D4103" t="inlineStr">
        <is>
          <t>NORRBOTTENS LÄN</t>
        </is>
      </c>
      <c r="E4103" t="inlineStr">
        <is>
          <t>ARVIDSJAUR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22942-2022</t>
        </is>
      </c>
      <c r="B4104" s="1" t="n">
        <v>44715</v>
      </c>
      <c r="C4104" s="1" t="n">
        <v>45662</v>
      </c>
      <c r="D4104" t="inlineStr">
        <is>
          <t>NORRBOTTENS LÄN</t>
        </is>
      </c>
      <c r="E4104" t="inlineStr">
        <is>
          <t>ÖVERTORNEÅ</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22957-2022</t>
        </is>
      </c>
      <c r="B4105" s="1" t="n">
        <v>44716</v>
      </c>
      <c r="C4105" s="1" t="n">
        <v>45662</v>
      </c>
      <c r="D4105" t="inlineStr">
        <is>
          <t>NORRBOTTENS LÄN</t>
        </is>
      </c>
      <c r="E4105" t="inlineStr">
        <is>
          <t>PAJALA</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22959-2022</t>
        </is>
      </c>
      <c r="B4106" s="1" t="n">
        <v>44715</v>
      </c>
      <c r="C4106" s="1" t="n">
        <v>45662</v>
      </c>
      <c r="D4106" t="inlineStr">
        <is>
          <t>NORRBOTTENS LÄN</t>
        </is>
      </c>
      <c r="E4106" t="inlineStr">
        <is>
          <t>BODEN</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22977-2022</t>
        </is>
      </c>
      <c r="B4107" s="1" t="n">
        <v>44717</v>
      </c>
      <c r="C4107" s="1" t="n">
        <v>45662</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22976-2022</t>
        </is>
      </c>
      <c r="B4108" s="1" t="n">
        <v>44717</v>
      </c>
      <c r="C4108" s="1" t="n">
        <v>45662</v>
      </c>
      <c r="D4108" t="inlineStr">
        <is>
          <t>NORRBOTTENS LÄN</t>
        </is>
      </c>
      <c r="E4108" t="inlineStr">
        <is>
          <t>ÖVERKALIX</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22988-2022</t>
        </is>
      </c>
      <c r="B4109" s="1" t="n">
        <v>44718</v>
      </c>
      <c r="C4109" s="1" t="n">
        <v>45662</v>
      </c>
      <c r="D4109" t="inlineStr">
        <is>
          <t>NORRBOTTENS LÄN</t>
        </is>
      </c>
      <c r="E4109" t="inlineStr">
        <is>
          <t>ÖVERKALIX</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23272-2022</t>
        </is>
      </c>
      <c r="B4110" s="1" t="n">
        <v>44720</v>
      </c>
      <c r="C4110" s="1" t="n">
        <v>45662</v>
      </c>
      <c r="D4110" t="inlineStr">
        <is>
          <t>NORRBOTTENS LÄN</t>
        </is>
      </c>
      <c r="E4110" t="inlineStr">
        <is>
          <t>KALIX</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23166-2022</t>
        </is>
      </c>
      <c r="B4111" s="1" t="n">
        <v>44720</v>
      </c>
      <c r="C4111" s="1" t="n">
        <v>45662</v>
      </c>
      <c r="D4111" t="inlineStr">
        <is>
          <t>NORRBOTTENS LÄN</t>
        </is>
      </c>
      <c r="E4111" t="inlineStr">
        <is>
          <t>LULEÅ</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23575-2022</t>
        </is>
      </c>
      <c r="B4112" s="1" t="n">
        <v>44721</v>
      </c>
      <c r="C4112" s="1" t="n">
        <v>45662</v>
      </c>
      <c r="D4112" t="inlineStr">
        <is>
          <t>NORRBOTTENS LÄN</t>
        </is>
      </c>
      <c r="E4112" t="inlineStr">
        <is>
          <t>ARVIDSJAUR</t>
        </is>
      </c>
      <c r="F4112" t="inlineStr">
        <is>
          <t>Övriga Aktiebolag</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23469-2022</t>
        </is>
      </c>
      <c r="B4113" s="1" t="n">
        <v>44721</v>
      </c>
      <c r="C4113" s="1" t="n">
        <v>45662</v>
      </c>
      <c r="D4113" t="inlineStr">
        <is>
          <t>NORRBOTTENS LÄN</t>
        </is>
      </c>
      <c r="E4113" t="inlineStr">
        <is>
          <t>KIRUNA</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23536-2022</t>
        </is>
      </c>
      <c r="B4114" s="1" t="n">
        <v>44721</v>
      </c>
      <c r="C4114" s="1" t="n">
        <v>45662</v>
      </c>
      <c r="D4114" t="inlineStr">
        <is>
          <t>NORRBOTTENS LÄN</t>
        </is>
      </c>
      <c r="E4114" t="inlineStr">
        <is>
          <t>ÄLVSBYN</t>
        </is>
      </c>
      <c r="F4114" t="inlineStr">
        <is>
          <t>Övriga Aktiebolag</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23581-2022</t>
        </is>
      </c>
      <c r="B4115" s="1" t="n">
        <v>44721</v>
      </c>
      <c r="C4115" s="1" t="n">
        <v>45662</v>
      </c>
      <c r="D4115" t="inlineStr">
        <is>
          <t>NORRBOTTENS LÄN</t>
        </is>
      </c>
      <c r="E4115" t="inlineStr">
        <is>
          <t>ÄLVSBYN</t>
        </is>
      </c>
      <c r="F4115" t="inlineStr">
        <is>
          <t>Övriga Aktiebolag</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23546-2022</t>
        </is>
      </c>
      <c r="B4116" s="1" t="n">
        <v>44721</v>
      </c>
      <c r="C4116" s="1" t="n">
        <v>45662</v>
      </c>
      <c r="D4116" t="inlineStr">
        <is>
          <t>NORRBOTTENS LÄN</t>
        </is>
      </c>
      <c r="E4116" t="inlineStr">
        <is>
          <t>BODEN</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23584-2022</t>
        </is>
      </c>
      <c r="B4117" s="1" t="n">
        <v>44721</v>
      </c>
      <c r="C4117" s="1" t="n">
        <v>45662</v>
      </c>
      <c r="D4117" t="inlineStr">
        <is>
          <t>NORRBOTTENS LÄN</t>
        </is>
      </c>
      <c r="E4117" t="inlineStr">
        <is>
          <t>KALIX</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23871-2022</t>
        </is>
      </c>
      <c r="B4118" s="1" t="n">
        <v>44722</v>
      </c>
      <c r="C4118" s="1" t="n">
        <v>45662</v>
      </c>
      <c r="D4118" t="inlineStr">
        <is>
          <t>NORRBOTTENS LÄN</t>
        </is>
      </c>
      <c r="E4118" t="inlineStr">
        <is>
          <t>BODEN</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23878-2022</t>
        </is>
      </c>
      <c r="B4119" s="1" t="n">
        <v>44722</v>
      </c>
      <c r="C4119" s="1" t="n">
        <v>45662</v>
      </c>
      <c r="D4119" t="inlineStr">
        <is>
          <t>NORRBOTTENS LÄN</t>
        </is>
      </c>
      <c r="E4119" t="inlineStr">
        <is>
          <t>KALIX</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23880-2022</t>
        </is>
      </c>
      <c r="B4120" s="1" t="n">
        <v>44722</v>
      </c>
      <c r="C4120" s="1" t="n">
        <v>45662</v>
      </c>
      <c r="D4120" t="inlineStr">
        <is>
          <t>NORRBOTTENS LÄN</t>
        </is>
      </c>
      <c r="E4120" t="inlineStr">
        <is>
          <t>PITEÅ</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23884-2022</t>
        </is>
      </c>
      <c r="B4121" s="1" t="n">
        <v>44722</v>
      </c>
      <c r="C4121" s="1" t="n">
        <v>45662</v>
      </c>
      <c r="D4121" t="inlineStr">
        <is>
          <t>NORRBOTTENS LÄN</t>
        </is>
      </c>
      <c r="E4121" t="inlineStr">
        <is>
          <t>LULEÅ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24400-2022</t>
        </is>
      </c>
      <c r="B4122" s="1" t="n">
        <v>44726</v>
      </c>
      <c r="C4122" s="1" t="n">
        <v>45662</v>
      </c>
      <c r="D4122" t="inlineStr">
        <is>
          <t>NORRBOTTENS LÄN</t>
        </is>
      </c>
      <c r="E4122" t="inlineStr">
        <is>
          <t>BODEN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24519-2022</t>
        </is>
      </c>
      <c r="B4123" s="1" t="n">
        <v>44727</v>
      </c>
      <c r="C4123" s="1" t="n">
        <v>45662</v>
      </c>
      <c r="D4123" t="inlineStr">
        <is>
          <t>NORRBOTTENS LÄN</t>
        </is>
      </c>
      <c r="E4123" t="inlineStr">
        <is>
          <t>PAJALA</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24521-2022</t>
        </is>
      </c>
      <c r="B4124" s="1" t="n">
        <v>44727</v>
      </c>
      <c r="C4124" s="1" t="n">
        <v>45662</v>
      </c>
      <c r="D4124" t="inlineStr">
        <is>
          <t>NORRBOTTENS LÄN</t>
        </is>
      </c>
      <c r="E4124" t="inlineStr">
        <is>
          <t>PAJALA</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24520-2022</t>
        </is>
      </c>
      <c r="B4125" s="1" t="n">
        <v>44727</v>
      </c>
      <c r="C4125" s="1" t="n">
        <v>45662</v>
      </c>
      <c r="D4125" t="inlineStr">
        <is>
          <t>NORRBOTTENS LÄN</t>
        </is>
      </c>
      <c r="E4125" t="inlineStr">
        <is>
          <t>PAJALA</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24564-2022</t>
        </is>
      </c>
      <c r="B4126" s="1" t="n">
        <v>44726</v>
      </c>
      <c r="C4126" s="1" t="n">
        <v>45662</v>
      </c>
      <c r="D4126" t="inlineStr">
        <is>
          <t>NORRBOTTENS LÄN</t>
        </is>
      </c>
      <c r="E4126" t="inlineStr">
        <is>
          <t>GÄLLIVARE</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24691-2022</t>
        </is>
      </c>
      <c r="B4127" s="1" t="n">
        <v>44727</v>
      </c>
      <c r="C4127" s="1" t="n">
        <v>45662</v>
      </c>
      <c r="D4127" t="inlineStr">
        <is>
          <t>NORRBOTTENS LÄN</t>
        </is>
      </c>
      <c r="E4127" t="inlineStr">
        <is>
          <t>BODEN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24665-2022</t>
        </is>
      </c>
      <c r="B4128" s="1" t="n">
        <v>44727</v>
      </c>
      <c r="C4128" s="1" t="n">
        <v>45662</v>
      </c>
      <c r="D4128" t="inlineStr">
        <is>
          <t>NORRBOTTENS LÄN</t>
        </is>
      </c>
      <c r="E4128" t="inlineStr">
        <is>
          <t>ÄLVSBYN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24724-2022</t>
        </is>
      </c>
      <c r="B4129" s="1" t="n">
        <v>44727</v>
      </c>
      <c r="C4129" s="1" t="n">
        <v>45662</v>
      </c>
      <c r="D4129" t="inlineStr">
        <is>
          <t>NORRBOTTENS LÄN</t>
        </is>
      </c>
      <c r="E4129" t="inlineStr">
        <is>
          <t>PITEÅ</t>
        </is>
      </c>
      <c r="F4129" t="inlineStr">
        <is>
          <t>SCA</t>
        </is>
      </c>
      <c r="G4129" t="n">
        <v>10.2</v>
      </c>
      <c r="H4129" t="n">
        <v>0</v>
      </c>
      <c r="I4129" t="n">
        <v>0</v>
      </c>
      <c r="J4129" t="n">
        <v>0</v>
      </c>
      <c r="K4129" t="n">
        <v>0</v>
      </c>
      <c r="L4129" t="n">
        <v>0</v>
      </c>
      <c r="M4129" t="n">
        <v>0</v>
      </c>
      <c r="N4129" t="n">
        <v>0</v>
      </c>
      <c r="O4129" t="n">
        <v>0</v>
      </c>
      <c r="P4129" t="n">
        <v>0</v>
      </c>
      <c r="Q4129" t="n">
        <v>0</v>
      </c>
      <c r="R4129" s="2" t="inlineStr"/>
    </row>
    <row r="4130" ht="15" customHeight="1">
      <c r="A4130" t="inlineStr">
        <is>
          <t>A 24760-2022</t>
        </is>
      </c>
      <c r="B4130" s="1" t="n">
        <v>44728</v>
      </c>
      <c r="C4130" s="1" t="n">
        <v>45662</v>
      </c>
      <c r="D4130" t="inlineStr">
        <is>
          <t>NORRBOTTENS LÄN</t>
        </is>
      </c>
      <c r="E4130" t="inlineStr">
        <is>
          <t>ÄLVSBYN</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24841-2022</t>
        </is>
      </c>
      <c r="B4131" s="1" t="n">
        <v>44728</v>
      </c>
      <c r="C4131" s="1" t="n">
        <v>45662</v>
      </c>
      <c r="D4131" t="inlineStr">
        <is>
          <t>NORRBOTTENS LÄN</t>
        </is>
      </c>
      <c r="E4131" t="inlineStr">
        <is>
          <t>PAJALA</t>
        </is>
      </c>
      <c r="F4131" t="inlineStr">
        <is>
          <t>Allmännings- och besparingsskogar</t>
        </is>
      </c>
      <c r="G4131" t="n">
        <v>33.8</v>
      </c>
      <c r="H4131" t="n">
        <v>0</v>
      </c>
      <c r="I4131" t="n">
        <v>0</v>
      </c>
      <c r="J4131" t="n">
        <v>0</v>
      </c>
      <c r="K4131" t="n">
        <v>0</v>
      </c>
      <c r="L4131" t="n">
        <v>0</v>
      </c>
      <c r="M4131" t="n">
        <v>0</v>
      </c>
      <c r="N4131" t="n">
        <v>0</v>
      </c>
      <c r="O4131" t="n">
        <v>0</v>
      </c>
      <c r="P4131" t="n">
        <v>0</v>
      </c>
      <c r="Q4131" t="n">
        <v>0</v>
      </c>
      <c r="R4131" s="2" t="inlineStr"/>
    </row>
    <row r="4132" ht="15" customHeight="1">
      <c r="A4132" t="inlineStr">
        <is>
          <t>A 24765-2022</t>
        </is>
      </c>
      <c r="B4132" s="1" t="n">
        <v>44728</v>
      </c>
      <c r="C4132" s="1" t="n">
        <v>45662</v>
      </c>
      <c r="D4132" t="inlineStr">
        <is>
          <t>NORRBOTTENS LÄN</t>
        </is>
      </c>
      <c r="E4132" t="inlineStr">
        <is>
          <t>ÖVERTORNEÅ</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24866-2022</t>
        </is>
      </c>
      <c r="B4133" s="1" t="n">
        <v>44728</v>
      </c>
      <c r="C4133" s="1" t="n">
        <v>45662</v>
      </c>
      <c r="D4133" t="inlineStr">
        <is>
          <t>NORRBOTTENS LÄN</t>
        </is>
      </c>
      <c r="E4133" t="inlineStr">
        <is>
          <t>ÖVERKALIX</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24929-2022</t>
        </is>
      </c>
      <c r="B4134" s="1" t="n">
        <v>44728</v>
      </c>
      <c r="C4134" s="1" t="n">
        <v>45662</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24924-2022</t>
        </is>
      </c>
      <c r="B4135" s="1" t="n">
        <v>44728</v>
      </c>
      <c r="C4135" s="1" t="n">
        <v>45662</v>
      </c>
      <c r="D4135" t="inlineStr">
        <is>
          <t>NORRBOTTENS LÄN</t>
        </is>
      </c>
      <c r="E4135" t="inlineStr">
        <is>
          <t>ÖVERTORNEÅ</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24995-2022</t>
        </is>
      </c>
      <c r="B4136" s="1" t="n">
        <v>44729</v>
      </c>
      <c r="C4136" s="1" t="n">
        <v>45662</v>
      </c>
      <c r="D4136" t="inlineStr">
        <is>
          <t>NORRBOTTENS LÄN</t>
        </is>
      </c>
      <c r="E4136" t="inlineStr">
        <is>
          <t>LULEÅ</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25070-2022</t>
        </is>
      </c>
      <c r="B4137" s="1" t="n">
        <v>44729</v>
      </c>
      <c r="C4137" s="1" t="n">
        <v>45662</v>
      </c>
      <c r="D4137" t="inlineStr">
        <is>
          <t>NORRBOTTENS LÄN</t>
        </is>
      </c>
      <c r="E4137" t="inlineStr">
        <is>
          <t>BODEN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25163-2022</t>
        </is>
      </c>
      <c r="B4138" s="1" t="n">
        <v>44729</v>
      </c>
      <c r="C4138" s="1" t="n">
        <v>45662</v>
      </c>
      <c r="D4138" t="inlineStr">
        <is>
          <t>NORRBOTTENS LÄN</t>
        </is>
      </c>
      <c r="E4138" t="inlineStr">
        <is>
          <t>PITEÅ</t>
        </is>
      </c>
      <c r="F4138" t="inlineStr">
        <is>
          <t>Sveaskog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25149-2022</t>
        </is>
      </c>
      <c r="B4139" s="1" t="n">
        <v>44729</v>
      </c>
      <c r="C4139" s="1" t="n">
        <v>45662</v>
      </c>
      <c r="D4139" t="inlineStr">
        <is>
          <t>NORRBOTTENS LÄN</t>
        </is>
      </c>
      <c r="E4139" t="inlineStr">
        <is>
          <t>ÖVERTORNEÅ</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25455-2022</t>
        </is>
      </c>
      <c r="B4140" s="1" t="n">
        <v>44732</v>
      </c>
      <c r="C4140" s="1" t="n">
        <v>45662</v>
      </c>
      <c r="D4140" t="inlineStr">
        <is>
          <t>NORRBOTTENS LÄN</t>
        </is>
      </c>
      <c r="E4140" t="inlineStr">
        <is>
          <t>ÄLVSBYN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25388-2022</t>
        </is>
      </c>
      <c r="B4141" s="1" t="n">
        <v>44732</v>
      </c>
      <c r="C4141" s="1" t="n">
        <v>45662</v>
      </c>
      <c r="D4141" t="inlineStr">
        <is>
          <t>NORRBOTTENS LÄN</t>
        </is>
      </c>
      <c r="E4141" t="inlineStr">
        <is>
          <t>ARVIDSJAUR</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25449-2022</t>
        </is>
      </c>
      <c r="B4142" s="1" t="n">
        <v>44732</v>
      </c>
      <c r="C4142" s="1" t="n">
        <v>45662</v>
      </c>
      <c r="D4142" t="inlineStr">
        <is>
          <t>NORRBOTTENS LÄN</t>
        </is>
      </c>
      <c r="E4142" t="inlineStr">
        <is>
          <t>ÄLVSBYN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25506-2022</t>
        </is>
      </c>
      <c r="B4143" s="1" t="n">
        <v>44732</v>
      </c>
      <c r="C4143" s="1" t="n">
        <v>45662</v>
      </c>
      <c r="D4143" t="inlineStr">
        <is>
          <t>NORRBOTTENS LÄN</t>
        </is>
      </c>
      <c r="E4143" t="inlineStr">
        <is>
          <t>ARVIDSJAUR</t>
        </is>
      </c>
      <c r="F4143" t="inlineStr">
        <is>
          <t>Sveaskog</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25395-2022</t>
        </is>
      </c>
      <c r="B4144" s="1" t="n">
        <v>44732</v>
      </c>
      <c r="C4144" s="1" t="n">
        <v>45662</v>
      </c>
      <c r="D4144" t="inlineStr">
        <is>
          <t>NORRBOTTENS LÄN</t>
        </is>
      </c>
      <c r="E4144" t="inlineStr">
        <is>
          <t>ARVIDSJAUR</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25559-2022</t>
        </is>
      </c>
      <c r="B4145" s="1" t="n">
        <v>44732</v>
      </c>
      <c r="C4145" s="1" t="n">
        <v>45662</v>
      </c>
      <c r="D4145" t="inlineStr">
        <is>
          <t>NORRBOTTENS LÄN</t>
        </is>
      </c>
      <c r="E4145" t="inlineStr">
        <is>
          <t>ARJEPLOG</t>
        </is>
      </c>
      <c r="F4145" t="inlineStr">
        <is>
          <t>Övriga statliga verk och myndigheter</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25627-2022</t>
        </is>
      </c>
      <c r="B4146" s="1" t="n">
        <v>44733</v>
      </c>
      <c r="C4146" s="1" t="n">
        <v>45662</v>
      </c>
      <c r="D4146" t="inlineStr">
        <is>
          <t>NORRBOTTENS LÄN</t>
        </is>
      </c>
      <c r="E4146" t="inlineStr">
        <is>
          <t>BODEN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26773-2022</t>
        </is>
      </c>
      <c r="B4147" s="1" t="n">
        <v>44732</v>
      </c>
      <c r="C4147" s="1" t="n">
        <v>45662</v>
      </c>
      <c r="D4147" t="inlineStr">
        <is>
          <t>NORRBOTTENS LÄN</t>
        </is>
      </c>
      <c r="E4147" t="inlineStr">
        <is>
          <t>ARJEPLOG</t>
        </is>
      </c>
      <c r="F4147" t="inlineStr">
        <is>
          <t>Övriga statliga verk och myndigheter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25720-2022</t>
        </is>
      </c>
      <c r="B4148" s="1" t="n">
        <v>44733</v>
      </c>
      <c r="C4148" s="1" t="n">
        <v>45662</v>
      </c>
      <c r="D4148" t="inlineStr">
        <is>
          <t>NORRBOTTENS LÄN</t>
        </is>
      </c>
      <c r="E4148" t="inlineStr">
        <is>
          <t>ARVIDSJAUR</t>
        </is>
      </c>
      <c r="F4148" t="inlineStr">
        <is>
          <t>Sveaskog</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25740-2022</t>
        </is>
      </c>
      <c r="B4149" s="1" t="n">
        <v>44733</v>
      </c>
      <c r="C4149" s="1" t="n">
        <v>45662</v>
      </c>
      <c r="D4149" t="inlineStr">
        <is>
          <t>NORRBOTTENS LÄN</t>
        </is>
      </c>
      <c r="E4149" t="inlineStr">
        <is>
          <t>KALIX</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25695-2022</t>
        </is>
      </c>
      <c r="B4150" s="1" t="n">
        <v>44733</v>
      </c>
      <c r="C4150" s="1" t="n">
        <v>45662</v>
      </c>
      <c r="D4150" t="inlineStr">
        <is>
          <t>NORRBOTTENS LÄN</t>
        </is>
      </c>
      <c r="E4150" t="inlineStr">
        <is>
          <t>ÖVERTORNEÅ</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25744-2022</t>
        </is>
      </c>
      <c r="B4151" s="1" t="n">
        <v>44733</v>
      </c>
      <c r="C4151" s="1" t="n">
        <v>45662</v>
      </c>
      <c r="D4151" t="inlineStr">
        <is>
          <t>NORRBOTTENS LÄN</t>
        </is>
      </c>
      <c r="E4151" t="inlineStr">
        <is>
          <t>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25871-2022</t>
        </is>
      </c>
      <c r="B4152" s="1" t="n">
        <v>44733</v>
      </c>
      <c r="C4152" s="1" t="n">
        <v>45662</v>
      </c>
      <c r="D4152" t="inlineStr">
        <is>
          <t>NORRBOTTENS LÄN</t>
        </is>
      </c>
      <c r="E4152" t="inlineStr">
        <is>
          <t>KALIX</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25888-2022</t>
        </is>
      </c>
      <c r="B4153" s="1" t="n">
        <v>44733</v>
      </c>
      <c r="C4153" s="1" t="n">
        <v>45662</v>
      </c>
      <c r="D4153" t="inlineStr">
        <is>
          <t>NORRBOTTENS LÄN</t>
        </is>
      </c>
      <c r="E4153" t="inlineStr">
        <is>
          <t>KALIX</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26022-2022</t>
        </is>
      </c>
      <c r="B4154" s="1" t="n">
        <v>44734</v>
      </c>
      <c r="C4154" s="1" t="n">
        <v>45662</v>
      </c>
      <c r="D4154" t="inlineStr">
        <is>
          <t>NORRBOTTENS LÄN</t>
        </is>
      </c>
      <c r="E4154" t="inlineStr">
        <is>
          <t>BODEN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25910-2022</t>
        </is>
      </c>
      <c r="B4155" s="1" t="n">
        <v>44734</v>
      </c>
      <c r="C4155" s="1" t="n">
        <v>45662</v>
      </c>
      <c r="D4155" t="inlineStr">
        <is>
          <t>NORRBOTTENS LÄN</t>
        </is>
      </c>
      <c r="E4155" t="inlineStr">
        <is>
          <t>GÄLLIVARE</t>
        </is>
      </c>
      <c r="F4155" t="inlineStr">
        <is>
          <t>Sveaskog</t>
        </is>
      </c>
      <c r="G4155" t="n">
        <v>36.7</v>
      </c>
      <c r="H4155" t="n">
        <v>0</v>
      </c>
      <c r="I4155" t="n">
        <v>0</v>
      </c>
      <c r="J4155" t="n">
        <v>0</v>
      </c>
      <c r="K4155" t="n">
        <v>0</v>
      </c>
      <c r="L4155" t="n">
        <v>0</v>
      </c>
      <c r="M4155" t="n">
        <v>0</v>
      </c>
      <c r="N4155" t="n">
        <v>0</v>
      </c>
      <c r="O4155" t="n">
        <v>0</v>
      </c>
      <c r="P4155" t="n">
        <v>0</v>
      </c>
      <c r="Q4155" t="n">
        <v>0</v>
      </c>
      <c r="R4155" s="2" t="inlineStr"/>
    </row>
    <row r="4156" ht="15" customHeight="1">
      <c r="A4156" t="inlineStr">
        <is>
          <t>A 26014-2022</t>
        </is>
      </c>
      <c r="B4156" s="1" t="n">
        <v>44734</v>
      </c>
      <c r="C4156" s="1" t="n">
        <v>45662</v>
      </c>
      <c r="D4156" t="inlineStr">
        <is>
          <t>NORRBOTTENS LÄN</t>
        </is>
      </c>
      <c r="E4156" t="inlineStr">
        <is>
          <t>BODEN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26013-2022</t>
        </is>
      </c>
      <c r="B4157" s="1" t="n">
        <v>44734</v>
      </c>
      <c r="C4157" s="1" t="n">
        <v>45662</v>
      </c>
      <c r="D4157" t="inlineStr">
        <is>
          <t>NORRBOTTENS LÄN</t>
        </is>
      </c>
      <c r="E4157" t="inlineStr">
        <is>
          <t>BODEN</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26125-2022</t>
        </is>
      </c>
      <c r="B4158" s="1" t="n">
        <v>44735</v>
      </c>
      <c r="C4158" s="1" t="n">
        <v>45662</v>
      </c>
      <c r="D4158" t="inlineStr">
        <is>
          <t>NORRBOTTENS LÄN</t>
        </is>
      </c>
      <c r="E4158" t="inlineStr">
        <is>
          <t>ÄLVSBYN</t>
        </is>
      </c>
      <c r="F4158" t="inlineStr">
        <is>
          <t>SCA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26267-2022</t>
        </is>
      </c>
      <c r="B4159" s="1" t="n">
        <v>44735</v>
      </c>
      <c r="C4159" s="1" t="n">
        <v>45662</v>
      </c>
      <c r="D4159" t="inlineStr">
        <is>
          <t>NORRBOTTENS LÄN</t>
        </is>
      </c>
      <c r="E4159" t="inlineStr">
        <is>
          <t>LULEÅ</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26296-2022</t>
        </is>
      </c>
      <c r="B4160" s="1" t="n">
        <v>44735</v>
      </c>
      <c r="C4160" s="1" t="n">
        <v>45662</v>
      </c>
      <c r="D4160" t="inlineStr">
        <is>
          <t>NORRBOTTENS LÄN</t>
        </is>
      </c>
      <c r="E4160" t="inlineStr">
        <is>
          <t>PITEÅ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26223-2022</t>
        </is>
      </c>
      <c r="B4161" s="1" t="n">
        <v>44735</v>
      </c>
      <c r="C4161" s="1" t="n">
        <v>45662</v>
      </c>
      <c r="D4161" t="inlineStr">
        <is>
          <t>NORRBOTTENS LÄN</t>
        </is>
      </c>
      <c r="E4161" t="inlineStr">
        <is>
          <t>ARVIDSJAUR</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26359-2022</t>
        </is>
      </c>
      <c r="B4162" s="1" t="n">
        <v>44735</v>
      </c>
      <c r="C4162" s="1" t="n">
        <v>45662</v>
      </c>
      <c r="D4162" t="inlineStr">
        <is>
          <t>NORRBOTTENS LÄN</t>
        </is>
      </c>
      <c r="E4162" t="inlineStr">
        <is>
          <t>BODEN</t>
        </is>
      </c>
      <c r="F4162" t="inlineStr">
        <is>
          <t>Sveaskog</t>
        </is>
      </c>
      <c r="G4162" t="n">
        <v>11.4</v>
      </c>
      <c r="H4162" t="n">
        <v>0</v>
      </c>
      <c r="I4162" t="n">
        <v>0</v>
      </c>
      <c r="J4162" t="n">
        <v>0</v>
      </c>
      <c r="K4162" t="n">
        <v>0</v>
      </c>
      <c r="L4162" t="n">
        <v>0</v>
      </c>
      <c r="M4162" t="n">
        <v>0</v>
      </c>
      <c r="N4162" t="n">
        <v>0</v>
      </c>
      <c r="O4162" t="n">
        <v>0</v>
      </c>
      <c r="P4162" t="n">
        <v>0</v>
      </c>
      <c r="Q4162" t="n">
        <v>0</v>
      </c>
      <c r="R4162" s="2" t="inlineStr"/>
    </row>
    <row r="4163" ht="15" customHeight="1">
      <c r="A4163" t="inlineStr">
        <is>
          <t>A 26390-2022</t>
        </is>
      </c>
      <c r="B4163" s="1" t="n">
        <v>44735</v>
      </c>
      <c r="C4163" s="1" t="n">
        <v>45662</v>
      </c>
      <c r="D4163" t="inlineStr">
        <is>
          <t>NORRBOTTENS LÄN</t>
        </is>
      </c>
      <c r="E4163" t="inlineStr">
        <is>
          <t>PITEÅ</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28354-2022</t>
        </is>
      </c>
      <c r="B4164" s="1" t="n">
        <v>44735</v>
      </c>
      <c r="C4164" s="1" t="n">
        <v>45662</v>
      </c>
      <c r="D4164" t="inlineStr">
        <is>
          <t>NORRBOTTENS LÄN</t>
        </is>
      </c>
      <c r="E4164" t="inlineStr">
        <is>
          <t>ARJEPLOG</t>
        </is>
      </c>
      <c r="F4164" t="inlineStr">
        <is>
          <t>Övriga statliga verk och myndigheter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26406-2022</t>
        </is>
      </c>
      <c r="B4165" s="1" t="n">
        <v>44736</v>
      </c>
      <c r="C4165" s="1" t="n">
        <v>45662</v>
      </c>
      <c r="D4165" t="inlineStr">
        <is>
          <t>NORRBOTTENS LÄN</t>
        </is>
      </c>
      <c r="E4165" t="inlineStr">
        <is>
          <t>ÄLVSBYN</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26811-2022</t>
        </is>
      </c>
      <c r="B4166" s="1" t="n">
        <v>44735</v>
      </c>
      <c r="C4166" s="1" t="n">
        <v>45662</v>
      </c>
      <c r="D4166" t="inlineStr">
        <is>
          <t>NORRBOTTENS LÄN</t>
        </is>
      </c>
      <c r="E4166" t="inlineStr">
        <is>
          <t>ARJEPLOG</t>
        </is>
      </c>
      <c r="F4166" t="inlineStr">
        <is>
          <t>Övriga statliga verk och myndigheter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28358-2022</t>
        </is>
      </c>
      <c r="B4167" s="1" t="n">
        <v>44735</v>
      </c>
      <c r="C4167" s="1" t="n">
        <v>45662</v>
      </c>
      <c r="D4167" t="inlineStr">
        <is>
          <t>NORRBOTTENS LÄN</t>
        </is>
      </c>
      <c r="E4167" t="inlineStr">
        <is>
          <t>ARJEPLOG</t>
        </is>
      </c>
      <c r="F4167" t="inlineStr">
        <is>
          <t>Övriga statliga verk och myndigheter</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26608-2022</t>
        </is>
      </c>
      <c r="B4168" s="1" t="n">
        <v>44739</v>
      </c>
      <c r="C4168" s="1" t="n">
        <v>45662</v>
      </c>
      <c r="D4168" t="inlineStr">
        <is>
          <t>NORRBOTTENS LÄN</t>
        </is>
      </c>
      <c r="E4168" t="inlineStr">
        <is>
          <t>ÄLVSBYN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26610-2022</t>
        </is>
      </c>
      <c r="B4169" s="1" t="n">
        <v>44739</v>
      </c>
      <c r="C4169" s="1" t="n">
        <v>45662</v>
      </c>
      <c r="D4169" t="inlineStr">
        <is>
          <t>NORRBOTTENS LÄN</t>
        </is>
      </c>
      <c r="E4169" t="inlineStr">
        <is>
          <t>ÄLVSBYN</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26741-2022</t>
        </is>
      </c>
      <c r="B4170" s="1" t="n">
        <v>44739</v>
      </c>
      <c r="C4170" s="1" t="n">
        <v>45662</v>
      </c>
      <c r="D4170" t="inlineStr">
        <is>
          <t>NORRBOTTENS LÄN</t>
        </is>
      </c>
      <c r="E4170" t="inlineStr">
        <is>
          <t>ÄLVSBYN</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26579-2022</t>
        </is>
      </c>
      <c r="B4171" s="1" t="n">
        <v>44739</v>
      </c>
      <c r="C4171" s="1" t="n">
        <v>45662</v>
      </c>
      <c r="D4171" t="inlineStr">
        <is>
          <t>NORRBOTTENS LÄN</t>
        </is>
      </c>
      <c r="E4171" t="inlineStr">
        <is>
          <t>ÄLVSBYN</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26740-2022</t>
        </is>
      </c>
      <c r="B4172" s="1" t="n">
        <v>44739</v>
      </c>
      <c r="C4172" s="1" t="n">
        <v>45662</v>
      </c>
      <c r="D4172" t="inlineStr">
        <is>
          <t>NORRBOTTENS LÄN</t>
        </is>
      </c>
      <c r="E4172" t="inlineStr">
        <is>
          <t>ÄLVSBYN</t>
        </is>
      </c>
      <c r="F4172" t="inlineStr">
        <is>
          <t>SCA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26791-2022</t>
        </is>
      </c>
      <c r="B4173" s="1" t="n">
        <v>44740</v>
      </c>
      <c r="C4173" s="1" t="n">
        <v>45662</v>
      </c>
      <c r="D4173" t="inlineStr">
        <is>
          <t>NORRBOTTENS LÄN</t>
        </is>
      </c>
      <c r="E4173" t="inlineStr">
        <is>
          <t>PAJALA</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26938-2022</t>
        </is>
      </c>
      <c r="B4174" s="1" t="n">
        <v>44740</v>
      </c>
      <c r="C4174" s="1" t="n">
        <v>45662</v>
      </c>
      <c r="D4174" t="inlineStr">
        <is>
          <t>NORRBOTTENS LÄN</t>
        </is>
      </c>
      <c r="E4174" t="inlineStr">
        <is>
          <t>ARVIDSJAUR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27108-2022</t>
        </is>
      </c>
      <c r="B4175" s="1" t="n">
        <v>44741</v>
      </c>
      <c r="C4175" s="1" t="n">
        <v>45662</v>
      </c>
      <c r="D4175" t="inlineStr">
        <is>
          <t>NORRBOTTENS LÄN</t>
        </is>
      </c>
      <c r="E4175" t="inlineStr">
        <is>
          <t>LULEÅ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27184-2022</t>
        </is>
      </c>
      <c r="B4176" s="1" t="n">
        <v>44741</v>
      </c>
      <c r="C4176" s="1" t="n">
        <v>45662</v>
      </c>
      <c r="D4176" t="inlineStr">
        <is>
          <t>NORRBOTTENS LÄN</t>
        </is>
      </c>
      <c r="E4176" t="inlineStr">
        <is>
          <t>PAJALA</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27202-2022</t>
        </is>
      </c>
      <c r="B4177" s="1" t="n">
        <v>44741</v>
      </c>
      <c r="C4177" s="1" t="n">
        <v>45662</v>
      </c>
      <c r="D4177" t="inlineStr">
        <is>
          <t>NORRBOTTENS LÄN</t>
        </is>
      </c>
      <c r="E4177" t="inlineStr">
        <is>
          <t>ÄLVSBYN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27050-2022</t>
        </is>
      </c>
      <c r="B4178" s="1" t="n">
        <v>44741</v>
      </c>
      <c r="C4178" s="1" t="n">
        <v>45662</v>
      </c>
      <c r="D4178" t="inlineStr">
        <is>
          <t>NORRBOTTENS LÄN</t>
        </is>
      </c>
      <c r="E4178" t="inlineStr">
        <is>
          <t>GÄLLIVARE</t>
        </is>
      </c>
      <c r="F4178" t="inlineStr">
        <is>
          <t>Övriga Aktiebolag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27092-2022</t>
        </is>
      </c>
      <c r="B4179" s="1" t="n">
        <v>44741</v>
      </c>
      <c r="C4179" s="1" t="n">
        <v>45662</v>
      </c>
      <c r="D4179" t="inlineStr">
        <is>
          <t>NORRBOTTENS LÄN</t>
        </is>
      </c>
      <c r="E4179" t="inlineStr">
        <is>
          <t>ARJEPLOG</t>
        </is>
      </c>
      <c r="G4179" t="n">
        <v>15.6</v>
      </c>
      <c r="H4179" t="n">
        <v>0</v>
      </c>
      <c r="I4179" t="n">
        <v>0</v>
      </c>
      <c r="J4179" t="n">
        <v>0</v>
      </c>
      <c r="K4179" t="n">
        <v>0</v>
      </c>
      <c r="L4179" t="n">
        <v>0</v>
      </c>
      <c r="M4179" t="n">
        <v>0</v>
      </c>
      <c r="N4179" t="n">
        <v>0</v>
      </c>
      <c r="O4179" t="n">
        <v>0</v>
      </c>
      <c r="P4179" t="n">
        <v>0</v>
      </c>
      <c r="Q4179" t="n">
        <v>0</v>
      </c>
      <c r="R4179" s="2" t="inlineStr"/>
    </row>
    <row r="4180" ht="15" customHeight="1">
      <c r="A4180" t="inlineStr">
        <is>
          <t>A 27225-2022</t>
        </is>
      </c>
      <c r="B4180" s="1" t="n">
        <v>44741</v>
      </c>
      <c r="C4180" s="1" t="n">
        <v>45662</v>
      </c>
      <c r="D4180" t="inlineStr">
        <is>
          <t>NORRBOTTENS LÄN</t>
        </is>
      </c>
      <c r="E4180" t="inlineStr">
        <is>
          <t>ÖVERKALIX</t>
        </is>
      </c>
      <c r="F4180" t="inlineStr">
        <is>
          <t>Sveaskog</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27230-2022</t>
        </is>
      </c>
      <c r="B4181" s="1" t="n">
        <v>44741</v>
      </c>
      <c r="C4181" s="1" t="n">
        <v>45662</v>
      </c>
      <c r="D4181" t="inlineStr">
        <is>
          <t>NORRBOTTENS LÄN</t>
        </is>
      </c>
      <c r="E4181" t="inlineStr">
        <is>
          <t>ÖVERKALIX</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27268-2022</t>
        </is>
      </c>
      <c r="B4182" s="1" t="n">
        <v>44741</v>
      </c>
      <c r="C4182" s="1" t="n">
        <v>45662</v>
      </c>
      <c r="D4182" t="inlineStr">
        <is>
          <t>NORRBOTTENS LÄN</t>
        </is>
      </c>
      <c r="E4182" t="inlineStr">
        <is>
          <t>PITEÅ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27269-2022</t>
        </is>
      </c>
      <c r="B4183" s="1" t="n">
        <v>44741</v>
      </c>
      <c r="C4183" s="1" t="n">
        <v>45662</v>
      </c>
      <c r="D4183" t="inlineStr">
        <is>
          <t>NORRBOTTENS LÄN</t>
        </is>
      </c>
      <c r="E4183" t="inlineStr">
        <is>
          <t>PITEÅ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27305-2022</t>
        </is>
      </c>
      <c r="B4184" s="1" t="n">
        <v>44741</v>
      </c>
      <c r="C4184" s="1" t="n">
        <v>45662</v>
      </c>
      <c r="D4184" t="inlineStr">
        <is>
          <t>NORRBOTTENS LÄN</t>
        </is>
      </c>
      <c r="E4184" t="inlineStr">
        <is>
          <t>LULEÅ</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27303-2022</t>
        </is>
      </c>
      <c r="B4185" s="1" t="n">
        <v>44741</v>
      </c>
      <c r="C4185" s="1" t="n">
        <v>45662</v>
      </c>
      <c r="D4185" t="inlineStr">
        <is>
          <t>NORRBOTTENS LÄN</t>
        </is>
      </c>
      <c r="E4185" t="inlineStr">
        <is>
          <t>LULEÅ</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27234-2022</t>
        </is>
      </c>
      <c r="B4186" s="1" t="n">
        <v>44741</v>
      </c>
      <c r="C4186" s="1" t="n">
        <v>45662</v>
      </c>
      <c r="D4186" t="inlineStr">
        <is>
          <t>NORRBOTTENS LÄN</t>
        </is>
      </c>
      <c r="E4186" t="inlineStr">
        <is>
          <t>ARVIDSJAUR</t>
        </is>
      </c>
      <c r="F4186" t="inlineStr">
        <is>
          <t>Övriga Aktiebolag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27270-2022</t>
        </is>
      </c>
      <c r="B4187" s="1" t="n">
        <v>44741</v>
      </c>
      <c r="C4187" s="1" t="n">
        <v>45662</v>
      </c>
      <c r="D4187" t="inlineStr">
        <is>
          <t>NORRBOTTENS LÄN</t>
        </is>
      </c>
      <c r="E4187" t="inlineStr">
        <is>
          <t>PITEÅ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27277-2022</t>
        </is>
      </c>
      <c r="B4188" s="1" t="n">
        <v>44742</v>
      </c>
      <c r="C4188" s="1" t="n">
        <v>45662</v>
      </c>
      <c r="D4188" t="inlineStr">
        <is>
          <t>NORRBOTTENS LÄN</t>
        </is>
      </c>
      <c r="E4188" t="inlineStr">
        <is>
          <t>ÄLVSBYN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27300-2022</t>
        </is>
      </c>
      <c r="B4189" s="1" t="n">
        <v>44742</v>
      </c>
      <c r="C4189" s="1" t="n">
        <v>45662</v>
      </c>
      <c r="D4189" t="inlineStr">
        <is>
          <t>NORRBOTTENS LÄN</t>
        </is>
      </c>
      <c r="E4189" t="inlineStr">
        <is>
          <t>ÖVERTORNEÅ</t>
        </is>
      </c>
      <c r="F4189" t="inlineStr">
        <is>
          <t>Sveaskog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27377-2022</t>
        </is>
      </c>
      <c r="B4190" s="1" t="n">
        <v>44742</v>
      </c>
      <c r="C4190" s="1" t="n">
        <v>45662</v>
      </c>
      <c r="D4190" t="inlineStr">
        <is>
          <t>NORRBOTTENS LÄN</t>
        </is>
      </c>
      <c r="E4190" t="inlineStr">
        <is>
          <t>KALIX</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27448-2022</t>
        </is>
      </c>
      <c r="B4191" s="1" t="n">
        <v>44742</v>
      </c>
      <c r="C4191" s="1" t="n">
        <v>45662</v>
      </c>
      <c r="D4191" t="inlineStr">
        <is>
          <t>NORRBOTTENS LÄN</t>
        </is>
      </c>
      <c r="E4191" t="inlineStr">
        <is>
          <t>HAPARANDA</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27497-2022</t>
        </is>
      </c>
      <c r="B4192" s="1" t="n">
        <v>44742</v>
      </c>
      <c r="C4192" s="1" t="n">
        <v>45662</v>
      </c>
      <c r="D4192" t="inlineStr">
        <is>
          <t>NORRBOTTENS LÄN</t>
        </is>
      </c>
      <c r="E4192" t="inlineStr">
        <is>
          <t>HAPARANDA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27571-2022</t>
        </is>
      </c>
      <c r="B4193" s="1" t="n">
        <v>44743</v>
      </c>
      <c r="C4193" s="1" t="n">
        <v>45662</v>
      </c>
      <c r="D4193" t="inlineStr">
        <is>
          <t>NORRBOTTENS LÄN</t>
        </is>
      </c>
      <c r="E4193" t="inlineStr">
        <is>
          <t>PITEÅ</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27688-2022</t>
        </is>
      </c>
      <c r="B4194" s="1" t="n">
        <v>44743</v>
      </c>
      <c r="C4194" s="1" t="n">
        <v>45662</v>
      </c>
      <c r="D4194" t="inlineStr">
        <is>
          <t>NORRBOTTENS LÄN</t>
        </is>
      </c>
      <c r="E4194" t="inlineStr">
        <is>
          <t>BODEN</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27781-2022</t>
        </is>
      </c>
      <c r="B4195" s="1" t="n">
        <v>44743</v>
      </c>
      <c r="C4195" s="1" t="n">
        <v>45662</v>
      </c>
      <c r="D4195" t="inlineStr">
        <is>
          <t>NORRBOTTENS LÄN</t>
        </is>
      </c>
      <c r="E4195" t="inlineStr">
        <is>
          <t>JOKKMOKK</t>
        </is>
      </c>
      <c r="F4195" t="inlineStr">
        <is>
          <t>Sveaskog</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27716-2022</t>
        </is>
      </c>
      <c r="B4196" s="1" t="n">
        <v>44743</v>
      </c>
      <c r="C4196" s="1" t="n">
        <v>45662</v>
      </c>
      <c r="D4196" t="inlineStr">
        <is>
          <t>NORRBOTTENS LÄN</t>
        </is>
      </c>
      <c r="E4196" t="inlineStr">
        <is>
          <t>BODEN</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27808-2022</t>
        </is>
      </c>
      <c r="B4197" s="1" t="n">
        <v>44743</v>
      </c>
      <c r="C4197" s="1" t="n">
        <v>45662</v>
      </c>
      <c r="D4197" t="inlineStr">
        <is>
          <t>NORRBOTTENS LÄN</t>
        </is>
      </c>
      <c r="E4197" t="inlineStr">
        <is>
          <t>PITEÅ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27853-2022</t>
        </is>
      </c>
      <c r="B4198" s="1" t="n">
        <v>44743</v>
      </c>
      <c r="C4198" s="1" t="n">
        <v>45662</v>
      </c>
      <c r="D4198" t="inlineStr">
        <is>
          <t>NORRBOTTENS LÄN</t>
        </is>
      </c>
      <c r="E4198" t="inlineStr">
        <is>
          <t>PAJALA</t>
        </is>
      </c>
      <c r="F4198" t="inlineStr">
        <is>
          <t>Sveaskog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27709-2022</t>
        </is>
      </c>
      <c r="B4199" s="1" t="n">
        <v>44743</v>
      </c>
      <c r="C4199" s="1" t="n">
        <v>45662</v>
      </c>
      <c r="D4199" t="inlineStr">
        <is>
          <t>NORRBOTTENS LÄN</t>
        </is>
      </c>
      <c r="E4199" t="inlineStr">
        <is>
          <t>PAJALA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27734-2022</t>
        </is>
      </c>
      <c r="B4200" s="1" t="n">
        <v>44743</v>
      </c>
      <c r="C4200" s="1" t="n">
        <v>45662</v>
      </c>
      <c r="D4200" t="inlineStr">
        <is>
          <t>NORRBOTTENS LÄN</t>
        </is>
      </c>
      <c r="E4200" t="inlineStr">
        <is>
          <t>ARVIDSJAUR</t>
        </is>
      </c>
      <c r="F4200" t="inlineStr">
        <is>
          <t>Sveaskog</t>
        </is>
      </c>
      <c r="G4200" t="n">
        <v>18.1</v>
      </c>
      <c r="H4200" t="n">
        <v>0</v>
      </c>
      <c r="I4200" t="n">
        <v>0</v>
      </c>
      <c r="J4200" t="n">
        <v>0</v>
      </c>
      <c r="K4200" t="n">
        <v>0</v>
      </c>
      <c r="L4200" t="n">
        <v>0</v>
      </c>
      <c r="M4200" t="n">
        <v>0</v>
      </c>
      <c r="N4200" t="n">
        <v>0</v>
      </c>
      <c r="O4200" t="n">
        <v>0</v>
      </c>
      <c r="P4200" t="n">
        <v>0</v>
      </c>
      <c r="Q4200" t="n">
        <v>0</v>
      </c>
      <c r="R4200" s="2" t="inlineStr"/>
    </row>
    <row r="4201" ht="15" customHeight="1">
      <c r="A4201" t="inlineStr">
        <is>
          <t>A 27894-2022</t>
        </is>
      </c>
      <c r="B4201" s="1" t="n">
        <v>44743</v>
      </c>
      <c r="C4201" s="1" t="n">
        <v>45662</v>
      </c>
      <c r="D4201" t="inlineStr">
        <is>
          <t>NORRBOTTENS LÄN</t>
        </is>
      </c>
      <c r="E4201" t="inlineStr">
        <is>
          <t>BODEN</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27925-2022</t>
        </is>
      </c>
      <c r="B4202" s="1" t="n">
        <v>44743</v>
      </c>
      <c r="C4202" s="1" t="n">
        <v>45662</v>
      </c>
      <c r="D4202" t="inlineStr">
        <is>
          <t>NORRBOTTENS LÄN</t>
        </is>
      </c>
      <c r="E4202" t="inlineStr">
        <is>
          <t>KALIX</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28052-2022</t>
        </is>
      </c>
      <c r="B4203" s="1" t="n">
        <v>44746</v>
      </c>
      <c r="C4203" s="1" t="n">
        <v>45662</v>
      </c>
      <c r="D4203" t="inlineStr">
        <is>
          <t>NORRBOTTENS LÄN</t>
        </is>
      </c>
      <c r="E4203" t="inlineStr">
        <is>
          <t>ARVIDSJAUR</t>
        </is>
      </c>
      <c r="F4203" t="inlineStr">
        <is>
          <t>Övriga Aktiebolag</t>
        </is>
      </c>
      <c r="G4203" t="n">
        <v>18.3</v>
      </c>
      <c r="H4203" t="n">
        <v>0</v>
      </c>
      <c r="I4203" t="n">
        <v>0</v>
      </c>
      <c r="J4203" t="n">
        <v>0</v>
      </c>
      <c r="K4203" t="n">
        <v>0</v>
      </c>
      <c r="L4203" t="n">
        <v>0</v>
      </c>
      <c r="M4203" t="n">
        <v>0</v>
      </c>
      <c r="N4203" t="n">
        <v>0</v>
      </c>
      <c r="O4203" t="n">
        <v>0</v>
      </c>
      <c r="P4203" t="n">
        <v>0</v>
      </c>
      <c r="Q4203" t="n">
        <v>0</v>
      </c>
      <c r="R4203" s="2" t="inlineStr"/>
    </row>
    <row r="4204" ht="15" customHeight="1">
      <c r="A4204" t="inlineStr">
        <is>
          <t>A 28079-2022</t>
        </is>
      </c>
      <c r="B4204" s="1" t="n">
        <v>44746</v>
      </c>
      <c r="C4204" s="1" t="n">
        <v>45662</v>
      </c>
      <c r="D4204" t="inlineStr">
        <is>
          <t>NORRBOTTENS LÄN</t>
        </is>
      </c>
      <c r="E4204" t="inlineStr">
        <is>
          <t>JOKKMOKK</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28225-2022</t>
        </is>
      </c>
      <c r="B4205" s="1" t="n">
        <v>44746</v>
      </c>
      <c r="C4205" s="1" t="n">
        <v>45662</v>
      </c>
      <c r="D4205" t="inlineStr">
        <is>
          <t>NORRBOTTENS LÄN</t>
        </is>
      </c>
      <c r="E4205" t="inlineStr">
        <is>
          <t>ÖVERKALIX</t>
        </is>
      </c>
      <c r="F4205" t="inlineStr">
        <is>
          <t>Sveaskog</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28274-2022</t>
        </is>
      </c>
      <c r="B4206" s="1" t="n">
        <v>44747</v>
      </c>
      <c r="C4206" s="1" t="n">
        <v>45662</v>
      </c>
      <c r="D4206" t="inlineStr">
        <is>
          <t>NORRBOTTENS LÄN</t>
        </is>
      </c>
      <c r="E4206" t="inlineStr">
        <is>
          <t>LULEÅ</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28276-2022</t>
        </is>
      </c>
      <c r="B4207" s="1" t="n">
        <v>44746</v>
      </c>
      <c r="C4207" s="1" t="n">
        <v>45662</v>
      </c>
      <c r="D4207" t="inlineStr">
        <is>
          <t>NORRBOTTENS LÄN</t>
        </is>
      </c>
      <c r="E4207" t="inlineStr">
        <is>
          <t>LULEÅ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28272-2022</t>
        </is>
      </c>
      <c r="B4208" s="1" t="n">
        <v>44747</v>
      </c>
      <c r="C4208" s="1" t="n">
        <v>45662</v>
      </c>
      <c r="D4208" t="inlineStr">
        <is>
          <t>NORRBOTTENS LÄN</t>
        </is>
      </c>
      <c r="E4208" t="inlineStr">
        <is>
          <t>LULEÅ</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28273-2022</t>
        </is>
      </c>
      <c r="B4209" s="1" t="n">
        <v>44747</v>
      </c>
      <c r="C4209" s="1" t="n">
        <v>45662</v>
      </c>
      <c r="D4209" t="inlineStr">
        <is>
          <t>NORRBOTTENS LÄN</t>
        </is>
      </c>
      <c r="E4209" t="inlineStr">
        <is>
          <t>LULEÅ</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28275-2022</t>
        </is>
      </c>
      <c r="B4210" s="1" t="n">
        <v>44746</v>
      </c>
      <c r="C4210" s="1" t="n">
        <v>45662</v>
      </c>
      <c r="D4210" t="inlineStr">
        <is>
          <t>NORRBOTTENS LÄN</t>
        </is>
      </c>
      <c r="E4210" t="inlineStr">
        <is>
          <t>LULEÅ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28370-2022</t>
        </is>
      </c>
      <c r="B4211" s="1" t="n">
        <v>44747</v>
      </c>
      <c r="C4211" s="1" t="n">
        <v>45662</v>
      </c>
      <c r="D4211" t="inlineStr">
        <is>
          <t>NORRBOTTENS LÄN</t>
        </is>
      </c>
      <c r="E4211" t="inlineStr">
        <is>
          <t>JOKKMOKK</t>
        </is>
      </c>
      <c r="F4211" t="inlineStr">
        <is>
          <t>Övriga Aktiebolag</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28350-2022</t>
        </is>
      </c>
      <c r="B4212" s="1" t="n">
        <v>44747</v>
      </c>
      <c r="C4212" s="1" t="n">
        <v>45662</v>
      </c>
      <c r="D4212" t="inlineStr">
        <is>
          <t>NORRBOTTENS LÄN</t>
        </is>
      </c>
      <c r="E4212" t="inlineStr">
        <is>
          <t>JOKKMOKK</t>
        </is>
      </c>
      <c r="F4212" t="inlineStr">
        <is>
          <t>Övriga Aktiebolag</t>
        </is>
      </c>
      <c r="G4212" t="n">
        <v>48.8</v>
      </c>
      <c r="H4212" t="n">
        <v>0</v>
      </c>
      <c r="I4212" t="n">
        <v>0</v>
      </c>
      <c r="J4212" t="n">
        <v>0</v>
      </c>
      <c r="K4212" t="n">
        <v>0</v>
      </c>
      <c r="L4212" t="n">
        <v>0</v>
      </c>
      <c r="M4212" t="n">
        <v>0</v>
      </c>
      <c r="N4212" t="n">
        <v>0</v>
      </c>
      <c r="O4212" t="n">
        <v>0</v>
      </c>
      <c r="P4212" t="n">
        <v>0</v>
      </c>
      <c r="Q4212" t="n">
        <v>0</v>
      </c>
      <c r="R4212" s="2" t="inlineStr"/>
    </row>
    <row r="4213" ht="15" customHeight="1">
      <c r="A4213" t="inlineStr">
        <is>
          <t>A 28432-2022</t>
        </is>
      </c>
      <c r="B4213" s="1" t="n">
        <v>44747</v>
      </c>
      <c r="C4213" s="1" t="n">
        <v>45662</v>
      </c>
      <c r="D4213" t="inlineStr">
        <is>
          <t>NORRBOTTENS LÄN</t>
        </is>
      </c>
      <c r="E4213" t="inlineStr">
        <is>
          <t>BODEN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28488-2022</t>
        </is>
      </c>
      <c r="B4214" s="1" t="n">
        <v>44748</v>
      </c>
      <c r="C4214" s="1" t="n">
        <v>45662</v>
      </c>
      <c r="D4214" t="inlineStr">
        <is>
          <t>NORRBOTTENS LÄN</t>
        </is>
      </c>
      <c r="E4214" t="inlineStr">
        <is>
          <t>PITEÅ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28491-2022</t>
        </is>
      </c>
      <c r="B4215" s="1" t="n">
        <v>44747</v>
      </c>
      <c r="C4215" s="1" t="n">
        <v>45662</v>
      </c>
      <c r="D4215" t="inlineStr">
        <is>
          <t>NORRBOTTENS LÄN</t>
        </is>
      </c>
      <c r="E4215" t="inlineStr">
        <is>
          <t>PITEÅ</t>
        </is>
      </c>
      <c r="F4215" t="inlineStr">
        <is>
          <t>SCA</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28651-2022</t>
        </is>
      </c>
      <c r="B4216" s="1" t="n">
        <v>44748</v>
      </c>
      <c r="C4216" s="1" t="n">
        <v>45662</v>
      </c>
      <c r="D4216" t="inlineStr">
        <is>
          <t>NORRBOTTENS LÄN</t>
        </is>
      </c>
      <c r="E4216" t="inlineStr">
        <is>
          <t>ÖVERTORNEÅ</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28659-2022</t>
        </is>
      </c>
      <c r="B4217" s="1" t="n">
        <v>44748</v>
      </c>
      <c r="C4217" s="1" t="n">
        <v>45662</v>
      </c>
      <c r="D4217" t="inlineStr">
        <is>
          <t>NORRBOTTENS LÄN</t>
        </is>
      </c>
      <c r="E4217" t="inlineStr">
        <is>
          <t>PITEÅ</t>
        </is>
      </c>
      <c r="F4217" t="inlineStr">
        <is>
          <t>Sveaskog</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28624-2022</t>
        </is>
      </c>
      <c r="B4218" s="1" t="n">
        <v>44748</v>
      </c>
      <c r="C4218" s="1" t="n">
        <v>45662</v>
      </c>
      <c r="D4218" t="inlineStr">
        <is>
          <t>NORRBOTTENS LÄN</t>
        </is>
      </c>
      <c r="E4218" t="inlineStr">
        <is>
          <t>PITEÅ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28542-2022</t>
        </is>
      </c>
      <c r="B4219" s="1" t="n">
        <v>44748</v>
      </c>
      <c r="C4219" s="1" t="n">
        <v>45662</v>
      </c>
      <c r="D4219" t="inlineStr">
        <is>
          <t>NORRBOTTENS LÄN</t>
        </is>
      </c>
      <c r="E4219" t="inlineStr">
        <is>
          <t>HAPARANDA</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28637-2022</t>
        </is>
      </c>
      <c r="B4220" s="1" t="n">
        <v>44748</v>
      </c>
      <c r="C4220" s="1" t="n">
        <v>45662</v>
      </c>
      <c r="D4220" t="inlineStr">
        <is>
          <t>NORRBOTTENS LÄN</t>
        </is>
      </c>
      <c r="E4220" t="inlineStr">
        <is>
          <t>ÄLVSBYN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28658-2022</t>
        </is>
      </c>
      <c r="B4221" s="1" t="n">
        <v>44748</v>
      </c>
      <c r="C4221" s="1" t="n">
        <v>45662</v>
      </c>
      <c r="D4221" t="inlineStr">
        <is>
          <t>NORRBOTTENS LÄN</t>
        </is>
      </c>
      <c r="E4221" t="inlineStr">
        <is>
          <t>ÖVERTORNEÅ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28707-2022</t>
        </is>
      </c>
      <c r="B4222" s="1" t="n">
        <v>44748</v>
      </c>
      <c r="C4222" s="1" t="n">
        <v>45662</v>
      </c>
      <c r="D4222" t="inlineStr">
        <is>
          <t>NORRBOTTENS LÄN</t>
        </is>
      </c>
      <c r="E4222" t="inlineStr">
        <is>
          <t>KIRUNA</t>
        </is>
      </c>
      <c r="G4222" t="n">
        <v>15.2</v>
      </c>
      <c r="H4222" t="n">
        <v>0</v>
      </c>
      <c r="I4222" t="n">
        <v>0</v>
      </c>
      <c r="J4222" t="n">
        <v>0</v>
      </c>
      <c r="K4222" t="n">
        <v>0</v>
      </c>
      <c r="L4222" t="n">
        <v>0</v>
      </c>
      <c r="M4222" t="n">
        <v>0</v>
      </c>
      <c r="N4222" t="n">
        <v>0</v>
      </c>
      <c r="O4222" t="n">
        <v>0</v>
      </c>
      <c r="P4222" t="n">
        <v>0</v>
      </c>
      <c r="Q4222" t="n">
        <v>0</v>
      </c>
      <c r="R4222" s="2" t="inlineStr"/>
    </row>
    <row r="4223" ht="15" customHeight="1">
      <c r="A4223" t="inlineStr">
        <is>
          <t>A 28789-2022</t>
        </is>
      </c>
      <c r="B4223" s="1" t="n">
        <v>44749</v>
      </c>
      <c r="C4223" s="1" t="n">
        <v>45662</v>
      </c>
      <c r="D4223" t="inlineStr">
        <is>
          <t>NORRBOTTENS LÄN</t>
        </is>
      </c>
      <c r="E4223" t="inlineStr">
        <is>
          <t>PAJALA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28812-2022</t>
        </is>
      </c>
      <c r="B4224" s="1" t="n">
        <v>44749</v>
      </c>
      <c r="C4224" s="1" t="n">
        <v>45662</v>
      </c>
      <c r="D4224" t="inlineStr">
        <is>
          <t>NORRBOTTENS LÄN</t>
        </is>
      </c>
      <c r="E4224" t="inlineStr">
        <is>
          <t>ÖVERTORNEÅ</t>
        </is>
      </c>
      <c r="F4224" t="inlineStr">
        <is>
          <t>Sveaskog</t>
        </is>
      </c>
      <c r="G4224" t="n">
        <v>22.3</v>
      </c>
      <c r="H4224" t="n">
        <v>0</v>
      </c>
      <c r="I4224" t="n">
        <v>0</v>
      </c>
      <c r="J4224" t="n">
        <v>0</v>
      </c>
      <c r="K4224" t="n">
        <v>0</v>
      </c>
      <c r="L4224" t="n">
        <v>0</v>
      </c>
      <c r="M4224" t="n">
        <v>0</v>
      </c>
      <c r="N4224" t="n">
        <v>0</v>
      </c>
      <c r="O4224" t="n">
        <v>0</v>
      </c>
      <c r="P4224" t="n">
        <v>0</v>
      </c>
      <c r="Q4224" t="n">
        <v>0</v>
      </c>
      <c r="R4224" s="2" t="inlineStr"/>
    </row>
    <row r="4225" ht="15" customHeight="1">
      <c r="A4225" t="inlineStr">
        <is>
          <t>A 28937-2022</t>
        </is>
      </c>
      <c r="B4225" s="1" t="n">
        <v>44749</v>
      </c>
      <c r="C4225" s="1" t="n">
        <v>45662</v>
      </c>
      <c r="D4225" t="inlineStr">
        <is>
          <t>NORRBOTTENS LÄN</t>
        </is>
      </c>
      <c r="E4225" t="inlineStr">
        <is>
          <t>ARVIDSJAUR</t>
        </is>
      </c>
      <c r="F4225" t="inlineStr">
        <is>
          <t>Sveaskog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28946-2022</t>
        </is>
      </c>
      <c r="B4226" s="1" t="n">
        <v>44749</v>
      </c>
      <c r="C4226" s="1" t="n">
        <v>45662</v>
      </c>
      <c r="D4226" t="inlineStr">
        <is>
          <t>NORRBOTTENS LÄN</t>
        </is>
      </c>
      <c r="E4226" t="inlineStr">
        <is>
          <t>KALIX</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29119-2022</t>
        </is>
      </c>
      <c r="B4227" s="1" t="n">
        <v>44749</v>
      </c>
      <c r="C4227" s="1" t="n">
        <v>45662</v>
      </c>
      <c r="D4227" t="inlineStr">
        <is>
          <t>NORRBOTTENS LÄN</t>
        </is>
      </c>
      <c r="E4227" t="inlineStr">
        <is>
          <t>BODEN</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29104-2022</t>
        </is>
      </c>
      <c r="B4228" s="1" t="n">
        <v>44750</v>
      </c>
      <c r="C4228" s="1" t="n">
        <v>45662</v>
      </c>
      <c r="D4228" t="inlineStr">
        <is>
          <t>NORRBOTTENS LÄN</t>
        </is>
      </c>
      <c r="E4228" t="inlineStr">
        <is>
          <t>ARVIDSJAUR</t>
        </is>
      </c>
      <c r="F4228" t="inlineStr">
        <is>
          <t>Sveaskog</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29120-2022</t>
        </is>
      </c>
      <c r="B4229" s="1" t="n">
        <v>44750</v>
      </c>
      <c r="C4229" s="1" t="n">
        <v>45662</v>
      </c>
      <c r="D4229" t="inlineStr">
        <is>
          <t>NORRBOTTENS LÄN</t>
        </is>
      </c>
      <c r="E4229" t="inlineStr">
        <is>
          <t>PITEÅ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29190-2022</t>
        </is>
      </c>
      <c r="B4230" s="1" t="n">
        <v>44750</v>
      </c>
      <c r="C4230" s="1" t="n">
        <v>45662</v>
      </c>
      <c r="D4230" t="inlineStr">
        <is>
          <t>NORRBOTTENS LÄN</t>
        </is>
      </c>
      <c r="E4230" t="inlineStr">
        <is>
          <t>ÄLVSBYN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29176-2022</t>
        </is>
      </c>
      <c r="B4231" s="1" t="n">
        <v>44750</v>
      </c>
      <c r="C4231" s="1" t="n">
        <v>45662</v>
      </c>
      <c r="D4231" t="inlineStr">
        <is>
          <t>NORRBOTTENS LÄN</t>
        </is>
      </c>
      <c r="E4231" t="inlineStr">
        <is>
          <t>ÄLVSBYN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29148-2022</t>
        </is>
      </c>
      <c r="B4232" s="1" t="n">
        <v>44750</v>
      </c>
      <c r="C4232" s="1" t="n">
        <v>45662</v>
      </c>
      <c r="D4232" t="inlineStr">
        <is>
          <t>NORRBOTTENS LÄN</t>
        </is>
      </c>
      <c r="E4232" t="inlineStr">
        <is>
          <t>HAPARANDA</t>
        </is>
      </c>
      <c r="F4232" t="inlineStr">
        <is>
          <t>Kommuner</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29140-2022</t>
        </is>
      </c>
      <c r="B4233" s="1" t="n">
        <v>44750</v>
      </c>
      <c r="C4233" s="1" t="n">
        <v>45662</v>
      </c>
      <c r="D4233" t="inlineStr">
        <is>
          <t>NORRBOTTENS LÄN</t>
        </is>
      </c>
      <c r="E4233" t="inlineStr">
        <is>
          <t>GÄLLIVARE</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29708-2022</t>
        </is>
      </c>
      <c r="B4234" s="1" t="n">
        <v>44755</v>
      </c>
      <c r="C4234" s="1" t="n">
        <v>45662</v>
      </c>
      <c r="D4234" t="inlineStr">
        <is>
          <t>NORRBOTTENS LÄN</t>
        </is>
      </c>
      <c r="E4234" t="inlineStr">
        <is>
          <t>PAJALA</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29712-2022</t>
        </is>
      </c>
      <c r="B4235" s="1" t="n">
        <v>44755</v>
      </c>
      <c r="C4235" s="1" t="n">
        <v>45662</v>
      </c>
      <c r="D4235" t="inlineStr">
        <is>
          <t>NORRBOTTENS LÄN</t>
        </is>
      </c>
      <c r="E4235" t="inlineStr">
        <is>
          <t>ÖVERKALIX</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29729-2022</t>
        </is>
      </c>
      <c r="B4236" s="1" t="n">
        <v>44755</v>
      </c>
      <c r="C4236" s="1" t="n">
        <v>45662</v>
      </c>
      <c r="D4236" t="inlineStr">
        <is>
          <t>NORRBOTTENS LÄN</t>
        </is>
      </c>
      <c r="E4236" t="inlineStr">
        <is>
          <t>PAJALA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29769-2022</t>
        </is>
      </c>
      <c r="B4237" s="1" t="n">
        <v>44755</v>
      </c>
      <c r="C4237" s="1" t="n">
        <v>45662</v>
      </c>
      <c r="D4237" t="inlineStr">
        <is>
          <t>NORRBOTTENS LÄN</t>
        </is>
      </c>
      <c r="E4237" t="inlineStr">
        <is>
          <t>PAJALA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29706-2022</t>
        </is>
      </c>
      <c r="B4238" s="1" t="n">
        <v>44755</v>
      </c>
      <c r="C4238" s="1" t="n">
        <v>45662</v>
      </c>
      <c r="D4238" t="inlineStr">
        <is>
          <t>NORRBOTTENS LÄN</t>
        </is>
      </c>
      <c r="E4238" t="inlineStr">
        <is>
          <t>ÖVERKALIX</t>
        </is>
      </c>
      <c r="F4238" t="inlineStr">
        <is>
          <t>Sveaskog</t>
        </is>
      </c>
      <c r="G4238" t="n">
        <v>3.3</v>
      </c>
      <c r="H4238" t="n">
        <v>0</v>
      </c>
      <c r="I4238" t="n">
        <v>0</v>
      </c>
      <c r="J4238" t="n">
        <v>0</v>
      </c>
      <c r="K4238" t="n">
        <v>0</v>
      </c>
      <c r="L4238" t="n">
        <v>0</v>
      </c>
      <c r="M4238" t="n">
        <v>0</v>
      </c>
      <c r="N4238" t="n">
        <v>0</v>
      </c>
      <c r="O4238" t="n">
        <v>0</v>
      </c>
      <c r="P4238" t="n">
        <v>0</v>
      </c>
      <c r="Q4238" t="n">
        <v>0</v>
      </c>
      <c r="R4238" s="2" t="inlineStr"/>
      <c r="U4238">
        <f>HYPERLINK("https://klasma.github.io/Logging_2513/knärot/A 29706-2022 karta knärot.png", "A 29706-2022")</f>
        <v/>
      </c>
      <c r="V4238">
        <f>HYPERLINK("https://klasma.github.io/Logging_2513/klagomål/A 29706-2022 FSC-klagomål.docx", "A 29706-2022")</f>
        <v/>
      </c>
      <c r="W4238">
        <f>HYPERLINK("https://klasma.github.io/Logging_2513/klagomålsmail/A 29706-2022 FSC-klagomål mail.docx", "A 29706-2022")</f>
        <v/>
      </c>
      <c r="X4238">
        <f>HYPERLINK("https://klasma.github.io/Logging_2513/tillsyn/A 29706-2022 tillsynsbegäran.docx", "A 29706-2022")</f>
        <v/>
      </c>
      <c r="Y4238">
        <f>HYPERLINK("https://klasma.github.io/Logging_2513/tillsynsmail/A 29706-2022 tillsynsbegäran mail.docx", "A 29706-2022")</f>
        <v/>
      </c>
    </row>
    <row r="4239" ht="15" customHeight="1">
      <c r="A4239" t="inlineStr">
        <is>
          <t>A 29756-2022</t>
        </is>
      </c>
      <c r="B4239" s="1" t="n">
        <v>44755</v>
      </c>
      <c r="C4239" s="1" t="n">
        <v>45662</v>
      </c>
      <c r="D4239" t="inlineStr">
        <is>
          <t>NORRBOTTENS LÄN</t>
        </is>
      </c>
      <c r="E4239" t="inlineStr">
        <is>
          <t>PAJALA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29793-2022</t>
        </is>
      </c>
      <c r="B4240" s="1" t="n">
        <v>44755</v>
      </c>
      <c r="C4240" s="1" t="n">
        <v>45662</v>
      </c>
      <c r="D4240" t="inlineStr">
        <is>
          <t>NORRBOTTENS LÄN</t>
        </is>
      </c>
      <c r="E4240" t="inlineStr">
        <is>
          <t>PAJALA</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29747-2022</t>
        </is>
      </c>
      <c r="B4241" s="1" t="n">
        <v>44755</v>
      </c>
      <c r="C4241" s="1" t="n">
        <v>45662</v>
      </c>
      <c r="D4241" t="inlineStr">
        <is>
          <t>NORRBOTTENS LÄN</t>
        </is>
      </c>
      <c r="E4241" t="inlineStr">
        <is>
          <t>PAJALA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29709-2022</t>
        </is>
      </c>
      <c r="B4242" s="1" t="n">
        <v>44755</v>
      </c>
      <c r="C4242" s="1" t="n">
        <v>45662</v>
      </c>
      <c r="D4242" t="inlineStr">
        <is>
          <t>NORRBOTTENS LÄN</t>
        </is>
      </c>
      <c r="E4242" t="inlineStr">
        <is>
          <t>ÖVERKALIX</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29797-2022</t>
        </is>
      </c>
      <c r="B4243" s="1" t="n">
        <v>44755</v>
      </c>
      <c r="C4243" s="1" t="n">
        <v>45662</v>
      </c>
      <c r="D4243" t="inlineStr">
        <is>
          <t>NORRBOTTENS LÄN</t>
        </is>
      </c>
      <c r="E4243" t="inlineStr">
        <is>
          <t>BODEN</t>
        </is>
      </c>
      <c r="F4243" t="inlineStr">
        <is>
          <t>Kyrkan</t>
        </is>
      </c>
      <c r="G4243" t="n">
        <v>29.2</v>
      </c>
      <c r="H4243" t="n">
        <v>0</v>
      </c>
      <c r="I4243" t="n">
        <v>0</v>
      </c>
      <c r="J4243" t="n">
        <v>0</v>
      </c>
      <c r="K4243" t="n">
        <v>0</v>
      </c>
      <c r="L4243" t="n">
        <v>0</v>
      </c>
      <c r="M4243" t="n">
        <v>0</v>
      </c>
      <c r="N4243" t="n">
        <v>0</v>
      </c>
      <c r="O4243" t="n">
        <v>0</v>
      </c>
      <c r="P4243" t="n">
        <v>0</v>
      </c>
      <c r="Q4243" t="n">
        <v>0</v>
      </c>
      <c r="R4243" s="2" t="inlineStr"/>
    </row>
    <row r="4244" ht="15" customHeight="1">
      <c r="A4244" t="inlineStr">
        <is>
          <t>A 29881-2022</t>
        </is>
      </c>
      <c r="B4244" s="1" t="n">
        <v>44755</v>
      </c>
      <c r="C4244" s="1" t="n">
        <v>45662</v>
      </c>
      <c r="D4244" t="inlineStr">
        <is>
          <t>NORRBOTTENS LÄN</t>
        </is>
      </c>
      <c r="E4244" t="inlineStr">
        <is>
          <t>PAJALA</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29877-2022</t>
        </is>
      </c>
      <c r="B4245" s="1" t="n">
        <v>44756</v>
      </c>
      <c r="C4245" s="1" t="n">
        <v>45662</v>
      </c>
      <c r="D4245" t="inlineStr">
        <is>
          <t>NORRBOTTENS LÄN</t>
        </is>
      </c>
      <c r="E4245" t="inlineStr">
        <is>
          <t>PAJALA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29866-2022</t>
        </is>
      </c>
      <c r="B4246" s="1" t="n">
        <v>44756</v>
      </c>
      <c r="C4246" s="1" t="n">
        <v>45662</v>
      </c>
      <c r="D4246" t="inlineStr">
        <is>
          <t>NORRBOTTENS LÄN</t>
        </is>
      </c>
      <c r="E4246" t="inlineStr">
        <is>
          <t>PAJALA</t>
        </is>
      </c>
      <c r="F4246" t="inlineStr">
        <is>
          <t>Allmännings- och besparingsskogar</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29894-2022</t>
        </is>
      </c>
      <c r="B4247" s="1" t="n">
        <v>44756</v>
      </c>
      <c r="C4247" s="1" t="n">
        <v>45662</v>
      </c>
      <c r="D4247" t="inlineStr">
        <is>
          <t>NORRBOTTENS LÄN</t>
        </is>
      </c>
      <c r="E4247" t="inlineStr">
        <is>
          <t>PITEÅ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29939-2022</t>
        </is>
      </c>
      <c r="B4248" s="1" t="n">
        <v>44756</v>
      </c>
      <c r="C4248" s="1" t="n">
        <v>45662</v>
      </c>
      <c r="D4248" t="inlineStr">
        <is>
          <t>NORRBOTTENS LÄN</t>
        </is>
      </c>
      <c r="E4248" t="inlineStr">
        <is>
          <t>PAJALA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30005-2022</t>
        </is>
      </c>
      <c r="B4249" s="1" t="n">
        <v>44756</v>
      </c>
      <c r="C4249" s="1" t="n">
        <v>45662</v>
      </c>
      <c r="D4249" t="inlineStr">
        <is>
          <t>NORRBOTTENS LÄN</t>
        </is>
      </c>
      <c r="E4249" t="inlineStr">
        <is>
          <t>KALIX</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30004-2022</t>
        </is>
      </c>
      <c r="B4250" s="1" t="n">
        <v>44757</v>
      </c>
      <c r="C4250" s="1" t="n">
        <v>45662</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30003-2022</t>
        </is>
      </c>
      <c r="B4251" s="1" t="n">
        <v>44757</v>
      </c>
      <c r="C4251" s="1" t="n">
        <v>45662</v>
      </c>
      <c r="D4251" t="inlineStr">
        <is>
          <t>NORRBOTTENS LÄN</t>
        </is>
      </c>
      <c r="E4251" t="inlineStr">
        <is>
          <t>HAPARANDA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30099-2022</t>
        </is>
      </c>
      <c r="B4252" s="1" t="n">
        <v>44757</v>
      </c>
      <c r="C4252" s="1" t="n">
        <v>45662</v>
      </c>
      <c r="D4252" t="inlineStr">
        <is>
          <t>NORRBOTTENS LÄN</t>
        </is>
      </c>
      <c r="E4252" t="inlineStr">
        <is>
          <t>KALIX</t>
        </is>
      </c>
      <c r="F4252" t="inlineStr">
        <is>
          <t>Sveaskog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30114-2022</t>
        </is>
      </c>
      <c r="B4253" s="1" t="n">
        <v>44757</v>
      </c>
      <c r="C4253" s="1" t="n">
        <v>45662</v>
      </c>
      <c r="D4253" t="inlineStr">
        <is>
          <t>NORRBOTTENS LÄN</t>
        </is>
      </c>
      <c r="E4253" t="inlineStr">
        <is>
          <t>ÖVERTORNEÅ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30178-2022</t>
        </is>
      </c>
      <c r="B4254" s="1" t="n">
        <v>44757</v>
      </c>
      <c r="C4254" s="1" t="n">
        <v>45662</v>
      </c>
      <c r="D4254" t="inlineStr">
        <is>
          <t>NORRBOTTENS LÄN</t>
        </is>
      </c>
      <c r="E4254" t="inlineStr">
        <is>
          <t>BODEN</t>
        </is>
      </c>
      <c r="F4254" t="inlineStr">
        <is>
          <t>Sveaskog</t>
        </is>
      </c>
      <c r="G4254" t="n">
        <v>16.7</v>
      </c>
      <c r="H4254" t="n">
        <v>0</v>
      </c>
      <c r="I4254" t="n">
        <v>0</v>
      </c>
      <c r="J4254" t="n">
        <v>0</v>
      </c>
      <c r="K4254" t="n">
        <v>0</v>
      </c>
      <c r="L4254" t="n">
        <v>0</v>
      </c>
      <c r="M4254" t="n">
        <v>0</v>
      </c>
      <c r="N4254" t="n">
        <v>0</v>
      </c>
      <c r="O4254" t="n">
        <v>0</v>
      </c>
      <c r="P4254" t="n">
        <v>0</v>
      </c>
      <c r="Q4254" t="n">
        <v>0</v>
      </c>
      <c r="R4254" s="2" t="inlineStr"/>
    </row>
    <row r="4255" ht="15" customHeight="1">
      <c r="A4255" t="inlineStr">
        <is>
          <t>A 30215-2022</t>
        </is>
      </c>
      <c r="B4255" s="1" t="n">
        <v>44757</v>
      </c>
      <c r="C4255" s="1" t="n">
        <v>45662</v>
      </c>
      <c r="D4255" t="inlineStr">
        <is>
          <t>NORRBOTTENS LÄN</t>
        </is>
      </c>
      <c r="E4255" t="inlineStr">
        <is>
          <t>KALIX</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30440-2022</t>
        </is>
      </c>
      <c r="B4256" s="1" t="n">
        <v>44761</v>
      </c>
      <c r="C4256" s="1" t="n">
        <v>45662</v>
      </c>
      <c r="D4256" t="inlineStr">
        <is>
          <t>NORRBOTTENS LÄN</t>
        </is>
      </c>
      <c r="E4256" t="inlineStr">
        <is>
          <t>PITEÅ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30521-2022</t>
        </is>
      </c>
      <c r="B4257" s="1" t="n">
        <v>44762</v>
      </c>
      <c r="C4257" s="1" t="n">
        <v>45662</v>
      </c>
      <c r="D4257" t="inlineStr">
        <is>
          <t>NORRBOTTENS LÄN</t>
        </is>
      </c>
      <c r="E4257" t="inlineStr">
        <is>
          <t>LULEÅ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30528-2022</t>
        </is>
      </c>
      <c r="B4258" s="1" t="n">
        <v>44762</v>
      </c>
      <c r="C4258" s="1" t="n">
        <v>45662</v>
      </c>
      <c r="D4258" t="inlineStr">
        <is>
          <t>NORRBOTTENS LÄN</t>
        </is>
      </c>
      <c r="E4258" t="inlineStr">
        <is>
          <t>KALIX</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30588-2022</t>
        </is>
      </c>
      <c r="B4259" s="1" t="n">
        <v>44762</v>
      </c>
      <c r="C4259" s="1" t="n">
        <v>45662</v>
      </c>
      <c r="D4259" t="inlineStr">
        <is>
          <t>NORRBOTTENS LÄN</t>
        </is>
      </c>
      <c r="E4259" t="inlineStr">
        <is>
          <t>JOKKMOKK</t>
        </is>
      </c>
      <c r="F4259" t="inlineStr">
        <is>
          <t>Övriga statliga verk och myndigheter</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30679-2022</t>
        </is>
      </c>
      <c r="B4260" s="1" t="n">
        <v>44762</v>
      </c>
      <c r="C4260" s="1" t="n">
        <v>45662</v>
      </c>
      <c r="D4260" t="inlineStr">
        <is>
          <t>NORRBOTTENS LÄN</t>
        </is>
      </c>
      <c r="E4260" t="inlineStr">
        <is>
          <t>JOKKMOKK</t>
        </is>
      </c>
      <c r="F4260" t="inlineStr">
        <is>
          <t>Övriga statliga verk och myndigheter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30610-2022</t>
        </is>
      </c>
      <c r="B4261" s="1" t="n">
        <v>44762</v>
      </c>
      <c r="C4261" s="1" t="n">
        <v>45662</v>
      </c>
      <c r="D4261" t="inlineStr">
        <is>
          <t>NORRBOTTENS LÄN</t>
        </is>
      </c>
      <c r="E4261" t="inlineStr">
        <is>
          <t>JOKKMOKK</t>
        </is>
      </c>
      <c r="F4261" t="inlineStr">
        <is>
          <t>Övriga statliga verk och myndigheter</t>
        </is>
      </c>
      <c r="G4261" t="n">
        <v>43.3</v>
      </c>
      <c r="H4261" t="n">
        <v>0</v>
      </c>
      <c r="I4261" t="n">
        <v>0</v>
      </c>
      <c r="J4261" t="n">
        <v>0</v>
      </c>
      <c r="K4261" t="n">
        <v>0</v>
      </c>
      <c r="L4261" t="n">
        <v>0</v>
      </c>
      <c r="M4261" t="n">
        <v>0</v>
      </c>
      <c r="N4261" t="n">
        <v>0</v>
      </c>
      <c r="O4261" t="n">
        <v>0</v>
      </c>
      <c r="P4261" t="n">
        <v>0</v>
      </c>
      <c r="Q4261" t="n">
        <v>0</v>
      </c>
      <c r="R4261" s="2" t="inlineStr"/>
    </row>
    <row r="4262" ht="15" customHeight="1">
      <c r="A4262" t="inlineStr">
        <is>
          <t>A 31117-2022</t>
        </is>
      </c>
      <c r="B4262" s="1" t="n">
        <v>44769</v>
      </c>
      <c r="C4262" s="1" t="n">
        <v>45662</v>
      </c>
      <c r="D4262" t="inlineStr">
        <is>
          <t>NORRBOTTENS LÄN</t>
        </is>
      </c>
      <c r="E4262" t="inlineStr">
        <is>
          <t>GÄLLIVARE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31145-2022</t>
        </is>
      </c>
      <c r="B4263" s="1" t="n">
        <v>44770</v>
      </c>
      <c r="C4263" s="1" t="n">
        <v>45662</v>
      </c>
      <c r="D4263" t="inlineStr">
        <is>
          <t>NORRBOTTENS LÄN</t>
        </is>
      </c>
      <c r="E4263" t="inlineStr">
        <is>
          <t>ÖVERTORNEÅ</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31322-2022</t>
        </is>
      </c>
      <c r="B4264" s="1" t="n">
        <v>44774</v>
      </c>
      <c r="C4264" s="1" t="n">
        <v>45662</v>
      </c>
      <c r="D4264" t="inlineStr">
        <is>
          <t>NORRBOTTENS LÄN</t>
        </is>
      </c>
      <c r="E4264" t="inlineStr">
        <is>
          <t>ÄLVSBYN</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31456-2022</t>
        </is>
      </c>
      <c r="B4265" s="1" t="n">
        <v>44775</v>
      </c>
      <c r="C4265" s="1" t="n">
        <v>45662</v>
      </c>
      <c r="D4265" t="inlineStr">
        <is>
          <t>NORRBOTTENS LÄN</t>
        </is>
      </c>
      <c r="E4265" t="inlineStr">
        <is>
          <t>ÖVERKALIX</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31576-2022</t>
        </is>
      </c>
      <c r="B4266" s="1" t="n">
        <v>44775</v>
      </c>
      <c r="C4266" s="1" t="n">
        <v>45662</v>
      </c>
      <c r="D4266" t="inlineStr">
        <is>
          <t>NORRBOTTENS LÄN</t>
        </is>
      </c>
      <c r="E4266" t="inlineStr">
        <is>
          <t>ARVIDSJAUR</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31634-2022</t>
        </is>
      </c>
      <c r="B4267" s="1" t="n">
        <v>44775</v>
      </c>
      <c r="C4267" s="1" t="n">
        <v>45662</v>
      </c>
      <c r="D4267" t="inlineStr">
        <is>
          <t>NORRBOTTENS LÄN</t>
        </is>
      </c>
      <c r="E4267" t="inlineStr">
        <is>
          <t>GÄLLIVARE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31643-2022</t>
        </is>
      </c>
      <c r="B4268" s="1" t="n">
        <v>44775</v>
      </c>
      <c r="C4268" s="1" t="n">
        <v>45662</v>
      </c>
      <c r="D4268" t="inlineStr">
        <is>
          <t>NORRBOTTENS LÄN</t>
        </is>
      </c>
      <c r="E4268" t="inlineStr">
        <is>
          <t>JOKKMOKK</t>
        </is>
      </c>
      <c r="F4268" t="inlineStr">
        <is>
          <t>SCA</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31635-2022</t>
        </is>
      </c>
      <c r="B4269" s="1" t="n">
        <v>44776</v>
      </c>
      <c r="C4269" s="1" t="n">
        <v>45662</v>
      </c>
      <c r="D4269" t="inlineStr">
        <is>
          <t>NORRBOTTENS LÄN</t>
        </is>
      </c>
      <c r="E4269" t="inlineStr">
        <is>
          <t>PITEÅ</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31721-2022</t>
        </is>
      </c>
      <c r="B4270" s="1" t="n">
        <v>44776</v>
      </c>
      <c r="C4270" s="1" t="n">
        <v>45662</v>
      </c>
      <c r="D4270" t="inlineStr">
        <is>
          <t>NORRBOTTENS LÄN</t>
        </is>
      </c>
      <c r="E4270" t="inlineStr">
        <is>
          <t>KALIX</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31766-2022</t>
        </is>
      </c>
      <c r="B4271" s="1" t="n">
        <v>44776</v>
      </c>
      <c r="C4271" s="1" t="n">
        <v>45662</v>
      </c>
      <c r="D4271" t="inlineStr">
        <is>
          <t>NORRBOTTENS LÄN</t>
        </is>
      </c>
      <c r="E4271" t="inlineStr">
        <is>
          <t>BODEN</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31774-2022</t>
        </is>
      </c>
      <c r="B4272" s="1" t="n">
        <v>44776</v>
      </c>
      <c r="C4272" s="1" t="n">
        <v>45662</v>
      </c>
      <c r="D4272" t="inlineStr">
        <is>
          <t>NORRBOTTENS LÄN</t>
        </is>
      </c>
      <c r="E4272" t="inlineStr">
        <is>
          <t>ÖVERTORNEÅ</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31812-2022</t>
        </is>
      </c>
      <c r="B4273" s="1" t="n">
        <v>44776</v>
      </c>
      <c r="C4273" s="1" t="n">
        <v>45662</v>
      </c>
      <c r="D4273" t="inlineStr">
        <is>
          <t>NORRBOTTENS LÄN</t>
        </is>
      </c>
      <c r="E4273" t="inlineStr">
        <is>
          <t>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31977-2022</t>
        </is>
      </c>
      <c r="B4274" s="1" t="n">
        <v>44777</v>
      </c>
      <c r="C4274" s="1" t="n">
        <v>45662</v>
      </c>
      <c r="D4274" t="inlineStr">
        <is>
          <t>NORRBOTTENS LÄN</t>
        </is>
      </c>
      <c r="E4274" t="inlineStr">
        <is>
          <t>PITEÅ</t>
        </is>
      </c>
      <c r="F4274" t="inlineStr">
        <is>
          <t>SCA</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32108-2022</t>
        </is>
      </c>
      <c r="B4275" s="1" t="n">
        <v>44779</v>
      </c>
      <c r="C4275" s="1" t="n">
        <v>45662</v>
      </c>
      <c r="D4275" t="inlineStr">
        <is>
          <t>NORRBOTTENS LÄN</t>
        </is>
      </c>
      <c r="E4275" t="inlineStr">
        <is>
          <t>LULEÅ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32091-2022</t>
        </is>
      </c>
      <c r="B4276" s="1" t="n">
        <v>44778</v>
      </c>
      <c r="C4276" s="1" t="n">
        <v>45662</v>
      </c>
      <c r="D4276" t="inlineStr">
        <is>
          <t>NORRBOTTENS LÄN</t>
        </is>
      </c>
      <c r="E4276" t="inlineStr">
        <is>
          <t>ÖVERKALIX</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32110-2022</t>
        </is>
      </c>
      <c r="B4277" s="1" t="n">
        <v>44779</v>
      </c>
      <c r="C4277" s="1" t="n">
        <v>45662</v>
      </c>
      <c r="D4277" t="inlineStr">
        <is>
          <t>NORRBOTTENS LÄN</t>
        </is>
      </c>
      <c r="E4277" t="inlineStr">
        <is>
          <t>LULEÅ</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32010-2022</t>
        </is>
      </c>
      <c r="B4278" s="1" t="n">
        <v>44778</v>
      </c>
      <c r="C4278" s="1" t="n">
        <v>45662</v>
      </c>
      <c r="D4278" t="inlineStr">
        <is>
          <t>NORRBOTTENS LÄN</t>
        </is>
      </c>
      <c r="E4278" t="inlineStr">
        <is>
          <t>PAJALA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32196-2022</t>
        </is>
      </c>
      <c r="B4279" s="1" t="n">
        <v>44781</v>
      </c>
      <c r="C4279" s="1" t="n">
        <v>45662</v>
      </c>
      <c r="D4279" t="inlineStr">
        <is>
          <t>NORRBOTTENS LÄN</t>
        </is>
      </c>
      <c r="E4279" t="inlineStr">
        <is>
          <t>GÄLLIVARE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32341-2022</t>
        </is>
      </c>
      <c r="B4280" s="1" t="n">
        <v>44781</v>
      </c>
      <c r="C4280" s="1" t="n">
        <v>45662</v>
      </c>
      <c r="D4280" t="inlineStr">
        <is>
          <t>NORRBOTTENS LÄN</t>
        </is>
      </c>
      <c r="E4280" t="inlineStr">
        <is>
          <t>ARVIDSJAUR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32314-2022</t>
        </is>
      </c>
      <c r="B4281" s="1" t="n">
        <v>44781</v>
      </c>
      <c r="C4281" s="1" t="n">
        <v>45662</v>
      </c>
      <c r="D4281" t="inlineStr">
        <is>
          <t>NORRBOTTENS LÄN</t>
        </is>
      </c>
      <c r="E4281" t="inlineStr">
        <is>
          <t>ÖVERTORNEÅ</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32348-2022</t>
        </is>
      </c>
      <c r="B4282" s="1" t="n">
        <v>44781</v>
      </c>
      <c r="C4282" s="1" t="n">
        <v>45662</v>
      </c>
      <c r="D4282" t="inlineStr">
        <is>
          <t>NORRBOTTENS LÄN</t>
        </is>
      </c>
      <c r="E4282" t="inlineStr">
        <is>
          <t>KALIX</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32368-2022</t>
        </is>
      </c>
      <c r="B4283" s="1" t="n">
        <v>44781</v>
      </c>
      <c r="C4283" s="1" t="n">
        <v>45662</v>
      </c>
      <c r="D4283" t="inlineStr">
        <is>
          <t>NORRBOTTENS LÄN</t>
        </is>
      </c>
      <c r="E4283" t="inlineStr">
        <is>
          <t>ÄLVSBYN</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32391-2022</t>
        </is>
      </c>
      <c r="B4284" s="1" t="n">
        <v>44781</v>
      </c>
      <c r="C4284" s="1" t="n">
        <v>45662</v>
      </c>
      <c r="D4284" t="inlineStr">
        <is>
          <t>NORRBOTTENS LÄN</t>
        </is>
      </c>
      <c r="E4284" t="inlineStr">
        <is>
          <t>PITEÅ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32720-2022</t>
        </is>
      </c>
      <c r="B4285" s="1" t="n">
        <v>44783</v>
      </c>
      <c r="C4285" s="1" t="n">
        <v>45662</v>
      </c>
      <c r="D4285" t="inlineStr">
        <is>
          <t>NORRBOTTENS LÄN</t>
        </is>
      </c>
      <c r="E4285" t="inlineStr">
        <is>
          <t>GÄLLIVARE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32653-2022</t>
        </is>
      </c>
      <c r="B4286" s="1" t="n">
        <v>44783</v>
      </c>
      <c r="C4286" s="1" t="n">
        <v>45662</v>
      </c>
      <c r="D4286" t="inlineStr">
        <is>
          <t>NORRBOTTENS LÄN</t>
        </is>
      </c>
      <c r="E4286" t="inlineStr">
        <is>
          <t>LULEÅ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32690-2022</t>
        </is>
      </c>
      <c r="B4287" s="1" t="n">
        <v>44783</v>
      </c>
      <c r="C4287" s="1" t="n">
        <v>45662</v>
      </c>
      <c r="D4287" t="inlineStr">
        <is>
          <t>NORRBOTTENS LÄN</t>
        </is>
      </c>
      <c r="E4287" t="inlineStr">
        <is>
          <t>PITEÅ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32724-2022</t>
        </is>
      </c>
      <c r="B4288" s="1" t="n">
        <v>44783</v>
      </c>
      <c r="C4288" s="1" t="n">
        <v>45662</v>
      </c>
      <c r="D4288" t="inlineStr">
        <is>
          <t>NORRBOTTENS LÄN</t>
        </is>
      </c>
      <c r="E4288" t="inlineStr">
        <is>
          <t>ÖVERKALIX</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32754-2022</t>
        </is>
      </c>
      <c r="B4289" s="1" t="n">
        <v>44783</v>
      </c>
      <c r="C4289" s="1" t="n">
        <v>45662</v>
      </c>
      <c r="D4289" t="inlineStr">
        <is>
          <t>NORRBOTTENS LÄN</t>
        </is>
      </c>
      <c r="E4289" t="inlineStr">
        <is>
          <t>BODEN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32975-2022</t>
        </is>
      </c>
      <c r="B4290" s="1" t="n">
        <v>44785</v>
      </c>
      <c r="C4290" s="1" t="n">
        <v>45662</v>
      </c>
      <c r="D4290" t="inlineStr">
        <is>
          <t>NORRBOTTENS LÄN</t>
        </is>
      </c>
      <c r="E4290" t="inlineStr">
        <is>
          <t>ÄLVSBYN</t>
        </is>
      </c>
      <c r="F4290" t="inlineStr">
        <is>
          <t>SCA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32981-2022</t>
        </is>
      </c>
      <c r="B4291" s="1" t="n">
        <v>44785</v>
      </c>
      <c r="C4291" s="1" t="n">
        <v>45662</v>
      </c>
      <c r="D4291" t="inlineStr">
        <is>
          <t>NORRBOTTENS LÄN</t>
        </is>
      </c>
      <c r="E4291" t="inlineStr">
        <is>
          <t>PITEÅ</t>
        </is>
      </c>
      <c r="F4291" t="inlineStr">
        <is>
          <t>Naturvårdsverket</t>
        </is>
      </c>
      <c r="G4291" t="n">
        <v>12.8</v>
      </c>
      <c r="H4291" t="n">
        <v>0</v>
      </c>
      <c r="I4291" t="n">
        <v>0</v>
      </c>
      <c r="J4291" t="n">
        <v>0</v>
      </c>
      <c r="K4291" t="n">
        <v>0</v>
      </c>
      <c r="L4291" t="n">
        <v>0</v>
      </c>
      <c r="M4291" t="n">
        <v>0</v>
      </c>
      <c r="N4291" t="n">
        <v>0</v>
      </c>
      <c r="O4291" t="n">
        <v>0</v>
      </c>
      <c r="P4291" t="n">
        <v>0</v>
      </c>
      <c r="Q4291" t="n">
        <v>0</v>
      </c>
      <c r="R4291" s="2" t="inlineStr"/>
    </row>
    <row r="4292" ht="15" customHeight="1">
      <c r="A4292" t="inlineStr">
        <is>
          <t>A 32917-2022</t>
        </is>
      </c>
      <c r="B4292" s="1" t="n">
        <v>44784</v>
      </c>
      <c r="C4292" s="1" t="n">
        <v>45662</v>
      </c>
      <c r="D4292" t="inlineStr">
        <is>
          <t>NORRBOTTENS LÄN</t>
        </is>
      </c>
      <c r="E4292" t="inlineStr">
        <is>
          <t>PAJALA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32977-2022</t>
        </is>
      </c>
      <c r="B4293" s="1" t="n">
        <v>44785</v>
      </c>
      <c r="C4293" s="1" t="n">
        <v>45662</v>
      </c>
      <c r="D4293" t="inlineStr">
        <is>
          <t>NORRBOTTENS LÄN</t>
        </is>
      </c>
      <c r="E4293" t="inlineStr">
        <is>
          <t>ÄLVSBYN</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32991-2022</t>
        </is>
      </c>
      <c r="B4294" s="1" t="n">
        <v>44784</v>
      </c>
      <c r="C4294" s="1" t="n">
        <v>45662</v>
      </c>
      <c r="D4294" t="inlineStr">
        <is>
          <t>NORRBOTTENS LÄN</t>
        </is>
      </c>
      <c r="E4294" t="inlineStr">
        <is>
          <t>PITEÅ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33094-2022</t>
        </is>
      </c>
      <c r="B4295" s="1" t="n">
        <v>44785</v>
      </c>
      <c r="C4295" s="1" t="n">
        <v>45662</v>
      </c>
      <c r="D4295" t="inlineStr">
        <is>
          <t>NORRBOTTENS LÄN</t>
        </is>
      </c>
      <c r="E4295" t="inlineStr">
        <is>
          <t>ÖVERTORNEÅ</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33084-2022</t>
        </is>
      </c>
      <c r="B4296" s="1" t="n">
        <v>44785</v>
      </c>
      <c r="C4296" s="1" t="n">
        <v>45662</v>
      </c>
      <c r="D4296" t="inlineStr">
        <is>
          <t>NORRBOTTENS LÄN</t>
        </is>
      </c>
      <c r="E4296" t="inlineStr">
        <is>
          <t>ÖVERTORNEÅ</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33092-2022</t>
        </is>
      </c>
      <c r="B4297" s="1" t="n">
        <v>44785</v>
      </c>
      <c r="C4297" s="1" t="n">
        <v>45662</v>
      </c>
      <c r="D4297" t="inlineStr">
        <is>
          <t>NORRBOTTENS LÄN</t>
        </is>
      </c>
      <c r="E4297" t="inlineStr">
        <is>
          <t>ÖVERTORNEÅ</t>
        </is>
      </c>
      <c r="F4297" t="inlineStr">
        <is>
          <t>Sveaskog</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33097-2022</t>
        </is>
      </c>
      <c r="B4298" s="1" t="n">
        <v>44785</v>
      </c>
      <c r="C4298" s="1" t="n">
        <v>45662</v>
      </c>
      <c r="D4298" t="inlineStr">
        <is>
          <t>NORRBOTTENS LÄN</t>
        </is>
      </c>
      <c r="E4298" t="inlineStr">
        <is>
          <t>ÖVERTORNEÅ</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33005-2022</t>
        </is>
      </c>
      <c r="B4299" s="1" t="n">
        <v>44785</v>
      </c>
      <c r="C4299" s="1" t="n">
        <v>45662</v>
      </c>
      <c r="D4299" t="inlineStr">
        <is>
          <t>NORRBOTTENS LÄN</t>
        </is>
      </c>
      <c r="E4299" t="inlineStr">
        <is>
          <t>KALIX</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33100-2022</t>
        </is>
      </c>
      <c r="B4300" s="1" t="n">
        <v>44785</v>
      </c>
      <c r="C4300" s="1" t="n">
        <v>45662</v>
      </c>
      <c r="D4300" t="inlineStr">
        <is>
          <t>NORRBOTTENS LÄN</t>
        </is>
      </c>
      <c r="E4300" t="inlineStr">
        <is>
          <t>ÖVERKALIX</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33158-2022</t>
        </is>
      </c>
      <c r="B4301" s="1" t="n">
        <v>44785</v>
      </c>
      <c r="C4301" s="1" t="n">
        <v>45662</v>
      </c>
      <c r="D4301" t="inlineStr">
        <is>
          <t>NORRBOTTENS LÄN</t>
        </is>
      </c>
      <c r="E4301" t="inlineStr">
        <is>
          <t>KALIX</t>
        </is>
      </c>
      <c r="F4301" t="inlineStr">
        <is>
          <t>Sveaskog</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33159-2022</t>
        </is>
      </c>
      <c r="B4302" s="1" t="n">
        <v>44785</v>
      </c>
      <c r="C4302" s="1" t="n">
        <v>45662</v>
      </c>
      <c r="D4302" t="inlineStr">
        <is>
          <t>NORRBOTTENS LÄN</t>
        </is>
      </c>
      <c r="E4302" t="inlineStr">
        <is>
          <t>KALIX</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33196-2022</t>
        </is>
      </c>
      <c r="B4303" s="1" t="n">
        <v>44785</v>
      </c>
      <c r="C4303" s="1" t="n">
        <v>45662</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33399-2022</t>
        </is>
      </c>
      <c r="B4304" s="1" t="n">
        <v>44788</v>
      </c>
      <c r="C4304" s="1" t="n">
        <v>45662</v>
      </c>
      <c r="D4304" t="inlineStr">
        <is>
          <t>NORRBOTTENS LÄN</t>
        </is>
      </c>
      <c r="E4304" t="inlineStr">
        <is>
          <t>BODEN</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33415-2022</t>
        </is>
      </c>
      <c r="B4305" s="1" t="n">
        <v>44788</v>
      </c>
      <c r="C4305" s="1" t="n">
        <v>45662</v>
      </c>
      <c r="D4305" t="inlineStr">
        <is>
          <t>NORRBOTTENS LÄN</t>
        </is>
      </c>
      <c r="E4305" t="inlineStr">
        <is>
          <t>ÖVERTORNEÅ</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33407-2022</t>
        </is>
      </c>
      <c r="B4306" s="1" t="n">
        <v>44788</v>
      </c>
      <c r="C4306" s="1" t="n">
        <v>45662</v>
      </c>
      <c r="D4306" t="inlineStr">
        <is>
          <t>NORRBOTTENS LÄN</t>
        </is>
      </c>
      <c r="E4306" t="inlineStr">
        <is>
          <t>ÄLVSBYN</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33458-2022</t>
        </is>
      </c>
      <c r="B4307" s="1" t="n">
        <v>44788</v>
      </c>
      <c r="C4307" s="1" t="n">
        <v>45662</v>
      </c>
      <c r="D4307" t="inlineStr">
        <is>
          <t>NORRBOTTENS LÄN</t>
        </is>
      </c>
      <c r="E4307" t="inlineStr">
        <is>
          <t>ARVIDSJAUR</t>
        </is>
      </c>
      <c r="F4307" t="inlineStr">
        <is>
          <t>Allmännings- och besparingsskogar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33446-2022</t>
        </is>
      </c>
      <c r="B4308" s="1" t="n">
        <v>44788</v>
      </c>
      <c r="C4308" s="1" t="n">
        <v>45662</v>
      </c>
      <c r="D4308" t="inlineStr">
        <is>
          <t>NORRBOTTENS LÄN</t>
        </is>
      </c>
      <c r="E4308" t="inlineStr">
        <is>
          <t>GÄLLIVARE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33454-2022</t>
        </is>
      </c>
      <c r="B4309" s="1" t="n">
        <v>44788</v>
      </c>
      <c r="C4309" s="1" t="n">
        <v>45662</v>
      </c>
      <c r="D4309" t="inlineStr">
        <is>
          <t>NORRBOTTENS LÄN</t>
        </is>
      </c>
      <c r="E4309" t="inlineStr">
        <is>
          <t>BODEN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33517-2022</t>
        </is>
      </c>
      <c r="B4310" s="1" t="n">
        <v>44789</v>
      </c>
      <c r="C4310" s="1" t="n">
        <v>45662</v>
      </c>
      <c r="D4310" t="inlineStr">
        <is>
          <t>NORRBOTTENS LÄN</t>
        </is>
      </c>
      <c r="E4310" t="inlineStr">
        <is>
          <t>BODEN</t>
        </is>
      </c>
      <c r="F4310" t="inlineStr">
        <is>
          <t>SCA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33461-2022</t>
        </is>
      </c>
      <c r="B4311" s="1" t="n">
        <v>44788</v>
      </c>
      <c r="C4311" s="1" t="n">
        <v>45662</v>
      </c>
      <c r="D4311" t="inlineStr">
        <is>
          <t>NORRBOTTENS LÄN</t>
        </is>
      </c>
      <c r="E4311" t="inlineStr">
        <is>
          <t>ARVIDSJAUR</t>
        </is>
      </c>
      <c r="F4311" t="inlineStr">
        <is>
          <t>Allmännings- och besparingsskogar</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33518-2022</t>
        </is>
      </c>
      <c r="B4312" s="1" t="n">
        <v>44789</v>
      </c>
      <c r="C4312" s="1" t="n">
        <v>45662</v>
      </c>
      <c r="D4312" t="inlineStr">
        <is>
          <t>NORRBOTTENS LÄN</t>
        </is>
      </c>
      <c r="E4312" t="inlineStr">
        <is>
          <t>BODEN</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33463-2022</t>
        </is>
      </c>
      <c r="B4313" s="1" t="n">
        <v>44788</v>
      </c>
      <c r="C4313" s="1" t="n">
        <v>45662</v>
      </c>
      <c r="D4313" t="inlineStr">
        <is>
          <t>NORRBOTTENS LÄN</t>
        </is>
      </c>
      <c r="E4313" t="inlineStr">
        <is>
          <t>ARVIDSJAUR</t>
        </is>
      </c>
      <c r="F4313" t="inlineStr">
        <is>
          <t>Allmännings- och besparingsskogar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33497-2022</t>
        </is>
      </c>
      <c r="B4314" s="1" t="n">
        <v>44789</v>
      </c>
      <c r="C4314" s="1" t="n">
        <v>45662</v>
      </c>
      <c r="D4314" t="inlineStr">
        <is>
          <t>NORRBOTTENS LÄN</t>
        </is>
      </c>
      <c r="E4314" t="inlineStr">
        <is>
          <t>ÖVERKALIX</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33523-2022</t>
        </is>
      </c>
      <c r="B4315" s="1" t="n">
        <v>44789</v>
      </c>
      <c r="C4315" s="1" t="n">
        <v>45662</v>
      </c>
      <c r="D4315" t="inlineStr">
        <is>
          <t>NORRBOTTENS LÄN</t>
        </is>
      </c>
      <c r="E4315" t="inlineStr">
        <is>
          <t>ÖVERTORNEÅ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33516-2022</t>
        </is>
      </c>
      <c r="B4316" s="1" t="n">
        <v>44789</v>
      </c>
      <c r="C4316" s="1" t="n">
        <v>45662</v>
      </c>
      <c r="D4316" t="inlineStr">
        <is>
          <t>NORRBOTTENS LÄN</t>
        </is>
      </c>
      <c r="E4316" t="inlineStr">
        <is>
          <t>BODEN</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33594-2022</t>
        </is>
      </c>
      <c r="B4317" s="1" t="n">
        <v>44789</v>
      </c>
      <c r="C4317" s="1" t="n">
        <v>45662</v>
      </c>
      <c r="D4317" t="inlineStr">
        <is>
          <t>NORRBOTTENS LÄN</t>
        </is>
      </c>
      <c r="E4317" t="inlineStr">
        <is>
          <t>LULEÅ</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33643-2022</t>
        </is>
      </c>
      <c r="B4318" s="1" t="n">
        <v>44789</v>
      </c>
      <c r="C4318" s="1" t="n">
        <v>45662</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33739-2022</t>
        </is>
      </c>
      <c r="B4319" s="1" t="n">
        <v>44790</v>
      </c>
      <c r="C4319" s="1" t="n">
        <v>45662</v>
      </c>
      <c r="D4319" t="inlineStr">
        <is>
          <t>NORRBOTTENS LÄN</t>
        </is>
      </c>
      <c r="E4319" t="inlineStr">
        <is>
          <t>BODEN</t>
        </is>
      </c>
      <c r="F4319" t="inlineStr">
        <is>
          <t>SCA</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33868-2022</t>
        </is>
      </c>
      <c r="B4320" s="1" t="n">
        <v>44790</v>
      </c>
      <c r="C4320" s="1" t="n">
        <v>45662</v>
      </c>
      <c r="D4320" t="inlineStr">
        <is>
          <t>NORRBOTTENS LÄN</t>
        </is>
      </c>
      <c r="E4320" t="inlineStr">
        <is>
          <t>PAJALA</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33848-2022</t>
        </is>
      </c>
      <c r="B4321" s="1" t="n">
        <v>44790</v>
      </c>
      <c r="C4321" s="1" t="n">
        <v>45662</v>
      </c>
      <c r="D4321" t="inlineStr">
        <is>
          <t>NORRBOTTENS LÄN</t>
        </is>
      </c>
      <c r="E4321" t="inlineStr">
        <is>
          <t>ÄLVSBYN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34013-2022</t>
        </is>
      </c>
      <c r="B4322" s="1" t="n">
        <v>44790</v>
      </c>
      <c r="C4322" s="1" t="n">
        <v>45662</v>
      </c>
      <c r="D4322" t="inlineStr">
        <is>
          <t>NORRBOTTENS LÄN</t>
        </is>
      </c>
      <c r="E4322" t="inlineStr">
        <is>
          <t>ÄLVSBYN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33932-2022</t>
        </is>
      </c>
      <c r="B4323" s="1" t="n">
        <v>44790</v>
      </c>
      <c r="C4323" s="1" t="n">
        <v>45662</v>
      </c>
      <c r="D4323" t="inlineStr">
        <is>
          <t>NORRBOTTENS LÄN</t>
        </is>
      </c>
      <c r="E4323" t="inlineStr">
        <is>
          <t>PAJALA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34012-2022</t>
        </is>
      </c>
      <c r="B4324" s="1" t="n">
        <v>44791</v>
      </c>
      <c r="C4324" s="1" t="n">
        <v>45662</v>
      </c>
      <c r="D4324" t="inlineStr">
        <is>
          <t>NORRBOTTENS LÄN</t>
        </is>
      </c>
      <c r="E4324" t="inlineStr">
        <is>
          <t>ÄLVSBYN</t>
        </is>
      </c>
      <c r="F4324" t="inlineStr">
        <is>
          <t>SCA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34074-2022</t>
        </is>
      </c>
      <c r="B4325" s="1" t="n">
        <v>44791</v>
      </c>
      <c r="C4325" s="1" t="n">
        <v>45662</v>
      </c>
      <c r="D4325" t="inlineStr">
        <is>
          <t>NORRBOTTENS LÄN</t>
        </is>
      </c>
      <c r="E4325" t="inlineStr">
        <is>
          <t>PAJALA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34261-2022</t>
        </is>
      </c>
      <c r="B4326" s="1" t="n">
        <v>44791</v>
      </c>
      <c r="C4326" s="1" t="n">
        <v>45662</v>
      </c>
      <c r="D4326" t="inlineStr">
        <is>
          <t>NORRBOTTENS LÄN</t>
        </is>
      </c>
      <c r="E4326" t="inlineStr">
        <is>
          <t>ÖVERKALIX</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34318-2022</t>
        </is>
      </c>
      <c r="B4327" s="1" t="n">
        <v>44792</v>
      </c>
      <c r="C4327" s="1" t="n">
        <v>45662</v>
      </c>
      <c r="D4327" t="inlineStr">
        <is>
          <t>NORRBOTTENS LÄN</t>
        </is>
      </c>
      <c r="E4327" t="inlineStr">
        <is>
          <t>GÄLLIVARE</t>
        </is>
      </c>
      <c r="G4327" t="n">
        <v>13.3</v>
      </c>
      <c r="H4327" t="n">
        <v>0</v>
      </c>
      <c r="I4327" t="n">
        <v>0</v>
      </c>
      <c r="J4327" t="n">
        <v>0</v>
      </c>
      <c r="K4327" t="n">
        <v>0</v>
      </c>
      <c r="L4327" t="n">
        <v>0</v>
      </c>
      <c r="M4327" t="n">
        <v>0</v>
      </c>
      <c r="N4327" t="n">
        <v>0</v>
      </c>
      <c r="O4327" t="n">
        <v>0</v>
      </c>
      <c r="P4327" t="n">
        <v>0</v>
      </c>
      <c r="Q4327" t="n">
        <v>0</v>
      </c>
      <c r="R4327" s="2" t="inlineStr"/>
    </row>
    <row r="4328" ht="15" customHeight="1">
      <c r="A4328" t="inlineStr">
        <is>
          <t>A 34337-2022</t>
        </is>
      </c>
      <c r="B4328" s="1" t="n">
        <v>44792</v>
      </c>
      <c r="C4328" s="1" t="n">
        <v>45662</v>
      </c>
      <c r="D4328" t="inlineStr">
        <is>
          <t>NORRBOTTENS LÄN</t>
        </is>
      </c>
      <c r="E4328" t="inlineStr">
        <is>
          <t>PITEÅ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34466-2022</t>
        </is>
      </c>
      <c r="B4329" s="1" t="n">
        <v>44792</v>
      </c>
      <c r="C4329" s="1" t="n">
        <v>45662</v>
      </c>
      <c r="D4329" t="inlineStr">
        <is>
          <t>NORRBOTTENS LÄN</t>
        </is>
      </c>
      <c r="E4329" t="inlineStr">
        <is>
          <t>ARVIDSJAUR</t>
        </is>
      </c>
      <c r="F4329" t="inlineStr">
        <is>
          <t>Sveaskog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34471-2022</t>
        </is>
      </c>
      <c r="B4330" s="1" t="n">
        <v>44792</v>
      </c>
      <c r="C4330" s="1" t="n">
        <v>45662</v>
      </c>
      <c r="D4330" t="inlineStr">
        <is>
          <t>NORRBOTTENS LÄN</t>
        </is>
      </c>
      <c r="E4330" t="inlineStr">
        <is>
          <t>ARVIDSJAUR</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34474-2022</t>
        </is>
      </c>
      <c r="B4331" s="1" t="n">
        <v>44792</v>
      </c>
      <c r="C4331" s="1" t="n">
        <v>45662</v>
      </c>
      <c r="D4331" t="inlineStr">
        <is>
          <t>NORRBOTTENS LÄN</t>
        </is>
      </c>
      <c r="E4331" t="inlineStr">
        <is>
          <t>ARVIDSJAUR</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34439-2022</t>
        </is>
      </c>
      <c r="B4332" s="1" t="n">
        <v>44792</v>
      </c>
      <c r="C4332" s="1" t="n">
        <v>45662</v>
      </c>
      <c r="D4332" t="inlineStr">
        <is>
          <t>NORRBOTTENS LÄN</t>
        </is>
      </c>
      <c r="E4332" t="inlineStr">
        <is>
          <t>PITEÅ</t>
        </is>
      </c>
      <c r="F4332" t="inlineStr">
        <is>
          <t>Sveaskog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34477-2022</t>
        </is>
      </c>
      <c r="B4333" s="1" t="n">
        <v>44792</v>
      </c>
      <c r="C4333" s="1" t="n">
        <v>45662</v>
      </c>
      <c r="D4333" t="inlineStr">
        <is>
          <t>NORRBOTTENS LÄN</t>
        </is>
      </c>
      <c r="E4333" t="inlineStr">
        <is>
          <t>ARVIDSJAUR</t>
        </is>
      </c>
      <c r="F4333" t="inlineStr">
        <is>
          <t>Sveaskog</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34548-2022</t>
        </is>
      </c>
      <c r="B4334" s="1" t="n">
        <v>44794</v>
      </c>
      <c r="C4334" s="1" t="n">
        <v>45662</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34615-2022</t>
        </is>
      </c>
      <c r="B4335" s="1" t="n">
        <v>44795</v>
      </c>
      <c r="C4335" s="1" t="n">
        <v>45662</v>
      </c>
      <c r="D4335" t="inlineStr">
        <is>
          <t>NORRBOTTENS LÄN</t>
        </is>
      </c>
      <c r="E4335" t="inlineStr">
        <is>
          <t>PITEÅ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34656-2022</t>
        </is>
      </c>
      <c r="B4336" s="1" t="n">
        <v>44795</v>
      </c>
      <c r="C4336" s="1" t="n">
        <v>45662</v>
      </c>
      <c r="D4336" t="inlineStr">
        <is>
          <t>NORRBOTTENS LÄN</t>
        </is>
      </c>
      <c r="E4336" t="inlineStr">
        <is>
          <t>ÄLVSBYN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34671-2022</t>
        </is>
      </c>
      <c r="B4337" s="1" t="n">
        <v>44795</v>
      </c>
      <c r="C4337" s="1" t="n">
        <v>45662</v>
      </c>
      <c r="D4337" t="inlineStr">
        <is>
          <t>NORRBOTTENS LÄN</t>
        </is>
      </c>
      <c r="E4337" t="inlineStr">
        <is>
          <t>GÄLLIVARE</t>
        </is>
      </c>
      <c r="F4337" t="inlineStr">
        <is>
          <t>Allmännings- och besparingsskogar</t>
        </is>
      </c>
      <c r="G4337" t="n">
        <v>20.5</v>
      </c>
      <c r="H4337" t="n">
        <v>0</v>
      </c>
      <c r="I4337" t="n">
        <v>0</v>
      </c>
      <c r="J4337" t="n">
        <v>0</v>
      </c>
      <c r="K4337" t="n">
        <v>0</v>
      </c>
      <c r="L4337" t="n">
        <v>0</v>
      </c>
      <c r="M4337" t="n">
        <v>0</v>
      </c>
      <c r="N4337" t="n">
        <v>0</v>
      </c>
      <c r="O4337" t="n">
        <v>0</v>
      </c>
      <c r="P4337" t="n">
        <v>0</v>
      </c>
      <c r="Q4337" t="n">
        <v>0</v>
      </c>
      <c r="R4337" s="2" t="inlineStr"/>
    </row>
    <row r="4338" ht="15" customHeight="1">
      <c r="A4338" t="inlineStr">
        <is>
          <t>A 34701-2022</t>
        </is>
      </c>
      <c r="B4338" s="1" t="n">
        <v>44795</v>
      </c>
      <c r="C4338" s="1" t="n">
        <v>45662</v>
      </c>
      <c r="D4338" t="inlineStr">
        <is>
          <t>NORRBOTTENS LÄN</t>
        </is>
      </c>
      <c r="E4338" t="inlineStr">
        <is>
          <t>LULEÅ</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34713-2022</t>
        </is>
      </c>
      <c r="B4339" s="1" t="n">
        <v>44795</v>
      </c>
      <c r="C4339" s="1" t="n">
        <v>45662</v>
      </c>
      <c r="D4339" t="inlineStr">
        <is>
          <t>NORRBOTTENS LÄN</t>
        </is>
      </c>
      <c r="E4339" t="inlineStr">
        <is>
          <t>ÖVERKALIX</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34609-2022</t>
        </is>
      </c>
      <c r="B4340" s="1" t="n">
        <v>44795</v>
      </c>
      <c r="C4340" s="1" t="n">
        <v>45662</v>
      </c>
      <c r="D4340" t="inlineStr">
        <is>
          <t>NORRBOTTENS LÄN</t>
        </is>
      </c>
      <c r="E4340" t="inlineStr">
        <is>
          <t>ÄLVSBYN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34693-2022</t>
        </is>
      </c>
      <c r="B4341" s="1" t="n">
        <v>44795</v>
      </c>
      <c r="C4341" s="1" t="n">
        <v>45662</v>
      </c>
      <c r="D4341" t="inlineStr">
        <is>
          <t>NORRBOTTENS LÄN</t>
        </is>
      </c>
      <c r="E4341" t="inlineStr">
        <is>
          <t>KIRUNA</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34674-2022</t>
        </is>
      </c>
      <c r="B4342" s="1" t="n">
        <v>44795</v>
      </c>
      <c r="C4342" s="1" t="n">
        <v>45662</v>
      </c>
      <c r="D4342" t="inlineStr">
        <is>
          <t>NORRBOTTENS LÄN</t>
        </is>
      </c>
      <c r="E4342" t="inlineStr">
        <is>
          <t>GÄLLIVARE</t>
        </is>
      </c>
      <c r="F4342" t="inlineStr">
        <is>
          <t>Allmännings- och besparingsskogar</t>
        </is>
      </c>
      <c r="G4342" t="n">
        <v>96.7</v>
      </c>
      <c r="H4342" t="n">
        <v>0</v>
      </c>
      <c r="I4342" t="n">
        <v>0</v>
      </c>
      <c r="J4342" t="n">
        <v>0</v>
      </c>
      <c r="K4342" t="n">
        <v>0</v>
      </c>
      <c r="L4342" t="n">
        <v>0</v>
      </c>
      <c r="M4342" t="n">
        <v>0</v>
      </c>
      <c r="N4342" t="n">
        <v>0</v>
      </c>
      <c r="O4342" t="n">
        <v>0</v>
      </c>
      <c r="P4342" t="n">
        <v>0</v>
      </c>
      <c r="Q4342" t="n">
        <v>0</v>
      </c>
      <c r="R4342" s="2" t="inlineStr"/>
    </row>
    <row r="4343" ht="15" customHeight="1">
      <c r="A4343" t="inlineStr">
        <is>
          <t>A 34688-2022</t>
        </is>
      </c>
      <c r="B4343" s="1" t="n">
        <v>44795</v>
      </c>
      <c r="C4343" s="1" t="n">
        <v>45662</v>
      </c>
      <c r="D4343" t="inlineStr">
        <is>
          <t>NORRBOTTENS LÄN</t>
        </is>
      </c>
      <c r="E4343" t="inlineStr">
        <is>
          <t>PITEÅ</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34760-2022</t>
        </is>
      </c>
      <c r="B4344" s="1" t="n">
        <v>44795</v>
      </c>
      <c r="C4344" s="1" t="n">
        <v>45662</v>
      </c>
      <c r="D4344" t="inlineStr">
        <is>
          <t>NORRBOTTENS LÄN</t>
        </is>
      </c>
      <c r="E4344" t="inlineStr">
        <is>
          <t>BODEN</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34801-2022</t>
        </is>
      </c>
      <c r="B4345" s="1" t="n">
        <v>44796</v>
      </c>
      <c r="C4345" s="1" t="n">
        <v>45662</v>
      </c>
      <c r="D4345" t="inlineStr">
        <is>
          <t>NORRBOTTENS LÄN</t>
        </is>
      </c>
      <c r="E4345" t="inlineStr">
        <is>
          <t>ÖVERKALIX</t>
        </is>
      </c>
      <c r="F4345" t="inlineStr">
        <is>
          <t>SCA</t>
        </is>
      </c>
      <c r="G4345" t="n">
        <v>9.5</v>
      </c>
      <c r="H4345" t="n">
        <v>0</v>
      </c>
      <c r="I4345" t="n">
        <v>0</v>
      </c>
      <c r="J4345" t="n">
        <v>0</v>
      </c>
      <c r="K4345" t="n">
        <v>0</v>
      </c>
      <c r="L4345" t="n">
        <v>0</v>
      </c>
      <c r="M4345" t="n">
        <v>0</v>
      </c>
      <c r="N4345" t="n">
        <v>0</v>
      </c>
      <c r="O4345" t="n">
        <v>0</v>
      </c>
      <c r="P4345" t="n">
        <v>0</v>
      </c>
      <c r="Q4345" t="n">
        <v>0</v>
      </c>
      <c r="R4345" s="2" t="inlineStr"/>
    </row>
    <row r="4346" ht="15" customHeight="1">
      <c r="A4346" t="inlineStr">
        <is>
          <t>A 34802-2022</t>
        </is>
      </c>
      <c r="B4346" s="1" t="n">
        <v>44796</v>
      </c>
      <c r="C4346" s="1" t="n">
        <v>45662</v>
      </c>
      <c r="D4346" t="inlineStr">
        <is>
          <t>NORRBOTTENS LÄN</t>
        </is>
      </c>
      <c r="E4346" t="inlineStr">
        <is>
          <t>ÖVERKALIX</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34811-2022</t>
        </is>
      </c>
      <c r="B4347" s="1" t="n">
        <v>44796</v>
      </c>
      <c r="C4347" s="1" t="n">
        <v>45662</v>
      </c>
      <c r="D4347" t="inlineStr">
        <is>
          <t>NORRBOTTENS LÄN</t>
        </is>
      </c>
      <c r="E4347" t="inlineStr">
        <is>
          <t>BODEN</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34863-2022</t>
        </is>
      </c>
      <c r="B4348" s="1" t="n">
        <v>44795</v>
      </c>
      <c r="C4348" s="1" t="n">
        <v>45662</v>
      </c>
      <c r="D4348" t="inlineStr">
        <is>
          <t>NORRBOTTENS LÄN</t>
        </is>
      </c>
      <c r="E4348" t="inlineStr">
        <is>
          <t>ÄLVSBYN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34789-2022</t>
        </is>
      </c>
      <c r="B4349" s="1" t="n">
        <v>44795</v>
      </c>
      <c r="C4349" s="1" t="n">
        <v>45662</v>
      </c>
      <c r="D4349" t="inlineStr">
        <is>
          <t>NORRBOTTENS LÄN</t>
        </is>
      </c>
      <c r="E4349" t="inlineStr">
        <is>
          <t>BODEN</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34796-2022</t>
        </is>
      </c>
      <c r="B4350" s="1" t="n">
        <v>44796</v>
      </c>
      <c r="C4350" s="1" t="n">
        <v>45662</v>
      </c>
      <c r="D4350" t="inlineStr">
        <is>
          <t>NORRBOTTENS LÄN</t>
        </is>
      </c>
      <c r="E4350" t="inlineStr">
        <is>
          <t>BODEN</t>
        </is>
      </c>
      <c r="F4350" t="inlineStr">
        <is>
          <t>SCA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34875-2022</t>
        </is>
      </c>
      <c r="B4351" s="1" t="n">
        <v>44796</v>
      </c>
      <c r="C4351" s="1" t="n">
        <v>45662</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34894-2022</t>
        </is>
      </c>
      <c r="B4352" s="1" t="n">
        <v>44796</v>
      </c>
      <c r="C4352" s="1" t="n">
        <v>45662</v>
      </c>
      <c r="D4352" t="inlineStr">
        <is>
          <t>NORRBOTTENS LÄN</t>
        </is>
      </c>
      <c r="E4352" t="inlineStr">
        <is>
          <t>PAJALA</t>
        </is>
      </c>
      <c r="F4352" t="inlineStr">
        <is>
          <t>Sveaskog</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35044-2022</t>
        </is>
      </c>
      <c r="B4353" s="1" t="n">
        <v>44796</v>
      </c>
      <c r="C4353" s="1" t="n">
        <v>45662</v>
      </c>
      <c r="D4353" t="inlineStr">
        <is>
          <t>NORRBOTTENS LÄN</t>
        </is>
      </c>
      <c r="E4353" t="inlineStr">
        <is>
          <t>BODEN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35046-2022</t>
        </is>
      </c>
      <c r="B4354" s="1" t="n">
        <v>44796</v>
      </c>
      <c r="C4354" s="1" t="n">
        <v>45662</v>
      </c>
      <c r="D4354" t="inlineStr">
        <is>
          <t>NORRBOTTENS LÄN</t>
        </is>
      </c>
      <c r="E4354" t="inlineStr">
        <is>
          <t>BODEN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35041-2022</t>
        </is>
      </c>
      <c r="B4355" s="1" t="n">
        <v>44796</v>
      </c>
      <c r="C4355" s="1" t="n">
        <v>45662</v>
      </c>
      <c r="D4355" t="inlineStr">
        <is>
          <t>NORRBOTTENS LÄN</t>
        </is>
      </c>
      <c r="E4355" t="inlineStr">
        <is>
          <t>BODEN</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35040-2022</t>
        </is>
      </c>
      <c r="B4356" s="1" t="n">
        <v>44796</v>
      </c>
      <c r="C4356" s="1" t="n">
        <v>45662</v>
      </c>
      <c r="D4356" t="inlineStr">
        <is>
          <t>NORRBOTTENS LÄN</t>
        </is>
      </c>
      <c r="E4356" t="inlineStr">
        <is>
          <t>BODEN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35069-2022</t>
        </is>
      </c>
      <c r="B4357" s="1" t="n">
        <v>44797</v>
      </c>
      <c r="C4357" s="1" t="n">
        <v>45662</v>
      </c>
      <c r="D4357" t="inlineStr">
        <is>
          <t>NORRBOTTENS LÄN</t>
        </is>
      </c>
      <c r="E4357" t="inlineStr">
        <is>
          <t>BODEN</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35062-2022</t>
        </is>
      </c>
      <c r="B4358" s="1" t="n">
        <v>44797</v>
      </c>
      <c r="C4358" s="1" t="n">
        <v>45662</v>
      </c>
      <c r="D4358" t="inlineStr">
        <is>
          <t>NORRBOTTENS LÄN</t>
        </is>
      </c>
      <c r="E4358" t="inlineStr">
        <is>
          <t>KALIX</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35169-2022</t>
        </is>
      </c>
      <c r="B4359" s="1" t="n">
        <v>44797</v>
      </c>
      <c r="C4359" s="1" t="n">
        <v>45662</v>
      </c>
      <c r="D4359" t="inlineStr">
        <is>
          <t>NORRBOTTENS LÄN</t>
        </is>
      </c>
      <c r="E4359" t="inlineStr">
        <is>
          <t>ÖVERKALIX</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35170-2022</t>
        </is>
      </c>
      <c r="B4360" s="1" t="n">
        <v>44797</v>
      </c>
      <c r="C4360" s="1" t="n">
        <v>45662</v>
      </c>
      <c r="D4360" t="inlineStr">
        <is>
          <t>NORRBOTTENS LÄN</t>
        </is>
      </c>
      <c r="E4360" t="inlineStr">
        <is>
          <t>ÖVERKALIX</t>
        </is>
      </c>
      <c r="F4360" t="inlineStr">
        <is>
          <t>Sveaskog</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35167-2022</t>
        </is>
      </c>
      <c r="B4361" s="1" t="n">
        <v>44797</v>
      </c>
      <c r="C4361" s="1" t="n">
        <v>45662</v>
      </c>
      <c r="D4361" t="inlineStr">
        <is>
          <t>NORRBOTTENS LÄN</t>
        </is>
      </c>
      <c r="E4361" t="inlineStr">
        <is>
          <t>ÖVERKALIX</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35218-2022</t>
        </is>
      </c>
      <c r="B4362" s="1" t="n">
        <v>44798</v>
      </c>
      <c r="C4362" s="1" t="n">
        <v>45662</v>
      </c>
      <c r="D4362" t="inlineStr">
        <is>
          <t>NORRBOTTENS LÄN</t>
        </is>
      </c>
      <c r="E4362" t="inlineStr">
        <is>
          <t>ÖVERTORNEÅ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35238-2022</t>
        </is>
      </c>
      <c r="B4363" s="1" t="n">
        <v>44798</v>
      </c>
      <c r="C4363" s="1" t="n">
        <v>45662</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35239-2022</t>
        </is>
      </c>
      <c r="B4364" s="1" t="n">
        <v>44798</v>
      </c>
      <c r="C4364" s="1" t="n">
        <v>45662</v>
      </c>
      <c r="D4364" t="inlineStr">
        <is>
          <t>NORRBOTTENS LÄN</t>
        </is>
      </c>
      <c r="E4364" t="inlineStr">
        <is>
          <t>ÄLVSBYN</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35220-2022</t>
        </is>
      </c>
      <c r="B4365" s="1" t="n">
        <v>44798</v>
      </c>
      <c r="C4365" s="1" t="n">
        <v>45662</v>
      </c>
      <c r="D4365" t="inlineStr">
        <is>
          <t>NORRBOTTENS LÄN</t>
        </is>
      </c>
      <c r="E4365" t="inlineStr">
        <is>
          <t>ÖVERTORNEÅ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35237-2022</t>
        </is>
      </c>
      <c r="B4366" s="1" t="n">
        <v>44797</v>
      </c>
      <c r="C4366" s="1" t="n">
        <v>45662</v>
      </c>
      <c r="D4366" t="inlineStr">
        <is>
          <t>NORRBOTTENS LÄN</t>
        </is>
      </c>
      <c r="E4366" t="inlineStr">
        <is>
          <t>BODEN</t>
        </is>
      </c>
      <c r="F4366" t="inlineStr">
        <is>
          <t>SCA</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35323-2022</t>
        </is>
      </c>
      <c r="B4367" s="1" t="n">
        <v>44798</v>
      </c>
      <c r="C4367" s="1" t="n">
        <v>45662</v>
      </c>
      <c r="D4367" t="inlineStr">
        <is>
          <t>NORRBOTTENS LÄN</t>
        </is>
      </c>
      <c r="E4367" t="inlineStr">
        <is>
          <t>BODEN</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35317-2022</t>
        </is>
      </c>
      <c r="B4368" s="1" t="n">
        <v>44798</v>
      </c>
      <c r="C4368" s="1" t="n">
        <v>45662</v>
      </c>
      <c r="D4368" t="inlineStr">
        <is>
          <t>NORRBOTTENS LÄN</t>
        </is>
      </c>
      <c r="E4368" t="inlineStr">
        <is>
          <t>GÄLLIVARE</t>
        </is>
      </c>
      <c r="F4368" t="inlineStr">
        <is>
          <t>Sveaskog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35414-2022</t>
        </is>
      </c>
      <c r="B4369" s="1" t="n">
        <v>44798</v>
      </c>
      <c r="C4369" s="1" t="n">
        <v>45662</v>
      </c>
      <c r="D4369" t="inlineStr">
        <is>
          <t>NORRBOTTENS LÄN</t>
        </is>
      </c>
      <c r="E4369" t="inlineStr">
        <is>
          <t>ÖVERKALIX</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35420-2022</t>
        </is>
      </c>
      <c r="B4370" s="1" t="n">
        <v>44798</v>
      </c>
      <c r="C4370" s="1" t="n">
        <v>45662</v>
      </c>
      <c r="D4370" t="inlineStr">
        <is>
          <t>NORRBOTTENS LÄN</t>
        </is>
      </c>
      <c r="E4370" t="inlineStr">
        <is>
          <t>ÖVERKALIX</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35576-2022</t>
        </is>
      </c>
      <c r="B4371" s="1" t="n">
        <v>44799</v>
      </c>
      <c r="C4371" s="1" t="n">
        <v>45662</v>
      </c>
      <c r="D4371" t="inlineStr">
        <is>
          <t>NORRBOTTENS LÄN</t>
        </is>
      </c>
      <c r="E4371" t="inlineStr">
        <is>
          <t>GÄLLIVARE</t>
        </is>
      </c>
      <c r="F4371" t="inlineStr">
        <is>
          <t>Allmännings- och besparingsskogar</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35546-2022</t>
        </is>
      </c>
      <c r="B4372" s="1" t="n">
        <v>44799</v>
      </c>
      <c r="C4372" s="1" t="n">
        <v>45662</v>
      </c>
      <c r="D4372" t="inlineStr">
        <is>
          <t>NORRBOTTENS LÄN</t>
        </is>
      </c>
      <c r="E4372" t="inlineStr">
        <is>
          <t>ÖVERTORNEÅ</t>
        </is>
      </c>
      <c r="F4372" t="inlineStr">
        <is>
          <t>Sveaskog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35579-2022</t>
        </is>
      </c>
      <c r="B4373" s="1" t="n">
        <v>44799</v>
      </c>
      <c r="C4373" s="1" t="n">
        <v>45662</v>
      </c>
      <c r="D4373" t="inlineStr">
        <is>
          <t>NORRBOTTENS LÄN</t>
        </is>
      </c>
      <c r="E4373" t="inlineStr">
        <is>
          <t>GÄLLIVARE</t>
        </is>
      </c>
      <c r="F4373" t="inlineStr">
        <is>
          <t>Allmännings- och besparingsskogar</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35752-2022</t>
        </is>
      </c>
      <c r="B4374" s="1" t="n">
        <v>44800</v>
      </c>
      <c r="C4374" s="1" t="n">
        <v>45662</v>
      </c>
      <c r="D4374" t="inlineStr">
        <is>
          <t>NORRBOTTENS LÄN</t>
        </is>
      </c>
      <c r="E4374" t="inlineStr">
        <is>
          <t>BODEN</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35753-2022</t>
        </is>
      </c>
      <c r="B4375" s="1" t="n">
        <v>44800</v>
      </c>
      <c r="C4375" s="1" t="n">
        <v>45662</v>
      </c>
      <c r="D4375" t="inlineStr">
        <is>
          <t>NORRBOTTENS LÄN</t>
        </is>
      </c>
      <c r="E4375" t="inlineStr">
        <is>
          <t>BODEN</t>
        </is>
      </c>
      <c r="F4375" t="inlineStr">
        <is>
          <t>SCA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35755-2022</t>
        </is>
      </c>
      <c r="B4376" s="1" t="n">
        <v>44799</v>
      </c>
      <c r="C4376" s="1" t="n">
        <v>45662</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35766-2022</t>
        </is>
      </c>
      <c r="B4377" s="1" t="n">
        <v>44800</v>
      </c>
      <c r="C4377" s="1" t="n">
        <v>45662</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35876-2022</t>
        </is>
      </c>
      <c r="B4378" s="1" t="n">
        <v>44802</v>
      </c>
      <c r="C4378" s="1" t="n">
        <v>45662</v>
      </c>
      <c r="D4378" t="inlineStr">
        <is>
          <t>NORRBOTTENS LÄN</t>
        </is>
      </c>
      <c r="E4378" t="inlineStr">
        <is>
          <t>JOKKMOKK</t>
        </is>
      </c>
      <c r="G4378" t="n">
        <v>9.5</v>
      </c>
      <c r="H4378" t="n">
        <v>0</v>
      </c>
      <c r="I4378" t="n">
        <v>0</v>
      </c>
      <c r="J4378" t="n">
        <v>0</v>
      </c>
      <c r="K4378" t="n">
        <v>0</v>
      </c>
      <c r="L4378" t="n">
        <v>0</v>
      </c>
      <c r="M4378" t="n">
        <v>0</v>
      </c>
      <c r="N4378" t="n">
        <v>0</v>
      </c>
      <c r="O4378" t="n">
        <v>0</v>
      </c>
      <c r="P4378" t="n">
        <v>0</v>
      </c>
      <c r="Q4378" t="n">
        <v>0</v>
      </c>
      <c r="R4378" s="2" t="inlineStr"/>
    </row>
    <row r="4379" ht="15" customHeight="1">
      <c r="A4379" t="inlineStr">
        <is>
          <t>A 35856-2022</t>
        </is>
      </c>
      <c r="B4379" s="1" t="n">
        <v>44802</v>
      </c>
      <c r="C4379" s="1" t="n">
        <v>45662</v>
      </c>
      <c r="D4379" t="inlineStr">
        <is>
          <t>NORRBOTTENS LÄN</t>
        </is>
      </c>
      <c r="E4379" t="inlineStr">
        <is>
          <t>KALIX</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35953-2022</t>
        </is>
      </c>
      <c r="B4380" s="1" t="n">
        <v>44802</v>
      </c>
      <c r="C4380" s="1" t="n">
        <v>45662</v>
      </c>
      <c r="D4380" t="inlineStr">
        <is>
          <t>NORRBOTTENS LÄN</t>
        </is>
      </c>
      <c r="E4380" t="inlineStr">
        <is>
          <t>KALIX</t>
        </is>
      </c>
      <c r="F4380" t="inlineStr">
        <is>
          <t>Kommuner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36104-2022</t>
        </is>
      </c>
      <c r="B4381" s="1" t="n">
        <v>44803</v>
      </c>
      <c r="C4381" s="1" t="n">
        <v>45662</v>
      </c>
      <c r="D4381" t="inlineStr">
        <is>
          <t>NORRBOTTENS LÄN</t>
        </is>
      </c>
      <c r="E4381" t="inlineStr">
        <is>
          <t>KALIX</t>
        </is>
      </c>
      <c r="F4381" t="inlineStr">
        <is>
          <t>SCA</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36245-2022</t>
        </is>
      </c>
      <c r="B4382" s="1" t="n">
        <v>44803</v>
      </c>
      <c r="C4382" s="1" t="n">
        <v>45662</v>
      </c>
      <c r="D4382" t="inlineStr">
        <is>
          <t>NORRBOTTENS LÄN</t>
        </is>
      </c>
      <c r="E4382" t="inlineStr">
        <is>
          <t>PITEÅ</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36178-2022</t>
        </is>
      </c>
      <c r="B4383" s="1" t="n">
        <v>44803</v>
      </c>
      <c r="C4383" s="1" t="n">
        <v>45662</v>
      </c>
      <c r="D4383" t="inlineStr">
        <is>
          <t>NORRBOTTENS LÄN</t>
        </is>
      </c>
      <c r="E4383" t="inlineStr">
        <is>
          <t>PAJALA</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36417-2022</t>
        </is>
      </c>
      <c r="B4384" s="1" t="n">
        <v>44804</v>
      </c>
      <c r="C4384" s="1" t="n">
        <v>45662</v>
      </c>
      <c r="D4384" t="inlineStr">
        <is>
          <t>NORRBOTTENS LÄN</t>
        </is>
      </c>
      <c r="E4384" t="inlineStr">
        <is>
          <t>ARVIDSJAUR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36541-2022</t>
        </is>
      </c>
      <c r="B4385" s="1" t="n">
        <v>44804</v>
      </c>
      <c r="C4385" s="1" t="n">
        <v>45662</v>
      </c>
      <c r="D4385" t="inlineStr">
        <is>
          <t>NORRBOTTENS LÄN</t>
        </is>
      </c>
      <c r="E4385" t="inlineStr">
        <is>
          <t>PAJALA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36400-2022</t>
        </is>
      </c>
      <c r="B4386" s="1" t="n">
        <v>44804</v>
      </c>
      <c r="C4386" s="1" t="n">
        <v>45662</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36405-2022</t>
        </is>
      </c>
      <c r="B4387" s="1" t="n">
        <v>44804</v>
      </c>
      <c r="C4387" s="1" t="n">
        <v>45662</v>
      </c>
      <c r="D4387" t="inlineStr">
        <is>
          <t>NORRBOTTENS LÄN</t>
        </is>
      </c>
      <c r="E4387" t="inlineStr">
        <is>
          <t>ARVIDSJAUR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36459-2022</t>
        </is>
      </c>
      <c r="B4388" s="1" t="n">
        <v>44804</v>
      </c>
      <c r="C4388" s="1" t="n">
        <v>45662</v>
      </c>
      <c r="D4388" t="inlineStr">
        <is>
          <t>NORRBOTTENS LÄN</t>
        </is>
      </c>
      <c r="E4388" t="inlineStr">
        <is>
          <t>ARVIDSJAUR</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36414-2022</t>
        </is>
      </c>
      <c r="B4389" s="1" t="n">
        <v>44804</v>
      </c>
      <c r="C4389" s="1" t="n">
        <v>45662</v>
      </c>
      <c r="D4389" t="inlineStr">
        <is>
          <t>NORRBOTTENS LÄN</t>
        </is>
      </c>
      <c r="E4389" t="inlineStr">
        <is>
          <t>ARVIDSJAUR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36483-2022</t>
        </is>
      </c>
      <c r="B4390" s="1" t="n">
        <v>44804</v>
      </c>
      <c r="C4390" s="1" t="n">
        <v>45662</v>
      </c>
      <c r="D4390" t="inlineStr">
        <is>
          <t>NORRBOTTENS LÄN</t>
        </is>
      </c>
      <c r="E4390" t="inlineStr">
        <is>
          <t>ARVIDSJAUR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36683-2022</t>
        </is>
      </c>
      <c r="B4391" s="1" t="n">
        <v>44805</v>
      </c>
      <c r="C4391" s="1" t="n">
        <v>45662</v>
      </c>
      <c r="D4391" t="inlineStr">
        <is>
          <t>NORRBOTTENS LÄN</t>
        </is>
      </c>
      <c r="E4391" t="inlineStr">
        <is>
          <t>PITEÅ</t>
        </is>
      </c>
      <c r="F4391" t="inlineStr">
        <is>
          <t>SCA</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36939-2022</t>
        </is>
      </c>
      <c r="B4392" s="1" t="n">
        <v>44805</v>
      </c>
      <c r="C4392" s="1" t="n">
        <v>45662</v>
      </c>
      <c r="D4392" t="inlineStr">
        <is>
          <t>NORRBOTTENS LÄN</t>
        </is>
      </c>
      <c r="E4392" t="inlineStr">
        <is>
          <t>KIRUNA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37111-2022</t>
        </is>
      </c>
      <c r="B4393" s="1" t="n">
        <v>44806</v>
      </c>
      <c r="C4393" s="1" t="n">
        <v>45662</v>
      </c>
      <c r="D4393" t="inlineStr">
        <is>
          <t>NORRBOTTENS LÄN</t>
        </is>
      </c>
      <c r="E4393" t="inlineStr">
        <is>
          <t>ARVIDSJAUR</t>
        </is>
      </c>
      <c r="F4393" t="inlineStr">
        <is>
          <t>Sveaskog</t>
        </is>
      </c>
      <c r="G4393" t="n">
        <v>15.7</v>
      </c>
      <c r="H4393" t="n">
        <v>0</v>
      </c>
      <c r="I4393" t="n">
        <v>0</v>
      </c>
      <c r="J4393" t="n">
        <v>0</v>
      </c>
      <c r="K4393" t="n">
        <v>0</v>
      </c>
      <c r="L4393" t="n">
        <v>0</v>
      </c>
      <c r="M4393" t="n">
        <v>0</v>
      </c>
      <c r="N4393" t="n">
        <v>0</v>
      </c>
      <c r="O4393" t="n">
        <v>0</v>
      </c>
      <c r="P4393" t="n">
        <v>0</v>
      </c>
      <c r="Q4393" t="n">
        <v>0</v>
      </c>
      <c r="R4393" s="2" t="inlineStr"/>
    </row>
    <row r="4394" ht="15" customHeight="1">
      <c r="A4394" t="inlineStr">
        <is>
          <t>A 37119-2022</t>
        </is>
      </c>
      <c r="B4394" s="1" t="n">
        <v>44806</v>
      </c>
      <c r="C4394" s="1" t="n">
        <v>45662</v>
      </c>
      <c r="D4394" t="inlineStr">
        <is>
          <t>NORRBOTTENS LÄN</t>
        </is>
      </c>
      <c r="E4394" t="inlineStr">
        <is>
          <t>ARVIDSJAUR</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37030-2022</t>
        </is>
      </c>
      <c r="B4395" s="1" t="n">
        <v>44806</v>
      </c>
      <c r="C4395" s="1" t="n">
        <v>45662</v>
      </c>
      <c r="D4395" t="inlineStr">
        <is>
          <t>NORRBOTTENS LÄN</t>
        </is>
      </c>
      <c r="E4395" t="inlineStr">
        <is>
          <t>PITEÅ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37125-2022</t>
        </is>
      </c>
      <c r="B4396" s="1" t="n">
        <v>44806</v>
      </c>
      <c r="C4396" s="1" t="n">
        <v>45662</v>
      </c>
      <c r="D4396" t="inlineStr">
        <is>
          <t>NORRBOTTENS LÄN</t>
        </is>
      </c>
      <c r="E4396" t="inlineStr">
        <is>
          <t>ARVIDSJAUR</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37236-2022</t>
        </is>
      </c>
      <c r="B4397" s="1" t="n">
        <v>44806</v>
      </c>
      <c r="C4397" s="1" t="n">
        <v>45662</v>
      </c>
      <c r="D4397" t="inlineStr">
        <is>
          <t>NORRBOTTENS LÄN</t>
        </is>
      </c>
      <c r="E4397" t="inlineStr">
        <is>
          <t>ÖVERKALIX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37308-2022</t>
        </is>
      </c>
      <c r="B4398" s="1" t="n">
        <v>44809</v>
      </c>
      <c r="C4398" s="1" t="n">
        <v>45662</v>
      </c>
      <c r="D4398" t="inlineStr">
        <is>
          <t>NORRBOTTENS LÄN</t>
        </is>
      </c>
      <c r="E4398" t="inlineStr">
        <is>
          <t>PITEÅ</t>
        </is>
      </c>
      <c r="F4398" t="inlineStr">
        <is>
          <t>SCA</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37306-2022</t>
        </is>
      </c>
      <c r="B4399" s="1" t="n">
        <v>44809</v>
      </c>
      <c r="C4399" s="1" t="n">
        <v>45662</v>
      </c>
      <c r="D4399" t="inlineStr">
        <is>
          <t>NORRBOTTENS LÄN</t>
        </is>
      </c>
      <c r="E4399" t="inlineStr">
        <is>
          <t>PITEÅ</t>
        </is>
      </c>
      <c r="F4399" t="inlineStr">
        <is>
          <t>SCA</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37594-2022</t>
        </is>
      </c>
      <c r="B4400" s="1" t="n">
        <v>44809</v>
      </c>
      <c r="C4400" s="1" t="n">
        <v>45662</v>
      </c>
      <c r="D4400" t="inlineStr">
        <is>
          <t>NORRBOTTENS LÄN</t>
        </is>
      </c>
      <c r="E4400" t="inlineStr">
        <is>
          <t>BODEN</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37706-2022</t>
        </is>
      </c>
      <c r="B4401" s="1" t="n">
        <v>44810</v>
      </c>
      <c r="C4401" s="1" t="n">
        <v>45662</v>
      </c>
      <c r="D4401" t="inlineStr">
        <is>
          <t>NORRBOTTENS LÄN</t>
        </is>
      </c>
      <c r="E4401" t="inlineStr">
        <is>
          <t>ÖVERTORNEÅ</t>
        </is>
      </c>
      <c r="F4401" t="inlineStr">
        <is>
          <t>Sveaskog</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37710-2022</t>
        </is>
      </c>
      <c r="B4402" s="1" t="n">
        <v>44810</v>
      </c>
      <c r="C4402" s="1" t="n">
        <v>45662</v>
      </c>
      <c r="D4402" t="inlineStr">
        <is>
          <t>NORRBOTTENS LÄN</t>
        </is>
      </c>
      <c r="E4402" t="inlineStr">
        <is>
          <t>ÖVERTORNEÅ</t>
        </is>
      </c>
      <c r="F4402" t="inlineStr">
        <is>
          <t>Sveaskog</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37731-2022</t>
        </is>
      </c>
      <c r="B4403" s="1" t="n">
        <v>44810</v>
      </c>
      <c r="C4403" s="1" t="n">
        <v>45662</v>
      </c>
      <c r="D4403" t="inlineStr">
        <is>
          <t>NORRBOTTENS LÄN</t>
        </is>
      </c>
      <c r="E4403" t="inlineStr">
        <is>
          <t>ÄLVSBYN</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37798-2022</t>
        </is>
      </c>
      <c r="B4404" s="1" t="n">
        <v>44810</v>
      </c>
      <c r="C4404" s="1" t="n">
        <v>45662</v>
      </c>
      <c r="D4404" t="inlineStr">
        <is>
          <t>NORRBOTTENS LÄN</t>
        </is>
      </c>
      <c r="E4404" t="inlineStr">
        <is>
          <t>JOKKMOKK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37820-2022</t>
        </is>
      </c>
      <c r="B4405" s="1" t="n">
        <v>44810</v>
      </c>
      <c r="C4405" s="1" t="n">
        <v>45662</v>
      </c>
      <c r="D4405" t="inlineStr">
        <is>
          <t>NORRBOTTENS LÄN</t>
        </is>
      </c>
      <c r="E4405" t="inlineStr">
        <is>
          <t>LULEÅ</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37837-2022</t>
        </is>
      </c>
      <c r="B4406" s="1" t="n">
        <v>44810</v>
      </c>
      <c r="C4406" s="1" t="n">
        <v>45662</v>
      </c>
      <c r="D4406" t="inlineStr">
        <is>
          <t>NORRBOTTENS LÄN</t>
        </is>
      </c>
      <c r="E4406" t="inlineStr">
        <is>
          <t>ÖVERTORNEÅ</t>
        </is>
      </c>
      <c r="F4406" t="inlineStr">
        <is>
          <t>Sveaskog</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38112-2022</t>
        </is>
      </c>
      <c r="B4407" s="1" t="n">
        <v>44811</v>
      </c>
      <c r="C4407" s="1" t="n">
        <v>45662</v>
      </c>
      <c r="D4407" t="inlineStr">
        <is>
          <t>NORRBOTTENS LÄN</t>
        </is>
      </c>
      <c r="E4407" t="inlineStr">
        <is>
          <t>PITEÅ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38183-2022</t>
        </is>
      </c>
      <c r="B4408" s="1" t="n">
        <v>44812</v>
      </c>
      <c r="C4408" s="1" t="n">
        <v>45662</v>
      </c>
      <c r="D4408" t="inlineStr">
        <is>
          <t>NORRBOTTENS LÄN</t>
        </is>
      </c>
      <c r="E4408" t="inlineStr">
        <is>
          <t>ARVIDSJAUR</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38213-2022</t>
        </is>
      </c>
      <c r="B4409" s="1" t="n">
        <v>44812</v>
      </c>
      <c r="C4409" s="1" t="n">
        <v>45662</v>
      </c>
      <c r="D4409" t="inlineStr">
        <is>
          <t>NORRBOTTENS LÄN</t>
        </is>
      </c>
      <c r="E4409" t="inlineStr">
        <is>
          <t>BODEN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38219-2022</t>
        </is>
      </c>
      <c r="B4410" s="1" t="n">
        <v>44812</v>
      </c>
      <c r="C4410" s="1" t="n">
        <v>45662</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38360-2022</t>
        </is>
      </c>
      <c r="B4411" s="1" t="n">
        <v>44812</v>
      </c>
      <c r="C4411" s="1" t="n">
        <v>45662</v>
      </c>
      <c r="D4411" t="inlineStr">
        <is>
          <t>NORRBOTTENS LÄN</t>
        </is>
      </c>
      <c r="E4411" t="inlineStr">
        <is>
          <t>ARVIDSJAUR</t>
        </is>
      </c>
      <c r="F4411" t="inlineStr">
        <is>
          <t>Sveaskog</t>
        </is>
      </c>
      <c r="G4411" t="n">
        <v>21.2</v>
      </c>
      <c r="H4411" t="n">
        <v>0</v>
      </c>
      <c r="I4411" t="n">
        <v>0</v>
      </c>
      <c r="J4411" t="n">
        <v>0</v>
      </c>
      <c r="K4411" t="n">
        <v>0</v>
      </c>
      <c r="L4411" t="n">
        <v>0</v>
      </c>
      <c r="M4411" t="n">
        <v>0</v>
      </c>
      <c r="N4411" t="n">
        <v>0</v>
      </c>
      <c r="O4411" t="n">
        <v>0</v>
      </c>
      <c r="P4411" t="n">
        <v>0</v>
      </c>
      <c r="Q4411" t="n">
        <v>0</v>
      </c>
      <c r="R4411" s="2" t="inlineStr"/>
    </row>
    <row r="4412" ht="15" customHeight="1">
      <c r="A4412" t="inlineStr">
        <is>
          <t>A 38371-2022</t>
        </is>
      </c>
      <c r="B4412" s="1" t="n">
        <v>44812</v>
      </c>
      <c r="C4412" s="1" t="n">
        <v>45662</v>
      </c>
      <c r="D4412" t="inlineStr">
        <is>
          <t>NORRBOTTENS LÄN</t>
        </is>
      </c>
      <c r="E4412" t="inlineStr">
        <is>
          <t>KALIX</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38506-2022</t>
        </is>
      </c>
      <c r="B4413" s="1" t="n">
        <v>44813</v>
      </c>
      <c r="C4413" s="1" t="n">
        <v>45662</v>
      </c>
      <c r="D4413" t="inlineStr">
        <is>
          <t>NORRBOTTENS LÄN</t>
        </is>
      </c>
      <c r="E4413" t="inlineStr">
        <is>
          <t>ÄLVSBYN</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38490-2022</t>
        </is>
      </c>
      <c r="B4414" s="1" t="n">
        <v>44813</v>
      </c>
      <c r="C4414" s="1" t="n">
        <v>45662</v>
      </c>
      <c r="D4414" t="inlineStr">
        <is>
          <t>NORRBOTTENS LÄN</t>
        </is>
      </c>
      <c r="E4414" t="inlineStr">
        <is>
          <t>ÄLVSBYN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38510-2022</t>
        </is>
      </c>
      <c r="B4415" s="1" t="n">
        <v>44813</v>
      </c>
      <c r="C4415" s="1" t="n">
        <v>45662</v>
      </c>
      <c r="D4415" t="inlineStr">
        <is>
          <t>NORRBOTTENS LÄN</t>
        </is>
      </c>
      <c r="E4415" t="inlineStr">
        <is>
          <t>HAPARANDA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38625-2022</t>
        </is>
      </c>
      <c r="B4416" s="1" t="n">
        <v>44813</v>
      </c>
      <c r="C4416" s="1" t="n">
        <v>45662</v>
      </c>
      <c r="D4416" t="inlineStr">
        <is>
          <t>NORRBOTTENS LÄN</t>
        </is>
      </c>
      <c r="E4416" t="inlineStr">
        <is>
          <t>PITEÅ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38667-2022</t>
        </is>
      </c>
      <c r="B4417" s="1" t="n">
        <v>44814</v>
      </c>
      <c r="C4417" s="1" t="n">
        <v>45662</v>
      </c>
      <c r="D4417" t="inlineStr">
        <is>
          <t>NORRBOTTENS LÄN</t>
        </is>
      </c>
      <c r="E4417" t="inlineStr">
        <is>
          <t>ÖVERKALIX</t>
        </is>
      </c>
      <c r="F4417" t="inlineStr">
        <is>
          <t>SCA</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38624-2022</t>
        </is>
      </c>
      <c r="B4418" s="1" t="n">
        <v>44813</v>
      </c>
      <c r="C4418" s="1" t="n">
        <v>45662</v>
      </c>
      <c r="D4418" t="inlineStr">
        <is>
          <t>NORRBOTTENS LÄN</t>
        </is>
      </c>
      <c r="E4418" t="inlineStr">
        <is>
          <t>PITEÅ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38757-2022</t>
        </is>
      </c>
      <c r="B4419" s="1" t="n">
        <v>44813</v>
      </c>
      <c r="C4419" s="1" t="n">
        <v>45662</v>
      </c>
      <c r="D4419" t="inlineStr">
        <is>
          <t>NORRBOTTENS LÄN</t>
        </is>
      </c>
      <c r="E4419" t="inlineStr">
        <is>
          <t>PITEÅ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38751-2022</t>
        </is>
      </c>
      <c r="B4420" s="1" t="n">
        <v>44813</v>
      </c>
      <c r="C4420" s="1" t="n">
        <v>45662</v>
      </c>
      <c r="D4420" t="inlineStr">
        <is>
          <t>NORRBOTTENS LÄN</t>
        </is>
      </c>
      <c r="E4420" t="inlineStr">
        <is>
          <t>PITEÅ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38755-2022</t>
        </is>
      </c>
      <c r="B4421" s="1" t="n">
        <v>44813</v>
      </c>
      <c r="C4421" s="1" t="n">
        <v>45662</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38722-2022</t>
        </is>
      </c>
      <c r="B4422" s="1" t="n">
        <v>44815</v>
      </c>
      <c r="C4422" s="1" t="n">
        <v>45662</v>
      </c>
      <c r="D4422" t="inlineStr">
        <is>
          <t>NORRBOTTENS LÄN</t>
        </is>
      </c>
      <c r="E4422" t="inlineStr">
        <is>
          <t>BODEN</t>
        </is>
      </c>
      <c r="F4422" t="inlineStr">
        <is>
          <t>Övriga statliga verk och myndigheter</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38857-2022</t>
        </is>
      </c>
      <c r="B4423" s="1" t="n">
        <v>44816</v>
      </c>
      <c r="C4423" s="1" t="n">
        <v>45662</v>
      </c>
      <c r="D4423" t="inlineStr">
        <is>
          <t>NORRBOTTENS LÄN</t>
        </is>
      </c>
      <c r="E4423" t="inlineStr">
        <is>
          <t>KALIX</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38896-2022</t>
        </is>
      </c>
      <c r="B4424" s="1" t="n">
        <v>44816</v>
      </c>
      <c r="C4424" s="1" t="n">
        <v>45662</v>
      </c>
      <c r="D4424" t="inlineStr">
        <is>
          <t>NORRBOTTENS LÄN</t>
        </is>
      </c>
      <c r="E4424" t="inlineStr">
        <is>
          <t>PITEÅ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38863-2022</t>
        </is>
      </c>
      <c r="B4425" s="1" t="n">
        <v>44816</v>
      </c>
      <c r="C4425" s="1" t="n">
        <v>45662</v>
      </c>
      <c r="D4425" t="inlineStr">
        <is>
          <t>NORRBOTTENS LÄN</t>
        </is>
      </c>
      <c r="E4425" t="inlineStr">
        <is>
          <t>KALIX</t>
        </is>
      </c>
      <c r="F4425" t="inlineStr">
        <is>
          <t>Kommuner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38902-2022</t>
        </is>
      </c>
      <c r="B4426" s="1" t="n">
        <v>44816</v>
      </c>
      <c r="C4426" s="1" t="n">
        <v>45662</v>
      </c>
      <c r="D4426" t="inlineStr">
        <is>
          <t>NORRBOTTENS LÄN</t>
        </is>
      </c>
      <c r="E4426" t="inlineStr">
        <is>
          <t>PITEÅ</t>
        </is>
      </c>
      <c r="G4426" t="n">
        <v>11.8</v>
      </c>
      <c r="H4426" t="n">
        <v>0</v>
      </c>
      <c r="I4426" t="n">
        <v>0</v>
      </c>
      <c r="J4426" t="n">
        <v>0</v>
      </c>
      <c r="K4426" t="n">
        <v>0</v>
      </c>
      <c r="L4426" t="n">
        <v>0</v>
      </c>
      <c r="M4426" t="n">
        <v>0</v>
      </c>
      <c r="N4426" t="n">
        <v>0</v>
      </c>
      <c r="O4426" t="n">
        <v>0</v>
      </c>
      <c r="P4426" t="n">
        <v>0</v>
      </c>
      <c r="Q4426" t="n">
        <v>0</v>
      </c>
      <c r="R4426" s="2" t="inlineStr"/>
    </row>
    <row r="4427" ht="15" customHeight="1">
      <c r="A4427" t="inlineStr">
        <is>
          <t>A 38980-2022</t>
        </is>
      </c>
      <c r="B4427" s="1" t="n">
        <v>44816</v>
      </c>
      <c r="C4427" s="1" t="n">
        <v>45662</v>
      </c>
      <c r="D4427" t="inlineStr">
        <is>
          <t>NORRBOTTENS LÄN</t>
        </is>
      </c>
      <c r="E4427" t="inlineStr">
        <is>
          <t>ÖVERTORNEÅ</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39005-2022</t>
        </is>
      </c>
      <c r="B4428" s="1" t="n">
        <v>44817</v>
      </c>
      <c r="C4428" s="1" t="n">
        <v>45662</v>
      </c>
      <c r="D4428" t="inlineStr">
        <is>
          <t>NORRBOTTENS LÄN</t>
        </is>
      </c>
      <c r="E4428" t="inlineStr">
        <is>
          <t>PITEÅ</t>
        </is>
      </c>
      <c r="F4428" t="inlineStr">
        <is>
          <t>SCA</t>
        </is>
      </c>
      <c r="G4428" t="n">
        <v>23.9</v>
      </c>
      <c r="H4428" t="n">
        <v>0</v>
      </c>
      <c r="I4428" t="n">
        <v>0</v>
      </c>
      <c r="J4428" t="n">
        <v>0</v>
      </c>
      <c r="K4428" t="n">
        <v>0</v>
      </c>
      <c r="L4428" t="n">
        <v>0</v>
      </c>
      <c r="M4428" t="n">
        <v>0</v>
      </c>
      <c r="N4428" t="n">
        <v>0</v>
      </c>
      <c r="O4428" t="n">
        <v>0</v>
      </c>
      <c r="P4428" t="n">
        <v>0</v>
      </c>
      <c r="Q4428" t="n">
        <v>0</v>
      </c>
      <c r="R4428" s="2" t="inlineStr"/>
    </row>
    <row r="4429" ht="15" customHeight="1">
      <c r="A4429" t="inlineStr">
        <is>
          <t>A 39346-2022</t>
        </is>
      </c>
      <c r="B4429" s="1" t="n">
        <v>44817</v>
      </c>
      <c r="C4429" s="1" t="n">
        <v>45662</v>
      </c>
      <c r="D4429" t="inlineStr">
        <is>
          <t>NORRBOTTENS LÄN</t>
        </is>
      </c>
      <c r="E4429" t="inlineStr">
        <is>
          <t>PITEÅ</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39369-2022</t>
        </is>
      </c>
      <c r="B4430" s="1" t="n">
        <v>44818</v>
      </c>
      <c r="C4430" s="1" t="n">
        <v>45662</v>
      </c>
      <c r="D4430" t="inlineStr">
        <is>
          <t>NORRBOTTENS LÄN</t>
        </is>
      </c>
      <c r="E4430" t="inlineStr">
        <is>
          <t>PITEÅ</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39397-2022</t>
        </is>
      </c>
      <c r="B4431" s="1" t="n">
        <v>44817</v>
      </c>
      <c r="C4431" s="1" t="n">
        <v>45662</v>
      </c>
      <c r="D4431" t="inlineStr">
        <is>
          <t>NORRBOTTENS LÄN</t>
        </is>
      </c>
      <c r="E4431" t="inlineStr">
        <is>
          <t>GÄLLIVARE</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39368-2022</t>
        </is>
      </c>
      <c r="B4432" s="1" t="n">
        <v>44818</v>
      </c>
      <c r="C4432" s="1" t="n">
        <v>45662</v>
      </c>
      <c r="D4432" t="inlineStr">
        <is>
          <t>NORRBOTTENS LÄN</t>
        </is>
      </c>
      <c r="E4432" t="inlineStr">
        <is>
          <t>PITEÅ</t>
        </is>
      </c>
      <c r="F4432" t="inlineStr">
        <is>
          <t>SCA</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39379-2022</t>
        </is>
      </c>
      <c r="B4433" s="1" t="n">
        <v>44818</v>
      </c>
      <c r="C4433" s="1" t="n">
        <v>45662</v>
      </c>
      <c r="D4433" t="inlineStr">
        <is>
          <t>NORRBOTTENS LÄN</t>
        </is>
      </c>
      <c r="E4433" t="inlineStr">
        <is>
          <t>GÄLLIVARE</t>
        </is>
      </c>
      <c r="F4433" t="inlineStr">
        <is>
          <t>SCA</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39405-2022</t>
        </is>
      </c>
      <c r="B4434" s="1" t="n">
        <v>44817</v>
      </c>
      <c r="C4434" s="1" t="n">
        <v>45662</v>
      </c>
      <c r="D4434" t="inlineStr">
        <is>
          <t>NORRBOTTENS LÄN</t>
        </is>
      </c>
      <c r="E4434" t="inlineStr">
        <is>
          <t>ÖVERKALIX</t>
        </is>
      </c>
      <c r="F4434" t="inlineStr">
        <is>
          <t>SCA</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39410-2022</t>
        </is>
      </c>
      <c r="B4435" s="1" t="n">
        <v>44818</v>
      </c>
      <c r="C4435" s="1" t="n">
        <v>45662</v>
      </c>
      <c r="D4435" t="inlineStr">
        <is>
          <t>NORRBOTTENS LÄN</t>
        </is>
      </c>
      <c r="E4435" t="inlineStr">
        <is>
          <t>PITEÅ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39378-2022</t>
        </is>
      </c>
      <c r="B4436" s="1" t="n">
        <v>44817</v>
      </c>
      <c r="C4436" s="1" t="n">
        <v>45662</v>
      </c>
      <c r="D4436" t="inlineStr">
        <is>
          <t>NORRBOTTENS LÄN</t>
        </is>
      </c>
      <c r="E4436" t="inlineStr">
        <is>
          <t>GÄLLIVARE</t>
        </is>
      </c>
      <c r="F4436" t="inlineStr">
        <is>
          <t>SCA</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39347-2022</t>
        </is>
      </c>
      <c r="B4437" s="1" t="n">
        <v>44817</v>
      </c>
      <c r="C4437" s="1" t="n">
        <v>45662</v>
      </c>
      <c r="D4437" t="inlineStr">
        <is>
          <t>NORRBOTTENS LÄN</t>
        </is>
      </c>
      <c r="E4437" t="inlineStr">
        <is>
          <t>PITEÅ</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39377-2022</t>
        </is>
      </c>
      <c r="B4438" s="1" t="n">
        <v>44817</v>
      </c>
      <c r="C4438" s="1" t="n">
        <v>45662</v>
      </c>
      <c r="D4438" t="inlineStr">
        <is>
          <t>NORRBOTTENS LÄN</t>
        </is>
      </c>
      <c r="E4438" t="inlineStr">
        <is>
          <t>GÄLLIVARE</t>
        </is>
      </c>
      <c r="F4438" t="inlineStr">
        <is>
          <t>SCA</t>
        </is>
      </c>
      <c r="G4438" t="n">
        <v>11.8</v>
      </c>
      <c r="H4438" t="n">
        <v>0</v>
      </c>
      <c r="I4438" t="n">
        <v>0</v>
      </c>
      <c r="J4438" t="n">
        <v>0</v>
      </c>
      <c r="K4438" t="n">
        <v>0</v>
      </c>
      <c r="L4438" t="n">
        <v>0</v>
      </c>
      <c r="M4438" t="n">
        <v>0</v>
      </c>
      <c r="N4438" t="n">
        <v>0</v>
      </c>
      <c r="O4438" t="n">
        <v>0</v>
      </c>
      <c r="P4438" t="n">
        <v>0</v>
      </c>
      <c r="Q4438" t="n">
        <v>0</v>
      </c>
      <c r="R4438" s="2" t="inlineStr"/>
    </row>
    <row r="4439" ht="15" customHeight="1">
      <c r="A4439" t="inlineStr">
        <is>
          <t>A 39399-2022</t>
        </is>
      </c>
      <c r="B4439" s="1" t="n">
        <v>44818</v>
      </c>
      <c r="C4439" s="1" t="n">
        <v>45662</v>
      </c>
      <c r="D4439" t="inlineStr">
        <is>
          <t>NORRBOTTENS LÄN</t>
        </is>
      </c>
      <c r="E4439" t="inlineStr">
        <is>
          <t>PITEÅ</t>
        </is>
      </c>
      <c r="F4439" t="inlineStr">
        <is>
          <t>SCA</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39403-2022</t>
        </is>
      </c>
      <c r="B4440" s="1" t="n">
        <v>44817</v>
      </c>
      <c r="C4440" s="1" t="n">
        <v>45662</v>
      </c>
      <c r="D4440" t="inlineStr">
        <is>
          <t>NORRBOTTENS LÄN</t>
        </is>
      </c>
      <c r="E4440" t="inlineStr">
        <is>
          <t>ÖVERKALIX</t>
        </is>
      </c>
      <c r="F4440" t="inlineStr">
        <is>
          <t>SCA</t>
        </is>
      </c>
      <c r="G4440" t="n">
        <v>16.6</v>
      </c>
      <c r="H4440" t="n">
        <v>0</v>
      </c>
      <c r="I4440" t="n">
        <v>0</v>
      </c>
      <c r="J4440" t="n">
        <v>0</v>
      </c>
      <c r="K4440" t="n">
        <v>0</v>
      </c>
      <c r="L4440" t="n">
        <v>0</v>
      </c>
      <c r="M4440" t="n">
        <v>0</v>
      </c>
      <c r="N4440" t="n">
        <v>0</v>
      </c>
      <c r="O4440" t="n">
        <v>0</v>
      </c>
      <c r="P4440" t="n">
        <v>0</v>
      </c>
      <c r="Q4440" t="n">
        <v>0</v>
      </c>
      <c r="R4440" s="2" t="inlineStr"/>
    </row>
    <row r="4441" ht="15" customHeight="1">
      <c r="A4441" t="inlineStr">
        <is>
          <t>A 39409-2022</t>
        </is>
      </c>
      <c r="B4441" s="1" t="n">
        <v>44818</v>
      </c>
      <c r="C4441" s="1" t="n">
        <v>45662</v>
      </c>
      <c r="D4441" t="inlineStr">
        <is>
          <t>NORRBOTTENS LÄN</t>
        </is>
      </c>
      <c r="E4441" t="inlineStr">
        <is>
          <t>PITEÅ</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39650-2022</t>
        </is>
      </c>
      <c r="B4442" s="1" t="n">
        <v>44817</v>
      </c>
      <c r="C4442" s="1" t="n">
        <v>45662</v>
      </c>
      <c r="D4442" t="inlineStr">
        <is>
          <t>NORRBOTTENS LÄN</t>
        </is>
      </c>
      <c r="E4442" t="inlineStr">
        <is>
          <t>HAPARANDA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39501-2022</t>
        </is>
      </c>
      <c r="B4443" s="1" t="n">
        <v>44817</v>
      </c>
      <c r="C4443" s="1" t="n">
        <v>45662</v>
      </c>
      <c r="D4443" t="inlineStr">
        <is>
          <t>NORRBOTTENS LÄN</t>
        </is>
      </c>
      <c r="E4443" t="inlineStr">
        <is>
          <t>ARVIDSJAUR</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41009-2022</t>
        </is>
      </c>
      <c r="B4444" s="1" t="n">
        <v>44817</v>
      </c>
      <c r="C4444" s="1" t="n">
        <v>45662</v>
      </c>
      <c r="D4444" t="inlineStr">
        <is>
          <t>NORRBOTTENS LÄN</t>
        </is>
      </c>
      <c r="E4444" t="inlineStr">
        <is>
          <t>HAPARANDA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39475-2022</t>
        </is>
      </c>
      <c r="B4445" s="1" t="n">
        <v>44818</v>
      </c>
      <c r="C4445" s="1" t="n">
        <v>45662</v>
      </c>
      <c r="D4445" t="inlineStr">
        <is>
          <t>NORRBOTTENS LÄN</t>
        </is>
      </c>
      <c r="E4445" t="inlineStr">
        <is>
          <t>PITEÅ</t>
        </is>
      </c>
      <c r="F4445" t="inlineStr">
        <is>
          <t>Sveaskog</t>
        </is>
      </c>
      <c r="G4445" t="n">
        <v>14.7</v>
      </c>
      <c r="H4445" t="n">
        <v>0</v>
      </c>
      <c r="I4445" t="n">
        <v>0</v>
      </c>
      <c r="J4445" t="n">
        <v>0</v>
      </c>
      <c r="K4445" t="n">
        <v>0</v>
      </c>
      <c r="L4445" t="n">
        <v>0</v>
      </c>
      <c r="M4445" t="n">
        <v>0</v>
      </c>
      <c r="N4445" t="n">
        <v>0</v>
      </c>
      <c r="O4445" t="n">
        <v>0</v>
      </c>
      <c r="P4445" t="n">
        <v>0</v>
      </c>
      <c r="Q4445" t="n">
        <v>0</v>
      </c>
      <c r="R4445" s="2" t="inlineStr"/>
    </row>
    <row r="4446" ht="15" customHeight="1">
      <c r="A4446" t="inlineStr">
        <is>
          <t>A 39538-2022</t>
        </is>
      </c>
      <c r="B4446" s="1" t="n">
        <v>44818</v>
      </c>
      <c r="C4446" s="1" t="n">
        <v>45662</v>
      </c>
      <c r="D4446" t="inlineStr">
        <is>
          <t>NORRBOTTENS LÄN</t>
        </is>
      </c>
      <c r="E4446" t="inlineStr">
        <is>
          <t>HAPARANDA</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39559-2022</t>
        </is>
      </c>
      <c r="B4447" s="1" t="n">
        <v>44818</v>
      </c>
      <c r="C4447" s="1" t="n">
        <v>45662</v>
      </c>
      <c r="D4447" t="inlineStr">
        <is>
          <t>NORRBOTTENS LÄN</t>
        </is>
      </c>
      <c r="E4447" t="inlineStr">
        <is>
          <t>GÄLLIVARE</t>
        </is>
      </c>
      <c r="F4447" t="inlineStr">
        <is>
          <t>Sveaskog</t>
        </is>
      </c>
      <c r="G4447" t="n">
        <v>11.6</v>
      </c>
      <c r="H4447" t="n">
        <v>0</v>
      </c>
      <c r="I4447" t="n">
        <v>0</v>
      </c>
      <c r="J4447" t="n">
        <v>0</v>
      </c>
      <c r="K4447" t="n">
        <v>0</v>
      </c>
      <c r="L4447" t="n">
        <v>0</v>
      </c>
      <c r="M4447" t="n">
        <v>0</v>
      </c>
      <c r="N4447" t="n">
        <v>0</v>
      </c>
      <c r="O4447" t="n">
        <v>0</v>
      </c>
      <c r="P4447" t="n">
        <v>0</v>
      </c>
      <c r="Q4447" t="n">
        <v>0</v>
      </c>
      <c r="R4447" s="2" t="inlineStr"/>
    </row>
    <row r="4448" ht="15" customHeight="1">
      <c r="A4448" t="inlineStr">
        <is>
          <t>A 39444-2022</t>
        </is>
      </c>
      <c r="B4448" s="1" t="n">
        <v>44818</v>
      </c>
      <c r="C4448" s="1" t="n">
        <v>45662</v>
      </c>
      <c r="D4448" t="inlineStr">
        <is>
          <t>NORRBOTTENS LÄN</t>
        </is>
      </c>
      <c r="E4448" t="inlineStr">
        <is>
          <t>ÄLVSBYN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39564-2022</t>
        </is>
      </c>
      <c r="B4449" s="1" t="n">
        <v>44818</v>
      </c>
      <c r="C4449" s="1" t="n">
        <v>45662</v>
      </c>
      <c r="D4449" t="inlineStr">
        <is>
          <t>NORRBOTTENS LÄN</t>
        </is>
      </c>
      <c r="E4449" t="inlineStr">
        <is>
          <t>PAJALA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39619-2022</t>
        </is>
      </c>
      <c r="B4450" s="1" t="n">
        <v>44818</v>
      </c>
      <c r="C4450" s="1" t="n">
        <v>45662</v>
      </c>
      <c r="D4450" t="inlineStr">
        <is>
          <t>NORRBOTTENS LÄN</t>
        </is>
      </c>
      <c r="E4450" t="inlineStr">
        <is>
          <t>ARVIDSJAUR</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40152-2022</t>
        </is>
      </c>
      <c r="B4451" s="1" t="n">
        <v>44818</v>
      </c>
      <c r="C4451" s="1" t="n">
        <v>45662</v>
      </c>
      <c r="D4451" t="inlineStr">
        <is>
          <t>NORRBOTTENS LÄN</t>
        </is>
      </c>
      <c r="E4451" t="inlineStr">
        <is>
          <t>PITEÅ</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40418-2022</t>
        </is>
      </c>
      <c r="B4452" s="1" t="n">
        <v>44818</v>
      </c>
      <c r="C4452" s="1" t="n">
        <v>45662</v>
      </c>
      <c r="D4452" t="inlineStr">
        <is>
          <t>NORRBOTTENS LÄN</t>
        </is>
      </c>
      <c r="E4452" t="inlineStr">
        <is>
          <t>BODEN</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40080-2022</t>
        </is>
      </c>
      <c r="B4453" s="1" t="n">
        <v>44818</v>
      </c>
      <c r="C4453" s="1" t="n">
        <v>45662</v>
      </c>
      <c r="D4453" t="inlineStr">
        <is>
          <t>NORRBOTTENS LÄN</t>
        </is>
      </c>
      <c r="E4453" t="inlineStr">
        <is>
          <t>ARVIDSJAUR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39759-2022</t>
        </is>
      </c>
      <c r="B4454" s="1" t="n">
        <v>44819</v>
      </c>
      <c r="C4454" s="1" t="n">
        <v>45662</v>
      </c>
      <c r="D4454" t="inlineStr">
        <is>
          <t>NORRBOTTENS LÄN</t>
        </is>
      </c>
      <c r="E4454" t="inlineStr">
        <is>
          <t>ARVIDSJAUR</t>
        </is>
      </c>
      <c r="F4454" t="inlineStr">
        <is>
          <t>Sveaskog</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39775-2022</t>
        </is>
      </c>
      <c r="B4455" s="1" t="n">
        <v>44819</v>
      </c>
      <c r="C4455" s="1" t="n">
        <v>45662</v>
      </c>
      <c r="D4455" t="inlineStr">
        <is>
          <t>NORRBOTTENS LÄN</t>
        </is>
      </c>
      <c r="E4455" t="inlineStr">
        <is>
          <t>ARVIDSJAUR</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39760-2022</t>
        </is>
      </c>
      <c r="B4456" s="1" t="n">
        <v>44819</v>
      </c>
      <c r="C4456" s="1" t="n">
        <v>45662</v>
      </c>
      <c r="D4456" t="inlineStr">
        <is>
          <t>NORRBOTTENS LÄN</t>
        </is>
      </c>
      <c r="E4456" t="inlineStr">
        <is>
          <t>ARVIDSJAUR</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39838-2022</t>
        </is>
      </c>
      <c r="B4457" s="1" t="n">
        <v>44819</v>
      </c>
      <c r="C4457" s="1" t="n">
        <v>45662</v>
      </c>
      <c r="D4457" t="inlineStr">
        <is>
          <t>NORRBOTTENS LÄN</t>
        </is>
      </c>
      <c r="E4457" t="inlineStr">
        <is>
          <t>BODEN</t>
        </is>
      </c>
      <c r="F4457" t="inlineStr">
        <is>
          <t>Sveaskog</t>
        </is>
      </c>
      <c r="G4457" t="n">
        <v>16.5</v>
      </c>
      <c r="H4457" t="n">
        <v>0</v>
      </c>
      <c r="I4457" t="n">
        <v>0</v>
      </c>
      <c r="J4457" t="n">
        <v>0</v>
      </c>
      <c r="K4457" t="n">
        <v>0</v>
      </c>
      <c r="L4457" t="n">
        <v>0</v>
      </c>
      <c r="M4457" t="n">
        <v>0</v>
      </c>
      <c r="N4457" t="n">
        <v>0</v>
      </c>
      <c r="O4457" t="n">
        <v>0</v>
      </c>
      <c r="P4457" t="n">
        <v>0</v>
      </c>
      <c r="Q4457" t="n">
        <v>0</v>
      </c>
      <c r="R4457" s="2" t="inlineStr"/>
    </row>
    <row r="4458" ht="15" customHeight="1">
      <c r="A4458" t="inlineStr">
        <is>
          <t>A 39938-2022</t>
        </is>
      </c>
      <c r="B4458" s="1" t="n">
        <v>44820</v>
      </c>
      <c r="C4458" s="1" t="n">
        <v>45662</v>
      </c>
      <c r="D4458" t="inlineStr">
        <is>
          <t>NORRBOTTENS LÄN</t>
        </is>
      </c>
      <c r="E4458" t="inlineStr">
        <is>
          <t>ÖVERKALIX</t>
        </is>
      </c>
      <c r="F4458" t="inlineStr">
        <is>
          <t>SCA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39958-2022</t>
        </is>
      </c>
      <c r="B4459" s="1" t="n">
        <v>44819</v>
      </c>
      <c r="C4459" s="1" t="n">
        <v>45662</v>
      </c>
      <c r="D4459" t="inlineStr">
        <is>
          <t>NORRBOTTENS LÄN</t>
        </is>
      </c>
      <c r="E4459" t="inlineStr">
        <is>
          <t>GÄLLIVARE</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39927-2022</t>
        </is>
      </c>
      <c r="B4460" s="1" t="n">
        <v>44820</v>
      </c>
      <c r="C4460" s="1" t="n">
        <v>45662</v>
      </c>
      <c r="D4460" t="inlineStr">
        <is>
          <t>NORRBOTTENS LÄN</t>
        </is>
      </c>
      <c r="E4460" t="inlineStr">
        <is>
          <t>ÖVERKALIX</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39914-2022</t>
        </is>
      </c>
      <c r="B4461" s="1" t="n">
        <v>44819</v>
      </c>
      <c r="C4461" s="1" t="n">
        <v>45662</v>
      </c>
      <c r="D4461" t="inlineStr">
        <is>
          <t>NORRBOTTENS LÄN</t>
        </is>
      </c>
      <c r="E4461" t="inlineStr">
        <is>
          <t>ÄLVSBYN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40473-2022</t>
        </is>
      </c>
      <c r="B4462" s="1" t="n">
        <v>44819</v>
      </c>
      <c r="C4462" s="1" t="n">
        <v>45662</v>
      </c>
      <c r="D4462" t="inlineStr">
        <is>
          <t>NORRBOTTENS LÄN</t>
        </is>
      </c>
      <c r="E4462" t="inlineStr">
        <is>
          <t>JOKKMOKK</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40492-2022</t>
        </is>
      </c>
      <c r="B4463" s="1" t="n">
        <v>44819</v>
      </c>
      <c r="C4463" s="1" t="n">
        <v>45662</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40500-2022</t>
        </is>
      </c>
      <c r="B4464" s="1" t="n">
        <v>44819</v>
      </c>
      <c r="C4464" s="1" t="n">
        <v>45662</v>
      </c>
      <c r="D4464" t="inlineStr">
        <is>
          <t>NORRBOTTENS LÄN</t>
        </is>
      </c>
      <c r="E4464" t="inlineStr">
        <is>
          <t>ARVIDSJAUR</t>
        </is>
      </c>
      <c r="F4464" t="inlineStr">
        <is>
          <t>Allmännings- och besparingsskogar</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39971-2022</t>
        </is>
      </c>
      <c r="B4465" s="1" t="n">
        <v>44820</v>
      </c>
      <c r="C4465" s="1" t="n">
        <v>45662</v>
      </c>
      <c r="D4465" t="inlineStr">
        <is>
          <t>NORRBOTTENS LÄN</t>
        </is>
      </c>
      <c r="E4465" t="inlineStr">
        <is>
          <t>BODEN</t>
        </is>
      </c>
      <c r="F4465" t="inlineStr">
        <is>
          <t>Sveaskog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40136-2022</t>
        </is>
      </c>
      <c r="B4466" s="1" t="n">
        <v>44820</v>
      </c>
      <c r="C4466" s="1" t="n">
        <v>45662</v>
      </c>
      <c r="D4466" t="inlineStr">
        <is>
          <t>NORRBOTTENS LÄN</t>
        </is>
      </c>
      <c r="E4466" t="inlineStr">
        <is>
          <t>BODEN</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40129-2022</t>
        </is>
      </c>
      <c r="B4467" s="1" t="n">
        <v>44820</v>
      </c>
      <c r="C4467" s="1" t="n">
        <v>45662</v>
      </c>
      <c r="D4467" t="inlineStr">
        <is>
          <t>NORRBOTTENS LÄN</t>
        </is>
      </c>
      <c r="E4467" t="inlineStr">
        <is>
          <t>JOKKMOKK</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40260-2022</t>
        </is>
      </c>
      <c r="B4468" s="1" t="n">
        <v>44820</v>
      </c>
      <c r="C4468" s="1" t="n">
        <v>45662</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39969-2022</t>
        </is>
      </c>
      <c r="B4469" s="1" t="n">
        <v>44820</v>
      </c>
      <c r="C4469" s="1" t="n">
        <v>45662</v>
      </c>
      <c r="D4469" t="inlineStr">
        <is>
          <t>NORRBOTTENS LÄN</t>
        </is>
      </c>
      <c r="E4469" t="inlineStr">
        <is>
          <t>ÖVERTORNEÅ</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40166-2022</t>
        </is>
      </c>
      <c r="B4470" s="1" t="n">
        <v>44820</v>
      </c>
      <c r="C4470" s="1" t="n">
        <v>45662</v>
      </c>
      <c r="D4470" t="inlineStr">
        <is>
          <t>NORRBOTTENS LÄN</t>
        </is>
      </c>
      <c r="E4470" t="inlineStr">
        <is>
          <t>HAPARANDA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40248-2022</t>
        </is>
      </c>
      <c r="B4471" s="1" t="n">
        <v>44820</v>
      </c>
      <c r="C4471" s="1" t="n">
        <v>45662</v>
      </c>
      <c r="D4471" t="inlineStr">
        <is>
          <t>NORRBOTTENS LÄN</t>
        </is>
      </c>
      <c r="E4471" t="inlineStr">
        <is>
          <t>JOKKMOKK</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40251-2022</t>
        </is>
      </c>
      <c r="B4472" s="1" t="n">
        <v>44820</v>
      </c>
      <c r="C4472" s="1" t="n">
        <v>45662</v>
      </c>
      <c r="D4472" t="inlineStr">
        <is>
          <t>NORRBOTTENS LÄN</t>
        </is>
      </c>
      <c r="E4472" t="inlineStr">
        <is>
          <t>JOKKMOKK</t>
        </is>
      </c>
      <c r="F4472" t="inlineStr">
        <is>
          <t>Sveaskog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40713-2022</t>
        </is>
      </c>
      <c r="B4473" s="1" t="n">
        <v>44820</v>
      </c>
      <c r="C4473" s="1" t="n">
        <v>45662</v>
      </c>
      <c r="D4473" t="inlineStr">
        <is>
          <t>NORRBOTTENS LÄN</t>
        </is>
      </c>
      <c r="E4473" t="inlineStr">
        <is>
          <t>PITEÅ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40281-2022</t>
        </is>
      </c>
      <c r="B4474" s="1" t="n">
        <v>44821</v>
      </c>
      <c r="C4474" s="1" t="n">
        <v>45662</v>
      </c>
      <c r="D4474" t="inlineStr">
        <is>
          <t>NORRBOTTENS LÄN</t>
        </is>
      </c>
      <c r="E4474" t="inlineStr">
        <is>
          <t>ÖVERKALIX</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40691-2022</t>
        </is>
      </c>
      <c r="B4475" s="1" t="n">
        <v>44820</v>
      </c>
      <c r="C4475" s="1" t="n">
        <v>45662</v>
      </c>
      <c r="D4475" t="inlineStr">
        <is>
          <t>NORRBOTTENS LÄN</t>
        </is>
      </c>
      <c r="E4475" t="inlineStr">
        <is>
          <t>ÄLVSBYN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40871-2022</t>
        </is>
      </c>
      <c r="B4476" s="1" t="n">
        <v>44820</v>
      </c>
      <c r="C4476" s="1" t="n">
        <v>45662</v>
      </c>
      <c r="D4476" t="inlineStr">
        <is>
          <t>NORRBOTTENS LÄN</t>
        </is>
      </c>
      <c r="E4476" t="inlineStr">
        <is>
          <t>LULEÅ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40375-2022</t>
        </is>
      </c>
      <c r="B4477" s="1" t="n">
        <v>44823</v>
      </c>
      <c r="C4477" s="1" t="n">
        <v>45662</v>
      </c>
      <c r="D4477" t="inlineStr">
        <is>
          <t>NORRBOTTENS LÄN</t>
        </is>
      </c>
      <c r="E4477" t="inlineStr">
        <is>
          <t>PITEÅ</t>
        </is>
      </c>
      <c r="F4477" t="inlineStr">
        <is>
          <t>Sveaskog</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40560-2022</t>
        </is>
      </c>
      <c r="B4478" s="1" t="n">
        <v>44823</v>
      </c>
      <c r="C4478" s="1" t="n">
        <v>45662</v>
      </c>
      <c r="D4478" t="inlineStr">
        <is>
          <t>NORRBOTTENS LÄN</t>
        </is>
      </c>
      <c r="E4478" t="inlineStr">
        <is>
          <t>ÄLVSBYN</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40427-2022</t>
        </is>
      </c>
      <c r="B4479" s="1" t="n">
        <v>44823</v>
      </c>
      <c r="C4479" s="1" t="n">
        <v>45662</v>
      </c>
      <c r="D4479" t="inlineStr">
        <is>
          <t>NORRBOTTENS LÄN</t>
        </is>
      </c>
      <c r="E4479" t="inlineStr">
        <is>
          <t>GÄLLIVARE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40525-2022</t>
        </is>
      </c>
      <c r="B4480" s="1" t="n">
        <v>44823</v>
      </c>
      <c r="C4480" s="1" t="n">
        <v>45662</v>
      </c>
      <c r="D4480" t="inlineStr">
        <is>
          <t>NORRBOTTENS LÄN</t>
        </is>
      </c>
      <c r="E4480" t="inlineStr">
        <is>
          <t>ÄLVSBYN</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40619-2022</t>
        </is>
      </c>
      <c r="B4481" s="1" t="n">
        <v>44824</v>
      </c>
      <c r="C4481" s="1" t="n">
        <v>45662</v>
      </c>
      <c r="D4481" t="inlineStr">
        <is>
          <t>NORRBOTTENS LÄN</t>
        </is>
      </c>
      <c r="E4481" t="inlineStr">
        <is>
          <t>ÖVERKALIX</t>
        </is>
      </c>
      <c r="F4481" t="inlineStr">
        <is>
          <t>SCA</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40624-2022</t>
        </is>
      </c>
      <c r="B4482" s="1" t="n">
        <v>44823</v>
      </c>
      <c r="C4482" s="1" t="n">
        <v>45662</v>
      </c>
      <c r="D4482" t="inlineStr">
        <is>
          <t>NORRBOTTENS LÄN</t>
        </is>
      </c>
      <c r="E4482" t="inlineStr">
        <is>
          <t>BODEN</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41007-2022</t>
        </is>
      </c>
      <c r="B4483" s="1" t="n">
        <v>44823</v>
      </c>
      <c r="C4483" s="1" t="n">
        <v>45662</v>
      </c>
      <c r="D4483" t="inlineStr">
        <is>
          <t>NORRBOTTENS LÄN</t>
        </is>
      </c>
      <c r="E4483" t="inlineStr">
        <is>
          <t>ARJEPLOG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40756-2022</t>
        </is>
      </c>
      <c r="B4484" s="1" t="n">
        <v>44824</v>
      </c>
      <c r="C4484" s="1" t="n">
        <v>45662</v>
      </c>
      <c r="D4484" t="inlineStr">
        <is>
          <t>NORRBOTTENS LÄN</t>
        </is>
      </c>
      <c r="E4484" t="inlineStr">
        <is>
          <t>ARVIDSJAUR</t>
        </is>
      </c>
      <c r="F4484" t="inlineStr">
        <is>
          <t>Sveaskog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40813-2022</t>
        </is>
      </c>
      <c r="B4485" s="1" t="n">
        <v>44824</v>
      </c>
      <c r="C4485" s="1" t="n">
        <v>45662</v>
      </c>
      <c r="D4485" t="inlineStr">
        <is>
          <t>NORRBOTTENS LÄN</t>
        </is>
      </c>
      <c r="E4485" t="inlineStr">
        <is>
          <t>PITEÅ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40836-2022</t>
        </is>
      </c>
      <c r="B4486" s="1" t="n">
        <v>44824</v>
      </c>
      <c r="C4486" s="1" t="n">
        <v>45662</v>
      </c>
      <c r="D4486" t="inlineStr">
        <is>
          <t>NORRBOTTENS LÄN</t>
        </is>
      </c>
      <c r="E4486" t="inlineStr">
        <is>
          <t>JOKKMOKK</t>
        </is>
      </c>
      <c r="F4486" t="inlineStr">
        <is>
          <t>SCA</t>
        </is>
      </c>
      <c r="G4486" t="n">
        <v>229.8</v>
      </c>
      <c r="H4486" t="n">
        <v>0</v>
      </c>
      <c r="I4486" t="n">
        <v>0</v>
      </c>
      <c r="J4486" t="n">
        <v>0</v>
      </c>
      <c r="K4486" t="n">
        <v>0</v>
      </c>
      <c r="L4486" t="n">
        <v>0</v>
      </c>
      <c r="M4486" t="n">
        <v>0</v>
      </c>
      <c r="N4486" t="n">
        <v>0</v>
      </c>
      <c r="O4486" t="n">
        <v>0</v>
      </c>
      <c r="P4486" t="n">
        <v>0</v>
      </c>
      <c r="Q4486" t="n">
        <v>0</v>
      </c>
      <c r="R4486" s="2" t="inlineStr"/>
    </row>
    <row r="4487" ht="15" customHeight="1">
      <c r="A4487" t="inlineStr">
        <is>
          <t>A 40781-2022</t>
        </is>
      </c>
      <c r="B4487" s="1" t="n">
        <v>44824</v>
      </c>
      <c r="C4487" s="1" t="n">
        <v>45662</v>
      </c>
      <c r="D4487" t="inlineStr">
        <is>
          <t>NORRBOTTENS LÄN</t>
        </is>
      </c>
      <c r="E4487" t="inlineStr">
        <is>
          <t>ÄLVSBYN</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40833-2022</t>
        </is>
      </c>
      <c r="B4488" s="1" t="n">
        <v>44824</v>
      </c>
      <c r="C4488" s="1" t="n">
        <v>45662</v>
      </c>
      <c r="D4488" t="inlineStr">
        <is>
          <t>NORRBOTTENS LÄN</t>
        </is>
      </c>
      <c r="E4488" t="inlineStr">
        <is>
          <t>JOKKMOKK</t>
        </is>
      </c>
      <c r="F4488" t="inlineStr">
        <is>
          <t>SCA</t>
        </is>
      </c>
      <c r="G4488" t="n">
        <v>122.1</v>
      </c>
      <c r="H4488" t="n">
        <v>0</v>
      </c>
      <c r="I4488" t="n">
        <v>0</v>
      </c>
      <c r="J4488" t="n">
        <v>0</v>
      </c>
      <c r="K4488" t="n">
        <v>0</v>
      </c>
      <c r="L4488" t="n">
        <v>0</v>
      </c>
      <c r="M4488" t="n">
        <v>0</v>
      </c>
      <c r="N4488" t="n">
        <v>0</v>
      </c>
      <c r="O4488" t="n">
        <v>0</v>
      </c>
      <c r="P4488" t="n">
        <v>0</v>
      </c>
      <c r="Q4488" t="n">
        <v>0</v>
      </c>
      <c r="R4488" s="2" t="inlineStr"/>
    </row>
    <row r="4489" ht="15" customHeight="1">
      <c r="A4489" t="inlineStr">
        <is>
          <t>A 41030-2022</t>
        </is>
      </c>
      <c r="B4489" s="1" t="n">
        <v>44824</v>
      </c>
      <c r="C4489" s="1" t="n">
        <v>45662</v>
      </c>
      <c r="D4489" t="inlineStr">
        <is>
          <t>NORRBOTTENS LÄN</t>
        </is>
      </c>
      <c r="E4489" t="inlineStr">
        <is>
          <t>JOKKMOKK</t>
        </is>
      </c>
      <c r="F4489" t="inlineStr">
        <is>
          <t>Övriga Aktiebolag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40834-2022</t>
        </is>
      </c>
      <c r="B4490" s="1" t="n">
        <v>44824</v>
      </c>
      <c r="C4490" s="1" t="n">
        <v>45662</v>
      </c>
      <c r="D4490" t="inlineStr">
        <is>
          <t>NORRBOTTENS LÄN</t>
        </is>
      </c>
      <c r="E4490" t="inlineStr">
        <is>
          <t>JOKKMOKK</t>
        </is>
      </c>
      <c r="F4490" t="inlineStr">
        <is>
          <t>SCA</t>
        </is>
      </c>
      <c r="G4490" t="n">
        <v>106.1</v>
      </c>
      <c r="H4490" t="n">
        <v>0</v>
      </c>
      <c r="I4490" t="n">
        <v>0</v>
      </c>
      <c r="J4490" t="n">
        <v>0</v>
      </c>
      <c r="K4490" t="n">
        <v>0</v>
      </c>
      <c r="L4490" t="n">
        <v>0</v>
      </c>
      <c r="M4490" t="n">
        <v>0</v>
      </c>
      <c r="N4490" t="n">
        <v>0</v>
      </c>
      <c r="O4490" t="n">
        <v>0</v>
      </c>
      <c r="P4490" t="n">
        <v>0</v>
      </c>
      <c r="Q4490" t="n">
        <v>0</v>
      </c>
      <c r="R4490" s="2" t="inlineStr"/>
    </row>
    <row r="4491" ht="15" customHeight="1">
      <c r="A4491" t="inlineStr">
        <is>
          <t>A 40845-2022</t>
        </is>
      </c>
      <c r="B4491" s="1" t="n">
        <v>44824</v>
      </c>
      <c r="C4491" s="1" t="n">
        <v>45662</v>
      </c>
      <c r="D4491" t="inlineStr">
        <is>
          <t>NORRBOTTENS LÄN</t>
        </is>
      </c>
      <c r="E4491" t="inlineStr">
        <is>
          <t>GÄLLIVARE</t>
        </is>
      </c>
      <c r="F4491" t="inlineStr">
        <is>
          <t>SCA</t>
        </is>
      </c>
      <c r="G4491" t="n">
        <v>30.9</v>
      </c>
      <c r="H4491" t="n">
        <v>0</v>
      </c>
      <c r="I4491" t="n">
        <v>0</v>
      </c>
      <c r="J4491" t="n">
        <v>0</v>
      </c>
      <c r="K4491" t="n">
        <v>0</v>
      </c>
      <c r="L4491" t="n">
        <v>0</v>
      </c>
      <c r="M4491" t="n">
        <v>0</v>
      </c>
      <c r="N4491" t="n">
        <v>0</v>
      </c>
      <c r="O4491" t="n">
        <v>0</v>
      </c>
      <c r="P4491" t="n">
        <v>0</v>
      </c>
      <c r="Q4491" t="n">
        <v>0</v>
      </c>
      <c r="R4491" s="2" t="inlineStr"/>
    </row>
    <row r="4492" ht="15" customHeight="1">
      <c r="A4492" t="inlineStr">
        <is>
          <t>A 41504-2022</t>
        </is>
      </c>
      <c r="B4492" s="1" t="n">
        <v>44824</v>
      </c>
      <c r="C4492" s="1" t="n">
        <v>45662</v>
      </c>
      <c r="D4492" t="inlineStr">
        <is>
          <t>NORRBOTTENS LÄN</t>
        </is>
      </c>
      <c r="E4492" t="inlineStr">
        <is>
          <t>PAJALA</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40854-2022</t>
        </is>
      </c>
      <c r="B4493" s="1" t="n">
        <v>44825</v>
      </c>
      <c r="C4493" s="1" t="n">
        <v>45662</v>
      </c>
      <c r="D4493" t="inlineStr">
        <is>
          <t>NORRBOTTENS LÄN</t>
        </is>
      </c>
      <c r="E4493" t="inlineStr">
        <is>
          <t>BODEN</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41128-2022</t>
        </is>
      </c>
      <c r="B4494" s="1" t="n">
        <v>44825</v>
      </c>
      <c r="C4494" s="1" t="n">
        <v>45662</v>
      </c>
      <c r="D4494" t="inlineStr">
        <is>
          <t>NORRBOTTENS LÄN</t>
        </is>
      </c>
      <c r="E4494" t="inlineStr">
        <is>
          <t>KALIX</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41159-2022</t>
        </is>
      </c>
      <c r="B4495" s="1" t="n">
        <v>44825</v>
      </c>
      <c r="C4495" s="1" t="n">
        <v>45662</v>
      </c>
      <c r="D4495" t="inlineStr">
        <is>
          <t>NORRBOTTENS LÄN</t>
        </is>
      </c>
      <c r="E4495" t="inlineStr">
        <is>
          <t>ÄLVSBYN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41235-2022</t>
        </is>
      </c>
      <c r="B4496" s="1" t="n">
        <v>44825</v>
      </c>
      <c r="C4496" s="1" t="n">
        <v>45662</v>
      </c>
      <c r="D4496" t="inlineStr">
        <is>
          <t>NORRBOTTENS LÄN</t>
        </is>
      </c>
      <c r="E4496" t="inlineStr">
        <is>
          <t>ARVIDSJAUR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41471-2022</t>
        </is>
      </c>
      <c r="B4497" s="1" t="n">
        <v>44826</v>
      </c>
      <c r="C4497" s="1" t="n">
        <v>45662</v>
      </c>
      <c r="D4497" t="inlineStr">
        <is>
          <t>NORRBOTTENS LÄN</t>
        </is>
      </c>
      <c r="E4497" t="inlineStr">
        <is>
          <t>KALIX</t>
        </is>
      </c>
      <c r="F4497" t="inlineStr">
        <is>
          <t>SCA</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41579-2022</t>
        </is>
      </c>
      <c r="B4498" s="1" t="n">
        <v>44827</v>
      </c>
      <c r="C4498" s="1" t="n">
        <v>45662</v>
      </c>
      <c r="D4498" t="inlineStr">
        <is>
          <t>NORRBOTTENS LÄN</t>
        </is>
      </c>
      <c r="E4498" t="inlineStr">
        <is>
          <t>JOKKMOKK</t>
        </is>
      </c>
      <c r="F4498" t="inlineStr">
        <is>
          <t>Övriga Aktiebolag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41747-2022</t>
        </is>
      </c>
      <c r="B4499" s="1" t="n">
        <v>44827</v>
      </c>
      <c r="C4499" s="1" t="n">
        <v>45662</v>
      </c>
      <c r="D4499" t="inlineStr">
        <is>
          <t>NORRBOTTENS LÄN</t>
        </is>
      </c>
      <c r="E4499" t="inlineStr">
        <is>
          <t>PITEÅ</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41762-2022</t>
        </is>
      </c>
      <c r="B4500" s="1" t="n">
        <v>44827</v>
      </c>
      <c r="C4500" s="1" t="n">
        <v>45662</v>
      </c>
      <c r="D4500" t="inlineStr">
        <is>
          <t>NORRBOTTENS LÄN</t>
        </is>
      </c>
      <c r="E4500" t="inlineStr">
        <is>
          <t>PAJALA</t>
        </is>
      </c>
      <c r="F4500" t="inlineStr">
        <is>
          <t>Sveaskog</t>
        </is>
      </c>
      <c r="G4500" t="n">
        <v>21.1</v>
      </c>
      <c r="H4500" t="n">
        <v>0</v>
      </c>
      <c r="I4500" t="n">
        <v>0</v>
      </c>
      <c r="J4500" t="n">
        <v>0</v>
      </c>
      <c r="K4500" t="n">
        <v>0</v>
      </c>
      <c r="L4500" t="n">
        <v>0</v>
      </c>
      <c r="M4500" t="n">
        <v>0</v>
      </c>
      <c r="N4500" t="n">
        <v>0</v>
      </c>
      <c r="O4500" t="n">
        <v>0</v>
      </c>
      <c r="P4500" t="n">
        <v>0</v>
      </c>
      <c r="Q4500" t="n">
        <v>0</v>
      </c>
      <c r="R4500" s="2" t="inlineStr"/>
    </row>
    <row r="4501" ht="15" customHeight="1">
      <c r="A4501" t="inlineStr">
        <is>
          <t>A 41763-2022</t>
        </is>
      </c>
      <c r="B4501" s="1" t="n">
        <v>44827</v>
      </c>
      <c r="C4501" s="1" t="n">
        <v>45662</v>
      </c>
      <c r="D4501" t="inlineStr">
        <is>
          <t>NORRBOTTENS LÄN</t>
        </is>
      </c>
      <c r="E4501" t="inlineStr">
        <is>
          <t>ARVIDSJAUR</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42278-2022</t>
        </is>
      </c>
      <c r="B4502" s="1" t="n">
        <v>44831</v>
      </c>
      <c r="C4502" s="1" t="n">
        <v>45662</v>
      </c>
      <c r="D4502" t="inlineStr">
        <is>
          <t>NORRBOTTENS LÄN</t>
        </is>
      </c>
      <c r="E4502" t="inlineStr">
        <is>
          <t>GÄLLIVARE</t>
        </is>
      </c>
      <c r="F4502" t="inlineStr">
        <is>
          <t>SCA</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42254-2022</t>
        </is>
      </c>
      <c r="B4503" s="1" t="n">
        <v>44831</v>
      </c>
      <c r="C4503" s="1" t="n">
        <v>45662</v>
      </c>
      <c r="D4503" t="inlineStr">
        <is>
          <t>NORRBOTTENS LÄN</t>
        </is>
      </c>
      <c r="E4503" t="inlineStr">
        <is>
          <t>ÖVERTORNEÅ</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42258-2022</t>
        </is>
      </c>
      <c r="B4504" s="1" t="n">
        <v>44831</v>
      </c>
      <c r="C4504" s="1" t="n">
        <v>45662</v>
      </c>
      <c r="D4504" t="inlineStr">
        <is>
          <t>NORRBOTTENS LÄN</t>
        </is>
      </c>
      <c r="E4504" t="inlineStr">
        <is>
          <t>JOKKMOKK</t>
        </is>
      </c>
      <c r="F4504" t="inlineStr">
        <is>
          <t>Allmännings- och besparingsskogar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42256-2022</t>
        </is>
      </c>
      <c r="B4505" s="1" t="n">
        <v>44831</v>
      </c>
      <c r="C4505" s="1" t="n">
        <v>45662</v>
      </c>
      <c r="D4505" t="inlineStr">
        <is>
          <t>NORRBOTTENS LÄN</t>
        </is>
      </c>
      <c r="E4505" t="inlineStr">
        <is>
          <t>JOKKMOKK</t>
        </is>
      </c>
      <c r="F4505" t="inlineStr">
        <is>
          <t>Allmännings- och besparingsskogar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42407-2022</t>
        </is>
      </c>
      <c r="B4506" s="1" t="n">
        <v>44830</v>
      </c>
      <c r="C4506" s="1" t="n">
        <v>45662</v>
      </c>
      <c r="D4506" t="inlineStr">
        <is>
          <t>NORRBOTTENS LÄN</t>
        </is>
      </c>
      <c r="E4506" t="inlineStr">
        <is>
          <t>ÖVERKALIX</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42257-2022</t>
        </is>
      </c>
      <c r="B4507" s="1" t="n">
        <v>44831</v>
      </c>
      <c r="C4507" s="1" t="n">
        <v>45662</v>
      </c>
      <c r="D4507" t="inlineStr">
        <is>
          <t>NORRBOTTENS LÄN</t>
        </is>
      </c>
      <c r="E4507" t="inlineStr">
        <is>
          <t>JOKKMOKK</t>
        </is>
      </c>
      <c r="F4507" t="inlineStr">
        <is>
          <t>Allmännings- och besparingsskogar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42263-2022</t>
        </is>
      </c>
      <c r="B4508" s="1" t="n">
        <v>44830</v>
      </c>
      <c r="C4508" s="1" t="n">
        <v>45662</v>
      </c>
      <c r="D4508" t="inlineStr">
        <is>
          <t>NORRBOTTENS LÄN</t>
        </is>
      </c>
      <c r="E4508" t="inlineStr">
        <is>
          <t>JOKKMOKK</t>
        </is>
      </c>
      <c r="F4508" t="inlineStr">
        <is>
          <t>Allmännings- och besparingsskogar</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42274-2022</t>
        </is>
      </c>
      <c r="B4509" s="1" t="n">
        <v>44830</v>
      </c>
      <c r="C4509" s="1" t="n">
        <v>45662</v>
      </c>
      <c r="D4509" t="inlineStr">
        <is>
          <t>NORRBOTTENS LÄN</t>
        </is>
      </c>
      <c r="E4509" t="inlineStr">
        <is>
          <t>ARJEPLOG</t>
        </is>
      </c>
      <c r="F4509" t="inlineStr">
        <is>
          <t>SCA</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42356-2022</t>
        </is>
      </c>
      <c r="B4510" s="1" t="n">
        <v>44830</v>
      </c>
      <c r="C4510" s="1" t="n">
        <v>45662</v>
      </c>
      <c r="D4510" t="inlineStr">
        <is>
          <t>NORRBOTTENS LÄN</t>
        </is>
      </c>
      <c r="E4510" t="inlineStr">
        <is>
          <t>HAPARANDA</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42604-2022</t>
        </is>
      </c>
      <c r="B4511" s="1" t="n">
        <v>44831</v>
      </c>
      <c r="C4511" s="1" t="n">
        <v>45662</v>
      </c>
      <c r="D4511" t="inlineStr">
        <is>
          <t>NORRBOTTENS LÄN</t>
        </is>
      </c>
      <c r="E4511" t="inlineStr">
        <is>
          <t>ÖVERTORNEÅ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42602-2022</t>
        </is>
      </c>
      <c r="B4512" s="1" t="n">
        <v>44831</v>
      </c>
      <c r="C4512" s="1" t="n">
        <v>45662</v>
      </c>
      <c r="D4512" t="inlineStr">
        <is>
          <t>NORRBOTTENS LÄN</t>
        </is>
      </c>
      <c r="E4512" t="inlineStr">
        <is>
          <t>ÖVERTORNEÅ</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42641-2022</t>
        </is>
      </c>
      <c r="B4513" s="1" t="n">
        <v>44831</v>
      </c>
      <c r="C4513" s="1" t="n">
        <v>45662</v>
      </c>
      <c r="D4513" t="inlineStr">
        <is>
          <t>NORRBOTTENS LÄN</t>
        </is>
      </c>
      <c r="E4513" t="inlineStr">
        <is>
          <t>BODEN</t>
        </is>
      </c>
      <c r="F4513" t="inlineStr">
        <is>
          <t>SCA</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42535-2022</t>
        </is>
      </c>
      <c r="B4514" s="1" t="n">
        <v>44831</v>
      </c>
      <c r="C4514" s="1" t="n">
        <v>45662</v>
      </c>
      <c r="D4514" t="inlineStr">
        <is>
          <t>NORRBOTTENS LÄN</t>
        </is>
      </c>
      <c r="E4514" t="inlineStr">
        <is>
          <t>HAPARANDA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42607-2022</t>
        </is>
      </c>
      <c r="B4515" s="1" t="n">
        <v>44831</v>
      </c>
      <c r="C4515" s="1" t="n">
        <v>45662</v>
      </c>
      <c r="D4515" t="inlineStr">
        <is>
          <t>NORRBOTTENS LÄN</t>
        </is>
      </c>
      <c r="E4515" t="inlineStr">
        <is>
          <t>ÖVERTORNEÅ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42642-2022</t>
        </is>
      </c>
      <c r="B4516" s="1" t="n">
        <v>44831</v>
      </c>
      <c r="C4516" s="1" t="n">
        <v>45662</v>
      </c>
      <c r="D4516" t="inlineStr">
        <is>
          <t>NORRBOTTENS LÄN</t>
        </is>
      </c>
      <c r="E4516" t="inlineStr">
        <is>
          <t>BODEN</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42608-2022</t>
        </is>
      </c>
      <c r="B4517" s="1" t="n">
        <v>44831</v>
      </c>
      <c r="C4517" s="1" t="n">
        <v>45662</v>
      </c>
      <c r="D4517" t="inlineStr">
        <is>
          <t>NORRBOTTENS LÄN</t>
        </is>
      </c>
      <c r="E4517" t="inlineStr">
        <is>
          <t>ÖVERTORNEÅ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42632-2022</t>
        </is>
      </c>
      <c r="B4518" s="1" t="n">
        <v>44832</v>
      </c>
      <c r="C4518" s="1" t="n">
        <v>45662</v>
      </c>
      <c r="D4518" t="inlineStr">
        <is>
          <t>NORRBOTTENS LÄN</t>
        </is>
      </c>
      <c r="E4518" t="inlineStr">
        <is>
          <t>BODEN</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42643-2022</t>
        </is>
      </c>
      <c r="B4519" s="1" t="n">
        <v>44831</v>
      </c>
      <c r="C4519" s="1" t="n">
        <v>45662</v>
      </c>
      <c r="D4519" t="inlineStr">
        <is>
          <t>NORRBOTTENS LÄN</t>
        </is>
      </c>
      <c r="E4519" t="inlineStr">
        <is>
          <t>BODEN</t>
        </is>
      </c>
      <c r="F4519" t="inlineStr">
        <is>
          <t>SCA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42697-2022</t>
        </is>
      </c>
      <c r="B4520" s="1" t="n">
        <v>44831</v>
      </c>
      <c r="C4520" s="1" t="n">
        <v>45662</v>
      </c>
      <c r="D4520" t="inlineStr">
        <is>
          <t>NORRBOTTENS LÄN</t>
        </is>
      </c>
      <c r="E4520" t="inlineStr">
        <is>
          <t>HAPARANDA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42667-2022</t>
        </is>
      </c>
      <c r="B4521" s="1" t="n">
        <v>44832</v>
      </c>
      <c r="C4521" s="1" t="n">
        <v>45662</v>
      </c>
      <c r="D4521" t="inlineStr">
        <is>
          <t>NORRBOTTENS LÄN</t>
        </is>
      </c>
      <c r="E4521" t="inlineStr">
        <is>
          <t>BODEN</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42796-2022</t>
        </is>
      </c>
      <c r="B4522" s="1" t="n">
        <v>44832</v>
      </c>
      <c r="C4522" s="1" t="n">
        <v>45662</v>
      </c>
      <c r="D4522" t="inlineStr">
        <is>
          <t>NORRBOTTENS LÄN</t>
        </is>
      </c>
      <c r="E4522" t="inlineStr">
        <is>
          <t>PAJALA</t>
        </is>
      </c>
      <c r="G4522" t="n">
        <v>31.1</v>
      </c>
      <c r="H4522" t="n">
        <v>0</v>
      </c>
      <c r="I4522" t="n">
        <v>0</v>
      </c>
      <c r="J4522" t="n">
        <v>0</v>
      </c>
      <c r="K4522" t="n">
        <v>0</v>
      </c>
      <c r="L4522" t="n">
        <v>0</v>
      </c>
      <c r="M4522" t="n">
        <v>0</v>
      </c>
      <c r="N4522" t="n">
        <v>0</v>
      </c>
      <c r="O4522" t="n">
        <v>0</v>
      </c>
      <c r="P4522" t="n">
        <v>0</v>
      </c>
      <c r="Q4522" t="n">
        <v>0</v>
      </c>
      <c r="R4522" s="2" t="inlineStr"/>
    </row>
    <row r="4523" ht="15" customHeight="1">
      <c r="A4523" t="inlineStr">
        <is>
          <t>A 42753-2022</t>
        </is>
      </c>
      <c r="B4523" s="1" t="n">
        <v>44832</v>
      </c>
      <c r="C4523" s="1" t="n">
        <v>45662</v>
      </c>
      <c r="D4523" t="inlineStr">
        <is>
          <t>NORRBOTTENS LÄN</t>
        </is>
      </c>
      <c r="E4523" t="inlineStr">
        <is>
          <t>LULEÅ</t>
        </is>
      </c>
      <c r="G4523" t="n">
        <v>10.8</v>
      </c>
      <c r="H4523" t="n">
        <v>0</v>
      </c>
      <c r="I4523" t="n">
        <v>0</v>
      </c>
      <c r="J4523" t="n">
        <v>0</v>
      </c>
      <c r="K4523" t="n">
        <v>0</v>
      </c>
      <c r="L4523" t="n">
        <v>0</v>
      </c>
      <c r="M4523" t="n">
        <v>0</v>
      </c>
      <c r="N4523" t="n">
        <v>0</v>
      </c>
      <c r="O4523" t="n">
        <v>0</v>
      </c>
      <c r="P4523" t="n">
        <v>0</v>
      </c>
      <c r="Q4523" t="n">
        <v>0</v>
      </c>
      <c r="R4523" s="2" t="inlineStr"/>
    </row>
    <row r="4524" ht="15" customHeight="1">
      <c r="A4524" t="inlineStr">
        <is>
          <t>A 42805-2022</t>
        </is>
      </c>
      <c r="B4524" s="1" t="n">
        <v>44832</v>
      </c>
      <c r="C4524" s="1" t="n">
        <v>45662</v>
      </c>
      <c r="D4524" t="inlineStr">
        <is>
          <t>NORRBOTTENS LÄN</t>
        </is>
      </c>
      <c r="E4524" t="inlineStr">
        <is>
          <t>ÄLVSBYN</t>
        </is>
      </c>
      <c r="F4524" t="inlineStr">
        <is>
          <t>Sveaskog</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42886-2022</t>
        </is>
      </c>
      <c r="B4525" s="1" t="n">
        <v>44833</v>
      </c>
      <c r="C4525" s="1" t="n">
        <v>45662</v>
      </c>
      <c r="D4525" t="inlineStr">
        <is>
          <t>NORRBOTTENS LÄN</t>
        </is>
      </c>
      <c r="E4525" t="inlineStr">
        <is>
          <t>GÄLLIVARE</t>
        </is>
      </c>
      <c r="F4525" t="inlineStr">
        <is>
          <t>SCA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42990-2022</t>
        </is>
      </c>
      <c r="B4526" s="1" t="n">
        <v>44832</v>
      </c>
      <c r="C4526" s="1" t="n">
        <v>45662</v>
      </c>
      <c r="D4526" t="inlineStr">
        <is>
          <t>NORRBOTTENS LÄN</t>
        </is>
      </c>
      <c r="E4526" t="inlineStr">
        <is>
          <t>BODEN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43003-2022</t>
        </is>
      </c>
      <c r="B4527" s="1" t="n">
        <v>44833</v>
      </c>
      <c r="C4527" s="1" t="n">
        <v>45662</v>
      </c>
      <c r="D4527" t="inlineStr">
        <is>
          <t>NORRBOTTENS LÄN</t>
        </is>
      </c>
      <c r="E4527" t="inlineStr">
        <is>
          <t>ÖVERTORNEÅ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43045-2022</t>
        </is>
      </c>
      <c r="B4528" s="1" t="n">
        <v>44833</v>
      </c>
      <c r="C4528" s="1" t="n">
        <v>45662</v>
      </c>
      <c r="D4528" t="inlineStr">
        <is>
          <t>NORRBOTTENS LÄN</t>
        </is>
      </c>
      <c r="E4528" t="inlineStr">
        <is>
          <t>ARJEPLOG</t>
        </is>
      </c>
      <c r="G4528" t="n">
        <v>49.2</v>
      </c>
      <c r="H4528" t="n">
        <v>0</v>
      </c>
      <c r="I4528" t="n">
        <v>0</v>
      </c>
      <c r="J4528" t="n">
        <v>0</v>
      </c>
      <c r="K4528" t="n">
        <v>0</v>
      </c>
      <c r="L4528" t="n">
        <v>0</v>
      </c>
      <c r="M4528" t="n">
        <v>0</v>
      </c>
      <c r="N4528" t="n">
        <v>0</v>
      </c>
      <c r="O4528" t="n">
        <v>0</v>
      </c>
      <c r="P4528" t="n">
        <v>0</v>
      </c>
      <c r="Q4528" t="n">
        <v>0</v>
      </c>
      <c r="R4528" s="2" t="inlineStr"/>
    </row>
    <row r="4529" ht="15" customHeight="1">
      <c r="A4529" t="inlineStr">
        <is>
          <t>A 42995-2022</t>
        </is>
      </c>
      <c r="B4529" s="1" t="n">
        <v>44833</v>
      </c>
      <c r="C4529" s="1" t="n">
        <v>45662</v>
      </c>
      <c r="D4529" t="inlineStr">
        <is>
          <t>NORRBOTTENS LÄN</t>
        </is>
      </c>
      <c r="E4529" t="inlineStr">
        <is>
          <t>BODEN</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43026-2022</t>
        </is>
      </c>
      <c r="B4530" s="1" t="n">
        <v>44833</v>
      </c>
      <c r="C4530" s="1" t="n">
        <v>45662</v>
      </c>
      <c r="D4530" t="inlineStr">
        <is>
          <t>NORRBOTTENS LÄN</t>
        </is>
      </c>
      <c r="E4530" t="inlineStr">
        <is>
          <t>PAJALA</t>
        </is>
      </c>
      <c r="F4530" t="inlineStr">
        <is>
          <t>Sveaskog</t>
        </is>
      </c>
      <c r="G4530" t="n">
        <v>40</v>
      </c>
      <c r="H4530" t="n">
        <v>0</v>
      </c>
      <c r="I4530" t="n">
        <v>0</v>
      </c>
      <c r="J4530" t="n">
        <v>0</v>
      </c>
      <c r="K4530" t="n">
        <v>0</v>
      </c>
      <c r="L4530" t="n">
        <v>0</v>
      </c>
      <c r="M4530" t="n">
        <v>0</v>
      </c>
      <c r="N4530" t="n">
        <v>0</v>
      </c>
      <c r="O4530" t="n">
        <v>0</v>
      </c>
      <c r="P4530" t="n">
        <v>0</v>
      </c>
      <c r="Q4530" t="n">
        <v>0</v>
      </c>
      <c r="R4530" s="2" t="inlineStr"/>
    </row>
    <row r="4531" ht="15" customHeight="1">
      <c r="A4531" t="inlineStr">
        <is>
          <t>A 43042-2022</t>
        </is>
      </c>
      <c r="B4531" s="1" t="n">
        <v>44833</v>
      </c>
      <c r="C4531" s="1" t="n">
        <v>45662</v>
      </c>
      <c r="D4531" t="inlineStr">
        <is>
          <t>NORRBOTTENS LÄN</t>
        </is>
      </c>
      <c r="E4531" t="inlineStr">
        <is>
          <t>ÖVERKALIX</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43007-2022</t>
        </is>
      </c>
      <c r="B4532" s="1" t="n">
        <v>44833</v>
      </c>
      <c r="C4532" s="1" t="n">
        <v>45662</v>
      </c>
      <c r="D4532" t="inlineStr">
        <is>
          <t>NORRBOTTENS LÄN</t>
        </is>
      </c>
      <c r="E4532" t="inlineStr">
        <is>
          <t>BODEN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43153-2022</t>
        </is>
      </c>
      <c r="B4533" s="1" t="n">
        <v>44834</v>
      </c>
      <c r="C4533" s="1" t="n">
        <v>45662</v>
      </c>
      <c r="D4533" t="inlineStr">
        <is>
          <t>NORRBOTTENS LÄN</t>
        </is>
      </c>
      <c r="E4533" t="inlineStr">
        <is>
          <t>GÄLLIVARE</t>
        </is>
      </c>
      <c r="F4533" t="inlineStr">
        <is>
          <t>SCA</t>
        </is>
      </c>
      <c r="G4533" t="n">
        <v>22.3</v>
      </c>
      <c r="H4533" t="n">
        <v>0</v>
      </c>
      <c r="I4533" t="n">
        <v>0</v>
      </c>
      <c r="J4533" t="n">
        <v>0</v>
      </c>
      <c r="K4533" t="n">
        <v>0</v>
      </c>
      <c r="L4533" t="n">
        <v>0</v>
      </c>
      <c r="M4533" t="n">
        <v>0</v>
      </c>
      <c r="N4533" t="n">
        <v>0</v>
      </c>
      <c r="O4533" t="n">
        <v>0</v>
      </c>
      <c r="P4533" t="n">
        <v>0</v>
      </c>
      <c r="Q4533" t="n">
        <v>0</v>
      </c>
      <c r="R4533" s="2" t="inlineStr"/>
    </row>
    <row r="4534" ht="15" customHeight="1">
      <c r="A4534" t="inlineStr">
        <is>
          <t>A 43055-2022</t>
        </is>
      </c>
      <c r="B4534" s="1" t="n">
        <v>44833</v>
      </c>
      <c r="C4534" s="1" t="n">
        <v>45662</v>
      </c>
      <c r="D4534" t="inlineStr">
        <is>
          <t>NORRBOTTENS LÄN</t>
        </is>
      </c>
      <c r="E4534" t="inlineStr">
        <is>
          <t>ÖVERTORNEÅ</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43070-2022</t>
        </is>
      </c>
      <c r="B4535" s="1" t="n">
        <v>44833</v>
      </c>
      <c r="C4535" s="1" t="n">
        <v>45662</v>
      </c>
      <c r="D4535" t="inlineStr">
        <is>
          <t>NORRBOTTENS LÄN</t>
        </is>
      </c>
      <c r="E4535" t="inlineStr">
        <is>
          <t>KALIX</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43154-2022</t>
        </is>
      </c>
      <c r="B4536" s="1" t="n">
        <v>44834</v>
      </c>
      <c r="C4536" s="1" t="n">
        <v>45662</v>
      </c>
      <c r="D4536" t="inlineStr">
        <is>
          <t>NORRBOTTENS LÄN</t>
        </is>
      </c>
      <c r="E4536" t="inlineStr">
        <is>
          <t>GÄLLIVARE</t>
        </is>
      </c>
      <c r="F4536" t="inlineStr">
        <is>
          <t>SCA</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43155-2022</t>
        </is>
      </c>
      <c r="B4537" s="1" t="n">
        <v>44834</v>
      </c>
      <c r="C4537" s="1" t="n">
        <v>45662</v>
      </c>
      <c r="D4537" t="inlineStr">
        <is>
          <t>NORRBOTTENS LÄN</t>
        </is>
      </c>
      <c r="E4537" t="inlineStr">
        <is>
          <t>GÄLLIVARE</t>
        </is>
      </c>
      <c r="F4537" t="inlineStr">
        <is>
          <t>SCA</t>
        </is>
      </c>
      <c r="G4537" t="n">
        <v>10.2</v>
      </c>
      <c r="H4537" t="n">
        <v>0</v>
      </c>
      <c r="I4537" t="n">
        <v>0</v>
      </c>
      <c r="J4537" t="n">
        <v>0</v>
      </c>
      <c r="K4537" t="n">
        <v>0</v>
      </c>
      <c r="L4537" t="n">
        <v>0</v>
      </c>
      <c r="M4537" t="n">
        <v>0</v>
      </c>
      <c r="N4537" t="n">
        <v>0</v>
      </c>
      <c r="O4537" t="n">
        <v>0</v>
      </c>
      <c r="P4537" t="n">
        <v>0</v>
      </c>
      <c r="Q4537" t="n">
        <v>0</v>
      </c>
      <c r="R4537" s="2" t="inlineStr"/>
    </row>
    <row r="4538" ht="15" customHeight="1">
      <c r="A4538" t="inlineStr">
        <is>
          <t>A 43159-2022</t>
        </is>
      </c>
      <c r="B4538" s="1" t="n">
        <v>44834</v>
      </c>
      <c r="C4538" s="1" t="n">
        <v>45662</v>
      </c>
      <c r="D4538" t="inlineStr">
        <is>
          <t>NORRBOTTENS LÄN</t>
        </is>
      </c>
      <c r="E4538" t="inlineStr">
        <is>
          <t>GÄLLIVARE</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43294-2022</t>
        </is>
      </c>
      <c r="B4539" s="1" t="n">
        <v>44833</v>
      </c>
      <c r="C4539" s="1" t="n">
        <v>45662</v>
      </c>
      <c r="D4539" t="inlineStr">
        <is>
          <t>NORRBOTTENS LÄN</t>
        </is>
      </c>
      <c r="E4539" t="inlineStr">
        <is>
          <t>ÖVERTORNEÅ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43157-2022</t>
        </is>
      </c>
      <c r="B4540" s="1" t="n">
        <v>44834</v>
      </c>
      <c r="C4540" s="1" t="n">
        <v>45662</v>
      </c>
      <c r="D4540" t="inlineStr">
        <is>
          <t>NORRBOTTENS LÄN</t>
        </is>
      </c>
      <c r="E4540" t="inlineStr">
        <is>
          <t>GÄLLIVARE</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43282-2022</t>
        </is>
      </c>
      <c r="B4541" s="1" t="n">
        <v>44833</v>
      </c>
      <c r="C4541" s="1" t="n">
        <v>45662</v>
      </c>
      <c r="D4541" t="inlineStr">
        <is>
          <t>NORRBOTTENS LÄN</t>
        </is>
      </c>
      <c r="E4541" t="inlineStr">
        <is>
          <t>ÖVERTORNEÅ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43188-2022</t>
        </is>
      </c>
      <c r="B4542" s="1" t="n">
        <v>44833</v>
      </c>
      <c r="C4542" s="1" t="n">
        <v>45662</v>
      </c>
      <c r="D4542" t="inlineStr">
        <is>
          <t>NORRBOTTENS LÄN</t>
        </is>
      </c>
      <c r="E4542" t="inlineStr">
        <is>
          <t>KALIX</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43156-2022</t>
        </is>
      </c>
      <c r="B4543" s="1" t="n">
        <v>44834</v>
      </c>
      <c r="C4543" s="1" t="n">
        <v>45662</v>
      </c>
      <c r="D4543" t="inlineStr">
        <is>
          <t>NORRBOTTENS LÄN</t>
        </is>
      </c>
      <c r="E4543" t="inlineStr">
        <is>
          <t>GÄLLIVARE</t>
        </is>
      </c>
      <c r="F4543" t="inlineStr">
        <is>
          <t>SCA</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43314-2022</t>
        </is>
      </c>
      <c r="B4544" s="1" t="n">
        <v>44834</v>
      </c>
      <c r="C4544" s="1" t="n">
        <v>45662</v>
      </c>
      <c r="D4544" t="inlineStr">
        <is>
          <t>NORRBOTTENS LÄN</t>
        </is>
      </c>
      <c r="E4544" t="inlineStr">
        <is>
          <t>ÖVERKALIX</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43327-2022</t>
        </is>
      </c>
      <c r="B4545" s="1" t="n">
        <v>44834</v>
      </c>
      <c r="C4545" s="1" t="n">
        <v>45662</v>
      </c>
      <c r="D4545" t="inlineStr">
        <is>
          <t>NORRBOTTENS LÄN</t>
        </is>
      </c>
      <c r="E4545" t="inlineStr">
        <is>
          <t>ÖVERKALIX</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43316-2022</t>
        </is>
      </c>
      <c r="B4546" s="1" t="n">
        <v>44834</v>
      </c>
      <c r="C4546" s="1" t="n">
        <v>45662</v>
      </c>
      <c r="D4546" t="inlineStr">
        <is>
          <t>NORRBOTTENS LÄN</t>
        </is>
      </c>
      <c r="E4546" t="inlineStr">
        <is>
          <t>PAJALA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43396-2022</t>
        </is>
      </c>
      <c r="B4547" s="1" t="n">
        <v>44834</v>
      </c>
      <c r="C4547" s="1" t="n">
        <v>45662</v>
      </c>
      <c r="D4547" t="inlineStr">
        <is>
          <t>NORRBOTTENS LÄN</t>
        </is>
      </c>
      <c r="E4547" t="inlineStr">
        <is>
          <t>PAJALA</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43464-2022</t>
        </is>
      </c>
      <c r="B4548" s="1" t="n">
        <v>44836</v>
      </c>
      <c r="C4548" s="1" t="n">
        <v>45662</v>
      </c>
      <c r="D4548" t="inlineStr">
        <is>
          <t>NORRBOTTENS LÄN</t>
        </is>
      </c>
      <c r="E4548" t="inlineStr">
        <is>
          <t>BODEN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43482-2022</t>
        </is>
      </c>
      <c r="B4549" s="1" t="n">
        <v>44837</v>
      </c>
      <c r="C4549" s="1" t="n">
        <v>45662</v>
      </c>
      <c r="D4549" t="inlineStr">
        <is>
          <t>NORRBOTTENS LÄN</t>
        </is>
      </c>
      <c r="E4549" t="inlineStr">
        <is>
          <t>ÖVERTORNEÅ</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43579-2022</t>
        </is>
      </c>
      <c r="B4550" s="1" t="n">
        <v>44837</v>
      </c>
      <c r="C4550" s="1" t="n">
        <v>45662</v>
      </c>
      <c r="D4550" t="inlineStr">
        <is>
          <t>NORRBOTTENS LÄN</t>
        </is>
      </c>
      <c r="E4550" t="inlineStr">
        <is>
          <t>ÄLVSBYN</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43749-2022</t>
        </is>
      </c>
      <c r="B4551" s="1" t="n">
        <v>44837</v>
      </c>
      <c r="C4551" s="1" t="n">
        <v>45662</v>
      </c>
      <c r="D4551" t="inlineStr">
        <is>
          <t>NORRBOTTENS LÄN</t>
        </is>
      </c>
      <c r="E4551" t="inlineStr">
        <is>
          <t>PAJALA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43751-2022</t>
        </is>
      </c>
      <c r="B4552" s="1" t="n">
        <v>44837</v>
      </c>
      <c r="C4552" s="1" t="n">
        <v>45662</v>
      </c>
      <c r="D4552" t="inlineStr">
        <is>
          <t>NORRBOTTENS LÄN</t>
        </is>
      </c>
      <c r="E4552" t="inlineStr">
        <is>
          <t>PAJALA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43599-2022</t>
        </is>
      </c>
      <c r="B4553" s="1" t="n">
        <v>44837</v>
      </c>
      <c r="C4553" s="1" t="n">
        <v>45662</v>
      </c>
      <c r="D4553" t="inlineStr">
        <is>
          <t>NORRBOTTENS LÄN</t>
        </is>
      </c>
      <c r="E4553" t="inlineStr">
        <is>
          <t>PAJALA</t>
        </is>
      </c>
      <c r="G4553" t="n">
        <v>11.1</v>
      </c>
      <c r="H4553" t="n">
        <v>0</v>
      </c>
      <c r="I4553" t="n">
        <v>0</v>
      </c>
      <c r="J4553" t="n">
        <v>0</v>
      </c>
      <c r="K4553" t="n">
        <v>0</v>
      </c>
      <c r="L4553" t="n">
        <v>0</v>
      </c>
      <c r="M4553" t="n">
        <v>0</v>
      </c>
      <c r="N4553" t="n">
        <v>0</v>
      </c>
      <c r="O4553" t="n">
        <v>0</v>
      </c>
      <c r="P4553" t="n">
        <v>0</v>
      </c>
      <c r="Q4553" t="n">
        <v>0</v>
      </c>
      <c r="R4553" s="2" t="inlineStr"/>
    </row>
    <row r="4554" ht="15" customHeight="1">
      <c r="A4554" t="inlineStr">
        <is>
          <t>A 43750-2022</t>
        </is>
      </c>
      <c r="B4554" s="1" t="n">
        <v>44837</v>
      </c>
      <c r="C4554" s="1" t="n">
        <v>45662</v>
      </c>
      <c r="D4554" t="inlineStr">
        <is>
          <t>NORRBOTTENS LÄN</t>
        </is>
      </c>
      <c r="E4554" t="inlineStr">
        <is>
          <t>PAJALA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44205-2022</t>
        </is>
      </c>
      <c r="B4555" s="1" t="n">
        <v>44837</v>
      </c>
      <c r="C4555" s="1" t="n">
        <v>45662</v>
      </c>
      <c r="D4555" t="inlineStr">
        <is>
          <t>NORRBOTTENS LÄN</t>
        </is>
      </c>
      <c r="E4555" t="inlineStr">
        <is>
          <t>LULEÅ</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44192-2022</t>
        </is>
      </c>
      <c r="B4556" s="1" t="n">
        <v>44837</v>
      </c>
      <c r="C4556" s="1" t="n">
        <v>45662</v>
      </c>
      <c r="D4556" t="inlineStr">
        <is>
          <t>NORRBOTTENS LÄN</t>
        </is>
      </c>
      <c r="E4556" t="inlineStr">
        <is>
          <t>LULEÅ</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43861-2022</t>
        </is>
      </c>
      <c r="B4557" s="1" t="n">
        <v>44838</v>
      </c>
      <c r="C4557" s="1" t="n">
        <v>45662</v>
      </c>
      <c r="D4557" t="inlineStr">
        <is>
          <t>NORRBOTTENS LÄN</t>
        </is>
      </c>
      <c r="E4557" t="inlineStr">
        <is>
          <t>PITEÅ</t>
        </is>
      </c>
      <c r="F4557" t="inlineStr">
        <is>
          <t>Sveaskog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43878-2022</t>
        </is>
      </c>
      <c r="B4558" s="1" t="n">
        <v>44838</v>
      </c>
      <c r="C4558" s="1" t="n">
        <v>45662</v>
      </c>
      <c r="D4558" t="inlineStr">
        <is>
          <t>NORRBOTTENS LÄN</t>
        </is>
      </c>
      <c r="E4558" t="inlineStr">
        <is>
          <t>JOKKMOKK</t>
        </is>
      </c>
      <c r="F4558" t="inlineStr">
        <is>
          <t>Allmännings- och besparingsskogar</t>
        </is>
      </c>
      <c r="G4558" t="n">
        <v>30.9</v>
      </c>
      <c r="H4558" t="n">
        <v>0</v>
      </c>
      <c r="I4558" t="n">
        <v>0</v>
      </c>
      <c r="J4558" t="n">
        <v>0</v>
      </c>
      <c r="K4558" t="n">
        <v>0</v>
      </c>
      <c r="L4558" t="n">
        <v>0</v>
      </c>
      <c r="M4558" t="n">
        <v>0</v>
      </c>
      <c r="N4558" t="n">
        <v>0</v>
      </c>
      <c r="O4558" t="n">
        <v>0</v>
      </c>
      <c r="P4558" t="n">
        <v>0</v>
      </c>
      <c r="Q4558" t="n">
        <v>0</v>
      </c>
      <c r="R4558" s="2" t="inlineStr"/>
    </row>
    <row r="4559" ht="15" customHeight="1">
      <c r="A4559" t="inlineStr">
        <is>
          <t>A 44031-2022</t>
        </is>
      </c>
      <c r="B4559" s="1" t="n">
        <v>44838</v>
      </c>
      <c r="C4559" s="1" t="n">
        <v>45662</v>
      </c>
      <c r="D4559" t="inlineStr">
        <is>
          <t>NORRBOTTENS LÄN</t>
        </is>
      </c>
      <c r="E4559" t="inlineStr">
        <is>
          <t>ÖVERTORNEÅ</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44046-2022</t>
        </is>
      </c>
      <c r="B4560" s="1" t="n">
        <v>44839</v>
      </c>
      <c r="C4560" s="1" t="n">
        <v>45662</v>
      </c>
      <c r="D4560" t="inlineStr">
        <is>
          <t>NORRBOTTENS LÄN</t>
        </is>
      </c>
      <c r="E4560" t="inlineStr">
        <is>
          <t>BODEN</t>
        </is>
      </c>
      <c r="F4560" t="inlineStr">
        <is>
          <t>SCA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44496-2022</t>
        </is>
      </c>
      <c r="B4561" s="1" t="n">
        <v>44838</v>
      </c>
      <c r="C4561" s="1" t="n">
        <v>45662</v>
      </c>
      <c r="D4561" t="inlineStr">
        <is>
          <t>NORRBOTTENS LÄN</t>
        </is>
      </c>
      <c r="E4561" t="inlineStr">
        <is>
          <t>PITEÅ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44051-2022</t>
        </is>
      </c>
      <c r="B4562" s="1" t="n">
        <v>44838</v>
      </c>
      <c r="C4562" s="1" t="n">
        <v>45662</v>
      </c>
      <c r="D4562" t="inlineStr">
        <is>
          <t>NORRBOTTENS LÄN</t>
        </is>
      </c>
      <c r="E4562" t="inlineStr">
        <is>
          <t>BODEN</t>
        </is>
      </c>
      <c r="F4562" t="inlineStr">
        <is>
          <t>SCA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44258-2022</t>
        </is>
      </c>
      <c r="B4563" s="1" t="n">
        <v>44839</v>
      </c>
      <c r="C4563" s="1" t="n">
        <v>45662</v>
      </c>
      <c r="D4563" t="inlineStr">
        <is>
          <t>NORRBOTTENS LÄN</t>
        </is>
      </c>
      <c r="E4563" t="inlineStr">
        <is>
          <t>BODEN</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44304-2022</t>
        </is>
      </c>
      <c r="B4564" s="1" t="n">
        <v>44839</v>
      </c>
      <c r="C4564" s="1" t="n">
        <v>45662</v>
      </c>
      <c r="D4564" t="inlineStr">
        <is>
          <t>NORRBOTTENS LÄN</t>
        </is>
      </c>
      <c r="E4564" t="inlineStr">
        <is>
          <t>PITEÅ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44345-2022</t>
        </is>
      </c>
      <c r="B4565" s="1" t="n">
        <v>44839</v>
      </c>
      <c r="C4565" s="1" t="n">
        <v>45662</v>
      </c>
      <c r="D4565" t="inlineStr">
        <is>
          <t>NORRBOTTENS LÄN</t>
        </is>
      </c>
      <c r="E4565" t="inlineStr">
        <is>
          <t>BODEN</t>
        </is>
      </c>
      <c r="F4565" t="inlineStr">
        <is>
          <t>Sveaskog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44688-2022</t>
        </is>
      </c>
      <c r="B4566" s="1" t="n">
        <v>44839</v>
      </c>
      <c r="C4566" s="1" t="n">
        <v>45662</v>
      </c>
      <c r="D4566" t="inlineStr">
        <is>
          <t>NORRBOTTENS LÄN</t>
        </is>
      </c>
      <c r="E4566" t="inlineStr">
        <is>
          <t>LULEÅ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44335-2022</t>
        </is>
      </c>
      <c r="B4567" s="1" t="n">
        <v>44839</v>
      </c>
      <c r="C4567" s="1" t="n">
        <v>45662</v>
      </c>
      <c r="D4567" t="inlineStr">
        <is>
          <t>NORRBOTTENS LÄN</t>
        </is>
      </c>
      <c r="E4567" t="inlineStr">
        <is>
          <t>JOKKMOKK</t>
        </is>
      </c>
      <c r="F4567" t="inlineStr">
        <is>
          <t>Allmännings- och besparingsskogar</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44840-2022</t>
        </is>
      </c>
      <c r="B4568" s="1" t="n">
        <v>44839</v>
      </c>
      <c r="C4568" s="1" t="n">
        <v>45662</v>
      </c>
      <c r="D4568" t="inlineStr">
        <is>
          <t>NORRBOTTENS LÄN</t>
        </is>
      </c>
      <c r="E4568" t="inlineStr">
        <is>
          <t>GÄLLIVARE</t>
        </is>
      </c>
      <c r="F4568" t="inlineStr">
        <is>
          <t>Övriga statliga verk och myndigheter</t>
        </is>
      </c>
      <c r="G4568" t="n">
        <v>20.9</v>
      </c>
      <c r="H4568" t="n">
        <v>0</v>
      </c>
      <c r="I4568" t="n">
        <v>0</v>
      </c>
      <c r="J4568" t="n">
        <v>0</v>
      </c>
      <c r="K4568" t="n">
        <v>0</v>
      </c>
      <c r="L4568" t="n">
        <v>0</v>
      </c>
      <c r="M4568" t="n">
        <v>0</v>
      </c>
      <c r="N4568" t="n">
        <v>0</v>
      </c>
      <c r="O4568" t="n">
        <v>0</v>
      </c>
      <c r="P4568" t="n">
        <v>0</v>
      </c>
      <c r="Q4568" t="n">
        <v>0</v>
      </c>
      <c r="R4568" s="2" t="inlineStr"/>
    </row>
    <row r="4569" ht="15" customHeight="1">
      <c r="A4569" t="inlineStr">
        <is>
          <t>A 44833-2022</t>
        </is>
      </c>
      <c r="B4569" s="1" t="n">
        <v>44839</v>
      </c>
      <c r="C4569" s="1" t="n">
        <v>45662</v>
      </c>
      <c r="D4569" t="inlineStr">
        <is>
          <t>NORRBOTTENS LÄN</t>
        </is>
      </c>
      <c r="E4569" t="inlineStr">
        <is>
          <t>PAJALA</t>
        </is>
      </c>
      <c r="G4569" t="n">
        <v>19.9</v>
      </c>
      <c r="H4569" t="n">
        <v>0</v>
      </c>
      <c r="I4569" t="n">
        <v>0</v>
      </c>
      <c r="J4569" t="n">
        <v>0</v>
      </c>
      <c r="K4569" t="n">
        <v>0</v>
      </c>
      <c r="L4569" t="n">
        <v>0</v>
      </c>
      <c r="M4569" t="n">
        <v>0</v>
      </c>
      <c r="N4569" t="n">
        <v>0</v>
      </c>
      <c r="O4569" t="n">
        <v>0</v>
      </c>
      <c r="P4569" t="n">
        <v>0</v>
      </c>
      <c r="Q4569" t="n">
        <v>0</v>
      </c>
      <c r="R4569" s="2" t="inlineStr"/>
    </row>
    <row r="4570" ht="15" customHeight="1">
      <c r="A4570" t="inlineStr">
        <is>
          <t>A 44868-2022</t>
        </is>
      </c>
      <c r="B4570" s="1" t="n">
        <v>44839</v>
      </c>
      <c r="C4570" s="1" t="n">
        <v>45662</v>
      </c>
      <c r="D4570" t="inlineStr">
        <is>
          <t>NORRBOTTENS LÄN</t>
        </is>
      </c>
      <c r="E4570" t="inlineStr">
        <is>
          <t>PAJALA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44705-2022</t>
        </is>
      </c>
      <c r="B4571" s="1" t="n">
        <v>44839</v>
      </c>
      <c r="C4571" s="1" t="n">
        <v>45662</v>
      </c>
      <c r="D4571" t="inlineStr">
        <is>
          <t>NORRBOTTENS LÄN</t>
        </is>
      </c>
      <c r="E4571" t="inlineStr">
        <is>
          <t>LULEÅ</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44682-2022</t>
        </is>
      </c>
      <c r="B4572" s="1" t="n">
        <v>44840</v>
      </c>
      <c r="C4572" s="1" t="n">
        <v>45662</v>
      </c>
      <c r="D4572" t="inlineStr">
        <is>
          <t>NORRBOTTENS LÄN</t>
        </is>
      </c>
      <c r="E4572" t="inlineStr">
        <is>
          <t>BODEN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44509-2022</t>
        </is>
      </c>
      <c r="B4573" s="1" t="n">
        <v>44840</v>
      </c>
      <c r="C4573" s="1" t="n">
        <v>45662</v>
      </c>
      <c r="D4573" t="inlineStr">
        <is>
          <t>NORRBOTTENS LÄN</t>
        </is>
      </c>
      <c r="E4573" t="inlineStr">
        <is>
          <t>PITEÅ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44686-2022</t>
        </is>
      </c>
      <c r="B4574" s="1" t="n">
        <v>44840</v>
      </c>
      <c r="C4574" s="1" t="n">
        <v>45662</v>
      </c>
      <c r="D4574" t="inlineStr">
        <is>
          <t>NORRBOTTENS LÄN</t>
        </is>
      </c>
      <c r="E4574" t="inlineStr">
        <is>
          <t>BODEN</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44511-2022</t>
        </is>
      </c>
      <c r="B4575" s="1" t="n">
        <v>44840</v>
      </c>
      <c r="C4575" s="1" t="n">
        <v>45662</v>
      </c>
      <c r="D4575" t="inlineStr">
        <is>
          <t>NORRBOTTENS LÄN</t>
        </is>
      </c>
      <c r="E4575" t="inlineStr">
        <is>
          <t>PITEÅ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44679-2022</t>
        </is>
      </c>
      <c r="B4576" s="1" t="n">
        <v>44840</v>
      </c>
      <c r="C4576" s="1" t="n">
        <v>45662</v>
      </c>
      <c r="D4576" t="inlineStr">
        <is>
          <t>NORRBOTTENS LÄN</t>
        </is>
      </c>
      <c r="E4576" t="inlineStr">
        <is>
          <t>BODEN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44751-2022</t>
        </is>
      </c>
      <c r="B4577" s="1" t="n">
        <v>44840</v>
      </c>
      <c r="C4577" s="1" t="n">
        <v>45662</v>
      </c>
      <c r="D4577" t="inlineStr">
        <is>
          <t>NORRBOTTENS LÄN</t>
        </is>
      </c>
      <c r="E4577" t="inlineStr">
        <is>
          <t>ARJEPLOG</t>
        </is>
      </c>
      <c r="F4577" t="inlineStr">
        <is>
          <t>SCA</t>
        </is>
      </c>
      <c r="G4577" t="n">
        <v>26.1</v>
      </c>
      <c r="H4577" t="n">
        <v>0</v>
      </c>
      <c r="I4577" t="n">
        <v>0</v>
      </c>
      <c r="J4577" t="n">
        <v>0</v>
      </c>
      <c r="K4577" t="n">
        <v>0</v>
      </c>
      <c r="L4577" t="n">
        <v>0</v>
      </c>
      <c r="M4577" t="n">
        <v>0</v>
      </c>
      <c r="N4577" t="n">
        <v>0</v>
      </c>
      <c r="O4577" t="n">
        <v>0</v>
      </c>
      <c r="P4577" t="n">
        <v>0</v>
      </c>
      <c r="Q4577" t="n">
        <v>0</v>
      </c>
      <c r="R4577" s="2" t="inlineStr"/>
    </row>
    <row r="4578" ht="15" customHeight="1">
      <c r="A4578" t="inlineStr">
        <is>
          <t>A 45205-2022</t>
        </is>
      </c>
      <c r="B4578" s="1" t="n">
        <v>44840</v>
      </c>
      <c r="C4578" s="1" t="n">
        <v>45662</v>
      </c>
      <c r="D4578" t="inlineStr">
        <is>
          <t>NORRBOTTENS LÄN</t>
        </is>
      </c>
      <c r="E4578" t="inlineStr">
        <is>
          <t>KIRUNA</t>
        </is>
      </c>
      <c r="F4578" t="inlineStr">
        <is>
          <t>Övriga statliga verk och myndigheter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44772-2022</t>
        </is>
      </c>
      <c r="B4579" s="1" t="n">
        <v>44841</v>
      </c>
      <c r="C4579" s="1" t="n">
        <v>45662</v>
      </c>
      <c r="D4579" t="inlineStr">
        <is>
          <t>NORRBOTTENS LÄN</t>
        </is>
      </c>
      <c r="E4579" t="inlineStr">
        <is>
          <t>PAJALA</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44809-2022</t>
        </is>
      </c>
      <c r="B4580" s="1" t="n">
        <v>44841</v>
      </c>
      <c r="C4580" s="1" t="n">
        <v>45662</v>
      </c>
      <c r="D4580" t="inlineStr">
        <is>
          <t>NORRBOTTENS LÄN</t>
        </is>
      </c>
      <c r="E4580" t="inlineStr">
        <is>
          <t>PITEÅ</t>
        </is>
      </c>
      <c r="F4580" t="inlineStr">
        <is>
          <t>Sveaskog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44821-2022</t>
        </is>
      </c>
      <c r="B4581" s="1" t="n">
        <v>44841</v>
      </c>
      <c r="C4581" s="1" t="n">
        <v>45662</v>
      </c>
      <c r="D4581" t="inlineStr">
        <is>
          <t>NORRBOTTENS LÄN</t>
        </is>
      </c>
      <c r="E4581" t="inlineStr">
        <is>
          <t>PAJALA</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45035-2022</t>
        </is>
      </c>
      <c r="B4582" s="1" t="n">
        <v>44841</v>
      </c>
      <c r="C4582" s="1" t="n">
        <v>45662</v>
      </c>
      <c r="D4582" t="inlineStr">
        <is>
          <t>NORRBOTTENS LÄN</t>
        </is>
      </c>
      <c r="E4582" t="inlineStr">
        <is>
          <t>BODEN</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44987-2022</t>
        </is>
      </c>
      <c r="B4583" s="1" t="n">
        <v>44841</v>
      </c>
      <c r="C4583" s="1" t="n">
        <v>45662</v>
      </c>
      <c r="D4583" t="inlineStr">
        <is>
          <t>NORRBOTTENS LÄN</t>
        </is>
      </c>
      <c r="E4583" t="inlineStr">
        <is>
          <t>LULEÅ</t>
        </is>
      </c>
      <c r="F4583" t="inlineStr">
        <is>
          <t>Sveaskog</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45468-2022</t>
        </is>
      </c>
      <c r="B4584" s="1" t="n">
        <v>44841</v>
      </c>
      <c r="C4584" s="1" t="n">
        <v>45662</v>
      </c>
      <c r="D4584" t="inlineStr">
        <is>
          <t>NORRBOTTENS LÄN</t>
        </is>
      </c>
      <c r="E4584" t="inlineStr">
        <is>
          <t>JOKKMOKK</t>
        </is>
      </c>
      <c r="F4584" t="inlineStr">
        <is>
          <t>Övriga Aktiebolag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45512-2022</t>
        </is>
      </c>
      <c r="B4585" s="1" t="n">
        <v>44841</v>
      </c>
      <c r="C4585" s="1" t="n">
        <v>45662</v>
      </c>
      <c r="D4585" t="inlineStr">
        <is>
          <t>NORRBOTTENS LÄN</t>
        </is>
      </c>
      <c r="E4585" t="inlineStr">
        <is>
          <t>JOKKMOKK</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45469-2022</t>
        </is>
      </c>
      <c r="B4586" s="1" t="n">
        <v>44841</v>
      </c>
      <c r="C4586" s="1" t="n">
        <v>45662</v>
      </c>
      <c r="D4586" t="inlineStr">
        <is>
          <t>NORRBOTTENS LÄN</t>
        </is>
      </c>
      <c r="E4586" t="inlineStr">
        <is>
          <t>JOKKMOKK</t>
        </is>
      </c>
      <c r="F4586" t="inlineStr">
        <is>
          <t>Övriga Aktiebolag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45505-2022</t>
        </is>
      </c>
      <c r="B4587" s="1" t="n">
        <v>44841</v>
      </c>
      <c r="C4587" s="1" t="n">
        <v>45662</v>
      </c>
      <c r="D4587" t="inlineStr">
        <is>
          <t>NORRBOTTENS LÄN</t>
        </is>
      </c>
      <c r="E4587" t="inlineStr">
        <is>
          <t>JOKKMOKK</t>
        </is>
      </c>
      <c r="F4587" t="inlineStr">
        <is>
          <t>Övriga Aktiebolag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45510-2022</t>
        </is>
      </c>
      <c r="B4588" s="1" t="n">
        <v>44841</v>
      </c>
      <c r="C4588" s="1" t="n">
        <v>45662</v>
      </c>
      <c r="D4588" t="inlineStr">
        <is>
          <t>NORRBOTTENS LÄN</t>
        </is>
      </c>
      <c r="E4588" t="inlineStr">
        <is>
          <t>JOKKMOKK</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45164-2022</t>
        </is>
      </c>
      <c r="B4589" s="1" t="n">
        <v>44844</v>
      </c>
      <c r="C4589" s="1" t="n">
        <v>45662</v>
      </c>
      <c r="D4589" t="inlineStr">
        <is>
          <t>NORRBOTTENS LÄN</t>
        </is>
      </c>
      <c r="E4589" t="inlineStr">
        <is>
          <t>BODEN</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45176-2022</t>
        </is>
      </c>
      <c r="B4590" s="1" t="n">
        <v>44844</v>
      </c>
      <c r="C4590" s="1" t="n">
        <v>45662</v>
      </c>
      <c r="D4590" t="inlineStr">
        <is>
          <t>NORRBOTTENS LÄN</t>
        </is>
      </c>
      <c r="E4590" t="inlineStr">
        <is>
          <t>BODEN</t>
        </is>
      </c>
      <c r="G4590" t="n">
        <v>9.5</v>
      </c>
      <c r="H4590" t="n">
        <v>0</v>
      </c>
      <c r="I4590" t="n">
        <v>0</v>
      </c>
      <c r="J4590" t="n">
        <v>0</v>
      </c>
      <c r="K4590" t="n">
        <v>0</v>
      </c>
      <c r="L4590" t="n">
        <v>0</v>
      </c>
      <c r="M4590" t="n">
        <v>0</v>
      </c>
      <c r="N4590" t="n">
        <v>0</v>
      </c>
      <c r="O4590" t="n">
        <v>0</v>
      </c>
      <c r="P4590" t="n">
        <v>0</v>
      </c>
      <c r="Q4590" t="n">
        <v>0</v>
      </c>
      <c r="R4590" s="2" t="inlineStr"/>
    </row>
    <row r="4591" ht="15" customHeight="1">
      <c r="A4591" t="inlineStr">
        <is>
          <t>A 45181-2022</t>
        </is>
      </c>
      <c r="B4591" s="1" t="n">
        <v>44844</v>
      </c>
      <c r="C4591" s="1" t="n">
        <v>45662</v>
      </c>
      <c r="D4591" t="inlineStr">
        <is>
          <t>NORRBOTTENS LÄN</t>
        </is>
      </c>
      <c r="E4591" t="inlineStr">
        <is>
          <t>PAJALA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45178-2022</t>
        </is>
      </c>
      <c r="B4592" s="1" t="n">
        <v>44844</v>
      </c>
      <c r="C4592" s="1" t="n">
        <v>45662</v>
      </c>
      <c r="D4592" t="inlineStr">
        <is>
          <t>NORRBOTTENS LÄN</t>
        </is>
      </c>
      <c r="E4592" t="inlineStr">
        <is>
          <t>ÖVERTORNEÅ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45281-2022</t>
        </is>
      </c>
      <c r="B4593" s="1" t="n">
        <v>44844</v>
      </c>
      <c r="C4593" s="1" t="n">
        <v>45662</v>
      </c>
      <c r="D4593" t="inlineStr">
        <is>
          <t>NORRBOTTENS LÄN</t>
        </is>
      </c>
      <c r="E4593" t="inlineStr">
        <is>
          <t>ÖVERKALIX</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45434-2022</t>
        </is>
      </c>
      <c r="B4594" s="1" t="n">
        <v>44845</v>
      </c>
      <c r="C4594" s="1" t="n">
        <v>45662</v>
      </c>
      <c r="D4594" t="inlineStr">
        <is>
          <t>NORRBOTTENS LÄN</t>
        </is>
      </c>
      <c r="E4594" t="inlineStr">
        <is>
          <t>PITEÅ</t>
        </is>
      </c>
      <c r="F4594" t="inlineStr">
        <is>
          <t>SCA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45433-2022</t>
        </is>
      </c>
      <c r="B4595" s="1" t="n">
        <v>44845</v>
      </c>
      <c r="C4595" s="1" t="n">
        <v>45662</v>
      </c>
      <c r="D4595" t="inlineStr">
        <is>
          <t>NORRBOTTENS LÄN</t>
        </is>
      </c>
      <c r="E4595" t="inlineStr">
        <is>
          <t>PITEÅ</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45801-2022</t>
        </is>
      </c>
      <c r="B4596" s="1" t="n">
        <v>44844</v>
      </c>
      <c r="C4596" s="1" t="n">
        <v>45662</v>
      </c>
      <c r="D4596" t="inlineStr">
        <is>
          <t>NORRBOTTENS LÄN</t>
        </is>
      </c>
      <c r="E4596" t="inlineStr">
        <is>
          <t>KIRUNA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45791-2022</t>
        </is>
      </c>
      <c r="B4597" s="1" t="n">
        <v>44844</v>
      </c>
      <c r="C4597" s="1" t="n">
        <v>45662</v>
      </c>
      <c r="D4597" t="inlineStr">
        <is>
          <t>NORRBOTTENS LÄN</t>
        </is>
      </c>
      <c r="E4597" t="inlineStr">
        <is>
          <t>KALIX</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45577-2022</t>
        </is>
      </c>
      <c r="B4598" s="1" t="n">
        <v>44845</v>
      </c>
      <c r="C4598" s="1" t="n">
        <v>45662</v>
      </c>
      <c r="D4598" t="inlineStr">
        <is>
          <t>NORRBOTTENS LÄN</t>
        </is>
      </c>
      <c r="E4598" t="inlineStr">
        <is>
          <t>HAPARANDA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45480-2022</t>
        </is>
      </c>
      <c r="B4599" s="1" t="n">
        <v>44845</v>
      </c>
      <c r="C4599" s="1" t="n">
        <v>45662</v>
      </c>
      <c r="D4599" t="inlineStr">
        <is>
          <t>NORRBOTTENS LÄN</t>
        </is>
      </c>
      <c r="E4599" t="inlineStr">
        <is>
          <t>PAJALA</t>
        </is>
      </c>
      <c r="G4599" t="n">
        <v>15.5</v>
      </c>
      <c r="H4599" t="n">
        <v>0</v>
      </c>
      <c r="I4599" t="n">
        <v>0</v>
      </c>
      <c r="J4599" t="n">
        <v>0</v>
      </c>
      <c r="K4599" t="n">
        <v>0</v>
      </c>
      <c r="L4599" t="n">
        <v>0</v>
      </c>
      <c r="M4599" t="n">
        <v>0</v>
      </c>
      <c r="N4599" t="n">
        <v>0</v>
      </c>
      <c r="O4599" t="n">
        <v>0</v>
      </c>
      <c r="P4599" t="n">
        <v>0</v>
      </c>
      <c r="Q4599" t="n">
        <v>0</v>
      </c>
      <c r="R4599" s="2" t="inlineStr"/>
    </row>
    <row r="4600" ht="15" customHeight="1">
      <c r="A4600" t="inlineStr">
        <is>
          <t>A 45707-2022</t>
        </is>
      </c>
      <c r="B4600" s="1" t="n">
        <v>44846</v>
      </c>
      <c r="C4600" s="1" t="n">
        <v>45662</v>
      </c>
      <c r="D4600" t="inlineStr">
        <is>
          <t>NORRBOTTENS LÄN</t>
        </is>
      </c>
      <c r="E4600" t="inlineStr">
        <is>
          <t>ÄLVSBYN</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46093-2022</t>
        </is>
      </c>
      <c r="B4601" s="1" t="n">
        <v>44845</v>
      </c>
      <c r="C4601" s="1" t="n">
        <v>45662</v>
      </c>
      <c r="D4601" t="inlineStr">
        <is>
          <t>NORRBOTTENS LÄN</t>
        </is>
      </c>
      <c r="E4601" t="inlineStr">
        <is>
          <t>ARJEPLOG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46067-2022</t>
        </is>
      </c>
      <c r="B4602" s="1" t="n">
        <v>44845</v>
      </c>
      <c r="C4602" s="1" t="n">
        <v>45662</v>
      </c>
      <c r="D4602" t="inlineStr">
        <is>
          <t>NORRBOTTENS LÄN</t>
        </is>
      </c>
      <c r="E4602" t="inlineStr">
        <is>
          <t>ARVIDSJAUR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46100-2022</t>
        </is>
      </c>
      <c r="B4603" s="1" t="n">
        <v>44845</v>
      </c>
      <c r="C4603" s="1" t="n">
        <v>45662</v>
      </c>
      <c r="D4603" t="inlineStr">
        <is>
          <t>NORRBOTTENS LÄN</t>
        </is>
      </c>
      <c r="E4603" t="inlineStr">
        <is>
          <t>PAJALA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46120-2022</t>
        </is>
      </c>
      <c r="B4604" s="1" t="n">
        <v>44845</v>
      </c>
      <c r="C4604" s="1" t="n">
        <v>45662</v>
      </c>
      <c r="D4604" t="inlineStr">
        <is>
          <t>NORRBOTTENS LÄN</t>
        </is>
      </c>
      <c r="E4604" t="inlineStr">
        <is>
          <t>PAJALA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45722-2022</t>
        </is>
      </c>
      <c r="B4605" s="1" t="n">
        <v>44846</v>
      </c>
      <c r="C4605" s="1" t="n">
        <v>45662</v>
      </c>
      <c r="D4605" t="inlineStr">
        <is>
          <t>NORRBOTTENS LÄN</t>
        </is>
      </c>
      <c r="E4605" t="inlineStr">
        <is>
          <t>PAJALA</t>
        </is>
      </c>
      <c r="F4605" t="inlineStr">
        <is>
          <t>Sveaskog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46347-2022</t>
        </is>
      </c>
      <c r="B4606" s="1" t="n">
        <v>44847</v>
      </c>
      <c r="C4606" s="1" t="n">
        <v>45662</v>
      </c>
      <c r="D4606" t="inlineStr">
        <is>
          <t>NORRBOTTENS LÄN</t>
        </is>
      </c>
      <c r="E4606" t="inlineStr">
        <is>
          <t>ÖVERKALIX</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46308-2022</t>
        </is>
      </c>
      <c r="B4607" s="1" t="n">
        <v>44847</v>
      </c>
      <c r="C4607" s="1" t="n">
        <v>45662</v>
      </c>
      <c r="D4607" t="inlineStr">
        <is>
          <t>NORRBOTTENS LÄN</t>
        </is>
      </c>
      <c r="E4607" t="inlineStr">
        <is>
          <t>ÄLVSBYN</t>
        </is>
      </c>
      <c r="G4607" t="n">
        <v>18.7</v>
      </c>
      <c r="H4607" t="n">
        <v>0</v>
      </c>
      <c r="I4607" t="n">
        <v>0</v>
      </c>
      <c r="J4607" t="n">
        <v>0</v>
      </c>
      <c r="K4607" t="n">
        <v>0</v>
      </c>
      <c r="L4607" t="n">
        <v>0</v>
      </c>
      <c r="M4607" t="n">
        <v>0</v>
      </c>
      <c r="N4607" t="n">
        <v>0</v>
      </c>
      <c r="O4607" t="n">
        <v>0</v>
      </c>
      <c r="P4607" t="n">
        <v>0</v>
      </c>
      <c r="Q4607" t="n">
        <v>0</v>
      </c>
      <c r="R4607" s="2" t="inlineStr"/>
    </row>
    <row r="4608" ht="15" customHeight="1">
      <c r="A4608" t="inlineStr">
        <is>
          <t>A 46307-2022</t>
        </is>
      </c>
      <c r="B4608" s="1" t="n">
        <v>44847</v>
      </c>
      <c r="C4608" s="1" t="n">
        <v>45662</v>
      </c>
      <c r="D4608" t="inlineStr">
        <is>
          <t>NORRBOTTENS LÄN</t>
        </is>
      </c>
      <c r="E4608" t="inlineStr">
        <is>
          <t>ÄLVSBYN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46564-2022</t>
        </is>
      </c>
      <c r="B4609" s="1" t="n">
        <v>44847</v>
      </c>
      <c r="C4609" s="1" t="n">
        <v>45662</v>
      </c>
      <c r="D4609" t="inlineStr">
        <is>
          <t>NORRBOTTENS LÄN</t>
        </is>
      </c>
      <c r="E4609" t="inlineStr">
        <is>
          <t>BODEN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46557-2022</t>
        </is>
      </c>
      <c r="B4610" s="1" t="n">
        <v>44848</v>
      </c>
      <c r="C4610" s="1" t="n">
        <v>45662</v>
      </c>
      <c r="D4610" t="inlineStr">
        <is>
          <t>NORRBOTTENS LÄN</t>
        </is>
      </c>
      <c r="E4610" t="inlineStr">
        <is>
          <t>PAJALA</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46473-2022</t>
        </is>
      </c>
      <c r="B4611" s="1" t="n">
        <v>44848</v>
      </c>
      <c r="C4611" s="1" t="n">
        <v>45662</v>
      </c>
      <c r="D4611" t="inlineStr">
        <is>
          <t>NORRBOTTENS LÄN</t>
        </is>
      </c>
      <c r="E4611" t="inlineStr">
        <is>
          <t>LULEÅ</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46554-2022</t>
        </is>
      </c>
      <c r="B4612" s="1" t="n">
        <v>44848</v>
      </c>
      <c r="C4612" s="1" t="n">
        <v>45662</v>
      </c>
      <c r="D4612" t="inlineStr">
        <is>
          <t>NORRBOTTENS LÄN</t>
        </is>
      </c>
      <c r="E4612" t="inlineStr">
        <is>
          <t>PAJALA</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46594-2022</t>
        </is>
      </c>
      <c r="B4613" s="1" t="n">
        <v>44848</v>
      </c>
      <c r="C4613" s="1" t="n">
        <v>45662</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46609-2022</t>
        </is>
      </c>
      <c r="B4614" s="1" t="n">
        <v>44848</v>
      </c>
      <c r="C4614" s="1" t="n">
        <v>45662</v>
      </c>
      <c r="D4614" t="inlineStr">
        <is>
          <t>NORRBOTTENS LÄN</t>
        </is>
      </c>
      <c r="E4614" t="inlineStr">
        <is>
          <t>PITEÅ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46605-2022</t>
        </is>
      </c>
      <c r="B4615" s="1" t="n">
        <v>44848</v>
      </c>
      <c r="C4615" s="1" t="n">
        <v>45662</v>
      </c>
      <c r="D4615" t="inlineStr">
        <is>
          <t>NORRBOTTENS LÄN</t>
        </is>
      </c>
      <c r="E4615" t="inlineStr">
        <is>
          <t>PITEÅ</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46622-2022</t>
        </is>
      </c>
      <c r="B4616" s="1" t="n">
        <v>44849</v>
      </c>
      <c r="C4616" s="1" t="n">
        <v>45662</v>
      </c>
      <c r="D4616" t="inlineStr">
        <is>
          <t>NORRBOTTENS LÄN</t>
        </is>
      </c>
      <c r="E4616" t="inlineStr">
        <is>
          <t>ÖVERKALIX</t>
        </is>
      </c>
      <c r="F4616" t="inlineStr">
        <is>
          <t>SCA</t>
        </is>
      </c>
      <c r="G4616" t="n">
        <v>11.6</v>
      </c>
      <c r="H4616" t="n">
        <v>0</v>
      </c>
      <c r="I4616" t="n">
        <v>0</v>
      </c>
      <c r="J4616" t="n">
        <v>0</v>
      </c>
      <c r="K4616" t="n">
        <v>0</v>
      </c>
      <c r="L4616" t="n">
        <v>0</v>
      </c>
      <c r="M4616" t="n">
        <v>0</v>
      </c>
      <c r="N4616" t="n">
        <v>0</v>
      </c>
      <c r="O4616" t="n">
        <v>0</v>
      </c>
      <c r="P4616" t="n">
        <v>0</v>
      </c>
      <c r="Q4616" t="n">
        <v>0</v>
      </c>
      <c r="R4616" s="2" t="inlineStr"/>
    </row>
    <row r="4617" ht="15" customHeight="1">
      <c r="A4617" t="inlineStr">
        <is>
          <t>A 46624-2022</t>
        </is>
      </c>
      <c r="B4617" s="1" t="n">
        <v>44849</v>
      </c>
      <c r="C4617" s="1" t="n">
        <v>45662</v>
      </c>
      <c r="D4617" t="inlineStr">
        <is>
          <t>NORRBOTTENS LÄN</t>
        </is>
      </c>
      <c r="E4617" t="inlineStr">
        <is>
          <t>KALIX</t>
        </is>
      </c>
      <c r="F4617" t="inlineStr">
        <is>
          <t>SCA</t>
        </is>
      </c>
      <c r="G4617" t="n">
        <v>15.4</v>
      </c>
      <c r="H4617" t="n">
        <v>0</v>
      </c>
      <c r="I4617" t="n">
        <v>0</v>
      </c>
      <c r="J4617" t="n">
        <v>0</v>
      </c>
      <c r="K4617" t="n">
        <v>0</v>
      </c>
      <c r="L4617" t="n">
        <v>0</v>
      </c>
      <c r="M4617" t="n">
        <v>0</v>
      </c>
      <c r="N4617" t="n">
        <v>0</v>
      </c>
      <c r="O4617" t="n">
        <v>0</v>
      </c>
      <c r="P4617" t="n">
        <v>0</v>
      </c>
      <c r="Q4617" t="n">
        <v>0</v>
      </c>
      <c r="R4617" s="2" t="inlineStr"/>
    </row>
    <row r="4618" ht="15" customHeight="1">
      <c r="A4618" t="inlineStr">
        <is>
          <t>A 46822-2022</t>
        </is>
      </c>
      <c r="B4618" s="1" t="n">
        <v>44848</v>
      </c>
      <c r="C4618" s="1" t="n">
        <v>45662</v>
      </c>
      <c r="D4618" t="inlineStr">
        <is>
          <t>NORRBOTTENS LÄN</t>
        </is>
      </c>
      <c r="E4618" t="inlineStr">
        <is>
          <t>KALIX</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46625-2022</t>
        </is>
      </c>
      <c r="B4619" s="1" t="n">
        <v>44849</v>
      </c>
      <c r="C4619" s="1" t="n">
        <v>45662</v>
      </c>
      <c r="D4619" t="inlineStr">
        <is>
          <t>NORRBOTTENS LÄN</t>
        </is>
      </c>
      <c r="E4619" t="inlineStr">
        <is>
          <t>PITEÅ</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46843-2022</t>
        </is>
      </c>
      <c r="B4620" s="1" t="n">
        <v>44848</v>
      </c>
      <c r="C4620" s="1" t="n">
        <v>45662</v>
      </c>
      <c r="D4620" t="inlineStr">
        <is>
          <t>NORRBOTTENS LÄN</t>
        </is>
      </c>
      <c r="E4620" t="inlineStr">
        <is>
          <t>PITEÅ</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46786-2022</t>
        </is>
      </c>
      <c r="B4621" s="1" t="n">
        <v>44851</v>
      </c>
      <c r="C4621" s="1" t="n">
        <v>45662</v>
      </c>
      <c r="D4621" t="inlineStr">
        <is>
          <t>NORRBOTTENS LÄN</t>
        </is>
      </c>
      <c r="E4621" t="inlineStr">
        <is>
          <t>KALIX</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46980-2022</t>
        </is>
      </c>
      <c r="B4622" s="1" t="n">
        <v>44851</v>
      </c>
      <c r="C4622" s="1" t="n">
        <v>45662</v>
      </c>
      <c r="D4622" t="inlineStr">
        <is>
          <t>NORRBOTTENS LÄN</t>
        </is>
      </c>
      <c r="E4622" t="inlineStr">
        <is>
          <t>ÄLVSBYN</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46957-2022</t>
        </is>
      </c>
      <c r="B4623" s="1" t="n">
        <v>44851</v>
      </c>
      <c r="C4623" s="1" t="n">
        <v>45662</v>
      </c>
      <c r="D4623" t="inlineStr">
        <is>
          <t>NORRBOTTENS LÄN</t>
        </is>
      </c>
      <c r="E4623" t="inlineStr">
        <is>
          <t>JOKKMOKK</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46831-2022</t>
        </is>
      </c>
      <c r="B4624" s="1" t="n">
        <v>44851</v>
      </c>
      <c r="C4624" s="1" t="n">
        <v>45662</v>
      </c>
      <c r="D4624" t="inlineStr">
        <is>
          <t>NORRBOTTENS LÄN</t>
        </is>
      </c>
      <c r="E4624" t="inlineStr">
        <is>
          <t>KALIX</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47208-2022</t>
        </is>
      </c>
      <c r="B4625" s="1" t="n">
        <v>44851</v>
      </c>
      <c r="C4625" s="1" t="n">
        <v>45662</v>
      </c>
      <c r="D4625" t="inlineStr">
        <is>
          <t>NORRBOTTENS LÄN</t>
        </is>
      </c>
      <c r="E4625" t="inlineStr">
        <is>
          <t>JOKKMOKK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47062-2022</t>
        </is>
      </c>
      <c r="B4626" s="1" t="n">
        <v>44851</v>
      </c>
      <c r="C4626" s="1" t="n">
        <v>45662</v>
      </c>
      <c r="D4626" t="inlineStr">
        <is>
          <t>NORRBOTTENS LÄN</t>
        </is>
      </c>
      <c r="E4626" t="inlineStr">
        <is>
          <t>KALIX</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47121-2022</t>
        </is>
      </c>
      <c r="B4627" s="1" t="n">
        <v>44851</v>
      </c>
      <c r="C4627" s="1" t="n">
        <v>45662</v>
      </c>
      <c r="D4627" t="inlineStr">
        <is>
          <t>NORRBOTTENS LÄN</t>
        </is>
      </c>
      <c r="E4627" t="inlineStr">
        <is>
          <t>ÄLVSBYN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46979-2022</t>
        </is>
      </c>
      <c r="B4628" s="1" t="n">
        <v>44852</v>
      </c>
      <c r="C4628" s="1" t="n">
        <v>45662</v>
      </c>
      <c r="D4628" t="inlineStr">
        <is>
          <t>NORRBOTTENS LÄN</t>
        </is>
      </c>
      <c r="E4628" t="inlineStr">
        <is>
          <t>ÄLVSBYN</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47153-2022</t>
        </is>
      </c>
      <c r="B4629" s="1" t="n">
        <v>44852</v>
      </c>
      <c r="C4629" s="1" t="n">
        <v>45662</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47170-2022</t>
        </is>
      </c>
      <c r="B4630" s="1" t="n">
        <v>44852</v>
      </c>
      <c r="C4630" s="1" t="n">
        <v>45662</v>
      </c>
      <c r="D4630" t="inlineStr">
        <is>
          <t>NORRBOTTENS LÄN</t>
        </is>
      </c>
      <c r="E4630" t="inlineStr">
        <is>
          <t>LULEÅ</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47261-2022</t>
        </is>
      </c>
      <c r="B4631" s="1" t="n">
        <v>44853</v>
      </c>
      <c r="C4631" s="1" t="n">
        <v>45662</v>
      </c>
      <c r="D4631" t="inlineStr">
        <is>
          <t>NORRBOTTENS LÄN</t>
        </is>
      </c>
      <c r="E4631" t="inlineStr">
        <is>
          <t>PITEÅ</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47246-2022</t>
        </is>
      </c>
      <c r="B4632" s="1" t="n">
        <v>44852</v>
      </c>
      <c r="C4632" s="1" t="n">
        <v>45662</v>
      </c>
      <c r="D4632" t="inlineStr">
        <is>
          <t>NORRBOTTENS LÄN</t>
        </is>
      </c>
      <c r="E4632" t="inlineStr">
        <is>
          <t>LULEÅ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47247-2022</t>
        </is>
      </c>
      <c r="B4633" s="1" t="n">
        <v>44852</v>
      </c>
      <c r="C4633" s="1" t="n">
        <v>45662</v>
      </c>
      <c r="D4633" t="inlineStr">
        <is>
          <t>NORRBOTTENS LÄN</t>
        </is>
      </c>
      <c r="E4633" t="inlineStr">
        <is>
          <t>LULEÅ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47259-2022</t>
        </is>
      </c>
      <c r="B4634" s="1" t="n">
        <v>44853</v>
      </c>
      <c r="C4634" s="1" t="n">
        <v>45662</v>
      </c>
      <c r="D4634" t="inlineStr">
        <is>
          <t>NORRBOTTENS LÄN</t>
        </is>
      </c>
      <c r="E4634" t="inlineStr">
        <is>
          <t>PITEÅ</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47275-2022</t>
        </is>
      </c>
      <c r="B4635" s="1" t="n">
        <v>44853</v>
      </c>
      <c r="C4635" s="1" t="n">
        <v>45662</v>
      </c>
      <c r="D4635" t="inlineStr">
        <is>
          <t>NORRBOTTENS LÄN</t>
        </is>
      </c>
      <c r="E4635" t="inlineStr">
        <is>
          <t>PITEÅ</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47277-2022</t>
        </is>
      </c>
      <c r="B4636" s="1" t="n">
        <v>44852</v>
      </c>
      <c r="C4636" s="1" t="n">
        <v>45662</v>
      </c>
      <c r="D4636" t="inlineStr">
        <is>
          <t>NORRBOTTENS LÄN</t>
        </is>
      </c>
      <c r="E4636" t="inlineStr">
        <is>
          <t>BODEN</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47258-2022</t>
        </is>
      </c>
      <c r="B4637" s="1" t="n">
        <v>44853</v>
      </c>
      <c r="C4637" s="1" t="n">
        <v>45662</v>
      </c>
      <c r="D4637" t="inlineStr">
        <is>
          <t>NORRBOTTENS LÄN</t>
        </is>
      </c>
      <c r="E4637" t="inlineStr">
        <is>
          <t>BODEN</t>
        </is>
      </c>
      <c r="F4637" t="inlineStr">
        <is>
          <t>SCA</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47427-2022</t>
        </is>
      </c>
      <c r="B4638" s="1" t="n">
        <v>44853</v>
      </c>
      <c r="C4638" s="1" t="n">
        <v>45662</v>
      </c>
      <c r="D4638" t="inlineStr">
        <is>
          <t>NORRBOTTENS LÄN</t>
        </is>
      </c>
      <c r="E4638" t="inlineStr">
        <is>
          <t>ÄLVSBYN</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47459-2022</t>
        </is>
      </c>
      <c r="B4639" s="1" t="n">
        <v>44853</v>
      </c>
      <c r="C4639" s="1" t="n">
        <v>45662</v>
      </c>
      <c r="D4639" t="inlineStr">
        <is>
          <t>NORRBOTTENS LÄN</t>
        </is>
      </c>
      <c r="E4639" t="inlineStr">
        <is>
          <t>KALIX</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47417-2022</t>
        </is>
      </c>
      <c r="B4640" s="1" t="n">
        <v>44853</v>
      </c>
      <c r="C4640" s="1" t="n">
        <v>45662</v>
      </c>
      <c r="D4640" t="inlineStr">
        <is>
          <t>NORRBOTTENS LÄN</t>
        </is>
      </c>
      <c r="E4640" t="inlineStr">
        <is>
          <t>ÄLVSBYN</t>
        </is>
      </c>
      <c r="G4640" t="n">
        <v>17.8</v>
      </c>
      <c r="H4640" t="n">
        <v>0</v>
      </c>
      <c r="I4640" t="n">
        <v>0</v>
      </c>
      <c r="J4640" t="n">
        <v>0</v>
      </c>
      <c r="K4640" t="n">
        <v>0</v>
      </c>
      <c r="L4640" t="n">
        <v>0</v>
      </c>
      <c r="M4640" t="n">
        <v>0</v>
      </c>
      <c r="N4640" t="n">
        <v>0</v>
      </c>
      <c r="O4640" t="n">
        <v>0</v>
      </c>
      <c r="P4640" t="n">
        <v>0</v>
      </c>
      <c r="Q4640" t="n">
        <v>0</v>
      </c>
      <c r="R4640" s="2" t="inlineStr"/>
    </row>
    <row r="4641" ht="15" customHeight="1">
      <c r="A4641" t="inlineStr">
        <is>
          <t>A 47546-2022</t>
        </is>
      </c>
      <c r="B4641" s="1" t="n">
        <v>44854</v>
      </c>
      <c r="C4641" s="1" t="n">
        <v>45662</v>
      </c>
      <c r="D4641" t="inlineStr">
        <is>
          <t>NORRBOTTENS LÄN</t>
        </is>
      </c>
      <c r="E4641" t="inlineStr">
        <is>
          <t>KALIX</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47557-2022</t>
        </is>
      </c>
      <c r="B4642" s="1" t="n">
        <v>44854</v>
      </c>
      <c r="C4642" s="1" t="n">
        <v>45662</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47558-2022</t>
        </is>
      </c>
      <c r="B4643" s="1" t="n">
        <v>44854</v>
      </c>
      <c r="C4643" s="1" t="n">
        <v>45662</v>
      </c>
      <c r="D4643" t="inlineStr">
        <is>
          <t>NORRBOTTENS LÄN</t>
        </is>
      </c>
      <c r="E4643" t="inlineStr">
        <is>
          <t>KALIX</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47585-2022</t>
        </is>
      </c>
      <c r="B4644" s="1" t="n">
        <v>44854</v>
      </c>
      <c r="C4644" s="1" t="n">
        <v>45662</v>
      </c>
      <c r="D4644" t="inlineStr">
        <is>
          <t>NORRBOTTENS LÄN</t>
        </is>
      </c>
      <c r="E4644" t="inlineStr">
        <is>
          <t>BODEN</t>
        </is>
      </c>
      <c r="F4644" t="inlineStr">
        <is>
          <t>SCA</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48170-2022</t>
        </is>
      </c>
      <c r="B4645" s="1" t="n">
        <v>44853</v>
      </c>
      <c r="C4645" s="1" t="n">
        <v>45662</v>
      </c>
      <c r="D4645" t="inlineStr">
        <is>
          <t>NORRBOTTENS LÄN</t>
        </is>
      </c>
      <c r="E4645" t="inlineStr">
        <is>
          <t>PAJALA</t>
        </is>
      </c>
      <c r="F4645" t="inlineStr">
        <is>
          <t>Allmännings- och besparingsskogar</t>
        </is>
      </c>
      <c r="G4645" t="n">
        <v>26.3</v>
      </c>
      <c r="H4645" t="n">
        <v>0</v>
      </c>
      <c r="I4645" t="n">
        <v>0</v>
      </c>
      <c r="J4645" t="n">
        <v>0</v>
      </c>
      <c r="K4645" t="n">
        <v>0</v>
      </c>
      <c r="L4645" t="n">
        <v>0</v>
      </c>
      <c r="M4645" t="n">
        <v>0</v>
      </c>
      <c r="N4645" t="n">
        <v>0</v>
      </c>
      <c r="O4645" t="n">
        <v>0</v>
      </c>
      <c r="P4645" t="n">
        <v>0</v>
      </c>
      <c r="Q4645" t="n">
        <v>0</v>
      </c>
      <c r="R4645" s="2" t="inlineStr"/>
    </row>
    <row r="4646" ht="15" customHeight="1">
      <c r="A4646" t="inlineStr">
        <is>
          <t>A 47701-2022</t>
        </is>
      </c>
      <c r="B4646" s="1" t="n">
        <v>44854</v>
      </c>
      <c r="C4646" s="1" t="n">
        <v>45662</v>
      </c>
      <c r="D4646" t="inlineStr">
        <is>
          <t>NORRBOTTENS LÄN</t>
        </is>
      </c>
      <c r="E4646" t="inlineStr">
        <is>
          <t>PAJALA</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47661-2022</t>
        </is>
      </c>
      <c r="B4647" s="1" t="n">
        <v>44854</v>
      </c>
      <c r="C4647" s="1" t="n">
        <v>45662</v>
      </c>
      <c r="D4647" t="inlineStr">
        <is>
          <t>NORRBOTTENS LÄN</t>
        </is>
      </c>
      <c r="E4647" t="inlineStr">
        <is>
          <t>HAPARANDA</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47703-2022</t>
        </is>
      </c>
      <c r="B4648" s="1" t="n">
        <v>44854</v>
      </c>
      <c r="C4648" s="1" t="n">
        <v>45662</v>
      </c>
      <c r="D4648" t="inlineStr">
        <is>
          <t>NORRBOTTENS LÄN</t>
        </is>
      </c>
      <c r="E4648" t="inlineStr">
        <is>
          <t>PAJALA</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47780-2022</t>
        </is>
      </c>
      <c r="B4649" s="1" t="n">
        <v>44854</v>
      </c>
      <c r="C4649" s="1" t="n">
        <v>45662</v>
      </c>
      <c r="D4649" t="inlineStr">
        <is>
          <t>NORRBOTTENS LÄN</t>
        </is>
      </c>
      <c r="E4649" t="inlineStr">
        <is>
          <t>GÄLLIVARE</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47793-2022</t>
        </is>
      </c>
      <c r="B4650" s="1" t="n">
        <v>44854</v>
      </c>
      <c r="C4650" s="1" t="n">
        <v>45662</v>
      </c>
      <c r="D4650" t="inlineStr">
        <is>
          <t>NORRBOTTENS LÄN</t>
        </is>
      </c>
      <c r="E4650" t="inlineStr">
        <is>
          <t>GÄLLIVARE</t>
        </is>
      </c>
      <c r="F4650" t="inlineStr">
        <is>
          <t>SCA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47782-2022</t>
        </is>
      </c>
      <c r="B4651" s="1" t="n">
        <v>44854</v>
      </c>
      <c r="C4651" s="1" t="n">
        <v>45662</v>
      </c>
      <c r="D4651" t="inlineStr">
        <is>
          <t>NORRBOTTENS LÄN</t>
        </is>
      </c>
      <c r="E4651" t="inlineStr">
        <is>
          <t>BODEN</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47795-2022</t>
        </is>
      </c>
      <c r="B4652" s="1" t="n">
        <v>44854</v>
      </c>
      <c r="C4652" s="1" t="n">
        <v>45662</v>
      </c>
      <c r="D4652" t="inlineStr">
        <is>
          <t>NORRBOTTENS LÄN</t>
        </is>
      </c>
      <c r="E4652" t="inlineStr">
        <is>
          <t>GÄLLIVARE</t>
        </is>
      </c>
      <c r="F4652" t="inlineStr">
        <is>
          <t>SCA</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47805-2022</t>
        </is>
      </c>
      <c r="B4653" s="1" t="n">
        <v>44854</v>
      </c>
      <c r="C4653" s="1" t="n">
        <v>45662</v>
      </c>
      <c r="D4653" t="inlineStr">
        <is>
          <t>NORRBOTTENS LÄN</t>
        </is>
      </c>
      <c r="E4653" t="inlineStr">
        <is>
          <t>GÄLLIVARE</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48341-2022</t>
        </is>
      </c>
      <c r="B4654" s="1" t="n">
        <v>44854</v>
      </c>
      <c r="C4654" s="1" t="n">
        <v>45662</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48363-2022</t>
        </is>
      </c>
      <c r="B4655" s="1" t="n">
        <v>44854</v>
      </c>
      <c r="C4655" s="1" t="n">
        <v>45662</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47779-2022</t>
        </is>
      </c>
      <c r="B4656" s="1" t="n">
        <v>44854</v>
      </c>
      <c r="C4656" s="1" t="n">
        <v>45662</v>
      </c>
      <c r="D4656" t="inlineStr">
        <is>
          <t>NORRBOTTENS LÄN</t>
        </is>
      </c>
      <c r="E4656" t="inlineStr">
        <is>
          <t>GÄLLIVARE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47808-2022</t>
        </is>
      </c>
      <c r="B4657" s="1" t="n">
        <v>44854</v>
      </c>
      <c r="C4657" s="1" t="n">
        <v>45662</v>
      </c>
      <c r="D4657" t="inlineStr">
        <is>
          <t>NORRBOTTENS LÄN</t>
        </is>
      </c>
      <c r="E4657" t="inlineStr">
        <is>
          <t>GÄLLIVARE</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48347-2022</t>
        </is>
      </c>
      <c r="B4658" s="1" t="n">
        <v>44854</v>
      </c>
      <c r="C4658" s="1" t="n">
        <v>45662</v>
      </c>
      <c r="D4658" t="inlineStr">
        <is>
          <t>NORRBOTTENS LÄN</t>
        </is>
      </c>
      <c r="E4658" t="inlineStr">
        <is>
          <t>LULEÅ</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48367-2022</t>
        </is>
      </c>
      <c r="B4659" s="1" t="n">
        <v>44854</v>
      </c>
      <c r="C4659" s="1" t="n">
        <v>45662</v>
      </c>
      <c r="D4659" t="inlineStr">
        <is>
          <t>NORRBOTTENS LÄN</t>
        </is>
      </c>
      <c r="E4659" t="inlineStr">
        <is>
          <t>LULEÅ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48586-2022</t>
        </is>
      </c>
      <c r="B4660" s="1" t="n">
        <v>44854</v>
      </c>
      <c r="C4660" s="1" t="n">
        <v>45662</v>
      </c>
      <c r="D4660" t="inlineStr">
        <is>
          <t>NORRBOTTENS LÄN</t>
        </is>
      </c>
      <c r="E4660" t="inlineStr">
        <is>
          <t>JOKKMOKK</t>
        </is>
      </c>
      <c r="F4660" t="inlineStr">
        <is>
          <t>Övriga statliga verk och myndigheter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48335-2022</t>
        </is>
      </c>
      <c r="B4661" s="1" t="n">
        <v>44854</v>
      </c>
      <c r="C4661" s="1" t="n">
        <v>45662</v>
      </c>
      <c r="D4661" t="inlineStr">
        <is>
          <t>NORRBOTTENS LÄN</t>
        </is>
      </c>
      <c r="E4661" t="inlineStr">
        <is>
          <t>LULEÅ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47796-2022</t>
        </is>
      </c>
      <c r="B4662" s="1" t="n">
        <v>44854</v>
      </c>
      <c r="C4662" s="1" t="n">
        <v>45662</v>
      </c>
      <c r="D4662" t="inlineStr">
        <is>
          <t>NORRBOTTENS LÄN</t>
        </is>
      </c>
      <c r="E4662" t="inlineStr">
        <is>
          <t>GÄLLIVARE</t>
        </is>
      </c>
      <c r="F4662" t="inlineStr">
        <is>
          <t>SCA</t>
        </is>
      </c>
      <c r="G4662" t="n">
        <v>17.9</v>
      </c>
      <c r="H4662" t="n">
        <v>0</v>
      </c>
      <c r="I4662" t="n">
        <v>0</v>
      </c>
      <c r="J4662" t="n">
        <v>0</v>
      </c>
      <c r="K4662" t="n">
        <v>0</v>
      </c>
      <c r="L4662" t="n">
        <v>0</v>
      </c>
      <c r="M4662" t="n">
        <v>0</v>
      </c>
      <c r="N4662" t="n">
        <v>0</v>
      </c>
      <c r="O4662" t="n">
        <v>0</v>
      </c>
      <c r="P4662" t="n">
        <v>0</v>
      </c>
      <c r="Q4662" t="n">
        <v>0</v>
      </c>
      <c r="R4662" s="2" t="inlineStr"/>
    </row>
    <row r="4663" ht="15" customHeight="1">
      <c r="A4663" t="inlineStr">
        <is>
          <t>A 47802-2022</t>
        </is>
      </c>
      <c r="B4663" s="1" t="n">
        <v>44854</v>
      </c>
      <c r="C4663" s="1" t="n">
        <v>45662</v>
      </c>
      <c r="D4663" t="inlineStr">
        <is>
          <t>NORRBOTTENS LÄN</t>
        </is>
      </c>
      <c r="E4663" t="inlineStr">
        <is>
          <t>GÄLLIVARE</t>
        </is>
      </c>
      <c r="F4663" t="inlineStr">
        <is>
          <t>SCA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48323-2022</t>
        </is>
      </c>
      <c r="B4664" s="1" t="n">
        <v>44854</v>
      </c>
      <c r="C4664" s="1" t="n">
        <v>45662</v>
      </c>
      <c r="D4664" t="inlineStr">
        <is>
          <t>NORRBOTTENS LÄN</t>
        </is>
      </c>
      <c r="E4664" t="inlineStr">
        <is>
          <t>LULEÅ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48357-2022</t>
        </is>
      </c>
      <c r="B4665" s="1" t="n">
        <v>44854</v>
      </c>
      <c r="C4665" s="1" t="n">
        <v>45662</v>
      </c>
      <c r="D4665" t="inlineStr">
        <is>
          <t>NORRBOTTENS LÄN</t>
        </is>
      </c>
      <c r="E4665" t="inlineStr">
        <is>
          <t>LULEÅ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48379-2022</t>
        </is>
      </c>
      <c r="B4666" s="1" t="n">
        <v>44854</v>
      </c>
      <c r="C4666" s="1" t="n">
        <v>45662</v>
      </c>
      <c r="D4666" t="inlineStr">
        <is>
          <t>NORRBOTTENS LÄN</t>
        </is>
      </c>
      <c r="E4666" t="inlineStr">
        <is>
          <t>LULEÅ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48070-2022</t>
        </is>
      </c>
      <c r="B4667" s="1" t="n">
        <v>44856</v>
      </c>
      <c r="C4667" s="1" t="n">
        <v>45662</v>
      </c>
      <c r="D4667" t="inlineStr">
        <is>
          <t>NORRBOTTENS LÄN</t>
        </is>
      </c>
      <c r="E4667" t="inlineStr">
        <is>
          <t>PITEÅ</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48048-2022</t>
        </is>
      </c>
      <c r="B4668" s="1" t="n">
        <v>44855</v>
      </c>
      <c r="C4668" s="1" t="n">
        <v>45662</v>
      </c>
      <c r="D4668" t="inlineStr">
        <is>
          <t>NORRBOTTENS LÄN</t>
        </is>
      </c>
      <c r="E4668" t="inlineStr">
        <is>
          <t>ARVIDSJAUR</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48069-2022</t>
        </is>
      </c>
      <c r="B4669" s="1" t="n">
        <v>44855</v>
      </c>
      <c r="C4669" s="1" t="n">
        <v>45662</v>
      </c>
      <c r="D4669" t="inlineStr">
        <is>
          <t>NORRBOTTENS LÄN</t>
        </is>
      </c>
      <c r="E4669" t="inlineStr">
        <is>
          <t>PITEÅ</t>
        </is>
      </c>
      <c r="F4669" t="inlineStr">
        <is>
          <t>SCA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48742-2022</t>
        </is>
      </c>
      <c r="B4670" s="1" t="n">
        <v>44855</v>
      </c>
      <c r="C4670" s="1" t="n">
        <v>45662</v>
      </c>
      <c r="D4670" t="inlineStr">
        <is>
          <t>NORRBOTTENS LÄN</t>
        </is>
      </c>
      <c r="E4670" t="inlineStr">
        <is>
          <t>ÄLVSBYN</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48107-2022</t>
        </is>
      </c>
      <c r="B4671" s="1" t="n">
        <v>44856</v>
      </c>
      <c r="C4671" s="1" t="n">
        <v>45662</v>
      </c>
      <c r="D4671" t="inlineStr">
        <is>
          <t>NORRBOTTENS LÄN</t>
        </is>
      </c>
      <c r="E4671" t="inlineStr">
        <is>
          <t>BODEN</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48118-2022</t>
        </is>
      </c>
      <c r="B4672" s="1" t="n">
        <v>44857</v>
      </c>
      <c r="C4672" s="1" t="n">
        <v>45662</v>
      </c>
      <c r="D4672" t="inlineStr">
        <is>
          <t>NORRBOTTENS LÄN</t>
        </is>
      </c>
      <c r="E4672" t="inlineStr">
        <is>
          <t>PITEÅ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48532-2022</t>
        </is>
      </c>
      <c r="B4673" s="1" t="n">
        <v>44859</v>
      </c>
      <c r="C4673" s="1" t="n">
        <v>45662</v>
      </c>
      <c r="D4673" t="inlineStr">
        <is>
          <t>NORRBOTTENS LÄN</t>
        </is>
      </c>
      <c r="E4673" t="inlineStr">
        <is>
          <t>ÄLVSBYN</t>
        </is>
      </c>
      <c r="F4673" t="inlineStr">
        <is>
          <t>SCA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49040-2022</t>
        </is>
      </c>
      <c r="B4674" s="1" t="n">
        <v>44858</v>
      </c>
      <c r="C4674" s="1" t="n">
        <v>45662</v>
      </c>
      <c r="D4674" t="inlineStr">
        <is>
          <t>NORRBOTTENS LÄN</t>
        </is>
      </c>
      <c r="E4674" t="inlineStr">
        <is>
          <t>HAPARANDA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48298-2022</t>
        </is>
      </c>
      <c r="B4675" s="1" t="n">
        <v>44858</v>
      </c>
      <c r="C4675" s="1" t="n">
        <v>45662</v>
      </c>
      <c r="D4675" t="inlineStr">
        <is>
          <t>NORRBOTTENS LÄN</t>
        </is>
      </c>
      <c r="E4675" t="inlineStr">
        <is>
          <t>ÖVERTORNEÅ</t>
        </is>
      </c>
      <c r="F4675" t="inlineStr">
        <is>
          <t>Sveaskog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48501-2022</t>
        </is>
      </c>
      <c r="B4676" s="1" t="n">
        <v>44859</v>
      </c>
      <c r="C4676" s="1" t="n">
        <v>45662</v>
      </c>
      <c r="D4676" t="inlineStr">
        <is>
          <t>NORRBOTTENS LÄN</t>
        </is>
      </c>
      <c r="E4676" t="inlineStr">
        <is>
          <t>ÖVERKALIX</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48562-2022</t>
        </is>
      </c>
      <c r="B4677" s="1" t="n">
        <v>44859</v>
      </c>
      <c r="C4677" s="1" t="n">
        <v>45662</v>
      </c>
      <c r="D4677" t="inlineStr">
        <is>
          <t>NORRBOTTENS LÄN</t>
        </is>
      </c>
      <c r="E4677" t="inlineStr">
        <is>
          <t>BODEN</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48602-2022</t>
        </is>
      </c>
      <c r="B4678" s="1" t="n">
        <v>44859</v>
      </c>
      <c r="C4678" s="1" t="n">
        <v>45662</v>
      </c>
      <c r="D4678" t="inlineStr">
        <is>
          <t>NORRBOTTENS LÄN</t>
        </is>
      </c>
      <c r="E4678" t="inlineStr">
        <is>
          <t>PITEÅ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48680-2022</t>
        </is>
      </c>
      <c r="B4679" s="1" t="n">
        <v>44859</v>
      </c>
      <c r="C4679" s="1" t="n">
        <v>45662</v>
      </c>
      <c r="D4679" t="inlineStr">
        <is>
          <t>NORRBOTTENS LÄN</t>
        </is>
      </c>
      <c r="E4679" t="inlineStr">
        <is>
          <t>PAJALA</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48601-2022</t>
        </is>
      </c>
      <c r="B4680" s="1" t="n">
        <v>44859</v>
      </c>
      <c r="C4680" s="1" t="n">
        <v>45662</v>
      </c>
      <c r="D4680" t="inlineStr">
        <is>
          <t>NORRBOTTENS LÄN</t>
        </is>
      </c>
      <c r="E4680" t="inlineStr">
        <is>
          <t>PITEÅ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48891-2022</t>
        </is>
      </c>
      <c r="B4681" s="1" t="n">
        <v>44860</v>
      </c>
      <c r="C4681" s="1" t="n">
        <v>45662</v>
      </c>
      <c r="D4681" t="inlineStr">
        <is>
          <t>NORRBOTTENS LÄN</t>
        </is>
      </c>
      <c r="E4681" t="inlineStr">
        <is>
          <t>ÖVERTORNEÅ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48906-2022</t>
        </is>
      </c>
      <c r="B4682" s="1" t="n">
        <v>44859</v>
      </c>
      <c r="C4682" s="1" t="n">
        <v>45662</v>
      </c>
      <c r="D4682" t="inlineStr">
        <is>
          <t>NORRBOTTENS LÄN</t>
        </is>
      </c>
      <c r="E4682" t="inlineStr">
        <is>
          <t>PAJALA</t>
        </is>
      </c>
      <c r="F4682" t="inlineStr">
        <is>
          <t>SCA</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48950-2022</t>
        </is>
      </c>
      <c r="B4683" s="1" t="n">
        <v>44860</v>
      </c>
      <c r="C4683" s="1" t="n">
        <v>45662</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49577-2022</t>
        </is>
      </c>
      <c r="B4684" s="1" t="n">
        <v>44859</v>
      </c>
      <c r="C4684" s="1" t="n">
        <v>45662</v>
      </c>
      <c r="D4684" t="inlineStr">
        <is>
          <t>NORRBOTTENS LÄN</t>
        </is>
      </c>
      <c r="E4684" t="inlineStr">
        <is>
          <t>PAJALA</t>
        </is>
      </c>
      <c r="F4684" t="inlineStr">
        <is>
          <t>Allmännings- och besparingsskogar</t>
        </is>
      </c>
      <c r="G4684" t="n">
        <v>20.4</v>
      </c>
      <c r="H4684" t="n">
        <v>0</v>
      </c>
      <c r="I4684" t="n">
        <v>0</v>
      </c>
      <c r="J4684" t="n">
        <v>0</v>
      </c>
      <c r="K4684" t="n">
        <v>0</v>
      </c>
      <c r="L4684" t="n">
        <v>0</v>
      </c>
      <c r="M4684" t="n">
        <v>0</v>
      </c>
      <c r="N4684" t="n">
        <v>0</v>
      </c>
      <c r="O4684" t="n">
        <v>0</v>
      </c>
      <c r="P4684" t="n">
        <v>0</v>
      </c>
      <c r="Q4684" t="n">
        <v>0</v>
      </c>
      <c r="R4684" s="2" t="inlineStr"/>
    </row>
    <row r="4685" ht="15" customHeight="1">
      <c r="A4685" t="inlineStr">
        <is>
          <t>A 49721-2022</t>
        </is>
      </c>
      <c r="B4685" s="1" t="n">
        <v>44859</v>
      </c>
      <c r="C4685" s="1" t="n">
        <v>45662</v>
      </c>
      <c r="D4685" t="inlineStr">
        <is>
          <t>NORRBOTTENS LÄN</t>
        </is>
      </c>
      <c r="E4685" t="inlineStr">
        <is>
          <t>LULEÅ</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49742-2022</t>
        </is>
      </c>
      <c r="B4686" s="1" t="n">
        <v>44859</v>
      </c>
      <c r="C4686" s="1" t="n">
        <v>45662</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49712-2022</t>
        </is>
      </c>
      <c r="B4687" s="1" t="n">
        <v>44859</v>
      </c>
      <c r="C4687" s="1" t="n">
        <v>45662</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49736-2022</t>
        </is>
      </c>
      <c r="B4688" s="1" t="n">
        <v>44859</v>
      </c>
      <c r="C4688" s="1" t="n">
        <v>45662</v>
      </c>
      <c r="D4688" t="inlineStr">
        <is>
          <t>NORRBOTTENS LÄN</t>
        </is>
      </c>
      <c r="E4688" t="inlineStr">
        <is>
          <t>LULEÅ</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49727-2022</t>
        </is>
      </c>
      <c r="B4689" s="1" t="n">
        <v>44859</v>
      </c>
      <c r="C4689" s="1" t="n">
        <v>45662</v>
      </c>
      <c r="D4689" t="inlineStr">
        <is>
          <t>NORRBOTTENS LÄN</t>
        </is>
      </c>
      <c r="E4689" t="inlineStr">
        <is>
          <t>LULEÅ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49746-2022</t>
        </is>
      </c>
      <c r="B4690" s="1" t="n">
        <v>44859</v>
      </c>
      <c r="C4690" s="1" t="n">
        <v>45662</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49733-2022</t>
        </is>
      </c>
      <c r="B4691" s="1" t="n">
        <v>44859</v>
      </c>
      <c r="C4691" s="1" t="n">
        <v>45662</v>
      </c>
      <c r="D4691" t="inlineStr">
        <is>
          <t>NORRBOTTENS LÄN</t>
        </is>
      </c>
      <c r="E4691" t="inlineStr">
        <is>
          <t>LULEÅ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49009-2022</t>
        </is>
      </c>
      <c r="B4692" s="1" t="n">
        <v>44860</v>
      </c>
      <c r="C4692" s="1" t="n">
        <v>45662</v>
      </c>
      <c r="D4692" t="inlineStr">
        <is>
          <t>NORRBOTTENS LÄN</t>
        </is>
      </c>
      <c r="E4692" t="inlineStr">
        <is>
          <t>PAJALA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49019-2022</t>
        </is>
      </c>
      <c r="B4693" s="1" t="n">
        <v>44860</v>
      </c>
      <c r="C4693" s="1" t="n">
        <v>45662</v>
      </c>
      <c r="D4693" t="inlineStr">
        <is>
          <t>NORRBOTTENS LÄN</t>
        </is>
      </c>
      <c r="E4693" t="inlineStr">
        <is>
          <t>PAJALA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49008-2022</t>
        </is>
      </c>
      <c r="B4694" s="1" t="n">
        <v>44860</v>
      </c>
      <c r="C4694" s="1" t="n">
        <v>45662</v>
      </c>
      <c r="D4694" t="inlineStr">
        <is>
          <t>NORRBOTTENS LÄN</t>
        </is>
      </c>
      <c r="E4694" t="inlineStr">
        <is>
          <t>PAJALA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49057-2022</t>
        </is>
      </c>
      <c r="B4695" s="1" t="n">
        <v>44860</v>
      </c>
      <c r="C4695" s="1" t="n">
        <v>45662</v>
      </c>
      <c r="D4695" t="inlineStr">
        <is>
          <t>NORRBOTTENS LÄN</t>
        </is>
      </c>
      <c r="E4695" t="inlineStr">
        <is>
          <t>PAJALA</t>
        </is>
      </c>
      <c r="F4695" t="inlineStr">
        <is>
          <t>Sveaskog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49113-2022</t>
        </is>
      </c>
      <c r="B4696" s="1" t="n">
        <v>44860</v>
      </c>
      <c r="C4696" s="1" t="n">
        <v>45662</v>
      </c>
      <c r="D4696" t="inlineStr">
        <is>
          <t>NORRBOTTENS LÄN</t>
        </is>
      </c>
      <c r="E4696" t="inlineStr">
        <is>
          <t>KALIX</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49157-2022</t>
        </is>
      </c>
      <c r="B4697" s="1" t="n">
        <v>44860</v>
      </c>
      <c r="C4697" s="1" t="n">
        <v>45662</v>
      </c>
      <c r="D4697" t="inlineStr">
        <is>
          <t>NORRBOTTENS LÄN</t>
        </is>
      </c>
      <c r="E4697" t="inlineStr">
        <is>
          <t>ÖVERTORNEÅ</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49193-2022</t>
        </is>
      </c>
      <c r="B4698" s="1" t="n">
        <v>44861</v>
      </c>
      <c r="C4698" s="1" t="n">
        <v>45662</v>
      </c>
      <c r="D4698" t="inlineStr">
        <is>
          <t>NORRBOTTENS LÄN</t>
        </is>
      </c>
      <c r="E4698" t="inlineStr">
        <is>
          <t>KALIX</t>
        </is>
      </c>
      <c r="F4698" t="inlineStr">
        <is>
          <t>SCA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49192-2022</t>
        </is>
      </c>
      <c r="B4699" s="1" t="n">
        <v>44861</v>
      </c>
      <c r="C4699" s="1" t="n">
        <v>45662</v>
      </c>
      <c r="D4699" t="inlineStr">
        <is>
          <t>NORRBOTTENS LÄN</t>
        </is>
      </c>
      <c r="E4699" t="inlineStr">
        <is>
          <t>KALIX</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49141-2022</t>
        </is>
      </c>
      <c r="B4700" s="1" t="n">
        <v>44860</v>
      </c>
      <c r="C4700" s="1" t="n">
        <v>45662</v>
      </c>
      <c r="D4700" t="inlineStr">
        <is>
          <t>NORRBOTTENS LÄN</t>
        </is>
      </c>
      <c r="E4700" t="inlineStr">
        <is>
          <t>ARVIDSJAUR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49190-2022</t>
        </is>
      </c>
      <c r="B4701" s="1" t="n">
        <v>44861</v>
      </c>
      <c r="C4701" s="1" t="n">
        <v>45662</v>
      </c>
      <c r="D4701" t="inlineStr">
        <is>
          <t>NORRBOTTENS LÄN</t>
        </is>
      </c>
      <c r="E4701" t="inlineStr">
        <is>
          <t>GÄLLIVARE</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49994-2022</t>
        </is>
      </c>
      <c r="B4702" s="1" t="n">
        <v>44860</v>
      </c>
      <c r="C4702" s="1" t="n">
        <v>45662</v>
      </c>
      <c r="D4702" t="inlineStr">
        <is>
          <t>NORRBOTTENS LÄN</t>
        </is>
      </c>
      <c r="E4702" t="inlineStr">
        <is>
          <t>PAJALA</t>
        </is>
      </c>
      <c r="F4702" t="inlineStr">
        <is>
          <t>Allmännings- och besparingsskogar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50361-2022</t>
        </is>
      </c>
      <c r="B4703" s="1" t="n">
        <v>44860</v>
      </c>
      <c r="C4703" s="1" t="n">
        <v>45662</v>
      </c>
      <c r="D4703" t="inlineStr">
        <is>
          <t>NORRBOTTENS LÄN</t>
        </is>
      </c>
      <c r="E4703" t="inlineStr">
        <is>
          <t>PAJALA</t>
        </is>
      </c>
      <c r="G4703" t="n">
        <v>33.4</v>
      </c>
      <c r="H4703" t="n">
        <v>0</v>
      </c>
      <c r="I4703" t="n">
        <v>0</v>
      </c>
      <c r="J4703" t="n">
        <v>0</v>
      </c>
      <c r="K4703" t="n">
        <v>0</v>
      </c>
      <c r="L4703" t="n">
        <v>0</v>
      </c>
      <c r="M4703" t="n">
        <v>0</v>
      </c>
      <c r="N4703" t="n">
        <v>0</v>
      </c>
      <c r="O4703" t="n">
        <v>0</v>
      </c>
      <c r="P4703" t="n">
        <v>0</v>
      </c>
      <c r="Q4703" t="n">
        <v>0</v>
      </c>
      <c r="R4703" s="2" t="inlineStr"/>
    </row>
    <row r="4704" ht="15" customHeight="1">
      <c r="A4704" t="inlineStr">
        <is>
          <t>A 49272-2022</t>
        </is>
      </c>
      <c r="B4704" s="1" t="n">
        <v>44861</v>
      </c>
      <c r="C4704" s="1" t="n">
        <v>45662</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49283-2022</t>
        </is>
      </c>
      <c r="B4705" s="1" t="n">
        <v>44861</v>
      </c>
      <c r="C4705" s="1" t="n">
        <v>45662</v>
      </c>
      <c r="D4705" t="inlineStr">
        <is>
          <t>NORRBOTTENS LÄN</t>
        </is>
      </c>
      <c r="E4705" t="inlineStr">
        <is>
          <t>PITEÅ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49352-2022</t>
        </is>
      </c>
      <c r="B4706" s="1" t="n">
        <v>44861</v>
      </c>
      <c r="C4706" s="1" t="n">
        <v>45662</v>
      </c>
      <c r="D4706" t="inlineStr">
        <is>
          <t>NORRBOTTENS LÄN</t>
        </is>
      </c>
      <c r="E4706" t="inlineStr">
        <is>
          <t>PITEÅ</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49443-2022</t>
        </is>
      </c>
      <c r="B4707" s="1" t="n">
        <v>44861</v>
      </c>
      <c r="C4707" s="1" t="n">
        <v>45662</v>
      </c>
      <c r="D4707" t="inlineStr">
        <is>
          <t>NORRBOTTENS LÄN</t>
        </is>
      </c>
      <c r="E4707" t="inlineStr">
        <is>
          <t>KALIX</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49441-2022</t>
        </is>
      </c>
      <c r="B4708" s="1" t="n">
        <v>44861</v>
      </c>
      <c r="C4708" s="1" t="n">
        <v>45662</v>
      </c>
      <c r="D4708" t="inlineStr">
        <is>
          <t>NORRBOTTENS LÄN</t>
        </is>
      </c>
      <c r="E4708" t="inlineStr">
        <is>
          <t>ÄLVSBYN</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49245-2022</t>
        </is>
      </c>
      <c r="B4709" s="1" t="n">
        <v>44861</v>
      </c>
      <c r="C4709" s="1" t="n">
        <v>45662</v>
      </c>
      <c r="D4709" t="inlineStr">
        <is>
          <t>NORRBOTTENS LÄN</t>
        </is>
      </c>
      <c r="E4709" t="inlineStr">
        <is>
          <t>HAPARANDA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49509-2022</t>
        </is>
      </c>
      <c r="B4710" s="1" t="n">
        <v>44862</v>
      </c>
      <c r="C4710" s="1" t="n">
        <v>45662</v>
      </c>
      <c r="D4710" t="inlineStr">
        <is>
          <t>NORRBOTTENS LÄN</t>
        </is>
      </c>
      <c r="E4710" t="inlineStr">
        <is>
          <t>LULEÅ</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49264-2022</t>
        </is>
      </c>
      <c r="B4711" s="1" t="n">
        <v>44861</v>
      </c>
      <c r="C4711" s="1" t="n">
        <v>45662</v>
      </c>
      <c r="D4711" t="inlineStr">
        <is>
          <t>NORRBOTTENS LÄN</t>
        </is>
      </c>
      <c r="E4711" t="inlineStr">
        <is>
          <t>PITEÅ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50389-2022</t>
        </is>
      </c>
      <c r="B4712" s="1" t="n">
        <v>44861</v>
      </c>
      <c r="C4712" s="1" t="n">
        <v>45662</v>
      </c>
      <c r="D4712" t="inlineStr">
        <is>
          <t>NORRBOTTENS LÄN</t>
        </is>
      </c>
      <c r="E4712" t="inlineStr">
        <is>
          <t>PAJALA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49354-2022</t>
        </is>
      </c>
      <c r="B4713" s="1" t="n">
        <v>44861</v>
      </c>
      <c r="C4713" s="1" t="n">
        <v>45662</v>
      </c>
      <c r="D4713" t="inlineStr">
        <is>
          <t>NORRBOTTENS LÄN</t>
        </is>
      </c>
      <c r="E4713" t="inlineStr">
        <is>
          <t>PITEÅ</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49364-2022</t>
        </is>
      </c>
      <c r="B4714" s="1" t="n">
        <v>44861</v>
      </c>
      <c r="C4714" s="1" t="n">
        <v>45662</v>
      </c>
      <c r="D4714" t="inlineStr">
        <is>
          <t>NORRBOTTENS LÄN</t>
        </is>
      </c>
      <c r="E4714" t="inlineStr">
        <is>
          <t>PITEÅ</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49468-2022</t>
        </is>
      </c>
      <c r="B4715" s="1" t="n">
        <v>44861</v>
      </c>
      <c r="C4715" s="1" t="n">
        <v>45662</v>
      </c>
      <c r="D4715" t="inlineStr">
        <is>
          <t>NORRBOTTENS LÄN</t>
        </is>
      </c>
      <c r="E4715" t="inlineStr">
        <is>
          <t>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49545-2022</t>
        </is>
      </c>
      <c r="B4716" s="1" t="n">
        <v>44862</v>
      </c>
      <c r="C4716" s="1" t="n">
        <v>45662</v>
      </c>
      <c r="D4716" t="inlineStr">
        <is>
          <t>NORRBOTTENS LÄN</t>
        </is>
      </c>
      <c r="E4716" t="inlineStr">
        <is>
          <t>BODEN</t>
        </is>
      </c>
      <c r="F4716" t="inlineStr">
        <is>
          <t>SCA</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50396-2022</t>
        </is>
      </c>
      <c r="B4717" s="1" t="n">
        <v>44861</v>
      </c>
      <c r="C4717" s="1" t="n">
        <v>45662</v>
      </c>
      <c r="D4717" t="inlineStr">
        <is>
          <t>NORRBOTTENS LÄN</t>
        </is>
      </c>
      <c r="E4717" t="inlineStr">
        <is>
          <t>PAJALA</t>
        </is>
      </c>
      <c r="F4717" t="inlineStr">
        <is>
          <t>Allmännings- och besparingsskogar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50471-2022</t>
        </is>
      </c>
      <c r="B4718" s="1" t="n">
        <v>44861</v>
      </c>
      <c r="C4718" s="1" t="n">
        <v>45662</v>
      </c>
      <c r="D4718" t="inlineStr">
        <is>
          <t>NORRBOTTENS LÄN</t>
        </is>
      </c>
      <c r="E4718" t="inlineStr">
        <is>
          <t>ARVIDSJAUR</t>
        </is>
      </c>
      <c r="F4718" t="inlineStr">
        <is>
          <t>Allmännings- och besparingsskogar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49284-2022</t>
        </is>
      </c>
      <c r="B4719" s="1" t="n">
        <v>44861</v>
      </c>
      <c r="C4719" s="1" t="n">
        <v>45662</v>
      </c>
      <c r="D4719" t="inlineStr">
        <is>
          <t>NORRBOTTENS LÄN</t>
        </is>
      </c>
      <c r="E4719" t="inlineStr">
        <is>
          <t>HAPARANDA</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49317-2022</t>
        </is>
      </c>
      <c r="B4720" s="1" t="n">
        <v>44861</v>
      </c>
      <c r="C4720" s="1" t="n">
        <v>45662</v>
      </c>
      <c r="D4720" t="inlineStr">
        <is>
          <t>NORRBOTTENS LÄN</t>
        </is>
      </c>
      <c r="E4720" t="inlineStr">
        <is>
          <t>PITEÅ</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49326-2022</t>
        </is>
      </c>
      <c r="B4721" s="1" t="n">
        <v>44861</v>
      </c>
      <c r="C4721" s="1" t="n">
        <v>45662</v>
      </c>
      <c r="D4721" t="inlineStr">
        <is>
          <t>NORRBOTTENS LÄN</t>
        </is>
      </c>
      <c r="E4721" t="inlineStr">
        <is>
          <t>GÄLLIVARE</t>
        </is>
      </c>
      <c r="F4721" t="inlineStr">
        <is>
          <t>Sveaskog</t>
        </is>
      </c>
      <c r="G4721" t="n">
        <v>23.3</v>
      </c>
      <c r="H4721" t="n">
        <v>0</v>
      </c>
      <c r="I4721" t="n">
        <v>0</v>
      </c>
      <c r="J4721" t="n">
        <v>0</v>
      </c>
      <c r="K4721" t="n">
        <v>0</v>
      </c>
      <c r="L4721" t="n">
        <v>0</v>
      </c>
      <c r="M4721" t="n">
        <v>0</v>
      </c>
      <c r="N4721" t="n">
        <v>0</v>
      </c>
      <c r="O4721" t="n">
        <v>0</v>
      </c>
      <c r="P4721" t="n">
        <v>0</v>
      </c>
      <c r="Q4721" t="n">
        <v>0</v>
      </c>
      <c r="R4721" s="2" t="inlineStr"/>
    </row>
    <row r="4722" ht="15" customHeight="1">
      <c r="A4722" t="inlineStr">
        <is>
          <t>A 49401-2022</t>
        </is>
      </c>
      <c r="B4722" s="1" t="n">
        <v>44861</v>
      </c>
      <c r="C4722" s="1" t="n">
        <v>45662</v>
      </c>
      <c r="D4722" t="inlineStr">
        <is>
          <t>NORRBOTTENS LÄN</t>
        </is>
      </c>
      <c r="E4722" t="inlineStr">
        <is>
          <t>LULEÅ</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50472-2022</t>
        </is>
      </c>
      <c r="B4723" s="1" t="n">
        <v>44861</v>
      </c>
      <c r="C4723" s="1" t="n">
        <v>45662</v>
      </c>
      <c r="D4723" t="inlineStr">
        <is>
          <t>NORRBOTTENS LÄN</t>
        </is>
      </c>
      <c r="E4723" t="inlineStr">
        <is>
          <t>ARVIDSJAUR</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49761-2022</t>
        </is>
      </c>
      <c r="B4724" s="1" t="n">
        <v>44862</v>
      </c>
      <c r="C4724" s="1" t="n">
        <v>45662</v>
      </c>
      <c r="D4724" t="inlineStr">
        <is>
          <t>NORRBOTTENS LÄN</t>
        </is>
      </c>
      <c r="E4724" t="inlineStr">
        <is>
          <t>BODEN</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49642-2022</t>
        </is>
      </c>
      <c r="B4725" s="1" t="n">
        <v>44862</v>
      </c>
      <c r="C4725" s="1" t="n">
        <v>45662</v>
      </c>
      <c r="D4725" t="inlineStr">
        <is>
          <t>NORRBOTTENS LÄN</t>
        </is>
      </c>
      <c r="E4725" t="inlineStr">
        <is>
          <t>ARVIDSJAUR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49651-2022</t>
        </is>
      </c>
      <c r="B4726" s="1" t="n">
        <v>44862</v>
      </c>
      <c r="C4726" s="1" t="n">
        <v>45662</v>
      </c>
      <c r="D4726" t="inlineStr">
        <is>
          <t>NORRBOTTENS LÄN</t>
        </is>
      </c>
      <c r="E4726" t="inlineStr">
        <is>
          <t>KALIX</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49767-2022</t>
        </is>
      </c>
      <c r="B4727" s="1" t="n">
        <v>44862</v>
      </c>
      <c r="C4727" s="1" t="n">
        <v>45662</v>
      </c>
      <c r="D4727" t="inlineStr">
        <is>
          <t>NORRBOTTENS LÄN</t>
        </is>
      </c>
      <c r="E4727" t="inlineStr">
        <is>
          <t>ÄLVSBYN</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49808-2022</t>
        </is>
      </c>
      <c r="B4728" s="1" t="n">
        <v>44862</v>
      </c>
      <c r="C4728" s="1" t="n">
        <v>45662</v>
      </c>
      <c r="D4728" t="inlineStr">
        <is>
          <t>NORRBOTTENS LÄN</t>
        </is>
      </c>
      <c r="E4728" t="inlineStr">
        <is>
          <t>PITEÅ</t>
        </is>
      </c>
      <c r="F4728" t="inlineStr">
        <is>
          <t>Sveaskog</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49698-2022</t>
        </is>
      </c>
      <c r="B4729" s="1" t="n">
        <v>44862</v>
      </c>
      <c r="C4729" s="1" t="n">
        <v>45662</v>
      </c>
      <c r="D4729" t="inlineStr">
        <is>
          <t>NORRBOTTENS LÄN</t>
        </is>
      </c>
      <c r="E4729" t="inlineStr">
        <is>
          <t>BODEN</t>
        </is>
      </c>
      <c r="F4729" t="inlineStr">
        <is>
          <t>Sveaskog</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49869-2022</t>
        </is>
      </c>
      <c r="B4730" s="1" t="n">
        <v>44862</v>
      </c>
      <c r="C4730" s="1" t="n">
        <v>45662</v>
      </c>
      <c r="D4730" t="inlineStr">
        <is>
          <t>NORRBOTTENS LÄN</t>
        </is>
      </c>
      <c r="E4730" t="inlineStr">
        <is>
          <t>GÄLLIVARE</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49806-2022</t>
        </is>
      </c>
      <c r="B4731" s="1" t="n">
        <v>44862</v>
      </c>
      <c r="C4731" s="1" t="n">
        <v>45662</v>
      </c>
      <c r="D4731" t="inlineStr">
        <is>
          <t>NORRBOTTENS LÄN</t>
        </is>
      </c>
      <c r="E4731" t="inlineStr">
        <is>
          <t>BODEN</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49841-2022</t>
        </is>
      </c>
      <c r="B4732" s="1" t="n">
        <v>44863</v>
      </c>
      <c r="C4732" s="1" t="n">
        <v>45662</v>
      </c>
      <c r="D4732" t="inlineStr">
        <is>
          <t>NORRBOTTENS LÄN</t>
        </is>
      </c>
      <c r="E4732" t="inlineStr">
        <is>
          <t>HAPARANDA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49759-2022</t>
        </is>
      </c>
      <c r="B4733" s="1" t="n">
        <v>44862</v>
      </c>
      <c r="C4733" s="1" t="n">
        <v>45662</v>
      </c>
      <c r="D4733" t="inlineStr">
        <is>
          <t>NORRBOTTENS LÄN</t>
        </is>
      </c>
      <c r="E4733" t="inlineStr">
        <is>
          <t>KALIX</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49843-2022</t>
        </is>
      </c>
      <c r="B4734" s="1" t="n">
        <v>44862</v>
      </c>
      <c r="C4734" s="1" t="n">
        <v>45662</v>
      </c>
      <c r="D4734" t="inlineStr">
        <is>
          <t>NORRBOTTENS LÄN</t>
        </is>
      </c>
      <c r="E4734" t="inlineStr">
        <is>
          <t>ÖVERKALIX</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49845-2022</t>
        </is>
      </c>
      <c r="B4735" s="1" t="n">
        <v>44862</v>
      </c>
      <c r="C4735" s="1" t="n">
        <v>45662</v>
      </c>
      <c r="D4735" t="inlineStr">
        <is>
          <t>NORRBOTTENS LÄN</t>
        </is>
      </c>
      <c r="E4735" t="inlineStr">
        <is>
          <t>KALIX</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49862-2022</t>
        </is>
      </c>
      <c r="B4736" s="1" t="n">
        <v>44862</v>
      </c>
      <c r="C4736" s="1" t="n">
        <v>45662</v>
      </c>
      <c r="D4736" t="inlineStr">
        <is>
          <t>NORRBOTTENS LÄN</t>
        </is>
      </c>
      <c r="E4736" t="inlineStr">
        <is>
          <t>GÄLLIVARE</t>
        </is>
      </c>
      <c r="F4736" t="inlineStr">
        <is>
          <t>SCA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49870-2022</t>
        </is>
      </c>
      <c r="B4737" s="1" t="n">
        <v>44862</v>
      </c>
      <c r="C4737" s="1" t="n">
        <v>45662</v>
      </c>
      <c r="D4737" t="inlineStr">
        <is>
          <t>NORRBOTTENS LÄN</t>
        </is>
      </c>
      <c r="E4737" t="inlineStr">
        <is>
          <t>GÄLLIVARE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50716-2022</t>
        </is>
      </c>
      <c r="B4738" s="1" t="n">
        <v>44862</v>
      </c>
      <c r="C4738" s="1" t="n">
        <v>45662</v>
      </c>
      <c r="D4738" t="inlineStr">
        <is>
          <t>NORRBOTTENS LÄN</t>
        </is>
      </c>
      <c r="E4738" t="inlineStr">
        <is>
          <t>JOKKMOKK</t>
        </is>
      </c>
      <c r="G4738" t="n">
        <v>30.2</v>
      </c>
      <c r="H4738" t="n">
        <v>0</v>
      </c>
      <c r="I4738" t="n">
        <v>0</v>
      </c>
      <c r="J4738" t="n">
        <v>0</v>
      </c>
      <c r="K4738" t="n">
        <v>0</v>
      </c>
      <c r="L4738" t="n">
        <v>0</v>
      </c>
      <c r="M4738" t="n">
        <v>0</v>
      </c>
      <c r="N4738" t="n">
        <v>0</v>
      </c>
      <c r="O4738" t="n">
        <v>0</v>
      </c>
      <c r="P4738" t="n">
        <v>0</v>
      </c>
      <c r="Q4738" t="n">
        <v>0</v>
      </c>
      <c r="R4738" s="2" t="inlineStr"/>
    </row>
    <row r="4739" ht="15" customHeight="1">
      <c r="A4739" t="inlineStr">
        <is>
          <t>A 50729-2022</t>
        </is>
      </c>
      <c r="B4739" s="1" t="n">
        <v>44862</v>
      </c>
      <c r="C4739" s="1" t="n">
        <v>45662</v>
      </c>
      <c r="D4739" t="inlineStr">
        <is>
          <t>NORRBOTTENS LÄN</t>
        </is>
      </c>
      <c r="E4739" t="inlineStr">
        <is>
          <t>GÄLLIVARE</t>
        </is>
      </c>
      <c r="F4739" t="inlineStr">
        <is>
          <t>SCA</t>
        </is>
      </c>
      <c r="G4739" t="n">
        <v>19.8</v>
      </c>
      <c r="H4739" t="n">
        <v>0</v>
      </c>
      <c r="I4739" t="n">
        <v>0</v>
      </c>
      <c r="J4739" t="n">
        <v>0</v>
      </c>
      <c r="K4739" t="n">
        <v>0</v>
      </c>
      <c r="L4739" t="n">
        <v>0</v>
      </c>
      <c r="M4739" t="n">
        <v>0</v>
      </c>
      <c r="N4739" t="n">
        <v>0</v>
      </c>
      <c r="O4739" t="n">
        <v>0</v>
      </c>
      <c r="P4739" t="n">
        <v>0</v>
      </c>
      <c r="Q4739" t="n">
        <v>0</v>
      </c>
      <c r="R4739" s="2" t="inlineStr"/>
    </row>
    <row r="4740" ht="15" customHeight="1">
      <c r="A4740" t="inlineStr">
        <is>
          <t>A 50725-2022</t>
        </is>
      </c>
      <c r="B4740" s="1" t="n">
        <v>44862</v>
      </c>
      <c r="C4740" s="1" t="n">
        <v>45662</v>
      </c>
      <c r="D4740" t="inlineStr">
        <is>
          <t>NORRBOTTENS LÄN</t>
        </is>
      </c>
      <c r="E4740" t="inlineStr">
        <is>
          <t>PAJALA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49886-2022</t>
        </is>
      </c>
      <c r="B4741" s="1" t="n">
        <v>44864</v>
      </c>
      <c r="C4741" s="1" t="n">
        <v>45662</v>
      </c>
      <c r="D4741" t="inlineStr">
        <is>
          <t>NORRBOTTENS LÄN</t>
        </is>
      </c>
      <c r="E4741" t="inlineStr">
        <is>
          <t>ÖVERTORNEÅ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50001-2022</t>
        </is>
      </c>
      <c r="B4742" s="1" t="n">
        <v>44865</v>
      </c>
      <c r="C4742" s="1" t="n">
        <v>45662</v>
      </c>
      <c r="D4742" t="inlineStr">
        <is>
          <t>NORRBOTTENS LÄN</t>
        </is>
      </c>
      <c r="E4742" t="inlineStr">
        <is>
          <t>KALIX</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50177-2022</t>
        </is>
      </c>
      <c r="B4743" s="1" t="n">
        <v>44865</v>
      </c>
      <c r="C4743" s="1" t="n">
        <v>45662</v>
      </c>
      <c r="D4743" t="inlineStr">
        <is>
          <t>NORRBOTTENS LÄN</t>
        </is>
      </c>
      <c r="E4743" t="inlineStr">
        <is>
          <t>KALIX</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50155-2022</t>
        </is>
      </c>
      <c r="B4744" s="1" t="n">
        <v>44865</v>
      </c>
      <c r="C4744" s="1" t="n">
        <v>45662</v>
      </c>
      <c r="D4744" t="inlineStr">
        <is>
          <t>NORRBOTTENS LÄN</t>
        </is>
      </c>
      <c r="E4744" t="inlineStr">
        <is>
          <t>KALIX</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50171-2022</t>
        </is>
      </c>
      <c r="B4745" s="1" t="n">
        <v>44865</v>
      </c>
      <c r="C4745" s="1" t="n">
        <v>45662</v>
      </c>
      <c r="D4745" t="inlineStr">
        <is>
          <t>NORRBOTTENS LÄN</t>
        </is>
      </c>
      <c r="E4745" t="inlineStr">
        <is>
          <t>KALIX</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50238-2022</t>
        </is>
      </c>
      <c r="B4746" s="1" t="n">
        <v>44865</v>
      </c>
      <c r="C4746" s="1" t="n">
        <v>45662</v>
      </c>
      <c r="D4746" t="inlineStr">
        <is>
          <t>NORRBOTTENS LÄN</t>
        </is>
      </c>
      <c r="E4746" t="inlineStr">
        <is>
          <t>ÖVERKALIX</t>
        </is>
      </c>
      <c r="F4746" t="inlineStr">
        <is>
          <t>Sveaskog</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50303-2022</t>
        </is>
      </c>
      <c r="B4747" s="1" t="n">
        <v>44865</v>
      </c>
      <c r="C4747" s="1" t="n">
        <v>45662</v>
      </c>
      <c r="D4747" t="inlineStr">
        <is>
          <t>NORRBOTTENS LÄN</t>
        </is>
      </c>
      <c r="E4747" t="inlineStr">
        <is>
          <t>ARVIDSJAUR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50322-2022</t>
        </is>
      </c>
      <c r="B4748" s="1" t="n">
        <v>44865</v>
      </c>
      <c r="C4748" s="1" t="n">
        <v>45662</v>
      </c>
      <c r="D4748" t="inlineStr">
        <is>
          <t>NORRBOTTENS LÄN</t>
        </is>
      </c>
      <c r="E4748" t="inlineStr">
        <is>
          <t>BODEN</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50330-2022</t>
        </is>
      </c>
      <c r="B4749" s="1" t="n">
        <v>44865</v>
      </c>
      <c r="C4749" s="1" t="n">
        <v>45662</v>
      </c>
      <c r="D4749" t="inlineStr">
        <is>
          <t>NORRBOTTENS LÄN</t>
        </is>
      </c>
      <c r="E4749" t="inlineStr">
        <is>
          <t>LULEÅ</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50634-2022</t>
        </is>
      </c>
      <c r="B4750" s="1" t="n">
        <v>44866</v>
      </c>
      <c r="C4750" s="1" t="n">
        <v>45662</v>
      </c>
      <c r="D4750" t="inlineStr">
        <is>
          <t>NORRBOTTENS LÄN</t>
        </is>
      </c>
      <c r="E4750" t="inlineStr">
        <is>
          <t>ÄLVSBYN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50513-2022</t>
        </is>
      </c>
      <c r="B4751" s="1" t="n">
        <v>44866</v>
      </c>
      <c r="C4751" s="1" t="n">
        <v>45662</v>
      </c>
      <c r="D4751" t="inlineStr">
        <is>
          <t>NORRBOTTENS LÄN</t>
        </is>
      </c>
      <c r="E4751" t="inlineStr">
        <is>
          <t>GÄLLIVARE</t>
        </is>
      </c>
      <c r="F4751" t="inlineStr">
        <is>
          <t>Sveaskog</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50568-2022</t>
        </is>
      </c>
      <c r="B4752" s="1" t="n">
        <v>44866</v>
      </c>
      <c r="C4752" s="1" t="n">
        <v>45662</v>
      </c>
      <c r="D4752" t="inlineStr">
        <is>
          <t>NORRBOTTENS LÄN</t>
        </is>
      </c>
      <c r="E4752" t="inlineStr">
        <is>
          <t>JOKKMOKK</t>
        </is>
      </c>
      <c r="F4752" t="inlineStr">
        <is>
          <t>Sveaskog</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50575-2022</t>
        </is>
      </c>
      <c r="B4753" s="1" t="n">
        <v>44866</v>
      </c>
      <c r="C4753" s="1" t="n">
        <v>45662</v>
      </c>
      <c r="D4753" t="inlineStr">
        <is>
          <t>NORRBOTTENS LÄN</t>
        </is>
      </c>
      <c r="E4753" t="inlineStr">
        <is>
          <t>ARVIDSJAUR</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50644-2022</t>
        </is>
      </c>
      <c r="B4754" s="1" t="n">
        <v>44866</v>
      </c>
      <c r="C4754" s="1" t="n">
        <v>45662</v>
      </c>
      <c r="D4754" t="inlineStr">
        <is>
          <t>NORRBOTTENS LÄN</t>
        </is>
      </c>
      <c r="E4754" t="inlineStr">
        <is>
          <t>PITEÅ</t>
        </is>
      </c>
      <c r="F4754" t="inlineStr">
        <is>
          <t>SCA</t>
        </is>
      </c>
      <c r="G4754" t="n">
        <v>17.6</v>
      </c>
      <c r="H4754" t="n">
        <v>0</v>
      </c>
      <c r="I4754" t="n">
        <v>0</v>
      </c>
      <c r="J4754" t="n">
        <v>0</v>
      </c>
      <c r="K4754" t="n">
        <v>0</v>
      </c>
      <c r="L4754" t="n">
        <v>0</v>
      </c>
      <c r="M4754" t="n">
        <v>0</v>
      </c>
      <c r="N4754" t="n">
        <v>0</v>
      </c>
      <c r="O4754" t="n">
        <v>0</v>
      </c>
      <c r="P4754" t="n">
        <v>0</v>
      </c>
      <c r="Q4754" t="n">
        <v>0</v>
      </c>
      <c r="R4754" s="2" t="inlineStr"/>
    </row>
    <row r="4755" ht="15" customHeight="1">
      <c r="A4755" t="inlineStr">
        <is>
          <t>A 50631-2022</t>
        </is>
      </c>
      <c r="B4755" s="1" t="n">
        <v>44866</v>
      </c>
      <c r="C4755" s="1" t="n">
        <v>45662</v>
      </c>
      <c r="D4755" t="inlineStr">
        <is>
          <t>NORRBOTTENS LÄN</t>
        </is>
      </c>
      <c r="E4755" t="inlineStr">
        <is>
          <t>ÄLVSBYN</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50760-2022</t>
        </is>
      </c>
      <c r="B4756" s="1" t="n">
        <v>44867</v>
      </c>
      <c r="C4756" s="1" t="n">
        <v>45662</v>
      </c>
      <c r="D4756" t="inlineStr">
        <is>
          <t>NORRBOTTENS LÄN</t>
        </is>
      </c>
      <c r="E4756" t="inlineStr">
        <is>
          <t>BODEN</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50757-2022</t>
        </is>
      </c>
      <c r="B4757" s="1" t="n">
        <v>44867</v>
      </c>
      <c r="C4757" s="1" t="n">
        <v>45662</v>
      </c>
      <c r="D4757" t="inlineStr">
        <is>
          <t>NORRBOTTENS LÄN</t>
        </is>
      </c>
      <c r="E4757" t="inlineStr">
        <is>
          <t>BODEN</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50738-2022</t>
        </is>
      </c>
      <c r="B4758" s="1" t="n">
        <v>44867</v>
      </c>
      <c r="C4758" s="1" t="n">
        <v>45662</v>
      </c>
      <c r="D4758" t="inlineStr">
        <is>
          <t>NORRBOTTENS LÄN</t>
        </is>
      </c>
      <c r="E4758" t="inlineStr">
        <is>
          <t>PITEÅ</t>
        </is>
      </c>
      <c r="F4758" t="inlineStr">
        <is>
          <t>Sveaskog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50752-2022</t>
        </is>
      </c>
      <c r="B4759" s="1" t="n">
        <v>44867</v>
      </c>
      <c r="C4759" s="1" t="n">
        <v>45662</v>
      </c>
      <c r="D4759" t="inlineStr">
        <is>
          <t>NORRBOTTENS LÄN</t>
        </is>
      </c>
      <c r="E4759" t="inlineStr">
        <is>
          <t>BODEN</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50930-2022</t>
        </is>
      </c>
      <c r="B4760" s="1" t="n">
        <v>44867</v>
      </c>
      <c r="C4760" s="1" t="n">
        <v>45662</v>
      </c>
      <c r="D4760" t="inlineStr">
        <is>
          <t>NORRBOTTENS LÄN</t>
        </is>
      </c>
      <c r="E4760" t="inlineStr">
        <is>
          <t>PITEÅ</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50850-2022</t>
        </is>
      </c>
      <c r="B4761" s="1" t="n">
        <v>44867</v>
      </c>
      <c r="C4761" s="1" t="n">
        <v>45662</v>
      </c>
      <c r="D4761" t="inlineStr">
        <is>
          <t>NORRBOTTENS LÄN</t>
        </is>
      </c>
      <c r="E4761" t="inlineStr">
        <is>
          <t>ARVIDSJAUR</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51878-2022</t>
        </is>
      </c>
      <c r="B4762" s="1" t="n">
        <v>44867</v>
      </c>
      <c r="C4762" s="1" t="n">
        <v>45662</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51745-2022</t>
        </is>
      </c>
      <c r="B4763" s="1" t="n">
        <v>44867</v>
      </c>
      <c r="C4763" s="1" t="n">
        <v>45662</v>
      </c>
      <c r="D4763" t="inlineStr">
        <is>
          <t>NORRBOTTENS LÄN</t>
        </is>
      </c>
      <c r="E4763" t="inlineStr">
        <is>
          <t>PAJALA</t>
        </is>
      </c>
      <c r="F4763" t="inlineStr">
        <is>
          <t>Allmännings- och besparingsskogar</t>
        </is>
      </c>
      <c r="G4763" t="n">
        <v>33.4</v>
      </c>
      <c r="H4763" t="n">
        <v>0</v>
      </c>
      <c r="I4763" t="n">
        <v>0</v>
      </c>
      <c r="J4763" t="n">
        <v>0</v>
      </c>
      <c r="K4763" t="n">
        <v>0</v>
      </c>
      <c r="L4763" t="n">
        <v>0</v>
      </c>
      <c r="M4763" t="n">
        <v>0</v>
      </c>
      <c r="N4763" t="n">
        <v>0</v>
      </c>
      <c r="O4763" t="n">
        <v>0</v>
      </c>
      <c r="P4763" t="n">
        <v>0</v>
      </c>
      <c r="Q4763" t="n">
        <v>0</v>
      </c>
      <c r="R4763" s="2" t="inlineStr"/>
    </row>
    <row r="4764" ht="15" customHeight="1">
      <c r="A4764" t="inlineStr">
        <is>
          <t>A 51668-2022</t>
        </is>
      </c>
      <c r="B4764" s="1" t="n">
        <v>44867</v>
      </c>
      <c r="C4764" s="1" t="n">
        <v>45662</v>
      </c>
      <c r="D4764" t="inlineStr">
        <is>
          <t>NORRBOTTENS LÄN</t>
        </is>
      </c>
      <c r="E4764" t="inlineStr">
        <is>
          <t>LULEÅ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51029-2022</t>
        </is>
      </c>
      <c r="B4765" s="1" t="n">
        <v>44868</v>
      </c>
      <c r="C4765" s="1" t="n">
        <v>45662</v>
      </c>
      <c r="D4765" t="inlineStr">
        <is>
          <t>NORRBOTTENS LÄN</t>
        </is>
      </c>
      <c r="E4765" t="inlineStr">
        <is>
          <t>BODEN</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51063-2022</t>
        </is>
      </c>
      <c r="B4766" s="1" t="n">
        <v>44868</v>
      </c>
      <c r="C4766" s="1" t="n">
        <v>45662</v>
      </c>
      <c r="D4766" t="inlineStr">
        <is>
          <t>NORRBOTTENS LÄN</t>
        </is>
      </c>
      <c r="E4766" t="inlineStr">
        <is>
          <t>ÄLVSBYN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51304-2022</t>
        </is>
      </c>
      <c r="B4767" s="1" t="n">
        <v>44868</v>
      </c>
      <c r="C4767" s="1" t="n">
        <v>45662</v>
      </c>
      <c r="D4767" t="inlineStr">
        <is>
          <t>NORRBOTTENS LÄN</t>
        </is>
      </c>
      <c r="E4767" t="inlineStr">
        <is>
          <t>JOKKMOKK</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51254-2022</t>
        </is>
      </c>
      <c r="B4768" s="1" t="n">
        <v>44868</v>
      </c>
      <c r="C4768" s="1" t="n">
        <v>45662</v>
      </c>
      <c r="D4768" t="inlineStr">
        <is>
          <t>NORRBOTTENS LÄN</t>
        </is>
      </c>
      <c r="E4768" t="inlineStr">
        <is>
          <t>PITEÅ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51192-2022</t>
        </is>
      </c>
      <c r="B4769" s="1" t="n">
        <v>44868</v>
      </c>
      <c r="C4769" s="1" t="n">
        <v>45662</v>
      </c>
      <c r="D4769" t="inlineStr">
        <is>
          <t>NORRBOTTENS LÄN</t>
        </is>
      </c>
      <c r="E4769" t="inlineStr">
        <is>
          <t>BODEN</t>
        </is>
      </c>
      <c r="F4769" t="inlineStr">
        <is>
          <t>Sveaskog</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51220-2022</t>
        </is>
      </c>
      <c r="B4770" s="1" t="n">
        <v>44868</v>
      </c>
      <c r="C4770" s="1" t="n">
        <v>45662</v>
      </c>
      <c r="D4770" t="inlineStr">
        <is>
          <t>NORRBOTTENS LÄN</t>
        </is>
      </c>
      <c r="E4770" t="inlineStr">
        <is>
          <t>JOKKMOKK</t>
        </is>
      </c>
      <c r="F4770" t="inlineStr">
        <is>
          <t>Sveaskog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52164-2022</t>
        </is>
      </c>
      <c r="B4771" s="1" t="n">
        <v>44868</v>
      </c>
      <c r="C4771" s="1" t="n">
        <v>45662</v>
      </c>
      <c r="D4771" t="inlineStr">
        <is>
          <t>NORRBOTTENS LÄN</t>
        </is>
      </c>
      <c r="E4771" t="inlineStr">
        <is>
          <t>LULEÅ</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52191-2022</t>
        </is>
      </c>
      <c r="B4772" s="1" t="n">
        <v>44868</v>
      </c>
      <c r="C4772" s="1" t="n">
        <v>45662</v>
      </c>
      <c r="D4772" t="inlineStr">
        <is>
          <t>NORRBOTTENS LÄN</t>
        </is>
      </c>
      <c r="E4772" t="inlineStr">
        <is>
          <t>LULEÅ</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52190-2022</t>
        </is>
      </c>
      <c r="B4773" s="1" t="n">
        <v>44868</v>
      </c>
      <c r="C4773" s="1" t="n">
        <v>45662</v>
      </c>
      <c r="D4773" t="inlineStr">
        <is>
          <t>NORRBOTTENS LÄN</t>
        </is>
      </c>
      <c r="E4773" t="inlineStr">
        <is>
          <t>LULEÅ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52118-2022</t>
        </is>
      </c>
      <c r="B4774" s="1" t="n">
        <v>44868</v>
      </c>
      <c r="C4774" s="1" t="n">
        <v>45662</v>
      </c>
      <c r="D4774" t="inlineStr">
        <is>
          <t>NORRBOTTENS LÄN</t>
        </is>
      </c>
      <c r="E4774" t="inlineStr">
        <is>
          <t>BODEN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52168-2022</t>
        </is>
      </c>
      <c r="B4775" s="1" t="n">
        <v>44868</v>
      </c>
      <c r="C4775" s="1" t="n">
        <v>45662</v>
      </c>
      <c r="D4775" t="inlineStr">
        <is>
          <t>NORRBOTTENS LÄN</t>
        </is>
      </c>
      <c r="E4775" t="inlineStr">
        <is>
          <t>LULEÅ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52185-2022</t>
        </is>
      </c>
      <c r="B4776" s="1" t="n">
        <v>44868</v>
      </c>
      <c r="C4776" s="1" t="n">
        <v>45662</v>
      </c>
      <c r="D4776" t="inlineStr">
        <is>
          <t>NORRBOTTENS LÄN</t>
        </is>
      </c>
      <c r="E4776" t="inlineStr">
        <is>
          <t>LULEÅ</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52205-2022</t>
        </is>
      </c>
      <c r="B4777" s="1" t="n">
        <v>44868</v>
      </c>
      <c r="C4777" s="1" t="n">
        <v>45662</v>
      </c>
      <c r="D4777" t="inlineStr">
        <is>
          <t>NORRBOTTENS LÄN</t>
        </is>
      </c>
      <c r="E4777" t="inlineStr">
        <is>
          <t>LULEÅ</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52188-2022</t>
        </is>
      </c>
      <c r="B4778" s="1" t="n">
        <v>44868</v>
      </c>
      <c r="C4778" s="1" t="n">
        <v>45662</v>
      </c>
      <c r="D4778" t="inlineStr">
        <is>
          <t>NORRBOTTENS LÄN</t>
        </is>
      </c>
      <c r="E4778" t="inlineStr">
        <is>
          <t>LULEÅ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51391-2022</t>
        </is>
      </c>
      <c r="B4779" s="1" t="n">
        <v>44869</v>
      </c>
      <c r="C4779" s="1" t="n">
        <v>45662</v>
      </c>
      <c r="D4779" t="inlineStr">
        <is>
          <t>NORRBOTTENS LÄN</t>
        </is>
      </c>
      <c r="E4779" t="inlineStr">
        <is>
          <t>PAJALA</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52216-2022</t>
        </is>
      </c>
      <c r="B4780" s="1" t="n">
        <v>44869</v>
      </c>
      <c r="C4780" s="1" t="n">
        <v>45662</v>
      </c>
      <c r="D4780" t="inlineStr">
        <is>
          <t>NORRBOTTENS LÄN</t>
        </is>
      </c>
      <c r="E4780" t="inlineStr">
        <is>
          <t>LULEÅ</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52026-2022</t>
        </is>
      </c>
      <c r="B4781" s="1" t="n">
        <v>44872</v>
      </c>
      <c r="C4781" s="1" t="n">
        <v>45662</v>
      </c>
      <c r="D4781" t="inlineStr">
        <is>
          <t>NORRBOTTENS LÄN</t>
        </is>
      </c>
      <c r="E4781" t="inlineStr">
        <is>
          <t>ÖVERKALIX</t>
        </is>
      </c>
      <c r="F4781" t="inlineStr">
        <is>
          <t>SCA</t>
        </is>
      </c>
      <c r="G4781" t="n">
        <v>12.4</v>
      </c>
      <c r="H4781" t="n">
        <v>0</v>
      </c>
      <c r="I4781" t="n">
        <v>0</v>
      </c>
      <c r="J4781" t="n">
        <v>0</v>
      </c>
      <c r="K4781" t="n">
        <v>0</v>
      </c>
      <c r="L4781" t="n">
        <v>0</v>
      </c>
      <c r="M4781" t="n">
        <v>0</v>
      </c>
      <c r="N4781" t="n">
        <v>0</v>
      </c>
      <c r="O4781" t="n">
        <v>0</v>
      </c>
      <c r="P4781" t="n">
        <v>0</v>
      </c>
      <c r="Q4781" t="n">
        <v>0</v>
      </c>
      <c r="R4781" s="2" t="inlineStr"/>
    </row>
    <row r="4782" ht="15" customHeight="1">
      <c r="A4782" t="inlineStr">
        <is>
          <t>A 52854-2022</t>
        </is>
      </c>
      <c r="B4782" s="1" t="n">
        <v>44872</v>
      </c>
      <c r="C4782" s="1" t="n">
        <v>45662</v>
      </c>
      <c r="D4782" t="inlineStr">
        <is>
          <t>NORRBOTTENS LÄN</t>
        </is>
      </c>
      <c r="E4782" t="inlineStr">
        <is>
          <t>LULEÅ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51964-2022</t>
        </is>
      </c>
      <c r="B4783" s="1" t="n">
        <v>44872</v>
      </c>
      <c r="C4783" s="1" t="n">
        <v>45662</v>
      </c>
      <c r="D4783" t="inlineStr">
        <is>
          <t>NORRBOTTENS LÄN</t>
        </is>
      </c>
      <c r="E4783" t="inlineStr">
        <is>
          <t>LULEÅ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51981-2022</t>
        </is>
      </c>
      <c r="B4784" s="1" t="n">
        <v>44872</v>
      </c>
      <c r="C4784" s="1" t="n">
        <v>45662</v>
      </c>
      <c r="D4784" t="inlineStr">
        <is>
          <t>NORRBOTTENS LÄN</t>
        </is>
      </c>
      <c r="E4784" t="inlineStr">
        <is>
          <t>ÄLVSBYN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52006-2022</t>
        </is>
      </c>
      <c r="B4785" s="1" t="n">
        <v>44872</v>
      </c>
      <c r="C4785" s="1" t="n">
        <v>45662</v>
      </c>
      <c r="D4785" t="inlineStr">
        <is>
          <t>NORRBOTTENS LÄN</t>
        </is>
      </c>
      <c r="E4785" t="inlineStr">
        <is>
          <t>HAPARANDA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52027-2022</t>
        </is>
      </c>
      <c r="B4786" s="1" t="n">
        <v>44872</v>
      </c>
      <c r="C4786" s="1" t="n">
        <v>45662</v>
      </c>
      <c r="D4786" t="inlineStr">
        <is>
          <t>NORRBOTTENS LÄN</t>
        </is>
      </c>
      <c r="E4786" t="inlineStr">
        <is>
          <t>ÖVERKALIX</t>
        </is>
      </c>
      <c r="F4786" t="inlineStr">
        <is>
          <t>SCA</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52049-2022</t>
        </is>
      </c>
      <c r="B4787" s="1" t="n">
        <v>44873</v>
      </c>
      <c r="C4787" s="1" t="n">
        <v>45662</v>
      </c>
      <c r="D4787" t="inlineStr">
        <is>
          <t>NORRBOTTENS LÄN</t>
        </is>
      </c>
      <c r="E4787" t="inlineStr">
        <is>
          <t>BODEN</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52115-2022</t>
        </is>
      </c>
      <c r="B4788" s="1" t="n">
        <v>44873</v>
      </c>
      <c r="C4788" s="1" t="n">
        <v>45662</v>
      </c>
      <c r="D4788" t="inlineStr">
        <is>
          <t>NORRBOTTENS LÄN</t>
        </is>
      </c>
      <c r="E4788" t="inlineStr">
        <is>
          <t>PITEÅ</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52075-2022</t>
        </is>
      </c>
      <c r="B4789" s="1" t="n">
        <v>44873</v>
      </c>
      <c r="C4789" s="1" t="n">
        <v>45662</v>
      </c>
      <c r="D4789" t="inlineStr">
        <is>
          <t>NORRBOTTENS LÄN</t>
        </is>
      </c>
      <c r="E4789" t="inlineStr">
        <is>
          <t>ÄLVSBYN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52087-2022</t>
        </is>
      </c>
      <c r="B4790" s="1" t="n">
        <v>44873</v>
      </c>
      <c r="C4790" s="1" t="n">
        <v>45662</v>
      </c>
      <c r="D4790" t="inlineStr">
        <is>
          <t>NORRBOTTENS LÄN</t>
        </is>
      </c>
      <c r="E4790" t="inlineStr">
        <is>
          <t>ÄLVSBYN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52160-2022</t>
        </is>
      </c>
      <c r="B4791" s="1" t="n">
        <v>44873</v>
      </c>
      <c r="C4791" s="1" t="n">
        <v>45662</v>
      </c>
      <c r="D4791" t="inlineStr">
        <is>
          <t>NORRBOTTENS LÄN</t>
        </is>
      </c>
      <c r="E4791" t="inlineStr">
        <is>
          <t>ÖVERTORNEÅ</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52340-2022</t>
        </is>
      </c>
      <c r="B4792" s="1" t="n">
        <v>44873</v>
      </c>
      <c r="C4792" s="1" t="n">
        <v>45662</v>
      </c>
      <c r="D4792" t="inlineStr">
        <is>
          <t>NORRBOTTENS LÄN</t>
        </is>
      </c>
      <c r="E4792" t="inlineStr">
        <is>
          <t>PAJALA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52327-2022</t>
        </is>
      </c>
      <c r="B4793" s="1" t="n">
        <v>44873</v>
      </c>
      <c r="C4793" s="1" t="n">
        <v>45662</v>
      </c>
      <c r="D4793" t="inlineStr">
        <is>
          <t>NORRBOTTENS LÄN</t>
        </is>
      </c>
      <c r="E4793" t="inlineStr">
        <is>
          <t>ÄLVSBYN</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52332-2022</t>
        </is>
      </c>
      <c r="B4794" s="1" t="n">
        <v>44873</v>
      </c>
      <c r="C4794" s="1" t="n">
        <v>45662</v>
      </c>
      <c r="D4794" t="inlineStr">
        <is>
          <t>NORRBOTTENS LÄN</t>
        </is>
      </c>
      <c r="E4794" t="inlineStr">
        <is>
          <t>PAJALA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52336-2022</t>
        </is>
      </c>
      <c r="B4795" s="1" t="n">
        <v>44873</v>
      </c>
      <c r="C4795" s="1" t="n">
        <v>45662</v>
      </c>
      <c r="D4795" t="inlineStr">
        <is>
          <t>NORRBOTTENS LÄN</t>
        </is>
      </c>
      <c r="E4795" t="inlineStr">
        <is>
          <t>PAJALA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52333-2022</t>
        </is>
      </c>
      <c r="B4796" s="1" t="n">
        <v>44873</v>
      </c>
      <c r="C4796" s="1" t="n">
        <v>45662</v>
      </c>
      <c r="D4796" t="inlineStr">
        <is>
          <t>NORRBOTTENS LÄN</t>
        </is>
      </c>
      <c r="E4796" t="inlineStr">
        <is>
          <t>PAJALA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53100-2022</t>
        </is>
      </c>
      <c r="B4797" s="1" t="n">
        <v>44873</v>
      </c>
      <c r="C4797" s="1" t="n">
        <v>45662</v>
      </c>
      <c r="D4797" t="inlineStr">
        <is>
          <t>NORRBOTTENS LÄN</t>
        </is>
      </c>
      <c r="E4797" t="inlineStr">
        <is>
          <t>JOKKMOKK</t>
        </is>
      </c>
      <c r="F4797" t="inlineStr">
        <is>
          <t>Övriga statliga verk och myndigheter</t>
        </is>
      </c>
      <c r="G4797" t="n">
        <v>37.1</v>
      </c>
      <c r="H4797" t="n">
        <v>0</v>
      </c>
      <c r="I4797" t="n">
        <v>0</v>
      </c>
      <c r="J4797" t="n">
        <v>0</v>
      </c>
      <c r="K4797" t="n">
        <v>0</v>
      </c>
      <c r="L4797" t="n">
        <v>0</v>
      </c>
      <c r="M4797" t="n">
        <v>0</v>
      </c>
      <c r="N4797" t="n">
        <v>0</v>
      </c>
      <c r="O4797" t="n">
        <v>0</v>
      </c>
      <c r="P4797" t="n">
        <v>0</v>
      </c>
      <c r="Q4797" t="n">
        <v>0</v>
      </c>
      <c r="R4797" s="2" t="inlineStr"/>
    </row>
    <row r="4798" ht="15" customHeight="1">
      <c r="A4798" t="inlineStr">
        <is>
          <t>A 52355-2022</t>
        </is>
      </c>
      <c r="B4798" s="1" t="n">
        <v>44874</v>
      </c>
      <c r="C4798" s="1" t="n">
        <v>45662</v>
      </c>
      <c r="D4798" t="inlineStr">
        <is>
          <t>NORRBOTTENS LÄN</t>
        </is>
      </c>
      <c r="E4798" t="inlineStr">
        <is>
          <t>PITEÅ</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52354-2022</t>
        </is>
      </c>
      <c r="B4799" s="1" t="n">
        <v>44874</v>
      </c>
      <c r="C4799" s="1" t="n">
        <v>45662</v>
      </c>
      <c r="D4799" t="inlineStr">
        <is>
          <t>NORRBOTTENS LÄN</t>
        </is>
      </c>
      <c r="E4799" t="inlineStr">
        <is>
          <t>PAJALA</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52411-2022</t>
        </is>
      </c>
      <c r="B4800" s="1" t="n">
        <v>44874</v>
      </c>
      <c r="C4800" s="1" t="n">
        <v>45662</v>
      </c>
      <c r="D4800" t="inlineStr">
        <is>
          <t>NORRBOTTENS LÄN</t>
        </is>
      </c>
      <c r="E4800" t="inlineStr">
        <is>
          <t>PITEÅ</t>
        </is>
      </c>
      <c r="F4800" t="inlineStr">
        <is>
          <t>Sveaskog</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52573-2022</t>
        </is>
      </c>
      <c r="B4801" s="1" t="n">
        <v>44874</v>
      </c>
      <c r="C4801" s="1" t="n">
        <v>45662</v>
      </c>
      <c r="D4801" t="inlineStr">
        <is>
          <t>NORRBOTTENS LÄN</t>
        </is>
      </c>
      <c r="E4801" t="inlineStr">
        <is>
          <t>ARJEPLOG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52594-2022</t>
        </is>
      </c>
      <c r="B4802" s="1" t="n">
        <v>44874</v>
      </c>
      <c r="C4802" s="1" t="n">
        <v>45662</v>
      </c>
      <c r="D4802" t="inlineStr">
        <is>
          <t>NORRBOTTENS LÄN</t>
        </is>
      </c>
      <c r="E4802" t="inlineStr">
        <is>
          <t>LULEÅ</t>
        </is>
      </c>
      <c r="F4802" t="inlineStr">
        <is>
          <t>Kyrkan</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52581-2022</t>
        </is>
      </c>
      <c r="B4803" s="1" t="n">
        <v>44874</v>
      </c>
      <c r="C4803" s="1" t="n">
        <v>45662</v>
      </c>
      <c r="D4803" t="inlineStr">
        <is>
          <t>NORRBOTTENS LÄN</t>
        </is>
      </c>
      <c r="E4803" t="inlineStr">
        <is>
          <t>ARJEPLOG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52625-2022</t>
        </is>
      </c>
      <c r="B4804" s="1" t="n">
        <v>44874</v>
      </c>
      <c r="C4804" s="1" t="n">
        <v>45662</v>
      </c>
      <c r="D4804" t="inlineStr">
        <is>
          <t>NORRBOTTENS LÄN</t>
        </is>
      </c>
      <c r="E4804" t="inlineStr">
        <is>
          <t>PAJALA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52476-2022</t>
        </is>
      </c>
      <c r="B4805" s="1" t="n">
        <v>44874</v>
      </c>
      <c r="C4805" s="1" t="n">
        <v>45662</v>
      </c>
      <c r="D4805" t="inlineStr">
        <is>
          <t>NORRBOTTENS LÄN</t>
        </is>
      </c>
      <c r="E4805" t="inlineStr">
        <is>
          <t>KALIX</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52619-2022</t>
        </is>
      </c>
      <c r="B4806" s="1" t="n">
        <v>44874</v>
      </c>
      <c r="C4806" s="1" t="n">
        <v>45662</v>
      </c>
      <c r="D4806" t="inlineStr">
        <is>
          <t>NORRBOTTENS LÄN</t>
        </is>
      </c>
      <c r="E4806" t="inlineStr">
        <is>
          <t>BODEN</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53423-2022</t>
        </is>
      </c>
      <c r="B4807" s="1" t="n">
        <v>44874</v>
      </c>
      <c r="C4807" s="1" t="n">
        <v>45662</v>
      </c>
      <c r="D4807" t="inlineStr">
        <is>
          <t>NORRBOTTENS LÄN</t>
        </is>
      </c>
      <c r="E4807" t="inlineStr">
        <is>
          <t>PAJALA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52710-2022</t>
        </is>
      </c>
      <c r="B4808" s="1" t="n">
        <v>44874</v>
      </c>
      <c r="C4808" s="1" t="n">
        <v>45662</v>
      </c>
      <c r="D4808" t="inlineStr">
        <is>
          <t>NORRBOTTENS LÄN</t>
        </is>
      </c>
      <c r="E4808" t="inlineStr">
        <is>
          <t>KALIX</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52730-2022</t>
        </is>
      </c>
      <c r="B4809" s="1" t="n">
        <v>44874</v>
      </c>
      <c r="C4809" s="1" t="n">
        <v>45662</v>
      </c>
      <c r="D4809" t="inlineStr">
        <is>
          <t>NORRBOTTENS LÄN</t>
        </is>
      </c>
      <c r="E4809" t="inlineStr">
        <is>
          <t>JOKKMOKK</t>
        </is>
      </c>
      <c r="F4809" t="inlineStr">
        <is>
          <t>SCA</t>
        </is>
      </c>
      <c r="G4809" t="n">
        <v>29.2</v>
      </c>
      <c r="H4809" t="n">
        <v>0</v>
      </c>
      <c r="I4809" t="n">
        <v>0</v>
      </c>
      <c r="J4809" t="n">
        <v>0</v>
      </c>
      <c r="K4809" t="n">
        <v>0</v>
      </c>
      <c r="L4809" t="n">
        <v>0</v>
      </c>
      <c r="M4809" t="n">
        <v>0</v>
      </c>
      <c r="N4809" t="n">
        <v>0</v>
      </c>
      <c r="O4809" t="n">
        <v>0</v>
      </c>
      <c r="P4809" t="n">
        <v>0</v>
      </c>
      <c r="Q4809" t="n">
        <v>0</v>
      </c>
      <c r="R4809" s="2" t="inlineStr"/>
    </row>
    <row r="4810" ht="15" customHeight="1">
      <c r="A4810" t="inlineStr">
        <is>
          <t>A 53444-2022</t>
        </is>
      </c>
      <c r="B4810" s="1" t="n">
        <v>44874</v>
      </c>
      <c r="C4810" s="1" t="n">
        <v>45662</v>
      </c>
      <c r="D4810" t="inlineStr">
        <is>
          <t>NORRBOTTENS LÄN</t>
        </is>
      </c>
      <c r="E4810" t="inlineStr">
        <is>
          <t>LULEÅ</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52994-2022</t>
        </is>
      </c>
      <c r="B4811" s="1" t="n">
        <v>44875</v>
      </c>
      <c r="C4811" s="1" t="n">
        <v>45662</v>
      </c>
      <c r="D4811" t="inlineStr">
        <is>
          <t>NORRBOTTENS LÄN</t>
        </is>
      </c>
      <c r="E4811" t="inlineStr">
        <is>
          <t>PITEÅ</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53007-2022</t>
        </is>
      </c>
      <c r="B4812" s="1" t="n">
        <v>44875</v>
      </c>
      <c r="C4812" s="1" t="n">
        <v>45662</v>
      </c>
      <c r="D4812" t="inlineStr">
        <is>
          <t>NORRBOTTENS LÄN</t>
        </is>
      </c>
      <c r="E4812" t="inlineStr">
        <is>
          <t>BODEN</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52993-2022</t>
        </is>
      </c>
      <c r="B4813" s="1" t="n">
        <v>44875</v>
      </c>
      <c r="C4813" s="1" t="n">
        <v>45662</v>
      </c>
      <c r="D4813" t="inlineStr">
        <is>
          <t>NORRBOTTENS LÄN</t>
        </is>
      </c>
      <c r="E4813" t="inlineStr">
        <is>
          <t>ÖVERKALIX</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52751-2022</t>
        </is>
      </c>
      <c r="B4814" s="1" t="n">
        <v>44875</v>
      </c>
      <c r="C4814" s="1" t="n">
        <v>45662</v>
      </c>
      <c r="D4814" t="inlineStr">
        <is>
          <t>NORRBOTTENS LÄN</t>
        </is>
      </c>
      <c r="E4814" t="inlineStr">
        <is>
          <t>PAJALA</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53006-2022</t>
        </is>
      </c>
      <c r="B4815" s="1" t="n">
        <v>44875</v>
      </c>
      <c r="C4815" s="1" t="n">
        <v>45662</v>
      </c>
      <c r="D4815" t="inlineStr">
        <is>
          <t>NORRBOTTENS LÄN</t>
        </is>
      </c>
      <c r="E4815" t="inlineStr">
        <is>
          <t>BODEN</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53752-2022</t>
        </is>
      </c>
      <c r="B4816" s="1" t="n">
        <v>44875</v>
      </c>
      <c r="C4816" s="1" t="n">
        <v>45662</v>
      </c>
      <c r="D4816" t="inlineStr">
        <is>
          <t>NORRBOTTENS LÄN</t>
        </is>
      </c>
      <c r="E4816" t="inlineStr">
        <is>
          <t>KIRUNA</t>
        </is>
      </c>
      <c r="F4816" t="inlineStr">
        <is>
          <t>SCA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53510-2022</t>
        </is>
      </c>
      <c r="B4817" s="1" t="n">
        <v>44875</v>
      </c>
      <c r="C4817" s="1" t="n">
        <v>45662</v>
      </c>
      <c r="D4817" t="inlineStr">
        <is>
          <t>NORRBOTTENS LÄN</t>
        </is>
      </c>
      <c r="E4817" t="inlineStr">
        <is>
          <t>KALIX</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53785-2022</t>
        </is>
      </c>
      <c r="B4818" s="1" t="n">
        <v>44875</v>
      </c>
      <c r="C4818" s="1" t="n">
        <v>45662</v>
      </c>
      <c r="D4818" t="inlineStr">
        <is>
          <t>NORRBOTTENS LÄN</t>
        </is>
      </c>
      <c r="E4818" t="inlineStr">
        <is>
          <t>GÄLLIVARE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53037-2022</t>
        </is>
      </c>
      <c r="B4819" s="1" t="n">
        <v>44876</v>
      </c>
      <c r="C4819" s="1" t="n">
        <v>45662</v>
      </c>
      <c r="D4819" t="inlineStr">
        <is>
          <t>NORRBOTTENS LÄN</t>
        </is>
      </c>
      <c r="E4819" t="inlineStr">
        <is>
          <t>ÄLVSBYN</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53185-2022</t>
        </is>
      </c>
      <c r="B4820" s="1" t="n">
        <v>44876</v>
      </c>
      <c r="C4820" s="1" t="n">
        <v>45662</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53632-2022</t>
        </is>
      </c>
      <c r="B4821" s="1" t="n">
        <v>44879</v>
      </c>
      <c r="C4821" s="1" t="n">
        <v>45662</v>
      </c>
      <c r="D4821" t="inlineStr">
        <is>
          <t>NORRBOTTENS LÄN</t>
        </is>
      </c>
      <c r="E4821" t="inlineStr">
        <is>
          <t>PITEÅ</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53634-2022</t>
        </is>
      </c>
      <c r="B4822" s="1" t="n">
        <v>44879</v>
      </c>
      <c r="C4822" s="1" t="n">
        <v>45662</v>
      </c>
      <c r="D4822" t="inlineStr">
        <is>
          <t>NORRBOTTENS LÄN</t>
        </is>
      </c>
      <c r="E4822" t="inlineStr">
        <is>
          <t>PITEÅ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54359-2022</t>
        </is>
      </c>
      <c r="B4823" s="1" t="n">
        <v>44879</v>
      </c>
      <c r="C4823" s="1" t="n">
        <v>45662</v>
      </c>
      <c r="D4823" t="inlineStr">
        <is>
          <t>NORRBOTTENS LÄN</t>
        </is>
      </c>
      <c r="E4823" t="inlineStr">
        <is>
          <t>PAJALA</t>
        </is>
      </c>
      <c r="G4823" t="n">
        <v>40.7</v>
      </c>
      <c r="H4823" t="n">
        <v>0</v>
      </c>
      <c r="I4823" t="n">
        <v>0</v>
      </c>
      <c r="J4823" t="n">
        <v>0</v>
      </c>
      <c r="K4823" t="n">
        <v>0</v>
      </c>
      <c r="L4823" t="n">
        <v>0</v>
      </c>
      <c r="M4823" t="n">
        <v>0</v>
      </c>
      <c r="N4823" t="n">
        <v>0</v>
      </c>
      <c r="O4823" t="n">
        <v>0</v>
      </c>
      <c r="P4823" t="n">
        <v>0</v>
      </c>
      <c r="Q4823" t="n">
        <v>0</v>
      </c>
      <c r="R4823" s="2" t="inlineStr"/>
    </row>
    <row r="4824" ht="15" customHeight="1">
      <c r="A4824" t="inlineStr">
        <is>
          <t>A 54414-2022</t>
        </is>
      </c>
      <c r="B4824" s="1" t="n">
        <v>44879</v>
      </c>
      <c r="C4824" s="1" t="n">
        <v>45662</v>
      </c>
      <c r="D4824" t="inlineStr">
        <is>
          <t>NORRBOTTENS LÄN</t>
        </is>
      </c>
      <c r="E4824" t="inlineStr">
        <is>
          <t>ÖVERKALIX</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53633-2022</t>
        </is>
      </c>
      <c r="B4825" s="1" t="n">
        <v>44879</v>
      </c>
      <c r="C4825" s="1" t="n">
        <v>45662</v>
      </c>
      <c r="D4825" t="inlineStr">
        <is>
          <t>NORRBOTTENS LÄN</t>
        </is>
      </c>
      <c r="E4825" t="inlineStr">
        <is>
          <t>PITEÅ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53653-2022</t>
        </is>
      </c>
      <c r="B4826" s="1" t="n">
        <v>44879</v>
      </c>
      <c r="C4826" s="1" t="n">
        <v>45662</v>
      </c>
      <c r="D4826" t="inlineStr">
        <is>
          <t>NORRBOTTENS LÄN</t>
        </is>
      </c>
      <c r="E4826" t="inlineStr">
        <is>
          <t>PITEÅ</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54380-2022</t>
        </is>
      </c>
      <c r="B4827" s="1" t="n">
        <v>44879</v>
      </c>
      <c r="C4827" s="1" t="n">
        <v>45662</v>
      </c>
      <c r="D4827" t="inlineStr">
        <is>
          <t>NORRBOTTENS LÄN</t>
        </is>
      </c>
      <c r="E4827" t="inlineStr">
        <is>
          <t>ÖVERKALIX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54418-2022</t>
        </is>
      </c>
      <c r="B4828" s="1" t="n">
        <v>44879</v>
      </c>
      <c r="C4828" s="1" t="n">
        <v>45662</v>
      </c>
      <c r="D4828" t="inlineStr">
        <is>
          <t>NORRBOTTENS LÄN</t>
        </is>
      </c>
      <c r="E4828" t="inlineStr">
        <is>
          <t>KALIX</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53840-2022</t>
        </is>
      </c>
      <c r="B4829" s="1" t="n">
        <v>44880</v>
      </c>
      <c r="C4829" s="1" t="n">
        <v>45662</v>
      </c>
      <c r="D4829" t="inlineStr">
        <is>
          <t>NORRBOTTENS LÄN</t>
        </is>
      </c>
      <c r="E4829" t="inlineStr">
        <is>
          <t>BODEN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53732-2022</t>
        </is>
      </c>
      <c r="B4830" s="1" t="n">
        <v>44880</v>
      </c>
      <c r="C4830" s="1" t="n">
        <v>45662</v>
      </c>
      <c r="D4830" t="inlineStr">
        <is>
          <t>NORRBOTTENS LÄN</t>
        </is>
      </c>
      <c r="E4830" t="inlineStr">
        <is>
          <t>ÖVERKALIX</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53769-2022</t>
        </is>
      </c>
      <c r="B4831" s="1" t="n">
        <v>44880</v>
      </c>
      <c r="C4831" s="1" t="n">
        <v>45662</v>
      </c>
      <c r="D4831" t="inlineStr">
        <is>
          <t>NORRBOTTENS LÄN</t>
        </is>
      </c>
      <c r="E4831" t="inlineStr">
        <is>
          <t>KALIX</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54457-2022</t>
        </is>
      </c>
      <c r="B4832" s="1" t="n">
        <v>44880</v>
      </c>
      <c r="C4832" s="1" t="n">
        <v>45662</v>
      </c>
      <c r="D4832" t="inlineStr">
        <is>
          <t>NORRBOTTENS LÄN</t>
        </is>
      </c>
      <c r="E4832" t="inlineStr">
        <is>
          <t>KALIX</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54084-2022</t>
        </is>
      </c>
      <c r="B4833" s="1" t="n">
        <v>44881</v>
      </c>
      <c r="C4833" s="1" t="n">
        <v>45662</v>
      </c>
      <c r="D4833" t="inlineStr">
        <is>
          <t>NORRBOTTENS LÄN</t>
        </is>
      </c>
      <c r="E4833" t="inlineStr">
        <is>
          <t>ÖVERTORNEÅ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54104-2022</t>
        </is>
      </c>
      <c r="B4834" s="1" t="n">
        <v>44881</v>
      </c>
      <c r="C4834" s="1" t="n">
        <v>45662</v>
      </c>
      <c r="D4834" t="inlineStr">
        <is>
          <t>NORRBOTTENS LÄN</t>
        </is>
      </c>
      <c r="E4834" t="inlineStr">
        <is>
          <t>BODEN</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54237-2022</t>
        </is>
      </c>
      <c r="B4835" s="1" t="n">
        <v>44881</v>
      </c>
      <c r="C4835" s="1" t="n">
        <v>45662</v>
      </c>
      <c r="D4835" t="inlineStr">
        <is>
          <t>NORRBOTTENS LÄN</t>
        </is>
      </c>
      <c r="E4835" t="inlineStr">
        <is>
          <t>BODEN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54236-2022</t>
        </is>
      </c>
      <c r="B4836" s="1" t="n">
        <v>44881</v>
      </c>
      <c r="C4836" s="1" t="n">
        <v>45662</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54240-2022</t>
        </is>
      </c>
      <c r="B4837" s="1" t="n">
        <v>44881</v>
      </c>
      <c r="C4837" s="1" t="n">
        <v>45662</v>
      </c>
      <c r="D4837" t="inlineStr">
        <is>
          <t>NORRBOTTENS LÄN</t>
        </is>
      </c>
      <c r="E4837" t="inlineStr">
        <is>
          <t>BODEN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54447-2022</t>
        </is>
      </c>
      <c r="B4838" s="1" t="n">
        <v>44882</v>
      </c>
      <c r="C4838" s="1" t="n">
        <v>45662</v>
      </c>
      <c r="D4838" t="inlineStr">
        <is>
          <t>NORRBOTTENS LÄN</t>
        </is>
      </c>
      <c r="E4838" t="inlineStr">
        <is>
          <t>HAPARANDA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54322-2022</t>
        </is>
      </c>
      <c r="B4839" s="1" t="n">
        <v>44882</v>
      </c>
      <c r="C4839" s="1" t="n">
        <v>45662</v>
      </c>
      <c r="D4839" t="inlineStr">
        <is>
          <t>NORRBOTTENS LÄN</t>
        </is>
      </c>
      <c r="E4839" t="inlineStr">
        <is>
          <t>PAJALA</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54421-2022</t>
        </is>
      </c>
      <c r="B4840" s="1" t="n">
        <v>44882</v>
      </c>
      <c r="C4840" s="1" t="n">
        <v>45662</v>
      </c>
      <c r="D4840" t="inlineStr">
        <is>
          <t>NORRBOTTENS LÄN</t>
        </is>
      </c>
      <c r="E4840" t="inlineStr">
        <is>
          <t>BODEN</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54580-2022</t>
        </is>
      </c>
      <c r="B4841" s="1" t="n">
        <v>44882</v>
      </c>
      <c r="C4841" s="1" t="n">
        <v>45662</v>
      </c>
      <c r="D4841" t="inlineStr">
        <is>
          <t>NORRBOTTENS LÄN</t>
        </is>
      </c>
      <c r="E4841" t="inlineStr">
        <is>
          <t>LULEÅ</t>
        </is>
      </c>
      <c r="F4841" t="inlineStr">
        <is>
          <t>SCA</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54587-2022</t>
        </is>
      </c>
      <c r="B4842" s="1" t="n">
        <v>44883</v>
      </c>
      <c r="C4842" s="1" t="n">
        <v>45662</v>
      </c>
      <c r="D4842" t="inlineStr">
        <is>
          <t>NORRBOTTENS LÄN</t>
        </is>
      </c>
      <c r="E4842" t="inlineStr">
        <is>
          <t>BODEN</t>
        </is>
      </c>
      <c r="F4842" t="inlineStr">
        <is>
          <t>Sveaskog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54632-2022</t>
        </is>
      </c>
      <c r="B4843" s="1" t="n">
        <v>44883</v>
      </c>
      <c r="C4843" s="1" t="n">
        <v>45662</v>
      </c>
      <c r="D4843" t="inlineStr">
        <is>
          <t>NORRBOTTENS LÄN</t>
        </is>
      </c>
      <c r="E4843" t="inlineStr">
        <is>
          <t>HAPARANDA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54592-2022</t>
        </is>
      </c>
      <c r="B4844" s="1" t="n">
        <v>44883</v>
      </c>
      <c r="C4844" s="1" t="n">
        <v>45662</v>
      </c>
      <c r="D4844" t="inlineStr">
        <is>
          <t>NORRBOTTENS LÄN</t>
        </is>
      </c>
      <c r="E4844" t="inlineStr">
        <is>
          <t>BODEN</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54824-2022</t>
        </is>
      </c>
      <c r="B4845" s="1" t="n">
        <v>44883</v>
      </c>
      <c r="C4845" s="1" t="n">
        <v>45662</v>
      </c>
      <c r="D4845" t="inlineStr">
        <is>
          <t>NORRBOTTENS LÄN</t>
        </is>
      </c>
      <c r="E4845" t="inlineStr">
        <is>
          <t>LULEÅ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54590-2022</t>
        </is>
      </c>
      <c r="B4846" s="1" t="n">
        <v>44883</v>
      </c>
      <c r="C4846" s="1" t="n">
        <v>45662</v>
      </c>
      <c r="D4846" t="inlineStr">
        <is>
          <t>NORRBOTTENS LÄN</t>
        </is>
      </c>
      <c r="E4846" t="inlineStr">
        <is>
          <t>BODEN</t>
        </is>
      </c>
      <c r="F4846" t="inlineStr">
        <is>
          <t>Sveaskog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54609-2022</t>
        </is>
      </c>
      <c r="B4847" s="1" t="n">
        <v>44883</v>
      </c>
      <c r="C4847" s="1" t="n">
        <v>45662</v>
      </c>
      <c r="D4847" t="inlineStr">
        <is>
          <t>NORRBOTTENS LÄN</t>
        </is>
      </c>
      <c r="E4847" t="inlineStr">
        <is>
          <t>ARVIDSJAUR</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54625-2022</t>
        </is>
      </c>
      <c r="B4848" s="1" t="n">
        <v>44883</v>
      </c>
      <c r="C4848" s="1" t="n">
        <v>45662</v>
      </c>
      <c r="D4848" t="inlineStr">
        <is>
          <t>NORRBOTTENS LÄN</t>
        </is>
      </c>
      <c r="E4848" t="inlineStr">
        <is>
          <t>HAPARANDA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54653-2022</t>
        </is>
      </c>
      <c r="B4849" s="1" t="n">
        <v>44883</v>
      </c>
      <c r="C4849" s="1" t="n">
        <v>45662</v>
      </c>
      <c r="D4849" t="inlineStr">
        <is>
          <t>NORRBOTTENS LÄN</t>
        </is>
      </c>
      <c r="E4849" t="inlineStr">
        <is>
          <t>HAPARANDA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54826-2022</t>
        </is>
      </c>
      <c r="B4850" s="1" t="n">
        <v>44883</v>
      </c>
      <c r="C4850" s="1" t="n">
        <v>45662</v>
      </c>
      <c r="D4850" t="inlineStr">
        <is>
          <t>NORRBOTTENS LÄN</t>
        </is>
      </c>
      <c r="E4850" t="inlineStr">
        <is>
          <t>PITEÅ</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54842-2022</t>
        </is>
      </c>
      <c r="B4851" s="1" t="n">
        <v>44883</v>
      </c>
      <c r="C4851" s="1" t="n">
        <v>45662</v>
      </c>
      <c r="D4851" t="inlineStr">
        <is>
          <t>NORRBOTTENS LÄN</t>
        </is>
      </c>
      <c r="E4851" t="inlineStr">
        <is>
          <t>GÄLLIVARE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55687-2022</t>
        </is>
      </c>
      <c r="B4852" s="1" t="n">
        <v>44883</v>
      </c>
      <c r="C4852" s="1" t="n">
        <v>45662</v>
      </c>
      <c r="D4852" t="inlineStr">
        <is>
          <t>NORRBOTTENS LÄN</t>
        </is>
      </c>
      <c r="E4852" t="inlineStr">
        <is>
          <t>ÖVERKALIX</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55570-2022</t>
        </is>
      </c>
      <c r="B4853" s="1" t="n">
        <v>44883</v>
      </c>
      <c r="C4853" s="1" t="n">
        <v>45662</v>
      </c>
      <c r="D4853" t="inlineStr">
        <is>
          <t>NORRBOTTENS LÄN</t>
        </is>
      </c>
      <c r="E4853" t="inlineStr">
        <is>
          <t>ARVIDSJAUR</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55666-2022</t>
        </is>
      </c>
      <c r="B4854" s="1" t="n">
        <v>44883</v>
      </c>
      <c r="C4854" s="1" t="n">
        <v>45662</v>
      </c>
      <c r="D4854" t="inlineStr">
        <is>
          <t>NORRBOTTENS LÄN</t>
        </is>
      </c>
      <c r="E4854" t="inlineStr">
        <is>
          <t>ÖVERTORNEÅ</t>
        </is>
      </c>
      <c r="G4854" t="n">
        <v>26.6</v>
      </c>
      <c r="H4854" t="n">
        <v>0</v>
      </c>
      <c r="I4854" t="n">
        <v>0</v>
      </c>
      <c r="J4854" t="n">
        <v>0</v>
      </c>
      <c r="K4854" t="n">
        <v>0</v>
      </c>
      <c r="L4854" t="n">
        <v>0</v>
      </c>
      <c r="M4854" t="n">
        <v>0</v>
      </c>
      <c r="N4854" t="n">
        <v>0</v>
      </c>
      <c r="O4854" t="n">
        <v>0</v>
      </c>
      <c r="P4854" t="n">
        <v>0</v>
      </c>
      <c r="Q4854" t="n">
        <v>0</v>
      </c>
      <c r="R4854" s="2" t="inlineStr"/>
    </row>
    <row r="4855" ht="15" customHeight="1">
      <c r="A4855" t="inlineStr">
        <is>
          <t>A 55599-2022</t>
        </is>
      </c>
      <c r="B4855" s="1" t="n">
        <v>44883</v>
      </c>
      <c r="C4855" s="1" t="n">
        <v>45662</v>
      </c>
      <c r="D4855" t="inlineStr">
        <is>
          <t>NORRBOTTENS LÄN</t>
        </is>
      </c>
      <c r="E4855" t="inlineStr">
        <is>
          <t>ARVIDSJAUR</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55684-2022</t>
        </is>
      </c>
      <c r="B4856" s="1" t="n">
        <v>44883</v>
      </c>
      <c r="C4856" s="1" t="n">
        <v>45662</v>
      </c>
      <c r="D4856" t="inlineStr">
        <is>
          <t>NORRBOTTENS LÄN</t>
        </is>
      </c>
      <c r="E4856" t="inlineStr">
        <is>
          <t>ÖVERKALIX</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54863-2022</t>
        </is>
      </c>
      <c r="B4857" s="1" t="n">
        <v>44884</v>
      </c>
      <c r="C4857" s="1" t="n">
        <v>45662</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54858-2022</t>
        </is>
      </c>
      <c r="B4858" s="1" t="n">
        <v>44884</v>
      </c>
      <c r="C4858" s="1" t="n">
        <v>45662</v>
      </c>
      <c r="D4858" t="inlineStr">
        <is>
          <t>NORRBOTTENS LÄN</t>
        </is>
      </c>
      <c r="E4858" t="inlineStr">
        <is>
          <t>HAPARANDA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54862-2022</t>
        </is>
      </c>
      <c r="B4859" s="1" t="n">
        <v>44884</v>
      </c>
      <c r="C4859" s="1" t="n">
        <v>45662</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54861-2022</t>
        </is>
      </c>
      <c r="B4860" s="1" t="n">
        <v>44884</v>
      </c>
      <c r="C4860" s="1" t="n">
        <v>45662</v>
      </c>
      <c r="D4860" t="inlineStr">
        <is>
          <t>NORRBOTTENS LÄN</t>
        </is>
      </c>
      <c r="E4860" t="inlineStr">
        <is>
          <t>PAJALA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54866-2022</t>
        </is>
      </c>
      <c r="B4861" s="1" t="n">
        <v>44885</v>
      </c>
      <c r="C4861" s="1" t="n">
        <v>45662</v>
      </c>
      <c r="D4861" t="inlineStr">
        <is>
          <t>NORRBOTTENS LÄN</t>
        </is>
      </c>
      <c r="E4861" t="inlineStr">
        <is>
          <t>ARVIDSJAUR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54979-2022</t>
        </is>
      </c>
      <c r="B4862" s="1" t="n">
        <v>44886</v>
      </c>
      <c r="C4862" s="1" t="n">
        <v>45662</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54997-2022</t>
        </is>
      </c>
      <c r="B4863" s="1" t="n">
        <v>44886</v>
      </c>
      <c r="C4863" s="1" t="n">
        <v>45662</v>
      </c>
      <c r="D4863" t="inlineStr">
        <is>
          <t>NORRBOTTENS LÄN</t>
        </is>
      </c>
      <c r="E4863" t="inlineStr">
        <is>
          <t>HAPARANDA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55221-2022</t>
        </is>
      </c>
      <c r="B4864" s="1" t="n">
        <v>44886</v>
      </c>
      <c r="C4864" s="1" t="n">
        <v>45662</v>
      </c>
      <c r="D4864" t="inlineStr">
        <is>
          <t>NORRBOTTENS LÄN</t>
        </is>
      </c>
      <c r="E4864" t="inlineStr">
        <is>
          <t>GÄLLIVARE</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55226-2022</t>
        </is>
      </c>
      <c r="B4865" s="1" t="n">
        <v>44887</v>
      </c>
      <c r="C4865" s="1" t="n">
        <v>45662</v>
      </c>
      <c r="D4865" t="inlineStr">
        <is>
          <t>NORRBOTTENS LÄN</t>
        </is>
      </c>
      <c r="E4865" t="inlineStr">
        <is>
          <t>GÄLLIVARE</t>
        </is>
      </c>
      <c r="F4865" t="inlineStr">
        <is>
          <t>SCA</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55074-2022</t>
        </is>
      </c>
      <c r="B4866" s="1" t="n">
        <v>44886</v>
      </c>
      <c r="C4866" s="1" t="n">
        <v>45662</v>
      </c>
      <c r="D4866" t="inlineStr">
        <is>
          <t>NORRBOTTENS LÄN</t>
        </is>
      </c>
      <c r="E4866" t="inlineStr">
        <is>
          <t>PITEÅ</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55203-2022</t>
        </is>
      </c>
      <c r="B4867" s="1" t="n">
        <v>44886</v>
      </c>
      <c r="C4867" s="1" t="n">
        <v>45662</v>
      </c>
      <c r="D4867" t="inlineStr">
        <is>
          <t>NORRBOTTENS LÄN</t>
        </is>
      </c>
      <c r="E4867" t="inlineStr">
        <is>
          <t>ÖVERKALIX</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55223-2022</t>
        </is>
      </c>
      <c r="B4868" s="1" t="n">
        <v>44886</v>
      </c>
      <c r="C4868" s="1" t="n">
        <v>45662</v>
      </c>
      <c r="D4868" t="inlineStr">
        <is>
          <t>NORRBOTTENS LÄN</t>
        </is>
      </c>
      <c r="E4868" t="inlineStr">
        <is>
          <t>GÄLLIVARE</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55239-2022</t>
        </is>
      </c>
      <c r="B4869" s="1" t="n">
        <v>44886</v>
      </c>
      <c r="C4869" s="1" t="n">
        <v>45662</v>
      </c>
      <c r="D4869" t="inlineStr">
        <is>
          <t>NORRBOTTENS LÄN</t>
        </is>
      </c>
      <c r="E4869" t="inlineStr">
        <is>
          <t>GÄLLIVARE</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55772-2022</t>
        </is>
      </c>
      <c r="B4870" s="1" t="n">
        <v>44886</v>
      </c>
      <c r="C4870" s="1" t="n">
        <v>45662</v>
      </c>
      <c r="D4870" t="inlineStr">
        <is>
          <t>NORRBOTTENS LÄN</t>
        </is>
      </c>
      <c r="E4870" t="inlineStr">
        <is>
          <t>ÖVERKALIX</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55222-2022</t>
        </is>
      </c>
      <c r="B4871" s="1" t="n">
        <v>44887</v>
      </c>
      <c r="C4871" s="1" t="n">
        <v>45662</v>
      </c>
      <c r="D4871" t="inlineStr">
        <is>
          <t>NORRBOTTENS LÄN</t>
        </is>
      </c>
      <c r="E4871" t="inlineStr">
        <is>
          <t>GÄLLIVARE</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55770-2022</t>
        </is>
      </c>
      <c r="B4872" s="1" t="n">
        <v>44886</v>
      </c>
      <c r="C4872" s="1" t="n">
        <v>45662</v>
      </c>
      <c r="D4872" t="inlineStr">
        <is>
          <t>NORRBOTTENS LÄN</t>
        </is>
      </c>
      <c r="E4872" t="inlineStr">
        <is>
          <t>LULEÅ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55195-2022</t>
        </is>
      </c>
      <c r="B4873" s="1" t="n">
        <v>44886</v>
      </c>
      <c r="C4873" s="1" t="n">
        <v>45662</v>
      </c>
      <c r="D4873" t="inlineStr">
        <is>
          <t>NORRBOTTENS LÄN</t>
        </is>
      </c>
      <c r="E4873" t="inlineStr">
        <is>
          <t>LULEÅ</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55220-2022</t>
        </is>
      </c>
      <c r="B4874" s="1" t="n">
        <v>44887</v>
      </c>
      <c r="C4874" s="1" t="n">
        <v>45662</v>
      </c>
      <c r="D4874" t="inlineStr">
        <is>
          <t>NORRBOTTENS LÄN</t>
        </is>
      </c>
      <c r="E4874" t="inlineStr">
        <is>
          <t>GÄLLIVARE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55224-2022</t>
        </is>
      </c>
      <c r="B4875" s="1" t="n">
        <v>44887</v>
      </c>
      <c r="C4875" s="1" t="n">
        <v>45662</v>
      </c>
      <c r="D4875" t="inlineStr">
        <is>
          <t>NORRBOTTENS LÄN</t>
        </is>
      </c>
      <c r="E4875" t="inlineStr">
        <is>
          <t>GÄLLIVARE</t>
        </is>
      </c>
      <c r="F4875" t="inlineStr">
        <is>
          <t>SCA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55761-2022</t>
        </is>
      </c>
      <c r="B4876" s="1" t="n">
        <v>44886</v>
      </c>
      <c r="C4876" s="1" t="n">
        <v>45662</v>
      </c>
      <c r="D4876" t="inlineStr">
        <is>
          <t>NORRBOTTENS LÄN</t>
        </is>
      </c>
      <c r="E4876" t="inlineStr">
        <is>
          <t>ÖVERKALIX</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57688-2022</t>
        </is>
      </c>
      <c r="B4877" s="1" t="n">
        <v>44886</v>
      </c>
      <c r="C4877" s="1" t="n">
        <v>45662</v>
      </c>
      <c r="D4877" t="inlineStr">
        <is>
          <t>NORRBOTTENS LÄN</t>
        </is>
      </c>
      <c r="E4877" t="inlineStr">
        <is>
          <t>ÖVERKALIX</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55536-2022</t>
        </is>
      </c>
      <c r="B4878" s="1" t="n">
        <v>44887</v>
      </c>
      <c r="C4878" s="1" t="n">
        <v>45662</v>
      </c>
      <c r="D4878" t="inlineStr">
        <is>
          <t>NORRBOTTENS LÄN</t>
        </is>
      </c>
      <c r="E4878" t="inlineStr">
        <is>
          <t>BODEN</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55541-2022</t>
        </is>
      </c>
      <c r="B4879" s="1" t="n">
        <v>44887</v>
      </c>
      <c r="C4879" s="1" t="n">
        <v>45662</v>
      </c>
      <c r="D4879" t="inlineStr">
        <is>
          <t>NORRBOTTENS LÄN</t>
        </is>
      </c>
      <c r="E4879" t="inlineStr">
        <is>
          <t>BODEN</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55539-2022</t>
        </is>
      </c>
      <c r="B4880" s="1" t="n">
        <v>44887</v>
      </c>
      <c r="C4880" s="1" t="n">
        <v>45662</v>
      </c>
      <c r="D4880" t="inlineStr">
        <is>
          <t>NORRBOTTENS LÄN</t>
        </is>
      </c>
      <c r="E4880" t="inlineStr">
        <is>
          <t>BODEN</t>
        </is>
      </c>
      <c r="F4880" t="inlineStr">
        <is>
          <t>SCA</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55462-2022</t>
        </is>
      </c>
      <c r="B4881" s="1" t="n">
        <v>44887</v>
      </c>
      <c r="C4881" s="1" t="n">
        <v>45662</v>
      </c>
      <c r="D4881" t="inlineStr">
        <is>
          <t>NORRBOTTENS LÄN</t>
        </is>
      </c>
      <c r="E4881" t="inlineStr">
        <is>
          <t>PAJALA</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55534-2022</t>
        </is>
      </c>
      <c r="B4882" s="1" t="n">
        <v>44887</v>
      </c>
      <c r="C4882" s="1" t="n">
        <v>45662</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45662</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55538-2022</t>
        </is>
      </c>
      <c r="B4884" s="1" t="n">
        <v>44887</v>
      </c>
      <c r="C4884" s="1" t="n">
        <v>45662</v>
      </c>
      <c r="D4884" t="inlineStr">
        <is>
          <t>NORRBOTTENS LÄN</t>
        </is>
      </c>
      <c r="E4884" t="inlineStr">
        <is>
          <t>BODEN</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55706-2022</t>
        </is>
      </c>
      <c r="B4885" s="1" t="n">
        <v>44888</v>
      </c>
      <c r="C4885" s="1" t="n">
        <v>45662</v>
      </c>
      <c r="D4885" t="inlineStr">
        <is>
          <t>NORRBOTTENS LÄN</t>
        </is>
      </c>
      <c r="E4885" t="inlineStr">
        <is>
          <t>ARVIDSJAUR</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55802-2022</t>
        </is>
      </c>
      <c r="B4886" s="1" t="n">
        <v>44888</v>
      </c>
      <c r="C4886" s="1" t="n">
        <v>45662</v>
      </c>
      <c r="D4886" t="inlineStr">
        <is>
          <t>NORRBOTTENS LÄN</t>
        </is>
      </c>
      <c r="E4886" t="inlineStr">
        <is>
          <t>ÖVERTORNEÅ</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55842-2022</t>
        </is>
      </c>
      <c r="B4887" s="1" t="n">
        <v>44888</v>
      </c>
      <c r="C4887" s="1" t="n">
        <v>45662</v>
      </c>
      <c r="D4887" t="inlineStr">
        <is>
          <t>NORRBOTTENS LÄN</t>
        </is>
      </c>
      <c r="E4887" t="inlineStr">
        <is>
          <t>PITEÅ</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55801-2022</t>
        </is>
      </c>
      <c r="B4888" s="1" t="n">
        <v>44888</v>
      </c>
      <c r="C4888" s="1" t="n">
        <v>45662</v>
      </c>
      <c r="D4888" t="inlineStr">
        <is>
          <t>NORRBOTTENS LÄN</t>
        </is>
      </c>
      <c r="E4888" t="inlineStr">
        <is>
          <t>ÖVERTORNEÅ</t>
        </is>
      </c>
      <c r="F4888" t="inlineStr">
        <is>
          <t>Sveaskog</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55845-2022</t>
        </is>
      </c>
      <c r="B4889" s="1" t="n">
        <v>44888</v>
      </c>
      <c r="C4889" s="1" t="n">
        <v>45662</v>
      </c>
      <c r="D4889" t="inlineStr">
        <is>
          <t>NORRBOTTENS LÄN</t>
        </is>
      </c>
      <c r="E4889" t="inlineStr">
        <is>
          <t>PITEÅ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56024-2022</t>
        </is>
      </c>
      <c r="B4890" s="1" t="n">
        <v>44889</v>
      </c>
      <c r="C4890" s="1" t="n">
        <v>45662</v>
      </c>
      <c r="D4890" t="inlineStr">
        <is>
          <t>NORRBOTTENS LÄN</t>
        </is>
      </c>
      <c r="E4890" t="inlineStr">
        <is>
          <t>HAPARANDA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56061-2022</t>
        </is>
      </c>
      <c r="B4891" s="1" t="n">
        <v>44889</v>
      </c>
      <c r="C4891" s="1" t="n">
        <v>45662</v>
      </c>
      <c r="D4891" t="inlineStr">
        <is>
          <t>NORRBOTTENS LÄN</t>
        </is>
      </c>
      <c r="E4891" t="inlineStr">
        <is>
          <t>KALIX</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56073-2022</t>
        </is>
      </c>
      <c r="B4892" s="1" t="n">
        <v>44889</v>
      </c>
      <c r="C4892" s="1" t="n">
        <v>45662</v>
      </c>
      <c r="D4892" t="inlineStr">
        <is>
          <t>NORRBOTTENS LÄN</t>
        </is>
      </c>
      <c r="E4892" t="inlineStr">
        <is>
          <t>PITEÅ</t>
        </is>
      </c>
      <c r="F4892" t="inlineStr">
        <is>
          <t>Sveaskog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55979-2022</t>
        </is>
      </c>
      <c r="B4893" s="1" t="n">
        <v>44889</v>
      </c>
      <c r="C4893" s="1" t="n">
        <v>45662</v>
      </c>
      <c r="D4893" t="inlineStr">
        <is>
          <t>NORRBOTTENS LÄN</t>
        </is>
      </c>
      <c r="E4893" t="inlineStr">
        <is>
          <t>BODEN</t>
        </is>
      </c>
      <c r="F4893" t="inlineStr">
        <is>
          <t>Sveaskog</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55984-2022</t>
        </is>
      </c>
      <c r="B4894" s="1" t="n">
        <v>44889</v>
      </c>
      <c r="C4894" s="1" t="n">
        <v>45662</v>
      </c>
      <c r="D4894" t="inlineStr">
        <is>
          <t>NORRBOTTENS LÄN</t>
        </is>
      </c>
      <c r="E4894" t="inlineStr">
        <is>
          <t>BODEN</t>
        </is>
      </c>
      <c r="F4894" t="inlineStr">
        <is>
          <t>Sveaskog</t>
        </is>
      </c>
      <c r="G4894" t="n">
        <v>15.3</v>
      </c>
      <c r="H4894" t="n">
        <v>0</v>
      </c>
      <c r="I4894" t="n">
        <v>0</v>
      </c>
      <c r="J4894" t="n">
        <v>0</v>
      </c>
      <c r="K4894" t="n">
        <v>0</v>
      </c>
      <c r="L4894" t="n">
        <v>0</v>
      </c>
      <c r="M4894" t="n">
        <v>0</v>
      </c>
      <c r="N4894" t="n">
        <v>0</v>
      </c>
      <c r="O4894" t="n">
        <v>0</v>
      </c>
      <c r="P4894" t="n">
        <v>0</v>
      </c>
      <c r="Q4894" t="n">
        <v>0</v>
      </c>
      <c r="R4894" s="2" t="inlineStr"/>
    </row>
    <row r="4895" ht="15" customHeight="1">
      <c r="A4895" t="inlineStr">
        <is>
          <t>A 56076-2022</t>
        </is>
      </c>
      <c r="B4895" s="1" t="n">
        <v>44889</v>
      </c>
      <c r="C4895" s="1" t="n">
        <v>45662</v>
      </c>
      <c r="D4895" t="inlineStr">
        <is>
          <t>NORRBOTTENS LÄN</t>
        </is>
      </c>
      <c r="E4895" t="inlineStr">
        <is>
          <t>PITEÅ</t>
        </is>
      </c>
      <c r="F4895" t="inlineStr">
        <is>
          <t>Sveaskog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56028-2022</t>
        </is>
      </c>
      <c r="B4896" s="1" t="n">
        <v>44889</v>
      </c>
      <c r="C4896" s="1" t="n">
        <v>45662</v>
      </c>
      <c r="D4896" t="inlineStr">
        <is>
          <t>NORRBOTTENS LÄN</t>
        </is>
      </c>
      <c r="E4896" t="inlineStr">
        <is>
          <t>HAPARANDA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56163-2022</t>
        </is>
      </c>
      <c r="B4897" s="1" t="n">
        <v>44889</v>
      </c>
      <c r="C4897" s="1" t="n">
        <v>45662</v>
      </c>
      <c r="D4897" t="inlineStr">
        <is>
          <t>NORRBOTTENS LÄN</t>
        </is>
      </c>
      <c r="E4897" t="inlineStr">
        <is>
          <t>BODEN</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56168-2022</t>
        </is>
      </c>
      <c r="B4898" s="1" t="n">
        <v>44889</v>
      </c>
      <c r="C4898" s="1" t="n">
        <v>45662</v>
      </c>
      <c r="D4898" t="inlineStr">
        <is>
          <t>NORRBOTTENS LÄN</t>
        </is>
      </c>
      <c r="E4898" t="inlineStr">
        <is>
          <t>JOKKMOKK</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56069-2022</t>
        </is>
      </c>
      <c r="B4899" s="1" t="n">
        <v>44889</v>
      </c>
      <c r="C4899" s="1" t="n">
        <v>45662</v>
      </c>
      <c r="D4899" t="inlineStr">
        <is>
          <t>NORRBOTTENS LÄN</t>
        </is>
      </c>
      <c r="E4899" t="inlineStr">
        <is>
          <t>KALIX</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56087-2022</t>
        </is>
      </c>
      <c r="B4900" s="1" t="n">
        <v>44889</v>
      </c>
      <c r="C4900" s="1" t="n">
        <v>45662</v>
      </c>
      <c r="D4900" t="inlineStr">
        <is>
          <t>NORRBOTTENS LÄN</t>
        </is>
      </c>
      <c r="E4900" t="inlineStr">
        <is>
          <t>PAJALA</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56094-2022</t>
        </is>
      </c>
      <c r="B4901" s="1" t="n">
        <v>44889</v>
      </c>
      <c r="C4901" s="1" t="n">
        <v>45662</v>
      </c>
      <c r="D4901" t="inlineStr">
        <is>
          <t>NORRBOTTENS LÄN</t>
        </is>
      </c>
      <c r="E4901" t="inlineStr">
        <is>
          <t>BODEN</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57323-2022</t>
        </is>
      </c>
      <c r="B4902" s="1" t="n">
        <v>44889</v>
      </c>
      <c r="C4902" s="1" t="n">
        <v>45662</v>
      </c>
      <c r="D4902" t="inlineStr">
        <is>
          <t>NORRBOTTENS LÄN</t>
        </is>
      </c>
      <c r="E4902" t="inlineStr">
        <is>
          <t>PAJALA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57331-2022</t>
        </is>
      </c>
      <c r="B4903" s="1" t="n">
        <v>44889</v>
      </c>
      <c r="C4903" s="1" t="n">
        <v>45662</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56306-2022</t>
        </is>
      </c>
      <c r="B4904" s="1" t="n">
        <v>44890</v>
      </c>
      <c r="C4904" s="1" t="n">
        <v>45662</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56312-2022</t>
        </is>
      </c>
      <c r="B4905" s="1" t="n">
        <v>44890</v>
      </c>
      <c r="C4905" s="1" t="n">
        <v>45662</v>
      </c>
      <c r="D4905" t="inlineStr">
        <is>
          <t>NORRBOTTENS LÄN</t>
        </is>
      </c>
      <c r="E4905" t="inlineStr">
        <is>
          <t>PITEÅ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56319-2022</t>
        </is>
      </c>
      <c r="B4906" s="1" t="n">
        <v>44890</v>
      </c>
      <c r="C4906" s="1" t="n">
        <v>45662</v>
      </c>
      <c r="D4906" t="inlineStr">
        <is>
          <t>NORRBOTTENS LÄN</t>
        </is>
      </c>
      <c r="E4906" t="inlineStr">
        <is>
          <t>PITEÅ</t>
        </is>
      </c>
      <c r="F4906" t="inlineStr">
        <is>
          <t>Övriga Aktiebolag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56369-2022</t>
        </is>
      </c>
      <c r="B4907" s="1" t="n">
        <v>44890</v>
      </c>
      <c r="C4907" s="1" t="n">
        <v>45662</v>
      </c>
      <c r="D4907" t="inlineStr">
        <is>
          <t>NORRBOTTENS LÄN</t>
        </is>
      </c>
      <c r="E4907" t="inlineStr">
        <is>
          <t>ÖVERTORNEÅ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56374-2022</t>
        </is>
      </c>
      <c r="B4908" s="1" t="n">
        <v>44890</v>
      </c>
      <c r="C4908" s="1" t="n">
        <v>45662</v>
      </c>
      <c r="D4908" t="inlineStr">
        <is>
          <t>NORRBOTTENS LÄN</t>
        </is>
      </c>
      <c r="E4908" t="inlineStr">
        <is>
          <t>ÖVERTORNEÅ</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56370-2022</t>
        </is>
      </c>
      <c r="B4909" s="1" t="n">
        <v>44890</v>
      </c>
      <c r="C4909" s="1" t="n">
        <v>45662</v>
      </c>
      <c r="D4909" t="inlineStr">
        <is>
          <t>NORRBOTTENS LÄN</t>
        </is>
      </c>
      <c r="E4909" t="inlineStr">
        <is>
          <t>ÖVERTORNEÅ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56375-2022</t>
        </is>
      </c>
      <c r="B4910" s="1" t="n">
        <v>44890</v>
      </c>
      <c r="C4910" s="1" t="n">
        <v>45662</v>
      </c>
      <c r="D4910" t="inlineStr">
        <is>
          <t>NORRBOTTENS LÄN</t>
        </is>
      </c>
      <c r="E4910" t="inlineStr">
        <is>
          <t>ÖVERTORNEÅ</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56373-2022</t>
        </is>
      </c>
      <c r="B4911" s="1" t="n">
        <v>44890</v>
      </c>
      <c r="C4911" s="1" t="n">
        <v>45662</v>
      </c>
      <c r="D4911" t="inlineStr">
        <is>
          <t>NORRBOTTENS LÄN</t>
        </is>
      </c>
      <c r="E4911" t="inlineStr">
        <is>
          <t>ÖVERTORNEÅ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56402-2022</t>
        </is>
      </c>
      <c r="B4912" s="1" t="n">
        <v>44890</v>
      </c>
      <c r="C4912" s="1" t="n">
        <v>45662</v>
      </c>
      <c r="D4912" t="inlineStr">
        <is>
          <t>NORRBOTTENS LÄN</t>
        </is>
      </c>
      <c r="E4912" t="inlineStr">
        <is>
          <t>ÖVERKALIX</t>
        </is>
      </c>
      <c r="F4912" t="inlineStr">
        <is>
          <t>SCA</t>
        </is>
      </c>
      <c r="G4912" t="n">
        <v>13.8</v>
      </c>
      <c r="H4912" t="n">
        <v>0</v>
      </c>
      <c r="I4912" t="n">
        <v>0</v>
      </c>
      <c r="J4912" t="n">
        <v>0</v>
      </c>
      <c r="K4912" t="n">
        <v>0</v>
      </c>
      <c r="L4912" t="n">
        <v>0</v>
      </c>
      <c r="M4912" t="n">
        <v>0</v>
      </c>
      <c r="N4912" t="n">
        <v>0</v>
      </c>
      <c r="O4912" t="n">
        <v>0</v>
      </c>
      <c r="P4912" t="n">
        <v>0</v>
      </c>
      <c r="Q4912" t="n">
        <v>0</v>
      </c>
      <c r="R4912" s="2" t="inlineStr"/>
    </row>
    <row r="4913" ht="15" customHeight="1">
      <c r="A4913" t="inlineStr">
        <is>
          <t>A 56356-2022</t>
        </is>
      </c>
      <c r="B4913" s="1" t="n">
        <v>44890</v>
      </c>
      <c r="C4913" s="1" t="n">
        <v>45662</v>
      </c>
      <c r="D4913" t="inlineStr">
        <is>
          <t>NORRBOTTENS LÄN</t>
        </is>
      </c>
      <c r="E4913" t="inlineStr">
        <is>
          <t>ÖVERTORNEÅ</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56371-2022</t>
        </is>
      </c>
      <c r="B4914" s="1" t="n">
        <v>44890</v>
      </c>
      <c r="C4914" s="1" t="n">
        <v>45662</v>
      </c>
      <c r="D4914" t="inlineStr">
        <is>
          <t>NORRBOTTENS LÄN</t>
        </is>
      </c>
      <c r="E4914" t="inlineStr">
        <is>
          <t>ÖVERTORNEÅ</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56416-2022</t>
        </is>
      </c>
      <c r="B4915" s="1" t="n">
        <v>44890</v>
      </c>
      <c r="C4915" s="1" t="n">
        <v>45662</v>
      </c>
      <c r="D4915" t="inlineStr">
        <is>
          <t>NORRBOTTENS LÄN</t>
        </is>
      </c>
      <c r="E4915" t="inlineStr">
        <is>
          <t>ÖVERKALIX</t>
        </is>
      </c>
      <c r="F4915" t="inlineStr">
        <is>
          <t>SCA</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57619-2022</t>
        </is>
      </c>
      <c r="B4916" s="1" t="n">
        <v>44890</v>
      </c>
      <c r="C4916" s="1" t="n">
        <v>45662</v>
      </c>
      <c r="D4916" t="inlineStr">
        <is>
          <t>NORRBOTTENS LÄN</t>
        </is>
      </c>
      <c r="E4916" t="inlineStr">
        <is>
          <t>LULEÅ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57764-2022</t>
        </is>
      </c>
      <c r="B4917" s="1" t="n">
        <v>44890</v>
      </c>
      <c r="C4917" s="1" t="n">
        <v>45662</v>
      </c>
      <c r="D4917" t="inlineStr">
        <is>
          <t>NORRBOTTENS LÄN</t>
        </is>
      </c>
      <c r="E4917" t="inlineStr">
        <is>
          <t>LULEÅ</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56445-2022</t>
        </is>
      </c>
      <c r="B4918" s="1" t="n">
        <v>44892</v>
      </c>
      <c r="C4918" s="1" t="n">
        <v>45662</v>
      </c>
      <c r="D4918" t="inlineStr">
        <is>
          <t>NORRBOTTENS LÄN</t>
        </is>
      </c>
      <c r="E4918" t="inlineStr">
        <is>
          <t>PAJALA</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56449-2022</t>
        </is>
      </c>
      <c r="B4919" s="1" t="n">
        <v>44892</v>
      </c>
      <c r="C4919" s="1" t="n">
        <v>45662</v>
      </c>
      <c r="D4919" t="inlineStr">
        <is>
          <t>NORRBOTTENS LÄN</t>
        </is>
      </c>
      <c r="E4919" t="inlineStr">
        <is>
          <t>PAJALA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56446-2022</t>
        </is>
      </c>
      <c r="B4920" s="1" t="n">
        <v>44892</v>
      </c>
      <c r="C4920" s="1" t="n">
        <v>45662</v>
      </c>
      <c r="D4920" t="inlineStr">
        <is>
          <t>NORRBOTTENS LÄN</t>
        </is>
      </c>
      <c r="E4920" t="inlineStr">
        <is>
          <t>PAJALA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56448-2022</t>
        </is>
      </c>
      <c r="B4921" s="1" t="n">
        <v>44892</v>
      </c>
      <c r="C4921" s="1" t="n">
        <v>45662</v>
      </c>
      <c r="D4921" t="inlineStr">
        <is>
          <t>NORRBOTTENS LÄN</t>
        </is>
      </c>
      <c r="E4921" t="inlineStr">
        <is>
          <t>PAJALA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56691-2022</t>
        </is>
      </c>
      <c r="B4922" s="1" t="n">
        <v>44893</v>
      </c>
      <c r="C4922" s="1" t="n">
        <v>45662</v>
      </c>
      <c r="D4922" t="inlineStr">
        <is>
          <t>NORRBOTTENS LÄN</t>
        </is>
      </c>
      <c r="E4922" t="inlineStr">
        <is>
          <t>JOKKMOKK</t>
        </is>
      </c>
      <c r="F4922" t="inlineStr">
        <is>
          <t>Sveaskog</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56661-2022</t>
        </is>
      </c>
      <c r="B4923" s="1" t="n">
        <v>44893</v>
      </c>
      <c r="C4923" s="1" t="n">
        <v>45662</v>
      </c>
      <c r="D4923" t="inlineStr">
        <is>
          <t>NORRBOTTENS LÄN</t>
        </is>
      </c>
      <c r="E4923" t="inlineStr">
        <is>
          <t>PITEÅ</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56985-2022</t>
        </is>
      </c>
      <c r="B4924" s="1" t="n">
        <v>44894</v>
      </c>
      <c r="C4924" s="1" t="n">
        <v>45662</v>
      </c>
      <c r="D4924" t="inlineStr">
        <is>
          <t>NORRBOTTENS LÄN</t>
        </is>
      </c>
      <c r="E4924" t="inlineStr">
        <is>
          <t>ÖVERKALIX</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56994-2022</t>
        </is>
      </c>
      <c r="B4925" s="1" t="n">
        <v>44894</v>
      </c>
      <c r="C4925" s="1" t="n">
        <v>45662</v>
      </c>
      <c r="D4925" t="inlineStr">
        <is>
          <t>NORRBOTTENS LÄN</t>
        </is>
      </c>
      <c r="E4925" t="inlineStr">
        <is>
          <t>PAJALA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58575-2022</t>
        </is>
      </c>
      <c r="B4926" s="1" t="n">
        <v>44894</v>
      </c>
      <c r="C4926" s="1" t="n">
        <v>45662</v>
      </c>
      <c r="D4926" t="inlineStr">
        <is>
          <t>NORRBOTTENS LÄN</t>
        </is>
      </c>
      <c r="E4926" t="inlineStr">
        <is>
          <t>KALIX</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58591-2022</t>
        </is>
      </c>
      <c r="B4927" s="1" t="n">
        <v>44894</v>
      </c>
      <c r="C4927" s="1" t="n">
        <v>45662</v>
      </c>
      <c r="D4927" t="inlineStr">
        <is>
          <t>NORRBOTTENS LÄN</t>
        </is>
      </c>
      <c r="E4927" t="inlineStr">
        <is>
          <t>KALIX</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56983-2022</t>
        </is>
      </c>
      <c r="B4928" s="1" t="n">
        <v>44894</v>
      </c>
      <c r="C4928" s="1" t="n">
        <v>45662</v>
      </c>
      <c r="D4928" t="inlineStr">
        <is>
          <t>NORRBOTTENS LÄN</t>
        </is>
      </c>
      <c r="E4928" t="inlineStr">
        <is>
          <t>ÖVERKALIX</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58583-2022</t>
        </is>
      </c>
      <c r="B4929" s="1" t="n">
        <v>44894</v>
      </c>
      <c r="C4929" s="1" t="n">
        <v>45662</v>
      </c>
      <c r="D4929" t="inlineStr">
        <is>
          <t>NORRBOTTENS LÄN</t>
        </is>
      </c>
      <c r="E4929" t="inlineStr">
        <is>
          <t>KALIX</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58592-2022</t>
        </is>
      </c>
      <c r="B4930" s="1" t="n">
        <v>44894</v>
      </c>
      <c r="C4930" s="1" t="n">
        <v>45662</v>
      </c>
      <c r="D4930" t="inlineStr">
        <is>
          <t>NORRBOTTENS LÄN</t>
        </is>
      </c>
      <c r="E4930" t="inlineStr">
        <is>
          <t>KALIX</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58585-2022</t>
        </is>
      </c>
      <c r="B4931" s="1" t="n">
        <v>44894</v>
      </c>
      <c r="C4931" s="1" t="n">
        <v>45662</v>
      </c>
      <c r="D4931" t="inlineStr">
        <is>
          <t>NORRBOTTENS LÄN</t>
        </is>
      </c>
      <c r="E4931" t="inlineStr">
        <is>
          <t>KALIX</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57180-2022</t>
        </is>
      </c>
      <c r="B4932" s="1" t="n">
        <v>44895</v>
      </c>
      <c r="C4932" s="1" t="n">
        <v>45662</v>
      </c>
      <c r="D4932" t="inlineStr">
        <is>
          <t>NORRBOTTENS LÄN</t>
        </is>
      </c>
      <c r="E4932" t="inlineStr">
        <is>
          <t>PITEÅ</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57233-2022</t>
        </is>
      </c>
      <c r="B4933" s="1" t="n">
        <v>44895</v>
      </c>
      <c r="C4933" s="1" t="n">
        <v>45662</v>
      </c>
      <c r="D4933" t="inlineStr">
        <is>
          <t>NORRBOTTENS LÄN</t>
        </is>
      </c>
      <c r="E4933" t="inlineStr">
        <is>
          <t>ÄLVSBYN</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58601-2022</t>
        </is>
      </c>
      <c r="B4934" s="1" t="n">
        <v>44895</v>
      </c>
      <c r="C4934" s="1" t="n">
        <v>45662</v>
      </c>
      <c r="D4934" t="inlineStr">
        <is>
          <t>NORRBOTTENS LÄN</t>
        </is>
      </c>
      <c r="E4934" t="inlineStr">
        <is>
          <t>GÄLLIVARE</t>
        </is>
      </c>
      <c r="G4934" t="n">
        <v>19.4</v>
      </c>
      <c r="H4934" t="n">
        <v>0</v>
      </c>
      <c r="I4934" t="n">
        <v>0</v>
      </c>
      <c r="J4934" t="n">
        <v>0</v>
      </c>
      <c r="K4934" t="n">
        <v>0</v>
      </c>
      <c r="L4934" t="n">
        <v>0</v>
      </c>
      <c r="M4934" t="n">
        <v>0</v>
      </c>
      <c r="N4934" t="n">
        <v>0</v>
      </c>
      <c r="O4934" t="n">
        <v>0</v>
      </c>
      <c r="P4934" t="n">
        <v>0</v>
      </c>
      <c r="Q4934" t="n">
        <v>0</v>
      </c>
      <c r="R4934" s="2" t="inlineStr"/>
    </row>
    <row r="4935" ht="15" customHeight="1">
      <c r="A4935" t="inlineStr">
        <is>
          <t>A 57214-2022</t>
        </is>
      </c>
      <c r="B4935" s="1" t="n">
        <v>44895</v>
      </c>
      <c r="C4935" s="1" t="n">
        <v>45662</v>
      </c>
      <c r="D4935" t="inlineStr">
        <is>
          <t>NORRBOTTENS LÄN</t>
        </is>
      </c>
      <c r="E4935" t="inlineStr">
        <is>
          <t>ÄLVSBYN</t>
        </is>
      </c>
      <c r="F4935" t="inlineStr">
        <is>
          <t>Övriga Aktiebolag</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57264-2022</t>
        </is>
      </c>
      <c r="B4936" s="1" t="n">
        <v>44895</v>
      </c>
      <c r="C4936" s="1" t="n">
        <v>45662</v>
      </c>
      <c r="D4936" t="inlineStr">
        <is>
          <t>NORRBOTTENS LÄN</t>
        </is>
      </c>
      <c r="E4936" t="inlineStr">
        <is>
          <t>LULEÅ</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58609-2022</t>
        </is>
      </c>
      <c r="B4937" s="1" t="n">
        <v>44895</v>
      </c>
      <c r="C4937" s="1" t="n">
        <v>45662</v>
      </c>
      <c r="D4937" t="inlineStr">
        <is>
          <t>NORRBOTTENS LÄN</t>
        </is>
      </c>
      <c r="E4937" t="inlineStr">
        <is>
          <t>PAJALA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58776-2022</t>
        </is>
      </c>
      <c r="B4938" s="1" t="n">
        <v>44895</v>
      </c>
      <c r="C4938" s="1" t="n">
        <v>45662</v>
      </c>
      <c r="D4938" t="inlineStr">
        <is>
          <t>NORRBOTTENS LÄN</t>
        </is>
      </c>
      <c r="E4938" t="inlineStr">
        <is>
          <t>GÄLLIVARE</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57419-2022</t>
        </is>
      </c>
      <c r="B4939" s="1" t="n">
        <v>44896</v>
      </c>
      <c r="C4939" s="1" t="n">
        <v>45662</v>
      </c>
      <c r="D4939" t="inlineStr">
        <is>
          <t>NORRBOTTENS LÄN</t>
        </is>
      </c>
      <c r="E4939" t="inlineStr">
        <is>
          <t>KALIX</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57442-2022</t>
        </is>
      </c>
      <c r="B4940" s="1" t="n">
        <v>44896</v>
      </c>
      <c r="C4940" s="1" t="n">
        <v>45662</v>
      </c>
      <c r="D4940" t="inlineStr">
        <is>
          <t>NORRBOTTENS LÄN</t>
        </is>
      </c>
      <c r="E4940" t="inlineStr">
        <is>
          <t>GÄLLIVARE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58908-2022</t>
        </is>
      </c>
      <c r="B4941" s="1" t="n">
        <v>44896</v>
      </c>
      <c r="C4941" s="1" t="n">
        <v>45662</v>
      </c>
      <c r="D4941" t="inlineStr">
        <is>
          <t>NORRBOTTENS LÄN</t>
        </is>
      </c>
      <c r="E4941" t="inlineStr">
        <is>
          <t>ÄLVSBYN</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58860-2022</t>
        </is>
      </c>
      <c r="B4942" s="1" t="n">
        <v>44896</v>
      </c>
      <c r="C4942" s="1" t="n">
        <v>45662</v>
      </c>
      <c r="D4942" t="inlineStr">
        <is>
          <t>NORRBOTTENS LÄN</t>
        </is>
      </c>
      <c r="E4942" t="inlineStr">
        <is>
          <t>KIRUNA</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57672-2022</t>
        </is>
      </c>
      <c r="B4943" s="1" t="n">
        <v>44897</v>
      </c>
      <c r="C4943" s="1" t="n">
        <v>45662</v>
      </c>
      <c r="D4943" t="inlineStr">
        <is>
          <t>NORRBOTTENS LÄN</t>
        </is>
      </c>
      <c r="E4943" t="inlineStr">
        <is>
          <t>JOKKMOKK</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57816-2022</t>
        </is>
      </c>
      <c r="B4944" s="1" t="n">
        <v>44897</v>
      </c>
      <c r="C4944" s="1" t="n">
        <v>45662</v>
      </c>
      <c r="D4944" t="inlineStr">
        <is>
          <t>NORRBOTTENS LÄN</t>
        </is>
      </c>
      <c r="E4944" t="inlineStr">
        <is>
          <t>LULEÅ</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57822-2022</t>
        </is>
      </c>
      <c r="B4945" s="1" t="n">
        <v>44897</v>
      </c>
      <c r="C4945" s="1" t="n">
        <v>45662</v>
      </c>
      <c r="D4945" t="inlineStr">
        <is>
          <t>NORRBOTTENS LÄN</t>
        </is>
      </c>
      <c r="E4945" t="inlineStr">
        <is>
          <t>LULEÅ</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57789-2022</t>
        </is>
      </c>
      <c r="B4946" s="1" t="n">
        <v>44897</v>
      </c>
      <c r="C4946" s="1" t="n">
        <v>45662</v>
      </c>
      <c r="D4946" t="inlineStr">
        <is>
          <t>NORRBOTTENS LÄN</t>
        </is>
      </c>
      <c r="E4946" t="inlineStr">
        <is>
          <t>ÄLVSBYN</t>
        </is>
      </c>
      <c r="F4946" t="inlineStr">
        <is>
          <t>Övriga Aktiebolag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57739-2022</t>
        </is>
      </c>
      <c r="B4947" s="1" t="n">
        <v>44897</v>
      </c>
      <c r="C4947" s="1" t="n">
        <v>45662</v>
      </c>
      <c r="D4947" t="inlineStr">
        <is>
          <t>NORRBOTTENS LÄN</t>
        </is>
      </c>
      <c r="E4947" t="inlineStr">
        <is>
          <t>BODEN</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57785-2022</t>
        </is>
      </c>
      <c r="B4948" s="1" t="n">
        <v>44897</v>
      </c>
      <c r="C4948" s="1" t="n">
        <v>45662</v>
      </c>
      <c r="D4948" t="inlineStr">
        <is>
          <t>NORRBOTTENS LÄN</t>
        </is>
      </c>
      <c r="E4948" t="inlineStr">
        <is>
          <t>ÄLVSBYN</t>
        </is>
      </c>
      <c r="F4948" t="inlineStr">
        <is>
          <t>Övriga Aktiebolag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57815-2022</t>
        </is>
      </c>
      <c r="B4949" s="1" t="n">
        <v>44897</v>
      </c>
      <c r="C4949" s="1" t="n">
        <v>45662</v>
      </c>
      <c r="D4949" t="inlineStr">
        <is>
          <t>NORRBOTTENS LÄN</t>
        </is>
      </c>
      <c r="E4949" t="inlineStr">
        <is>
          <t>LULEÅ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57821-2022</t>
        </is>
      </c>
      <c r="B4950" s="1" t="n">
        <v>44897</v>
      </c>
      <c r="C4950" s="1" t="n">
        <v>45662</v>
      </c>
      <c r="D4950" t="inlineStr">
        <is>
          <t>NORRBOTTENS LÄN</t>
        </is>
      </c>
      <c r="E4950" t="inlineStr">
        <is>
          <t>LULEÅ</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57825-2022</t>
        </is>
      </c>
      <c r="B4951" s="1" t="n">
        <v>44897</v>
      </c>
      <c r="C4951" s="1" t="n">
        <v>45662</v>
      </c>
      <c r="D4951" t="inlineStr">
        <is>
          <t>NORRBOTTENS LÄN</t>
        </is>
      </c>
      <c r="E4951" t="inlineStr">
        <is>
          <t>LULEÅ</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57813-2022</t>
        </is>
      </c>
      <c r="B4952" s="1" t="n">
        <v>44897</v>
      </c>
      <c r="C4952" s="1" t="n">
        <v>45662</v>
      </c>
      <c r="D4952" t="inlineStr">
        <is>
          <t>NORRBOTTENS LÄN</t>
        </is>
      </c>
      <c r="E4952" t="inlineStr">
        <is>
          <t>BODEN</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57818-2022</t>
        </is>
      </c>
      <c r="B4953" s="1" t="n">
        <v>44897</v>
      </c>
      <c r="C4953" s="1" t="n">
        <v>45662</v>
      </c>
      <c r="D4953" t="inlineStr">
        <is>
          <t>NORRBOTTENS LÄN</t>
        </is>
      </c>
      <c r="E4953" t="inlineStr">
        <is>
          <t>LULEÅ</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57823-2022</t>
        </is>
      </c>
      <c r="B4954" s="1" t="n">
        <v>44897</v>
      </c>
      <c r="C4954" s="1" t="n">
        <v>45662</v>
      </c>
      <c r="D4954" t="inlineStr">
        <is>
          <t>NORRBOTTENS LÄN</t>
        </is>
      </c>
      <c r="E4954" t="inlineStr">
        <is>
          <t>LULEÅ</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57826-2022</t>
        </is>
      </c>
      <c r="B4955" s="1" t="n">
        <v>44897</v>
      </c>
      <c r="C4955" s="1" t="n">
        <v>45662</v>
      </c>
      <c r="D4955" t="inlineStr">
        <is>
          <t>NORRBOTTENS LÄN</t>
        </is>
      </c>
      <c r="E4955" t="inlineStr">
        <is>
          <t>LULEÅ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57836-2022</t>
        </is>
      </c>
      <c r="B4956" s="1" t="n">
        <v>44897</v>
      </c>
      <c r="C4956" s="1" t="n">
        <v>45662</v>
      </c>
      <c r="D4956" t="inlineStr">
        <is>
          <t>NORRBOTTENS LÄN</t>
        </is>
      </c>
      <c r="E4956" t="inlineStr">
        <is>
          <t>ÖVERKALIX</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57820-2022</t>
        </is>
      </c>
      <c r="B4957" s="1" t="n">
        <v>44897</v>
      </c>
      <c r="C4957" s="1" t="n">
        <v>45662</v>
      </c>
      <c r="D4957" t="inlineStr">
        <is>
          <t>NORRBOTTENS LÄN</t>
        </is>
      </c>
      <c r="E4957" t="inlineStr">
        <is>
          <t>PITEÅ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57824-2022</t>
        </is>
      </c>
      <c r="B4958" s="1" t="n">
        <v>44897</v>
      </c>
      <c r="C4958" s="1" t="n">
        <v>45662</v>
      </c>
      <c r="D4958" t="inlineStr">
        <is>
          <t>NORRBOTTENS LÄN</t>
        </is>
      </c>
      <c r="E4958" t="inlineStr">
        <is>
          <t>LULEÅ</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57833-2022</t>
        </is>
      </c>
      <c r="B4959" s="1" t="n">
        <v>44897</v>
      </c>
      <c r="C4959" s="1" t="n">
        <v>45662</v>
      </c>
      <c r="D4959" t="inlineStr">
        <is>
          <t>NORRBOTTENS LÄN</t>
        </is>
      </c>
      <c r="E4959" t="inlineStr">
        <is>
          <t>GÄLLIVARE</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59310-2022</t>
        </is>
      </c>
      <c r="B4960" s="1" t="n">
        <v>44897</v>
      </c>
      <c r="C4960" s="1" t="n">
        <v>45662</v>
      </c>
      <c r="D4960" t="inlineStr">
        <is>
          <t>NORRBOTTENS LÄN</t>
        </is>
      </c>
      <c r="E4960" t="inlineStr">
        <is>
          <t>ÖVERKALIX</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57860-2022</t>
        </is>
      </c>
      <c r="B4961" s="1" t="n">
        <v>44899</v>
      </c>
      <c r="C4961" s="1" t="n">
        <v>45662</v>
      </c>
      <c r="D4961" t="inlineStr">
        <is>
          <t>NORRBOTTENS LÄN</t>
        </is>
      </c>
      <c r="E4961" t="inlineStr">
        <is>
          <t>KALIX</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57870-2022</t>
        </is>
      </c>
      <c r="B4962" s="1" t="n">
        <v>44899</v>
      </c>
      <c r="C4962" s="1" t="n">
        <v>45662</v>
      </c>
      <c r="D4962" t="inlineStr">
        <is>
          <t>NORRBOTTENS LÄN</t>
        </is>
      </c>
      <c r="E4962" t="inlineStr">
        <is>
          <t>ÖVERKALIX</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57884-2022</t>
        </is>
      </c>
      <c r="B4963" s="1" t="n">
        <v>44899</v>
      </c>
      <c r="C4963" s="1" t="n">
        <v>45662</v>
      </c>
      <c r="D4963" t="inlineStr">
        <is>
          <t>NORRBOTTENS LÄN</t>
        </is>
      </c>
      <c r="E4963" t="inlineStr">
        <is>
          <t>ÖVERKALIX</t>
        </is>
      </c>
      <c r="F4963" t="inlineStr">
        <is>
          <t>SCA</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57897-2022</t>
        </is>
      </c>
      <c r="B4964" s="1" t="n">
        <v>44900</v>
      </c>
      <c r="C4964" s="1" t="n">
        <v>45662</v>
      </c>
      <c r="D4964" t="inlineStr">
        <is>
          <t>NORRBOTTENS LÄN</t>
        </is>
      </c>
      <c r="E4964" t="inlineStr">
        <is>
          <t>BODEN</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58035-2022</t>
        </is>
      </c>
      <c r="B4965" s="1" t="n">
        <v>44900</v>
      </c>
      <c r="C4965" s="1" t="n">
        <v>45662</v>
      </c>
      <c r="D4965" t="inlineStr">
        <is>
          <t>NORRBOTTENS LÄN</t>
        </is>
      </c>
      <c r="E4965" t="inlineStr">
        <is>
          <t>ÖVERTORNEÅ</t>
        </is>
      </c>
      <c r="F4965" t="inlineStr">
        <is>
          <t>Sveaskog</t>
        </is>
      </c>
      <c r="G4965" t="n">
        <v>20.2</v>
      </c>
      <c r="H4965" t="n">
        <v>0</v>
      </c>
      <c r="I4965" t="n">
        <v>0</v>
      </c>
      <c r="J4965" t="n">
        <v>0</v>
      </c>
      <c r="K4965" t="n">
        <v>0</v>
      </c>
      <c r="L4965" t="n">
        <v>0</v>
      </c>
      <c r="M4965" t="n">
        <v>0</v>
      </c>
      <c r="N4965" t="n">
        <v>0</v>
      </c>
      <c r="O4965" t="n">
        <v>0</v>
      </c>
      <c r="P4965" t="n">
        <v>0</v>
      </c>
      <c r="Q4965" t="n">
        <v>0</v>
      </c>
      <c r="R4965" s="2" t="inlineStr"/>
    </row>
    <row r="4966" ht="15" customHeight="1">
      <c r="A4966" t="inlineStr">
        <is>
          <t>A 58139-2022</t>
        </is>
      </c>
      <c r="B4966" s="1" t="n">
        <v>44900</v>
      </c>
      <c r="C4966" s="1" t="n">
        <v>45662</v>
      </c>
      <c r="D4966" t="inlineStr">
        <is>
          <t>NORRBOTTENS LÄN</t>
        </is>
      </c>
      <c r="E4966" t="inlineStr">
        <is>
          <t>GÄLLIVARE</t>
        </is>
      </c>
      <c r="G4966" t="n">
        <v>7.6</v>
      </c>
      <c r="H4966" t="n">
        <v>0</v>
      </c>
      <c r="I4966" t="n">
        <v>0</v>
      </c>
      <c r="J4966" t="n">
        <v>0</v>
      </c>
      <c r="K4966" t="n">
        <v>0</v>
      </c>
      <c r="L4966" t="n">
        <v>0</v>
      </c>
      <c r="M4966" t="n">
        <v>0</v>
      </c>
      <c r="N4966" t="n">
        <v>0</v>
      </c>
      <c r="O4966" t="n">
        <v>0</v>
      </c>
      <c r="P4966" t="n">
        <v>0</v>
      </c>
      <c r="Q4966" t="n">
        <v>0</v>
      </c>
      <c r="R4966" s="2" t="inlineStr"/>
    </row>
    <row r="4967" ht="15" customHeight="1">
      <c r="A4967" t="inlineStr">
        <is>
          <t>A 58062-2022</t>
        </is>
      </c>
      <c r="B4967" s="1" t="n">
        <v>44900</v>
      </c>
      <c r="C4967" s="1" t="n">
        <v>45662</v>
      </c>
      <c r="D4967" t="inlineStr">
        <is>
          <t>NORRBOTTENS LÄN</t>
        </is>
      </c>
      <c r="E4967" t="inlineStr">
        <is>
          <t>BODEN</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58296-2022</t>
        </is>
      </c>
      <c r="B4968" s="1" t="n">
        <v>44901</v>
      </c>
      <c r="C4968" s="1" t="n">
        <v>45662</v>
      </c>
      <c r="D4968" t="inlineStr">
        <is>
          <t>NORRBOTTENS LÄN</t>
        </is>
      </c>
      <c r="E4968" t="inlineStr">
        <is>
          <t>KALIX</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58319-2022</t>
        </is>
      </c>
      <c r="B4969" s="1" t="n">
        <v>44901</v>
      </c>
      <c r="C4969" s="1" t="n">
        <v>45662</v>
      </c>
      <c r="D4969" t="inlineStr">
        <is>
          <t>NORRBOTTENS LÄN</t>
        </is>
      </c>
      <c r="E4969" t="inlineStr">
        <is>
          <t>ÖVERKALIX</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58379-2022</t>
        </is>
      </c>
      <c r="B4970" s="1" t="n">
        <v>44901</v>
      </c>
      <c r="C4970" s="1" t="n">
        <v>45662</v>
      </c>
      <c r="D4970" t="inlineStr">
        <is>
          <t>NORRBOTTENS LÄN</t>
        </is>
      </c>
      <c r="E4970" t="inlineStr">
        <is>
          <t>HAPARANDA</t>
        </is>
      </c>
      <c r="G4970" t="n">
        <v>12.1</v>
      </c>
      <c r="H4970" t="n">
        <v>0</v>
      </c>
      <c r="I4970" t="n">
        <v>0</v>
      </c>
      <c r="J4970" t="n">
        <v>0</v>
      </c>
      <c r="K4970" t="n">
        <v>0</v>
      </c>
      <c r="L4970" t="n">
        <v>0</v>
      </c>
      <c r="M4970" t="n">
        <v>0</v>
      </c>
      <c r="N4970" t="n">
        <v>0</v>
      </c>
      <c r="O4970" t="n">
        <v>0</v>
      </c>
      <c r="P4970" t="n">
        <v>0</v>
      </c>
      <c r="Q4970" t="n">
        <v>0</v>
      </c>
      <c r="R4970" s="2" t="inlineStr"/>
    </row>
    <row r="4971" ht="15" customHeight="1">
      <c r="A4971" t="inlineStr">
        <is>
          <t>A 58421-2022</t>
        </is>
      </c>
      <c r="B4971" s="1" t="n">
        <v>44901</v>
      </c>
      <c r="C4971" s="1" t="n">
        <v>45662</v>
      </c>
      <c r="D4971" t="inlineStr">
        <is>
          <t>NORRBOTTENS LÄN</t>
        </is>
      </c>
      <c r="E4971" t="inlineStr">
        <is>
          <t>PITEÅ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58373-2022</t>
        </is>
      </c>
      <c r="B4972" s="1" t="n">
        <v>44901</v>
      </c>
      <c r="C4972" s="1" t="n">
        <v>45662</v>
      </c>
      <c r="D4972" t="inlineStr">
        <is>
          <t>NORRBOTTENS LÄN</t>
        </is>
      </c>
      <c r="E4972" t="inlineStr">
        <is>
          <t>BODEN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58353-2022</t>
        </is>
      </c>
      <c r="B4973" s="1" t="n">
        <v>44901</v>
      </c>
      <c r="C4973" s="1" t="n">
        <v>45662</v>
      </c>
      <c r="D4973" t="inlineStr">
        <is>
          <t>NORRBOTTENS LÄN</t>
        </is>
      </c>
      <c r="E4973" t="inlineStr">
        <is>
          <t>KALIX</t>
        </is>
      </c>
      <c r="F4973" t="inlineStr">
        <is>
          <t>Sveaskog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59965-2022</t>
        </is>
      </c>
      <c r="B4974" s="1" t="n">
        <v>44901</v>
      </c>
      <c r="C4974" s="1" t="n">
        <v>45662</v>
      </c>
      <c r="D4974" t="inlineStr">
        <is>
          <t>NORRBOTTENS LÄN</t>
        </is>
      </c>
      <c r="E4974" t="inlineStr">
        <is>
          <t>ÖVERTORNEÅ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59930-2022</t>
        </is>
      </c>
      <c r="B4975" s="1" t="n">
        <v>44901</v>
      </c>
      <c r="C4975" s="1" t="n">
        <v>45662</v>
      </c>
      <c r="D4975" t="inlineStr">
        <is>
          <t>NORRBOTTENS LÄN</t>
        </is>
      </c>
      <c r="E4975" t="inlineStr">
        <is>
          <t>BODEN</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60060-2022</t>
        </is>
      </c>
      <c r="B4976" s="1" t="n">
        <v>44902</v>
      </c>
      <c r="C4976" s="1" t="n">
        <v>45662</v>
      </c>
      <c r="D4976" t="inlineStr">
        <is>
          <t>NORRBOTTENS LÄN</t>
        </is>
      </c>
      <c r="E4976" t="inlineStr">
        <is>
          <t>KALIX</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60064-2022</t>
        </is>
      </c>
      <c r="B4977" s="1" t="n">
        <v>44902</v>
      </c>
      <c r="C4977" s="1" t="n">
        <v>45662</v>
      </c>
      <c r="D4977" t="inlineStr">
        <is>
          <t>NORRBOTTENS LÄN</t>
        </is>
      </c>
      <c r="E4977" t="inlineStr">
        <is>
          <t>HAPARANDA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58716-2022</t>
        </is>
      </c>
      <c r="B4978" s="1" t="n">
        <v>44902</v>
      </c>
      <c r="C4978" s="1" t="n">
        <v>45662</v>
      </c>
      <c r="D4978" t="inlineStr">
        <is>
          <t>NORRBOTTENS LÄN</t>
        </is>
      </c>
      <c r="E4978" t="inlineStr">
        <is>
          <t>LULEÅ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58894-2022</t>
        </is>
      </c>
      <c r="B4979" s="1" t="n">
        <v>44903</v>
      </c>
      <c r="C4979" s="1" t="n">
        <v>45662</v>
      </c>
      <c r="D4979" t="inlineStr">
        <is>
          <t>NORRBOTTENS LÄN</t>
        </is>
      </c>
      <c r="E4979" t="inlineStr">
        <is>
          <t>ÖVERTORNEÅ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58788-2022</t>
        </is>
      </c>
      <c r="B4980" s="1" t="n">
        <v>44903</v>
      </c>
      <c r="C4980" s="1" t="n">
        <v>45662</v>
      </c>
      <c r="D4980" t="inlineStr">
        <is>
          <t>NORRBOTTENS LÄN</t>
        </is>
      </c>
      <c r="E4980" t="inlineStr">
        <is>
          <t>BODEN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58941-2022</t>
        </is>
      </c>
      <c r="B4981" s="1" t="n">
        <v>44903</v>
      </c>
      <c r="C4981" s="1" t="n">
        <v>45662</v>
      </c>
      <c r="D4981" t="inlineStr">
        <is>
          <t>NORRBOTTENS LÄN</t>
        </is>
      </c>
      <c r="E4981" t="inlineStr">
        <is>
          <t>ARVIDSJAUR</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59021-2022</t>
        </is>
      </c>
      <c r="B4982" s="1" t="n">
        <v>44903</v>
      </c>
      <c r="C4982" s="1" t="n">
        <v>45662</v>
      </c>
      <c r="D4982" t="inlineStr">
        <is>
          <t>NORRBOTTENS LÄN</t>
        </is>
      </c>
      <c r="E4982" t="inlineStr">
        <is>
          <t>KALIX</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59028-2022</t>
        </is>
      </c>
      <c r="B4983" s="1" t="n">
        <v>44903</v>
      </c>
      <c r="C4983" s="1" t="n">
        <v>45662</v>
      </c>
      <c r="D4983" t="inlineStr">
        <is>
          <t>NORRBOTTENS LÄN</t>
        </is>
      </c>
      <c r="E4983" t="inlineStr">
        <is>
          <t>BODEN</t>
        </is>
      </c>
      <c r="G4983" t="n">
        <v>16.1</v>
      </c>
      <c r="H4983" t="n">
        <v>0</v>
      </c>
      <c r="I4983" t="n">
        <v>0</v>
      </c>
      <c r="J4983" t="n">
        <v>0</v>
      </c>
      <c r="K4983" t="n">
        <v>0</v>
      </c>
      <c r="L4983" t="n">
        <v>0</v>
      </c>
      <c r="M4983" t="n">
        <v>0</v>
      </c>
      <c r="N4983" t="n">
        <v>0</v>
      </c>
      <c r="O4983" t="n">
        <v>0</v>
      </c>
      <c r="P4983" t="n">
        <v>0</v>
      </c>
      <c r="Q4983" t="n">
        <v>0</v>
      </c>
      <c r="R4983" s="2" t="inlineStr"/>
    </row>
    <row r="4984" ht="15" customHeight="1">
      <c r="A4984" t="inlineStr">
        <is>
          <t>A 59018-2022</t>
        </is>
      </c>
      <c r="B4984" s="1" t="n">
        <v>44903</v>
      </c>
      <c r="C4984" s="1" t="n">
        <v>45662</v>
      </c>
      <c r="D4984" t="inlineStr">
        <is>
          <t>NORRBOTTENS LÄN</t>
        </is>
      </c>
      <c r="E4984" t="inlineStr">
        <is>
          <t>KALIX</t>
        </is>
      </c>
      <c r="G4984" t="n">
        <v>17.8</v>
      </c>
      <c r="H4984" t="n">
        <v>0</v>
      </c>
      <c r="I4984" t="n">
        <v>0</v>
      </c>
      <c r="J4984" t="n">
        <v>0</v>
      </c>
      <c r="K4984" t="n">
        <v>0</v>
      </c>
      <c r="L4984" t="n">
        <v>0</v>
      </c>
      <c r="M4984" t="n">
        <v>0</v>
      </c>
      <c r="N4984" t="n">
        <v>0</v>
      </c>
      <c r="O4984" t="n">
        <v>0</v>
      </c>
      <c r="P4984" t="n">
        <v>0</v>
      </c>
      <c r="Q4984" t="n">
        <v>0</v>
      </c>
      <c r="R4984" s="2" t="inlineStr"/>
    </row>
    <row r="4985" ht="15" customHeight="1">
      <c r="A4985" t="inlineStr">
        <is>
          <t>A 59024-2022</t>
        </is>
      </c>
      <c r="B4985" s="1" t="n">
        <v>44903</v>
      </c>
      <c r="C4985" s="1" t="n">
        <v>45662</v>
      </c>
      <c r="D4985" t="inlineStr">
        <is>
          <t>NORRBOTTENS LÄN</t>
        </is>
      </c>
      <c r="E4985" t="inlineStr">
        <is>
          <t>KALIX</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59026-2022</t>
        </is>
      </c>
      <c r="B4986" s="1" t="n">
        <v>44903</v>
      </c>
      <c r="C4986" s="1" t="n">
        <v>45662</v>
      </c>
      <c r="D4986" t="inlineStr">
        <is>
          <t>NORRBOTTENS LÄN</t>
        </is>
      </c>
      <c r="E4986" t="inlineStr">
        <is>
          <t>KALIX</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59022-2022</t>
        </is>
      </c>
      <c r="B4987" s="1" t="n">
        <v>44903</v>
      </c>
      <c r="C4987" s="1" t="n">
        <v>45662</v>
      </c>
      <c r="D4987" t="inlineStr">
        <is>
          <t>NORRBOTTENS LÄN</t>
        </is>
      </c>
      <c r="E4987" t="inlineStr">
        <is>
          <t>KALIX</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59029-2022</t>
        </is>
      </c>
      <c r="B4988" s="1" t="n">
        <v>44903</v>
      </c>
      <c r="C4988" s="1" t="n">
        <v>45662</v>
      </c>
      <c r="D4988" t="inlineStr">
        <is>
          <t>NORRBOTTENS LÄN</t>
        </is>
      </c>
      <c r="E4988" t="inlineStr">
        <is>
          <t>BODEN</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59086-2022</t>
        </is>
      </c>
      <c r="B4989" s="1" t="n">
        <v>44904</v>
      </c>
      <c r="C4989" s="1" t="n">
        <v>45662</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59059-2022</t>
        </is>
      </c>
      <c r="B4990" s="1" t="n">
        <v>44904</v>
      </c>
      <c r="C4990" s="1" t="n">
        <v>45662</v>
      </c>
      <c r="D4990" t="inlineStr">
        <is>
          <t>NORRBOTTENS LÄN</t>
        </is>
      </c>
      <c r="E4990" t="inlineStr">
        <is>
          <t>GÄLLIVARE</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59068-2022</t>
        </is>
      </c>
      <c r="B4991" s="1" t="n">
        <v>44904</v>
      </c>
      <c r="C4991" s="1" t="n">
        <v>45662</v>
      </c>
      <c r="D4991" t="inlineStr">
        <is>
          <t>NORRBOTTENS LÄN</t>
        </is>
      </c>
      <c r="E4991" t="inlineStr">
        <is>
          <t>GÄLLIVARE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59104-2022</t>
        </is>
      </c>
      <c r="B4992" s="1" t="n">
        <v>44904</v>
      </c>
      <c r="C4992" s="1" t="n">
        <v>45662</v>
      </c>
      <c r="D4992" t="inlineStr">
        <is>
          <t>NORRBOTTENS LÄN</t>
        </is>
      </c>
      <c r="E4992" t="inlineStr">
        <is>
          <t>ARVIDSJAUR</t>
        </is>
      </c>
      <c r="F4992" t="inlineStr">
        <is>
          <t>Sveaskog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59172-2022</t>
        </is>
      </c>
      <c r="B4993" s="1" t="n">
        <v>44904</v>
      </c>
      <c r="C4993" s="1" t="n">
        <v>45662</v>
      </c>
      <c r="D4993" t="inlineStr">
        <is>
          <t>NORRBOTTENS LÄN</t>
        </is>
      </c>
      <c r="E4993" t="inlineStr">
        <is>
          <t>GÄLLIVARE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59069-2022</t>
        </is>
      </c>
      <c r="B4994" s="1" t="n">
        <v>44904</v>
      </c>
      <c r="C4994" s="1" t="n">
        <v>45662</v>
      </c>
      <c r="D4994" t="inlineStr">
        <is>
          <t>NORRBOTTENS LÄN</t>
        </is>
      </c>
      <c r="E4994" t="inlineStr">
        <is>
          <t>PITEÅ</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59189-2022</t>
        </is>
      </c>
      <c r="B4995" s="1" t="n">
        <v>44904</v>
      </c>
      <c r="C4995" s="1" t="n">
        <v>45662</v>
      </c>
      <c r="D4995" t="inlineStr">
        <is>
          <t>NORRBOTTENS LÄN</t>
        </is>
      </c>
      <c r="E4995" t="inlineStr">
        <is>
          <t>GÄLLIVARE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59325-2022</t>
        </is>
      </c>
      <c r="B4996" s="1" t="n">
        <v>44904</v>
      </c>
      <c r="C4996" s="1" t="n">
        <v>45662</v>
      </c>
      <c r="D4996" t="inlineStr">
        <is>
          <t>NORRBOTTENS LÄN</t>
        </is>
      </c>
      <c r="E4996" t="inlineStr">
        <is>
          <t>ARVIDSJAUR</t>
        </is>
      </c>
      <c r="F4996" t="inlineStr">
        <is>
          <t>Sveaskog</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59177-2022</t>
        </is>
      </c>
      <c r="B4997" s="1" t="n">
        <v>44904</v>
      </c>
      <c r="C4997" s="1" t="n">
        <v>45662</v>
      </c>
      <c r="D4997" t="inlineStr">
        <is>
          <t>NORRBOTTENS LÄN</t>
        </is>
      </c>
      <c r="E4997" t="inlineStr">
        <is>
          <t>GÄLLIVARE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59194-2022</t>
        </is>
      </c>
      <c r="B4998" s="1" t="n">
        <v>44904</v>
      </c>
      <c r="C4998" s="1" t="n">
        <v>45662</v>
      </c>
      <c r="D4998" t="inlineStr">
        <is>
          <t>NORRBOTTENS LÄN</t>
        </is>
      </c>
      <c r="E4998" t="inlineStr">
        <is>
          <t>GÄLLIVARE</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60537-2022</t>
        </is>
      </c>
      <c r="B4999" s="1" t="n">
        <v>44904</v>
      </c>
      <c r="C4999" s="1" t="n">
        <v>45662</v>
      </c>
      <c r="D4999" t="inlineStr">
        <is>
          <t>NORRBOTTENS LÄN</t>
        </is>
      </c>
      <c r="E4999" t="inlineStr">
        <is>
          <t>ÖVERTORNEÅ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59397-2022</t>
        </is>
      </c>
      <c r="B5000" s="1" t="n">
        <v>44906</v>
      </c>
      <c r="C5000" s="1" t="n">
        <v>45662</v>
      </c>
      <c r="D5000" t="inlineStr">
        <is>
          <t>NORRBOTTENS LÄN</t>
        </is>
      </c>
      <c r="E5000" t="inlineStr">
        <is>
          <t>LULEÅ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59510-2022</t>
        </is>
      </c>
      <c r="B5001" s="1" t="n">
        <v>44907</v>
      </c>
      <c r="C5001" s="1" t="n">
        <v>45662</v>
      </c>
      <c r="D5001" t="inlineStr">
        <is>
          <t>NORRBOTTENS LÄN</t>
        </is>
      </c>
      <c r="E5001" t="inlineStr">
        <is>
          <t>PITEÅ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59516-2022</t>
        </is>
      </c>
      <c r="B5002" s="1" t="n">
        <v>44907</v>
      </c>
      <c r="C5002" s="1" t="n">
        <v>45662</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59523-2022</t>
        </is>
      </c>
      <c r="B5003" s="1" t="n">
        <v>44907</v>
      </c>
      <c r="C5003" s="1" t="n">
        <v>45662</v>
      </c>
      <c r="D5003" t="inlineStr">
        <is>
          <t>NORRBOTTENS LÄN</t>
        </is>
      </c>
      <c r="E5003" t="inlineStr">
        <is>
          <t>LULEÅ</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59515-2022</t>
        </is>
      </c>
      <c r="B5004" s="1" t="n">
        <v>44907</v>
      </c>
      <c r="C5004" s="1" t="n">
        <v>45662</v>
      </c>
      <c r="D5004" t="inlineStr">
        <is>
          <t>NORRBOTTENS LÄN</t>
        </is>
      </c>
      <c r="E5004" t="inlineStr">
        <is>
          <t>LULEÅ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60955-2022</t>
        </is>
      </c>
      <c r="B5005" s="1" t="n">
        <v>44907</v>
      </c>
      <c r="C5005" s="1" t="n">
        <v>45662</v>
      </c>
      <c r="D5005" t="inlineStr">
        <is>
          <t>NORRBOTTENS LÄN</t>
        </is>
      </c>
      <c r="E5005" t="inlineStr">
        <is>
          <t>KALIX</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60928-2022</t>
        </is>
      </c>
      <c r="B5006" s="1" t="n">
        <v>44907</v>
      </c>
      <c r="C5006" s="1" t="n">
        <v>45662</v>
      </c>
      <c r="D5006" t="inlineStr">
        <is>
          <t>NORRBOTTENS LÄN</t>
        </is>
      </c>
      <c r="E5006" t="inlineStr">
        <is>
          <t>HAPARANDA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59551-2022</t>
        </is>
      </c>
      <c r="B5007" s="1" t="n">
        <v>44907</v>
      </c>
      <c r="C5007" s="1" t="n">
        <v>45662</v>
      </c>
      <c r="D5007" t="inlineStr">
        <is>
          <t>NORRBOTTENS LÄN</t>
        </is>
      </c>
      <c r="E5007" t="inlineStr">
        <is>
          <t>ÖVERTORNEÅ</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60862-2022</t>
        </is>
      </c>
      <c r="B5008" s="1" t="n">
        <v>44908</v>
      </c>
      <c r="C5008" s="1" t="n">
        <v>45662</v>
      </c>
      <c r="D5008" t="inlineStr">
        <is>
          <t>NORRBOTTENS LÄN</t>
        </is>
      </c>
      <c r="E5008" t="inlineStr">
        <is>
          <t>PAJALA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60948-2022</t>
        </is>
      </c>
      <c r="B5009" s="1" t="n">
        <v>44908</v>
      </c>
      <c r="C5009" s="1" t="n">
        <v>45662</v>
      </c>
      <c r="D5009" t="inlineStr">
        <is>
          <t>NORRBOTTENS LÄN</t>
        </is>
      </c>
      <c r="E5009" t="inlineStr">
        <is>
          <t>PAJALA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60961-2022</t>
        </is>
      </c>
      <c r="B5010" s="1" t="n">
        <v>44908</v>
      </c>
      <c r="C5010" s="1" t="n">
        <v>45662</v>
      </c>
      <c r="D5010" t="inlineStr">
        <is>
          <t>NORRBOTTENS LÄN</t>
        </is>
      </c>
      <c r="E5010" t="inlineStr">
        <is>
          <t>PAJALA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61161-2022</t>
        </is>
      </c>
      <c r="B5011" s="1" t="n">
        <v>44908</v>
      </c>
      <c r="C5011" s="1" t="n">
        <v>45662</v>
      </c>
      <c r="D5011" t="inlineStr">
        <is>
          <t>NORRBOTTENS LÄN</t>
        </is>
      </c>
      <c r="E5011" t="inlineStr">
        <is>
          <t>HAPARANDA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61107-2022</t>
        </is>
      </c>
      <c r="B5012" s="1" t="n">
        <v>44908</v>
      </c>
      <c r="C5012" s="1" t="n">
        <v>45662</v>
      </c>
      <c r="D5012" t="inlineStr">
        <is>
          <t>NORRBOTTENS LÄN</t>
        </is>
      </c>
      <c r="E5012" t="inlineStr">
        <is>
          <t>BODEN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60951-2022</t>
        </is>
      </c>
      <c r="B5013" s="1" t="n">
        <v>44908</v>
      </c>
      <c r="C5013" s="1" t="n">
        <v>45662</v>
      </c>
      <c r="D5013" t="inlineStr">
        <is>
          <t>NORRBOTTENS LÄN</t>
        </is>
      </c>
      <c r="E5013" t="inlineStr">
        <is>
          <t>PAJALA</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61103-2022</t>
        </is>
      </c>
      <c r="B5014" s="1" t="n">
        <v>44908</v>
      </c>
      <c r="C5014" s="1" t="n">
        <v>45662</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59907-2022</t>
        </is>
      </c>
      <c r="B5015" s="1" t="n">
        <v>44908</v>
      </c>
      <c r="C5015" s="1" t="n">
        <v>45662</v>
      </c>
      <c r="D5015" t="inlineStr">
        <is>
          <t>NORRBOTTENS LÄN</t>
        </is>
      </c>
      <c r="E5015" t="inlineStr">
        <is>
          <t>ÖVERKALIX</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61086-2022</t>
        </is>
      </c>
      <c r="B5016" s="1" t="n">
        <v>44908</v>
      </c>
      <c r="C5016" s="1" t="n">
        <v>45662</v>
      </c>
      <c r="D5016" t="inlineStr">
        <is>
          <t>NORRBOTTENS LÄN</t>
        </is>
      </c>
      <c r="E5016" t="inlineStr">
        <is>
          <t>BODEN</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60038-2022</t>
        </is>
      </c>
      <c r="B5017" s="1" t="n">
        <v>44909</v>
      </c>
      <c r="C5017" s="1" t="n">
        <v>45662</v>
      </c>
      <c r="D5017" t="inlineStr">
        <is>
          <t>NORRBOTTENS LÄN</t>
        </is>
      </c>
      <c r="E5017" t="inlineStr">
        <is>
          <t>ARVIDSJAUR</t>
        </is>
      </c>
      <c r="F5017" t="inlineStr">
        <is>
          <t>Sveaskog</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60062-2022</t>
        </is>
      </c>
      <c r="B5018" s="1" t="n">
        <v>44909</v>
      </c>
      <c r="C5018" s="1" t="n">
        <v>45662</v>
      </c>
      <c r="D5018" t="inlineStr">
        <is>
          <t>NORRBOTTENS LÄN</t>
        </is>
      </c>
      <c r="E5018" t="inlineStr">
        <is>
          <t>PITEÅ</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61315-2022</t>
        </is>
      </c>
      <c r="B5019" s="1" t="n">
        <v>44909</v>
      </c>
      <c r="C5019" s="1" t="n">
        <v>45662</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61679-2022</t>
        </is>
      </c>
      <c r="B5020" s="1" t="n">
        <v>44909</v>
      </c>
      <c r="C5020" s="1" t="n">
        <v>45662</v>
      </c>
      <c r="D5020" t="inlineStr">
        <is>
          <t>NORRBOTTENS LÄN</t>
        </is>
      </c>
      <c r="E5020" t="inlineStr">
        <is>
          <t>GÄLLIVARE</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60351-2022</t>
        </is>
      </c>
      <c r="B5021" s="1" t="n">
        <v>44910</v>
      </c>
      <c r="C5021" s="1" t="n">
        <v>45662</v>
      </c>
      <c r="D5021" t="inlineStr">
        <is>
          <t>NORRBOTTENS LÄN</t>
        </is>
      </c>
      <c r="E5021" t="inlineStr">
        <is>
          <t>ÄLVSBYN</t>
        </is>
      </c>
      <c r="G5021" t="n">
        <v>23.4</v>
      </c>
      <c r="H5021" t="n">
        <v>0</v>
      </c>
      <c r="I5021" t="n">
        <v>0</v>
      </c>
      <c r="J5021" t="n">
        <v>0</v>
      </c>
      <c r="K5021" t="n">
        <v>0</v>
      </c>
      <c r="L5021" t="n">
        <v>0</v>
      </c>
      <c r="M5021" t="n">
        <v>0</v>
      </c>
      <c r="N5021" t="n">
        <v>0</v>
      </c>
      <c r="O5021" t="n">
        <v>0</v>
      </c>
      <c r="P5021" t="n">
        <v>0</v>
      </c>
      <c r="Q5021" t="n">
        <v>0</v>
      </c>
      <c r="R5021" s="2" t="inlineStr"/>
    </row>
    <row r="5022" ht="15" customHeight="1">
      <c r="A5022" t="inlineStr">
        <is>
          <t>A 60363-2022</t>
        </is>
      </c>
      <c r="B5022" s="1" t="n">
        <v>44910</v>
      </c>
      <c r="C5022" s="1" t="n">
        <v>45662</v>
      </c>
      <c r="D5022" t="inlineStr">
        <is>
          <t>NORRBOTTENS LÄN</t>
        </is>
      </c>
      <c r="E5022" t="inlineStr">
        <is>
          <t>PITEÅ</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60385-2022</t>
        </is>
      </c>
      <c r="B5023" s="1" t="n">
        <v>44910</v>
      </c>
      <c r="C5023" s="1" t="n">
        <v>45662</v>
      </c>
      <c r="D5023" t="inlineStr">
        <is>
          <t>NORRBOTTENS LÄN</t>
        </is>
      </c>
      <c r="E5023" t="inlineStr">
        <is>
          <t>ÖVERTORNEÅ</t>
        </is>
      </c>
      <c r="G5023" t="n">
        <v>17.2</v>
      </c>
      <c r="H5023" t="n">
        <v>0</v>
      </c>
      <c r="I5023" t="n">
        <v>0</v>
      </c>
      <c r="J5023" t="n">
        <v>0</v>
      </c>
      <c r="K5023" t="n">
        <v>0</v>
      </c>
      <c r="L5023" t="n">
        <v>0</v>
      </c>
      <c r="M5023" t="n">
        <v>0</v>
      </c>
      <c r="N5023" t="n">
        <v>0</v>
      </c>
      <c r="O5023" t="n">
        <v>0</v>
      </c>
      <c r="P5023" t="n">
        <v>0</v>
      </c>
      <c r="Q5023" t="n">
        <v>0</v>
      </c>
      <c r="R5023" s="2" t="inlineStr"/>
    </row>
    <row r="5024" ht="15" customHeight="1">
      <c r="A5024" t="inlineStr">
        <is>
          <t>A 60404-2022</t>
        </is>
      </c>
      <c r="B5024" s="1" t="n">
        <v>44910</v>
      </c>
      <c r="C5024" s="1" t="n">
        <v>45662</v>
      </c>
      <c r="D5024" t="inlineStr">
        <is>
          <t>NORRBOTTENS LÄN</t>
        </is>
      </c>
      <c r="E5024" t="inlineStr">
        <is>
          <t>PITEÅ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61488-2022</t>
        </is>
      </c>
      <c r="B5025" s="1" t="n">
        <v>44910</v>
      </c>
      <c r="C5025" s="1" t="n">
        <v>45662</v>
      </c>
      <c r="D5025" t="inlineStr">
        <is>
          <t>NORRBOTTENS LÄN</t>
        </is>
      </c>
      <c r="E5025" t="inlineStr">
        <is>
          <t>BODEN</t>
        </is>
      </c>
      <c r="F5025" t="inlineStr">
        <is>
          <t>Sveaskog</t>
        </is>
      </c>
      <c r="G5025" t="n">
        <v>18.6</v>
      </c>
      <c r="H5025" t="n">
        <v>0</v>
      </c>
      <c r="I5025" t="n">
        <v>0</v>
      </c>
      <c r="J5025" t="n">
        <v>0</v>
      </c>
      <c r="K5025" t="n">
        <v>0</v>
      </c>
      <c r="L5025" t="n">
        <v>0</v>
      </c>
      <c r="M5025" t="n">
        <v>0</v>
      </c>
      <c r="N5025" t="n">
        <v>0</v>
      </c>
      <c r="O5025" t="n">
        <v>0</v>
      </c>
      <c r="P5025" t="n">
        <v>0</v>
      </c>
      <c r="Q5025" t="n">
        <v>0</v>
      </c>
      <c r="R5025" s="2" t="inlineStr"/>
    </row>
    <row r="5026" ht="15" customHeight="1">
      <c r="A5026" t="inlineStr">
        <is>
          <t>A 60403-2022</t>
        </is>
      </c>
      <c r="B5026" s="1" t="n">
        <v>44910</v>
      </c>
      <c r="C5026" s="1" t="n">
        <v>45662</v>
      </c>
      <c r="D5026" t="inlineStr">
        <is>
          <t>NORRBOTTENS LÄN</t>
        </is>
      </c>
      <c r="E5026" t="inlineStr">
        <is>
          <t>ÄLVSBYN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61477-2022</t>
        </is>
      </c>
      <c r="B5027" s="1" t="n">
        <v>44910</v>
      </c>
      <c r="C5027" s="1" t="n">
        <v>45662</v>
      </c>
      <c r="D5027" t="inlineStr">
        <is>
          <t>NORRBOTTENS LÄN</t>
        </is>
      </c>
      <c r="E5027" t="inlineStr">
        <is>
          <t>PAJALA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60374-2022</t>
        </is>
      </c>
      <c r="B5028" s="1" t="n">
        <v>44910</v>
      </c>
      <c r="C5028" s="1" t="n">
        <v>45662</v>
      </c>
      <c r="D5028" t="inlineStr">
        <is>
          <t>NORRBOTTENS LÄN</t>
        </is>
      </c>
      <c r="E5028" t="inlineStr">
        <is>
          <t>ARVIDSJAUR</t>
        </is>
      </c>
      <c r="F5028" t="inlineStr">
        <is>
          <t>Sveaskog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60400-2022</t>
        </is>
      </c>
      <c r="B5029" s="1" t="n">
        <v>44910</v>
      </c>
      <c r="C5029" s="1" t="n">
        <v>45662</v>
      </c>
      <c r="D5029" t="inlineStr">
        <is>
          <t>NORRBOTTENS LÄN</t>
        </is>
      </c>
      <c r="E5029" t="inlineStr">
        <is>
          <t>ÖVERKALIX</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61469-2022</t>
        </is>
      </c>
      <c r="B5030" s="1" t="n">
        <v>44910</v>
      </c>
      <c r="C5030" s="1" t="n">
        <v>45662</v>
      </c>
      <c r="D5030" t="inlineStr">
        <is>
          <t>NORRBOTTENS LÄN</t>
        </is>
      </c>
      <c r="E5030" t="inlineStr">
        <is>
          <t>LULEÅ</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60436-2022</t>
        </is>
      </c>
      <c r="B5031" s="1" t="n">
        <v>44911</v>
      </c>
      <c r="C5031" s="1" t="n">
        <v>45662</v>
      </c>
      <c r="D5031" t="inlineStr">
        <is>
          <t>NORRBOTTENS LÄN</t>
        </is>
      </c>
      <c r="E5031" t="inlineStr">
        <is>
          <t>BODEN</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60465-2022</t>
        </is>
      </c>
      <c r="B5032" s="1" t="n">
        <v>44911</v>
      </c>
      <c r="C5032" s="1" t="n">
        <v>45662</v>
      </c>
      <c r="D5032" t="inlineStr">
        <is>
          <t>NORRBOTTENS LÄN</t>
        </is>
      </c>
      <c r="E5032" t="inlineStr">
        <is>
          <t>KALIX</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60621-2022</t>
        </is>
      </c>
      <c r="B5033" s="1" t="n">
        <v>44911</v>
      </c>
      <c r="C5033" s="1" t="n">
        <v>45662</v>
      </c>
      <c r="D5033" t="inlineStr">
        <is>
          <t>NORRBOTTENS LÄN</t>
        </is>
      </c>
      <c r="E5033" t="inlineStr">
        <is>
          <t>PITEÅ</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60469-2022</t>
        </is>
      </c>
      <c r="B5034" s="1" t="n">
        <v>44911</v>
      </c>
      <c r="C5034" s="1" t="n">
        <v>45662</v>
      </c>
      <c r="D5034" t="inlineStr">
        <is>
          <t>NORRBOTTENS LÄN</t>
        </is>
      </c>
      <c r="E5034" t="inlineStr">
        <is>
          <t>KALIX</t>
        </is>
      </c>
      <c r="F5034" t="inlineStr">
        <is>
          <t>Sveaskog</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60476-2022</t>
        </is>
      </c>
      <c r="B5035" s="1" t="n">
        <v>44911</v>
      </c>
      <c r="C5035" s="1" t="n">
        <v>45662</v>
      </c>
      <c r="D5035" t="inlineStr">
        <is>
          <t>NORRBOTTENS LÄN</t>
        </is>
      </c>
      <c r="E5035" t="inlineStr">
        <is>
          <t>PITEÅ</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60516-2022</t>
        </is>
      </c>
      <c r="B5036" s="1" t="n">
        <v>44911</v>
      </c>
      <c r="C5036" s="1" t="n">
        <v>45662</v>
      </c>
      <c r="D5036" t="inlineStr">
        <is>
          <t>NORRBOTTENS LÄN</t>
        </is>
      </c>
      <c r="E5036" t="inlineStr">
        <is>
          <t>ARVIDSJAUR</t>
        </is>
      </c>
      <c r="F5036" t="inlineStr">
        <is>
          <t>Sveaskog</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60466-2022</t>
        </is>
      </c>
      <c r="B5037" s="1" t="n">
        <v>44911</v>
      </c>
      <c r="C5037" s="1" t="n">
        <v>45662</v>
      </c>
      <c r="D5037" t="inlineStr">
        <is>
          <t>NORRBOTTENS LÄN</t>
        </is>
      </c>
      <c r="E5037" t="inlineStr">
        <is>
          <t>ARVIDSJAUR</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60489-2022</t>
        </is>
      </c>
      <c r="B5038" s="1" t="n">
        <v>44911</v>
      </c>
      <c r="C5038" s="1" t="n">
        <v>45662</v>
      </c>
      <c r="D5038" t="inlineStr">
        <is>
          <t>NORRBOTTENS LÄN</t>
        </is>
      </c>
      <c r="E5038" t="inlineStr">
        <is>
          <t>ARVIDSJAUR</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60515-2022</t>
        </is>
      </c>
      <c r="B5039" s="1" t="n">
        <v>44911</v>
      </c>
      <c r="C5039" s="1" t="n">
        <v>45662</v>
      </c>
      <c r="D5039" t="inlineStr">
        <is>
          <t>NORRBOTTENS LÄN</t>
        </is>
      </c>
      <c r="E5039" t="inlineStr">
        <is>
          <t>ÖVERTORNEÅ</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60520-2022</t>
        </is>
      </c>
      <c r="B5040" s="1" t="n">
        <v>44911</v>
      </c>
      <c r="C5040" s="1" t="n">
        <v>45662</v>
      </c>
      <c r="D5040" t="inlineStr">
        <is>
          <t>NORRBOTTENS LÄN</t>
        </is>
      </c>
      <c r="E5040" t="inlineStr">
        <is>
          <t>PAJALA</t>
        </is>
      </c>
      <c r="F5040" t="inlineStr">
        <is>
          <t>Kyrkan</t>
        </is>
      </c>
      <c r="G5040" t="n">
        <v>20.1</v>
      </c>
      <c r="H5040" t="n">
        <v>0</v>
      </c>
      <c r="I5040" t="n">
        <v>0</v>
      </c>
      <c r="J5040" t="n">
        <v>0</v>
      </c>
      <c r="K5040" t="n">
        <v>0</v>
      </c>
      <c r="L5040" t="n">
        <v>0</v>
      </c>
      <c r="M5040" t="n">
        <v>0</v>
      </c>
      <c r="N5040" t="n">
        <v>0</v>
      </c>
      <c r="O5040" t="n">
        <v>0</v>
      </c>
      <c r="P5040" t="n">
        <v>0</v>
      </c>
      <c r="Q5040" t="n">
        <v>0</v>
      </c>
      <c r="R5040" s="2" t="inlineStr"/>
    </row>
    <row r="5041" ht="15" customHeight="1">
      <c r="A5041" t="inlineStr">
        <is>
          <t>A 61815-2022</t>
        </is>
      </c>
      <c r="B5041" s="1" t="n">
        <v>44911</v>
      </c>
      <c r="C5041" s="1" t="n">
        <v>45662</v>
      </c>
      <c r="D5041" t="inlineStr">
        <is>
          <t>NORRBOTTENS LÄN</t>
        </is>
      </c>
      <c r="E5041" t="inlineStr">
        <is>
          <t>PITEÅ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61725-2022</t>
        </is>
      </c>
      <c r="B5042" s="1" t="n">
        <v>44911</v>
      </c>
      <c r="C5042" s="1" t="n">
        <v>45662</v>
      </c>
      <c r="D5042" t="inlineStr">
        <is>
          <t>NORRBOTTENS LÄN</t>
        </is>
      </c>
      <c r="E5042" t="inlineStr">
        <is>
          <t>BODEN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61753-2022</t>
        </is>
      </c>
      <c r="B5043" s="1" t="n">
        <v>44911</v>
      </c>
      <c r="C5043" s="1" t="n">
        <v>45662</v>
      </c>
      <c r="D5043" t="inlineStr">
        <is>
          <t>NORRBOTTENS LÄN</t>
        </is>
      </c>
      <c r="E5043" t="inlineStr">
        <is>
          <t>LULEÅ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61708-2022</t>
        </is>
      </c>
      <c r="B5044" s="1" t="n">
        <v>44911</v>
      </c>
      <c r="C5044" s="1" t="n">
        <v>45662</v>
      </c>
      <c r="D5044" t="inlineStr">
        <is>
          <t>NORRBOTTENS LÄN</t>
        </is>
      </c>
      <c r="E5044" t="inlineStr">
        <is>
          <t>BODEN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61795-2022</t>
        </is>
      </c>
      <c r="B5045" s="1" t="n">
        <v>44911</v>
      </c>
      <c r="C5045" s="1" t="n">
        <v>45662</v>
      </c>
      <c r="D5045" t="inlineStr">
        <is>
          <t>NORRBOTTENS LÄN</t>
        </is>
      </c>
      <c r="E5045" t="inlineStr">
        <is>
          <t>GÄLLIVARE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61857-2022</t>
        </is>
      </c>
      <c r="B5046" s="1" t="n">
        <v>44911</v>
      </c>
      <c r="C5046" s="1" t="n">
        <v>45662</v>
      </c>
      <c r="D5046" t="inlineStr">
        <is>
          <t>NORRBOTTENS LÄN</t>
        </is>
      </c>
      <c r="E5046" t="inlineStr">
        <is>
          <t>BODEN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60725-2022</t>
        </is>
      </c>
      <c r="B5047" s="1" t="n">
        <v>44913</v>
      </c>
      <c r="C5047" s="1" t="n">
        <v>45662</v>
      </c>
      <c r="D5047" t="inlineStr">
        <is>
          <t>NORRBOTTENS LÄN</t>
        </is>
      </c>
      <c r="E5047" t="inlineStr">
        <is>
          <t>ÖVERKALIX</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61040-2022</t>
        </is>
      </c>
      <c r="B5048" s="1" t="n">
        <v>44914</v>
      </c>
      <c r="C5048" s="1" t="n">
        <v>45662</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61037-2022</t>
        </is>
      </c>
      <c r="B5049" s="1" t="n">
        <v>44914</v>
      </c>
      <c r="C5049" s="1" t="n">
        <v>45662</v>
      </c>
      <c r="D5049" t="inlineStr">
        <is>
          <t>NORRBOTTENS LÄN</t>
        </is>
      </c>
      <c r="E5049" t="inlineStr">
        <is>
          <t>ÖVERTORNEÅ</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62055-2022</t>
        </is>
      </c>
      <c r="B5050" s="1" t="n">
        <v>44914</v>
      </c>
      <c r="C5050" s="1" t="n">
        <v>45662</v>
      </c>
      <c r="D5050" t="inlineStr">
        <is>
          <t>NORRBOTTENS LÄN</t>
        </is>
      </c>
      <c r="E5050" t="inlineStr">
        <is>
          <t>LULEÅ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61039-2022</t>
        </is>
      </c>
      <c r="B5051" s="1" t="n">
        <v>44914</v>
      </c>
      <c r="C5051" s="1" t="n">
        <v>45662</v>
      </c>
      <c r="D5051" t="inlineStr">
        <is>
          <t>NORRBOTTENS LÄN</t>
        </is>
      </c>
      <c r="E5051" t="inlineStr">
        <is>
          <t>ÖVERTORNEÅ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62061-2022</t>
        </is>
      </c>
      <c r="B5052" s="1" t="n">
        <v>44914</v>
      </c>
      <c r="C5052" s="1" t="n">
        <v>45662</v>
      </c>
      <c r="D5052" t="inlineStr">
        <is>
          <t>NORRBOTTENS LÄN</t>
        </is>
      </c>
      <c r="E5052" t="inlineStr">
        <is>
          <t>LULEÅ</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61191-2022</t>
        </is>
      </c>
      <c r="B5053" s="1" t="n">
        <v>44915</v>
      </c>
      <c r="C5053" s="1" t="n">
        <v>45662</v>
      </c>
      <c r="D5053" t="inlineStr">
        <is>
          <t>NORRBOTTENS LÄN</t>
        </is>
      </c>
      <c r="E5053" t="inlineStr">
        <is>
          <t>KALIX</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61133-2022</t>
        </is>
      </c>
      <c r="B5054" s="1" t="n">
        <v>44915</v>
      </c>
      <c r="C5054" s="1" t="n">
        <v>45662</v>
      </c>
      <c r="D5054" t="inlineStr">
        <is>
          <t>NORRBOTTENS LÄN</t>
        </is>
      </c>
      <c r="E5054" t="inlineStr">
        <is>
          <t>ARVIDSJAUR</t>
        </is>
      </c>
      <c r="F5054" t="inlineStr">
        <is>
          <t>Sveaskog</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61202-2022</t>
        </is>
      </c>
      <c r="B5055" s="1" t="n">
        <v>44915</v>
      </c>
      <c r="C5055" s="1" t="n">
        <v>45662</v>
      </c>
      <c r="D5055" t="inlineStr">
        <is>
          <t>NORRBOTTENS LÄN</t>
        </is>
      </c>
      <c r="E5055" t="inlineStr">
        <is>
          <t>ARVIDSJAUR</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61245-2022</t>
        </is>
      </c>
      <c r="B5056" s="1" t="n">
        <v>44915</v>
      </c>
      <c r="C5056" s="1" t="n">
        <v>45662</v>
      </c>
      <c r="D5056" t="inlineStr">
        <is>
          <t>NORRBOTTENS LÄN</t>
        </is>
      </c>
      <c r="E5056" t="inlineStr">
        <is>
          <t>KALIX</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61531-2022</t>
        </is>
      </c>
      <c r="B5057" s="1" t="n">
        <v>44916</v>
      </c>
      <c r="C5057" s="1" t="n">
        <v>45662</v>
      </c>
      <c r="D5057" t="inlineStr">
        <is>
          <t>NORRBOTTENS LÄN</t>
        </is>
      </c>
      <c r="E5057" t="inlineStr">
        <is>
          <t>JOKKMOKK</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61613-2022</t>
        </is>
      </c>
      <c r="B5058" s="1" t="n">
        <v>44916</v>
      </c>
      <c r="C5058" s="1" t="n">
        <v>45662</v>
      </c>
      <c r="D5058" t="inlineStr">
        <is>
          <t>NORRBOTTENS LÄN</t>
        </is>
      </c>
      <c r="E5058" t="inlineStr">
        <is>
          <t>PAJALA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61644-2022</t>
        </is>
      </c>
      <c r="B5059" s="1" t="n">
        <v>44916</v>
      </c>
      <c r="C5059" s="1" t="n">
        <v>45662</v>
      </c>
      <c r="D5059" t="inlineStr">
        <is>
          <t>NORRBOTTENS LÄN</t>
        </is>
      </c>
      <c r="E5059" t="inlineStr">
        <is>
          <t>GÄLLIVARE</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61543-2022</t>
        </is>
      </c>
      <c r="B5060" s="1" t="n">
        <v>44916</v>
      </c>
      <c r="C5060" s="1" t="n">
        <v>45662</v>
      </c>
      <c r="D5060" t="inlineStr">
        <is>
          <t>NORRBOTTENS LÄN</t>
        </is>
      </c>
      <c r="E5060" t="inlineStr">
        <is>
          <t>PITEÅ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61650-2022</t>
        </is>
      </c>
      <c r="B5061" s="1" t="n">
        <v>44916</v>
      </c>
      <c r="C5061" s="1" t="n">
        <v>45662</v>
      </c>
      <c r="D5061" t="inlineStr">
        <is>
          <t>NORRBOTTENS LÄN</t>
        </is>
      </c>
      <c r="E5061" t="inlineStr">
        <is>
          <t>ÄLVSBYN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62277-2022</t>
        </is>
      </c>
      <c r="B5062" s="1" t="n">
        <v>44916</v>
      </c>
      <c r="C5062" s="1" t="n">
        <v>45662</v>
      </c>
      <c r="D5062" t="inlineStr">
        <is>
          <t>NORRBOTTENS LÄN</t>
        </is>
      </c>
      <c r="E5062" t="inlineStr">
        <is>
          <t>ÖVERTORNEÅ</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62452-2022</t>
        </is>
      </c>
      <c r="B5063" s="1" t="n">
        <v>44916</v>
      </c>
      <c r="C5063" s="1" t="n">
        <v>45662</v>
      </c>
      <c r="D5063" t="inlineStr">
        <is>
          <t>NORRBOTTENS LÄN</t>
        </is>
      </c>
      <c r="E5063" t="inlineStr">
        <is>
          <t>KIRUNA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62460-2022</t>
        </is>
      </c>
      <c r="B5064" s="1" t="n">
        <v>44916</v>
      </c>
      <c r="C5064" s="1" t="n">
        <v>45662</v>
      </c>
      <c r="D5064" t="inlineStr">
        <is>
          <t>NORRBOTTENS LÄN</t>
        </is>
      </c>
      <c r="E5064" t="inlineStr">
        <is>
          <t>KIRUNA</t>
        </is>
      </c>
      <c r="G5064" t="n">
        <v>13.4</v>
      </c>
      <c r="H5064" t="n">
        <v>0</v>
      </c>
      <c r="I5064" t="n">
        <v>0</v>
      </c>
      <c r="J5064" t="n">
        <v>0</v>
      </c>
      <c r="K5064" t="n">
        <v>0</v>
      </c>
      <c r="L5064" t="n">
        <v>0</v>
      </c>
      <c r="M5064" t="n">
        <v>0</v>
      </c>
      <c r="N5064" t="n">
        <v>0</v>
      </c>
      <c r="O5064" t="n">
        <v>0</v>
      </c>
      <c r="P5064" t="n">
        <v>0</v>
      </c>
      <c r="Q5064" t="n">
        <v>0</v>
      </c>
      <c r="R5064" s="2" t="inlineStr"/>
    </row>
    <row r="5065" ht="15" customHeight="1">
      <c r="A5065" t="inlineStr">
        <is>
          <t>A 62496-2022</t>
        </is>
      </c>
      <c r="B5065" s="1" t="n">
        <v>44916</v>
      </c>
      <c r="C5065" s="1" t="n">
        <v>45662</v>
      </c>
      <c r="D5065" t="inlineStr">
        <is>
          <t>NORRBOTTENS LÄN</t>
        </is>
      </c>
      <c r="E5065" t="inlineStr">
        <is>
          <t>GÄLLIVARE</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62439-2022</t>
        </is>
      </c>
      <c r="B5066" s="1" t="n">
        <v>44916</v>
      </c>
      <c r="C5066" s="1" t="n">
        <v>45662</v>
      </c>
      <c r="D5066" t="inlineStr">
        <is>
          <t>NORRBOTTENS LÄN</t>
        </is>
      </c>
      <c r="E5066" t="inlineStr">
        <is>
          <t>KIRUNA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61782-2022</t>
        </is>
      </c>
      <c r="B5067" s="1" t="n">
        <v>44917</v>
      </c>
      <c r="C5067" s="1" t="n">
        <v>45662</v>
      </c>
      <c r="D5067" t="inlineStr">
        <is>
          <t>NORRBOTTENS LÄN</t>
        </is>
      </c>
      <c r="E5067" t="inlineStr">
        <is>
          <t>ÖVERTORNEÅ</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61711-2022</t>
        </is>
      </c>
      <c r="B5068" s="1" t="n">
        <v>44917</v>
      </c>
      <c r="C5068" s="1" t="n">
        <v>45662</v>
      </c>
      <c r="D5068" t="inlineStr">
        <is>
          <t>NORRBOTTENS LÄN</t>
        </is>
      </c>
      <c r="E5068" t="inlineStr">
        <is>
          <t>PITEÅ</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61922-2022</t>
        </is>
      </c>
      <c r="B5069" s="1" t="n">
        <v>44917</v>
      </c>
      <c r="C5069" s="1" t="n">
        <v>45662</v>
      </c>
      <c r="D5069" t="inlineStr">
        <is>
          <t>NORRBOTTENS LÄN</t>
        </is>
      </c>
      <c r="E5069" t="inlineStr">
        <is>
          <t>BODEN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62525-2022</t>
        </is>
      </c>
      <c r="B5070" s="1" t="n">
        <v>44917</v>
      </c>
      <c r="C5070" s="1" t="n">
        <v>45662</v>
      </c>
      <c r="D5070" t="inlineStr">
        <is>
          <t>NORRBOTTENS LÄN</t>
        </is>
      </c>
      <c r="E5070" t="inlineStr">
        <is>
          <t>KALIX</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62692-2022</t>
        </is>
      </c>
      <c r="B5071" s="1" t="n">
        <v>44917</v>
      </c>
      <c r="C5071" s="1" t="n">
        <v>45662</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62701-2022</t>
        </is>
      </c>
      <c r="B5072" s="1" t="n">
        <v>44917</v>
      </c>
      <c r="C5072" s="1" t="n">
        <v>45662</v>
      </c>
      <c r="D5072" t="inlineStr">
        <is>
          <t>NORRBOTTENS LÄN</t>
        </is>
      </c>
      <c r="E5072" t="inlineStr">
        <is>
          <t>LULEÅ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62697-2022</t>
        </is>
      </c>
      <c r="B5073" s="1" t="n">
        <v>44917</v>
      </c>
      <c r="C5073" s="1" t="n">
        <v>45662</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62685-2022</t>
        </is>
      </c>
      <c r="B5074" s="1" t="n">
        <v>44917</v>
      </c>
      <c r="C5074" s="1" t="n">
        <v>45662</v>
      </c>
      <c r="D5074" t="inlineStr">
        <is>
          <t>NORRBOTTENS LÄN</t>
        </is>
      </c>
      <c r="E5074" t="inlineStr">
        <is>
          <t>LULEÅ</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61980-2022</t>
        </is>
      </c>
      <c r="B5075" s="1" t="n">
        <v>44918</v>
      </c>
      <c r="C5075" s="1" t="n">
        <v>45662</v>
      </c>
      <c r="D5075" t="inlineStr">
        <is>
          <t>NORRBOTTENS LÄN</t>
        </is>
      </c>
      <c r="E5075" t="inlineStr">
        <is>
          <t>ARVIDSJAUR</t>
        </is>
      </c>
      <c r="F5075" t="inlineStr">
        <is>
          <t>Sveaskog</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62019-2022</t>
        </is>
      </c>
      <c r="B5076" s="1" t="n">
        <v>44918</v>
      </c>
      <c r="C5076" s="1" t="n">
        <v>45662</v>
      </c>
      <c r="D5076" t="inlineStr">
        <is>
          <t>NORRBOTTENS LÄN</t>
        </is>
      </c>
      <c r="E5076" t="inlineStr">
        <is>
          <t>BODEN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62078-2022</t>
        </is>
      </c>
      <c r="B5077" s="1" t="n">
        <v>44918</v>
      </c>
      <c r="C5077" s="1" t="n">
        <v>45662</v>
      </c>
      <c r="D5077" t="inlineStr">
        <is>
          <t>NORRBOTTENS LÄN</t>
        </is>
      </c>
      <c r="E5077" t="inlineStr">
        <is>
          <t>JOKKMOKK</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62686-2022</t>
        </is>
      </c>
      <c r="B5078" s="1" t="n">
        <v>44918</v>
      </c>
      <c r="C5078" s="1" t="n">
        <v>45662</v>
      </c>
      <c r="D5078" t="inlineStr">
        <is>
          <t>NORRBOTTENS LÄN</t>
        </is>
      </c>
      <c r="E5078" t="inlineStr">
        <is>
          <t>LULEÅ</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22-2023</t>
        </is>
      </c>
      <c r="B5079" s="1" t="n">
        <v>44918</v>
      </c>
      <c r="C5079" s="1" t="n">
        <v>45662</v>
      </c>
      <c r="D5079" t="inlineStr">
        <is>
          <t>NORRBOTTENS LÄN</t>
        </is>
      </c>
      <c r="E5079" t="inlineStr">
        <is>
          <t>ÄLVSBYN</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43-2023</t>
        </is>
      </c>
      <c r="B5080" s="1" t="n">
        <v>44918</v>
      </c>
      <c r="C5080" s="1" t="n">
        <v>45662</v>
      </c>
      <c r="D5080" t="inlineStr">
        <is>
          <t>NORRBOTTENS LÄN</t>
        </is>
      </c>
      <c r="E5080" t="inlineStr">
        <is>
          <t>ÄLVSBYN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62160-2022</t>
        </is>
      </c>
      <c r="B5081" s="1" t="n">
        <v>44922</v>
      </c>
      <c r="C5081" s="1" t="n">
        <v>45662</v>
      </c>
      <c r="D5081" t="inlineStr">
        <is>
          <t>NORRBOTTENS LÄN</t>
        </is>
      </c>
      <c r="E5081" t="inlineStr">
        <is>
          <t>GÄLLIVARE</t>
        </is>
      </c>
      <c r="G5081" t="n">
        <v>19.6</v>
      </c>
      <c r="H5081" t="n">
        <v>0</v>
      </c>
      <c r="I5081" t="n">
        <v>0</v>
      </c>
      <c r="J5081" t="n">
        <v>0</v>
      </c>
      <c r="K5081" t="n">
        <v>0</v>
      </c>
      <c r="L5081" t="n">
        <v>0</v>
      </c>
      <c r="M5081" t="n">
        <v>0</v>
      </c>
      <c r="N5081" t="n">
        <v>0</v>
      </c>
      <c r="O5081" t="n">
        <v>0</v>
      </c>
      <c r="P5081" t="n">
        <v>0</v>
      </c>
      <c r="Q5081" t="n">
        <v>0</v>
      </c>
      <c r="R5081" s="2" t="inlineStr"/>
    </row>
    <row r="5082" ht="15" customHeight="1">
      <c r="A5082" t="inlineStr">
        <is>
          <t>A 62258-2022</t>
        </is>
      </c>
      <c r="B5082" s="1" t="n">
        <v>44922</v>
      </c>
      <c r="C5082" s="1" t="n">
        <v>45662</v>
      </c>
      <c r="D5082" t="inlineStr">
        <is>
          <t>NORRBOTTENS LÄN</t>
        </is>
      </c>
      <c r="E5082" t="inlineStr">
        <is>
          <t>GÄLLIVARE</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62390-2022</t>
        </is>
      </c>
      <c r="B5083" s="1" t="n">
        <v>44923</v>
      </c>
      <c r="C5083" s="1" t="n">
        <v>45662</v>
      </c>
      <c r="D5083" t="inlineStr">
        <is>
          <t>NORRBOTTENS LÄN</t>
        </is>
      </c>
      <c r="E5083" t="inlineStr">
        <is>
          <t>ÖVERTORNEÅ</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62298-2022</t>
        </is>
      </c>
      <c r="B5084" s="1" t="n">
        <v>44923</v>
      </c>
      <c r="C5084" s="1" t="n">
        <v>45662</v>
      </c>
      <c r="D5084" t="inlineStr">
        <is>
          <t>NORRBOTTENS LÄN</t>
        </is>
      </c>
      <c r="E5084" t="inlineStr">
        <is>
          <t>PAJALA</t>
        </is>
      </c>
      <c r="G5084" t="n">
        <v>38.8</v>
      </c>
      <c r="H5084" t="n">
        <v>0</v>
      </c>
      <c r="I5084" t="n">
        <v>0</v>
      </c>
      <c r="J5084" t="n">
        <v>0</v>
      </c>
      <c r="K5084" t="n">
        <v>0</v>
      </c>
      <c r="L5084" t="n">
        <v>0</v>
      </c>
      <c r="M5084" t="n">
        <v>0</v>
      </c>
      <c r="N5084" t="n">
        <v>0</v>
      </c>
      <c r="O5084" t="n">
        <v>0</v>
      </c>
      <c r="P5084" t="n">
        <v>0</v>
      </c>
      <c r="Q5084" t="n">
        <v>0</v>
      </c>
      <c r="R5084" s="2" t="inlineStr"/>
    </row>
    <row r="5085" ht="15" customHeight="1">
      <c r="A5085" t="inlineStr">
        <is>
          <t>A 404-2023</t>
        </is>
      </c>
      <c r="B5085" s="1" t="n">
        <v>44923</v>
      </c>
      <c r="C5085" s="1" t="n">
        <v>45662</v>
      </c>
      <c r="D5085" t="inlineStr">
        <is>
          <t>NORRBOTTENS LÄN</t>
        </is>
      </c>
      <c r="E5085" t="inlineStr">
        <is>
          <t>GÄLLIVARE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62492-2022</t>
        </is>
      </c>
      <c r="B5086" s="1" t="n">
        <v>44924</v>
      </c>
      <c r="C5086" s="1" t="n">
        <v>45662</v>
      </c>
      <c r="D5086" t="inlineStr">
        <is>
          <t>NORRBOTTENS LÄN</t>
        </is>
      </c>
      <c r="E5086" t="inlineStr">
        <is>
          <t>KALIX</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62444-2022</t>
        </is>
      </c>
      <c r="B5087" s="1" t="n">
        <v>44924</v>
      </c>
      <c r="C5087" s="1" t="n">
        <v>45662</v>
      </c>
      <c r="D5087" t="inlineStr">
        <is>
          <t>NORRBOTTENS LÄN</t>
        </is>
      </c>
      <c r="E5087" t="inlineStr">
        <is>
          <t>KALIX</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62487-2022</t>
        </is>
      </c>
      <c r="B5088" s="1" t="n">
        <v>44924</v>
      </c>
      <c r="C5088" s="1" t="n">
        <v>45662</v>
      </c>
      <c r="D5088" t="inlineStr">
        <is>
          <t>NORRBOTTENS LÄN</t>
        </is>
      </c>
      <c r="E5088" t="inlineStr">
        <is>
          <t>BODEN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62580-2022</t>
        </is>
      </c>
      <c r="B5089" s="1" t="n">
        <v>44924</v>
      </c>
      <c r="C5089" s="1" t="n">
        <v>45662</v>
      </c>
      <c r="D5089" t="inlineStr">
        <is>
          <t>NORRBOTTENS LÄN</t>
        </is>
      </c>
      <c r="E5089" t="inlineStr">
        <is>
          <t>GÄLLIVARE</t>
        </is>
      </c>
      <c r="F5089" t="inlineStr">
        <is>
          <t>SCA</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62446-2022</t>
        </is>
      </c>
      <c r="B5090" s="1" t="n">
        <v>44924</v>
      </c>
      <c r="C5090" s="1" t="n">
        <v>45662</v>
      </c>
      <c r="D5090" t="inlineStr">
        <is>
          <t>NORRBOTTENS LÄN</t>
        </is>
      </c>
      <c r="E5090" t="inlineStr">
        <is>
          <t>KALIX</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62608-2022</t>
        </is>
      </c>
      <c r="B5091" s="1" t="n">
        <v>44925</v>
      </c>
      <c r="C5091" s="1" t="n">
        <v>45662</v>
      </c>
      <c r="D5091" t="inlineStr">
        <is>
          <t>NORRBOTTENS LÄN</t>
        </is>
      </c>
      <c r="E5091" t="inlineStr">
        <is>
          <t>ÖVERTORNEÅ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62668-2022</t>
        </is>
      </c>
      <c r="B5092" s="1" t="n">
        <v>44925</v>
      </c>
      <c r="C5092" s="1" t="n">
        <v>45662</v>
      </c>
      <c r="D5092" t="inlineStr">
        <is>
          <t>NORRBOTTENS LÄN</t>
        </is>
      </c>
      <c r="E5092" t="inlineStr">
        <is>
          <t>ÖVERTORNEÅ</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62646-2022</t>
        </is>
      </c>
      <c r="B5093" s="1" t="n">
        <v>44925</v>
      </c>
      <c r="C5093" s="1" t="n">
        <v>45662</v>
      </c>
      <c r="D5093" t="inlineStr">
        <is>
          <t>NORRBOTTENS LÄN</t>
        </is>
      </c>
      <c r="E5093" t="inlineStr">
        <is>
          <t>ÖVERKALIX</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62689-2022</t>
        </is>
      </c>
      <c r="B5094" s="1" t="n">
        <v>44925</v>
      </c>
      <c r="C5094" s="1" t="n">
        <v>45662</v>
      </c>
      <c r="D5094" t="inlineStr">
        <is>
          <t>NORRBOTTENS LÄN</t>
        </is>
      </c>
      <c r="E5094" t="inlineStr">
        <is>
          <t>ÖVERTORNEÅ</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62626-2022</t>
        </is>
      </c>
      <c r="B5095" s="1" t="n">
        <v>44925</v>
      </c>
      <c r="C5095" s="1" t="n">
        <v>45662</v>
      </c>
      <c r="D5095" t="inlineStr">
        <is>
          <t>NORRBOTTENS LÄN</t>
        </is>
      </c>
      <c r="E5095" t="inlineStr">
        <is>
          <t>ÖVERKALIX</t>
        </is>
      </c>
      <c r="F5095" t="inlineStr">
        <is>
          <t>Kyrkan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62671-2022</t>
        </is>
      </c>
      <c r="B5096" s="1" t="n">
        <v>44925</v>
      </c>
      <c r="C5096" s="1" t="n">
        <v>45662</v>
      </c>
      <c r="D5096" t="inlineStr">
        <is>
          <t>NORRBOTTENS LÄN</t>
        </is>
      </c>
      <c r="E5096" t="inlineStr">
        <is>
          <t>ÖVERTORNEÅ</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62730-2022</t>
        </is>
      </c>
      <c r="B5097" s="1" t="n">
        <v>44925</v>
      </c>
      <c r="C5097" s="1" t="n">
        <v>45662</v>
      </c>
      <c r="D5097" t="inlineStr">
        <is>
          <t>NORRBOTTENS LÄN</t>
        </is>
      </c>
      <c r="E5097" t="inlineStr">
        <is>
          <t>BODEN</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665-2023</t>
        </is>
      </c>
      <c r="B5098" s="1" t="n">
        <v>44925</v>
      </c>
      <c r="C5098" s="1" t="n">
        <v>45662</v>
      </c>
      <c r="D5098" t="inlineStr">
        <is>
          <t>NORRBOTTENS LÄN</t>
        </is>
      </c>
      <c r="E5098" t="inlineStr">
        <is>
          <t>BODEN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152-2023</t>
        </is>
      </c>
      <c r="B5099" s="1" t="n">
        <v>44928</v>
      </c>
      <c r="C5099" s="1" t="n">
        <v>45662</v>
      </c>
      <c r="D5099" t="inlineStr">
        <is>
          <t>NORRBOTTENS LÄN</t>
        </is>
      </c>
      <c r="E5099" t="inlineStr">
        <is>
          <t>ÖVERTORNEÅ</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276-2023</t>
        </is>
      </c>
      <c r="B5100" s="1" t="n">
        <v>44928</v>
      </c>
      <c r="C5100" s="1" t="n">
        <v>45662</v>
      </c>
      <c r="D5100" t="inlineStr">
        <is>
          <t>NORRBOTTENS LÄN</t>
        </is>
      </c>
      <c r="E5100" t="inlineStr">
        <is>
          <t>ÖVERTORNEÅ</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274-2023</t>
        </is>
      </c>
      <c r="B5101" s="1" t="n">
        <v>44928</v>
      </c>
      <c r="C5101" s="1" t="n">
        <v>45662</v>
      </c>
      <c r="D5101" t="inlineStr">
        <is>
          <t>NORRBOTTENS LÄN</t>
        </is>
      </c>
      <c r="E5101" t="inlineStr">
        <is>
          <t>HAPARANDA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275-2023</t>
        </is>
      </c>
      <c r="B5102" s="1" t="n">
        <v>44928</v>
      </c>
      <c r="C5102" s="1" t="n">
        <v>45662</v>
      </c>
      <c r="D5102" t="inlineStr">
        <is>
          <t>NORRBOTTENS LÄN</t>
        </is>
      </c>
      <c r="E5102" t="inlineStr">
        <is>
          <t>ÖVERTORNEÅ</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273-2023</t>
        </is>
      </c>
      <c r="B5103" s="1" t="n">
        <v>44928</v>
      </c>
      <c r="C5103" s="1" t="n">
        <v>45662</v>
      </c>
      <c r="D5103" t="inlineStr">
        <is>
          <t>NORRBOTTENS LÄN</t>
        </is>
      </c>
      <c r="E5103" t="inlineStr">
        <is>
          <t>HAPARANDA</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277-2023</t>
        </is>
      </c>
      <c r="B5104" s="1" t="n">
        <v>44928</v>
      </c>
      <c r="C5104" s="1" t="n">
        <v>45662</v>
      </c>
      <c r="D5104" t="inlineStr">
        <is>
          <t>NORRBOTTENS LÄN</t>
        </is>
      </c>
      <c r="E5104" t="inlineStr">
        <is>
          <t>HAPARANDA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406-2023</t>
        </is>
      </c>
      <c r="B5105" s="1" t="n">
        <v>44929</v>
      </c>
      <c r="C5105" s="1" t="n">
        <v>45662</v>
      </c>
      <c r="D5105" t="inlineStr">
        <is>
          <t>NORRBOTTENS LÄN</t>
        </is>
      </c>
      <c r="E5105" t="inlineStr">
        <is>
          <t>BODEN</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472-2023</t>
        </is>
      </c>
      <c r="B5106" s="1" t="n">
        <v>44929</v>
      </c>
      <c r="C5106" s="1" t="n">
        <v>45662</v>
      </c>
      <c r="D5106" t="inlineStr">
        <is>
          <t>NORRBOTTENS LÄN</t>
        </is>
      </c>
      <c r="E5106" t="inlineStr">
        <is>
          <t>PITEÅ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473-2023</t>
        </is>
      </c>
      <c r="B5107" s="1" t="n">
        <v>44929</v>
      </c>
      <c r="C5107" s="1" t="n">
        <v>45662</v>
      </c>
      <c r="D5107" t="inlineStr">
        <is>
          <t>NORRBOTTENS LÄN</t>
        </is>
      </c>
      <c r="E5107" t="inlineStr">
        <is>
          <t>PITEÅ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550-2023</t>
        </is>
      </c>
      <c r="B5108" s="1" t="n">
        <v>44930</v>
      </c>
      <c r="C5108" s="1" t="n">
        <v>45662</v>
      </c>
      <c r="D5108" t="inlineStr">
        <is>
          <t>NORRBOTTENS LÄN</t>
        </is>
      </c>
      <c r="E5108" t="inlineStr">
        <is>
          <t>ÖVERKALIX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587-2023</t>
        </is>
      </c>
      <c r="B5109" s="1" t="n">
        <v>44930</v>
      </c>
      <c r="C5109" s="1" t="n">
        <v>45662</v>
      </c>
      <c r="D5109" t="inlineStr">
        <is>
          <t>NORRBOTTENS LÄN</t>
        </is>
      </c>
      <c r="E5109" t="inlineStr">
        <is>
          <t>ÖVERTORNEÅ</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597-2023</t>
        </is>
      </c>
      <c r="B5110" s="1" t="n">
        <v>44930</v>
      </c>
      <c r="C5110" s="1" t="n">
        <v>45662</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1119-2023</t>
        </is>
      </c>
      <c r="B5111" s="1" t="n">
        <v>44930</v>
      </c>
      <c r="C5111" s="1" t="n">
        <v>45662</v>
      </c>
      <c r="D5111" t="inlineStr">
        <is>
          <t>NORRBOTTENS LÄN</t>
        </is>
      </c>
      <c r="E5111" t="inlineStr">
        <is>
          <t>JOKKMOKK</t>
        </is>
      </c>
      <c r="F5111" t="inlineStr">
        <is>
          <t>Sveaskog</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877-2023</t>
        </is>
      </c>
      <c r="B5112" s="1" t="n">
        <v>44931</v>
      </c>
      <c r="C5112" s="1" t="n">
        <v>45662</v>
      </c>
      <c r="D5112" t="inlineStr">
        <is>
          <t>NORRBOTTENS LÄN</t>
        </is>
      </c>
      <c r="E5112" t="inlineStr">
        <is>
          <t>BODEN</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1312-2023</t>
        </is>
      </c>
      <c r="B5113" s="1" t="n">
        <v>44931</v>
      </c>
      <c r="C5113" s="1" t="n">
        <v>45662</v>
      </c>
      <c r="D5113" t="inlineStr">
        <is>
          <t>NORRBOTTENS LÄN</t>
        </is>
      </c>
      <c r="E5113" t="inlineStr">
        <is>
          <t>GÄLLIVARE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1017-2023</t>
        </is>
      </c>
      <c r="B5114" s="1" t="n">
        <v>44935</v>
      </c>
      <c r="C5114" s="1" t="n">
        <v>45662</v>
      </c>
      <c r="D5114" t="inlineStr">
        <is>
          <t>NORRBOTTENS LÄN</t>
        </is>
      </c>
      <c r="E5114" t="inlineStr">
        <is>
          <t>BODEN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1023-2023</t>
        </is>
      </c>
      <c r="B5115" s="1" t="n">
        <v>44935</v>
      </c>
      <c r="C5115" s="1" t="n">
        <v>45662</v>
      </c>
      <c r="D5115" t="inlineStr">
        <is>
          <t>NORRBOTTENS LÄN</t>
        </is>
      </c>
      <c r="E5115" t="inlineStr">
        <is>
          <t>BODEN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1522-2023</t>
        </is>
      </c>
      <c r="B5116" s="1" t="n">
        <v>44935</v>
      </c>
      <c r="C5116" s="1" t="n">
        <v>45662</v>
      </c>
      <c r="D5116" t="inlineStr">
        <is>
          <t>NORRBOTTENS LÄN</t>
        </is>
      </c>
      <c r="E5116" t="inlineStr">
        <is>
          <t>KALIX</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1267-2023</t>
        </is>
      </c>
      <c r="B5117" s="1" t="n">
        <v>44936</v>
      </c>
      <c r="C5117" s="1" t="n">
        <v>45662</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1274-2023</t>
        </is>
      </c>
      <c r="B5118" s="1" t="n">
        <v>44936</v>
      </c>
      <c r="C5118" s="1" t="n">
        <v>45662</v>
      </c>
      <c r="D5118" t="inlineStr">
        <is>
          <t>NORRBOTTENS LÄN</t>
        </is>
      </c>
      <c r="E5118" t="inlineStr">
        <is>
          <t>KALIX</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1476-2023</t>
        </is>
      </c>
      <c r="B5119" s="1" t="n">
        <v>44937</v>
      </c>
      <c r="C5119" s="1" t="n">
        <v>45662</v>
      </c>
      <c r="D5119" t="inlineStr">
        <is>
          <t>NORRBOTTENS LÄN</t>
        </is>
      </c>
      <c r="E5119" t="inlineStr">
        <is>
          <t>ÖVERTORNEÅ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1451-2023</t>
        </is>
      </c>
      <c r="B5120" s="1" t="n">
        <v>44937</v>
      </c>
      <c r="C5120" s="1" t="n">
        <v>45662</v>
      </c>
      <c r="D5120" t="inlineStr">
        <is>
          <t>NORRBOTTENS LÄN</t>
        </is>
      </c>
      <c r="E5120" t="inlineStr">
        <is>
          <t>BODEN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1609-2023</t>
        </is>
      </c>
      <c r="B5121" s="1" t="n">
        <v>44937</v>
      </c>
      <c r="C5121" s="1" t="n">
        <v>45662</v>
      </c>
      <c r="D5121" t="inlineStr">
        <is>
          <t>NORRBOTTENS LÄN</t>
        </is>
      </c>
      <c r="E5121" t="inlineStr">
        <is>
          <t>GÄLLIVARE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2002-2023</t>
        </is>
      </c>
      <c r="B5122" s="1" t="n">
        <v>44937</v>
      </c>
      <c r="C5122" s="1" t="n">
        <v>45662</v>
      </c>
      <c r="D5122" t="inlineStr">
        <is>
          <t>NORRBOTTENS LÄN</t>
        </is>
      </c>
      <c r="E5122" t="inlineStr">
        <is>
          <t>LULEÅ</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2006-2023</t>
        </is>
      </c>
      <c r="B5123" s="1" t="n">
        <v>44937</v>
      </c>
      <c r="C5123" s="1" t="n">
        <v>45662</v>
      </c>
      <c r="D5123" t="inlineStr">
        <is>
          <t>NORRBOTTENS LÄN</t>
        </is>
      </c>
      <c r="E5123" t="inlineStr">
        <is>
          <t>LULEÅ</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2007-2023</t>
        </is>
      </c>
      <c r="B5124" s="1" t="n">
        <v>44937</v>
      </c>
      <c r="C5124" s="1" t="n">
        <v>45662</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1867-2023</t>
        </is>
      </c>
      <c r="B5125" s="1" t="n">
        <v>44938</v>
      </c>
      <c r="C5125" s="1" t="n">
        <v>45662</v>
      </c>
      <c r="D5125" t="inlineStr">
        <is>
          <t>NORRBOTTENS LÄN</t>
        </is>
      </c>
      <c r="E5125" t="inlineStr">
        <is>
          <t>ÖVERKALIX</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2111-2023</t>
        </is>
      </c>
      <c r="B5126" s="1" t="n">
        <v>44939</v>
      </c>
      <c r="C5126" s="1" t="n">
        <v>45662</v>
      </c>
      <c r="D5126" t="inlineStr">
        <is>
          <t>NORRBOTTENS LÄN</t>
        </is>
      </c>
      <c r="E5126" t="inlineStr">
        <is>
          <t>ARVIDSJAUR</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2113-2023</t>
        </is>
      </c>
      <c r="B5127" s="1" t="n">
        <v>44939</v>
      </c>
      <c r="C5127" s="1" t="n">
        <v>45662</v>
      </c>
      <c r="D5127" t="inlineStr">
        <is>
          <t>NORRBOTTENS LÄN</t>
        </is>
      </c>
      <c r="E5127" t="inlineStr">
        <is>
          <t>ARVIDSJAUR</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2168-2023</t>
        </is>
      </c>
      <c r="B5128" s="1" t="n">
        <v>44941</v>
      </c>
      <c r="C5128" s="1" t="n">
        <v>45662</v>
      </c>
      <c r="D5128" t="inlineStr">
        <is>
          <t>NORRBOTTENS LÄN</t>
        </is>
      </c>
      <c r="E5128" t="inlineStr">
        <is>
          <t>PITEÅ</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2244-2023</t>
        </is>
      </c>
      <c r="B5129" s="1" t="n">
        <v>44942</v>
      </c>
      <c r="C5129" s="1" t="n">
        <v>45662</v>
      </c>
      <c r="D5129" t="inlineStr">
        <is>
          <t>NORRBOTTENS LÄN</t>
        </is>
      </c>
      <c r="E5129" t="inlineStr">
        <is>
          <t>GÄLLIVARE</t>
        </is>
      </c>
      <c r="G5129" t="n">
        <v>21.1</v>
      </c>
      <c r="H5129" t="n">
        <v>0</v>
      </c>
      <c r="I5129" t="n">
        <v>0</v>
      </c>
      <c r="J5129" t="n">
        <v>0</v>
      </c>
      <c r="K5129" t="n">
        <v>0</v>
      </c>
      <c r="L5129" t="n">
        <v>0</v>
      </c>
      <c r="M5129" t="n">
        <v>0</v>
      </c>
      <c r="N5129" t="n">
        <v>0</v>
      </c>
      <c r="O5129" t="n">
        <v>0</v>
      </c>
      <c r="P5129" t="n">
        <v>0</v>
      </c>
      <c r="Q5129" t="n">
        <v>0</v>
      </c>
      <c r="R5129" s="2" t="inlineStr"/>
    </row>
    <row r="5130" ht="15" customHeight="1">
      <c r="A5130" t="inlineStr">
        <is>
          <t>A 2298-2023</t>
        </is>
      </c>
      <c r="B5130" s="1" t="n">
        <v>44942</v>
      </c>
      <c r="C5130" s="1" t="n">
        <v>45662</v>
      </c>
      <c r="D5130" t="inlineStr">
        <is>
          <t>NORRBOTTENS LÄN</t>
        </is>
      </c>
      <c r="E5130" t="inlineStr">
        <is>
          <t>ARVIDSJAUR</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2237-2023</t>
        </is>
      </c>
      <c r="B5131" s="1" t="n">
        <v>44942</v>
      </c>
      <c r="C5131" s="1" t="n">
        <v>45662</v>
      </c>
      <c r="D5131" t="inlineStr">
        <is>
          <t>NORRBOTTENS LÄN</t>
        </is>
      </c>
      <c r="E5131" t="inlineStr">
        <is>
          <t>GÄLLIVARE</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2309-2023</t>
        </is>
      </c>
      <c r="B5132" s="1" t="n">
        <v>44942</v>
      </c>
      <c r="C5132" s="1" t="n">
        <v>45662</v>
      </c>
      <c r="D5132" t="inlineStr">
        <is>
          <t>NORRBOTTENS LÄN</t>
        </is>
      </c>
      <c r="E5132" t="inlineStr">
        <is>
          <t>ARVIDSJAUR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2276-2023</t>
        </is>
      </c>
      <c r="B5133" s="1" t="n">
        <v>44942</v>
      </c>
      <c r="C5133" s="1" t="n">
        <v>45662</v>
      </c>
      <c r="D5133" t="inlineStr">
        <is>
          <t>NORRBOTTENS LÄN</t>
        </is>
      </c>
      <c r="E5133" t="inlineStr">
        <is>
          <t>GÄLLIVARE</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2293-2023</t>
        </is>
      </c>
      <c r="B5134" s="1" t="n">
        <v>44942</v>
      </c>
      <c r="C5134" s="1" t="n">
        <v>45662</v>
      </c>
      <c r="D5134" t="inlineStr">
        <is>
          <t>NORRBOTTENS LÄN</t>
        </is>
      </c>
      <c r="E5134" t="inlineStr">
        <is>
          <t>ÄLVSBYN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2290-2023</t>
        </is>
      </c>
      <c r="B5135" s="1" t="n">
        <v>44942</v>
      </c>
      <c r="C5135" s="1" t="n">
        <v>45662</v>
      </c>
      <c r="D5135" t="inlineStr">
        <is>
          <t>NORRBOTTENS LÄN</t>
        </is>
      </c>
      <c r="E5135" t="inlineStr">
        <is>
          <t>ÄLVSBYN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2323-2023</t>
        </is>
      </c>
      <c r="B5136" s="1" t="n">
        <v>44942</v>
      </c>
      <c r="C5136" s="1" t="n">
        <v>45662</v>
      </c>
      <c r="D5136" t="inlineStr">
        <is>
          <t>NORRBOTTENS LÄN</t>
        </is>
      </c>
      <c r="E5136" t="inlineStr">
        <is>
          <t>ARVIDSJAUR</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2392-2023</t>
        </is>
      </c>
      <c r="B5137" s="1" t="n">
        <v>44942</v>
      </c>
      <c r="C5137" s="1" t="n">
        <v>45662</v>
      </c>
      <c r="D5137" t="inlineStr">
        <is>
          <t>NORRBOTTENS LÄN</t>
        </is>
      </c>
      <c r="E5137" t="inlineStr">
        <is>
          <t>PITEÅ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2621-2023</t>
        </is>
      </c>
      <c r="B5138" s="1" t="n">
        <v>44942</v>
      </c>
      <c r="C5138" s="1" t="n">
        <v>45662</v>
      </c>
      <c r="D5138" t="inlineStr">
        <is>
          <t>NORRBOTTENS LÄN</t>
        </is>
      </c>
      <c r="E5138" t="inlineStr">
        <is>
          <t>GÄLLIVARE</t>
        </is>
      </c>
      <c r="F5138" t="inlineStr">
        <is>
          <t>Allmännings- och besparingsskogar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2406-2023</t>
        </is>
      </c>
      <c r="B5139" s="1" t="n">
        <v>44942</v>
      </c>
      <c r="C5139" s="1" t="n">
        <v>45662</v>
      </c>
      <c r="D5139" t="inlineStr">
        <is>
          <t>NORRBOTTENS LÄN</t>
        </is>
      </c>
      <c r="E5139" t="inlineStr">
        <is>
          <t>PITEÅ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2625-2023</t>
        </is>
      </c>
      <c r="B5140" s="1" t="n">
        <v>44942</v>
      </c>
      <c r="C5140" s="1" t="n">
        <v>45662</v>
      </c>
      <c r="D5140" t="inlineStr">
        <is>
          <t>NORRBOTTENS LÄN</t>
        </is>
      </c>
      <c r="E5140" t="inlineStr">
        <is>
          <t>PITEÅ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2627-2023</t>
        </is>
      </c>
      <c r="B5141" s="1" t="n">
        <v>44942</v>
      </c>
      <c r="C5141" s="1" t="n">
        <v>45662</v>
      </c>
      <c r="D5141" t="inlineStr">
        <is>
          <t>NORRBOTTENS LÄN</t>
        </is>
      </c>
      <c r="E5141" t="inlineStr">
        <is>
          <t>PITEÅ</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2537-2023</t>
        </is>
      </c>
      <c r="B5142" s="1" t="n">
        <v>44943</v>
      </c>
      <c r="C5142" s="1" t="n">
        <v>45662</v>
      </c>
      <c r="D5142" t="inlineStr">
        <is>
          <t>NORRBOTTENS LÄN</t>
        </is>
      </c>
      <c r="E5142" t="inlineStr">
        <is>
          <t>KIRUNA</t>
        </is>
      </c>
      <c r="F5142" t="inlineStr">
        <is>
          <t>SCA</t>
        </is>
      </c>
      <c r="G5142" t="n">
        <v>20.3</v>
      </c>
      <c r="H5142" t="n">
        <v>0</v>
      </c>
      <c r="I5142" t="n">
        <v>0</v>
      </c>
      <c r="J5142" t="n">
        <v>0</v>
      </c>
      <c r="K5142" t="n">
        <v>0</v>
      </c>
      <c r="L5142" t="n">
        <v>0</v>
      </c>
      <c r="M5142" t="n">
        <v>0</v>
      </c>
      <c r="N5142" t="n">
        <v>0</v>
      </c>
      <c r="O5142" t="n">
        <v>0</v>
      </c>
      <c r="P5142" t="n">
        <v>0</v>
      </c>
      <c r="Q5142" t="n">
        <v>0</v>
      </c>
      <c r="R5142" s="2" t="inlineStr"/>
    </row>
    <row r="5143" ht="15" customHeight="1">
      <c r="A5143" t="inlineStr">
        <is>
          <t>A 2528-2023</t>
        </is>
      </c>
      <c r="B5143" s="1" t="n">
        <v>44943</v>
      </c>
      <c r="C5143" s="1" t="n">
        <v>45662</v>
      </c>
      <c r="D5143" t="inlineStr">
        <is>
          <t>NORRBOTTENS LÄN</t>
        </is>
      </c>
      <c r="E5143" t="inlineStr">
        <is>
          <t>BODEN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2595-2023</t>
        </is>
      </c>
      <c r="B5144" s="1" t="n">
        <v>44943</v>
      </c>
      <c r="C5144" s="1" t="n">
        <v>45662</v>
      </c>
      <c r="D5144" t="inlineStr">
        <is>
          <t>NORRBOTTENS LÄN</t>
        </is>
      </c>
      <c r="E5144" t="inlineStr">
        <is>
          <t>ÄLVSBYN</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2647-2023</t>
        </is>
      </c>
      <c r="B5145" s="1" t="n">
        <v>44944</v>
      </c>
      <c r="C5145" s="1" t="n">
        <v>45662</v>
      </c>
      <c r="D5145" t="inlineStr">
        <is>
          <t>NORRBOTTENS LÄN</t>
        </is>
      </c>
      <c r="E5145" t="inlineStr">
        <is>
          <t>PAJALA</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2651-2023</t>
        </is>
      </c>
      <c r="B5146" s="1" t="n">
        <v>44944</v>
      </c>
      <c r="C5146" s="1" t="n">
        <v>45662</v>
      </c>
      <c r="D5146" t="inlineStr">
        <is>
          <t>NORRBOTTENS LÄN</t>
        </is>
      </c>
      <c r="E5146" t="inlineStr">
        <is>
          <t>PAJALA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2691-2023</t>
        </is>
      </c>
      <c r="B5147" s="1" t="n">
        <v>44944</v>
      </c>
      <c r="C5147" s="1" t="n">
        <v>45662</v>
      </c>
      <c r="D5147" t="inlineStr">
        <is>
          <t>NORRBOTTENS LÄN</t>
        </is>
      </c>
      <c r="E5147" t="inlineStr">
        <is>
          <t>PITEÅ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2678-2023</t>
        </is>
      </c>
      <c r="B5148" s="1" t="n">
        <v>44944</v>
      </c>
      <c r="C5148" s="1" t="n">
        <v>45662</v>
      </c>
      <c r="D5148" t="inlineStr">
        <is>
          <t>NORRBOTTENS LÄN</t>
        </is>
      </c>
      <c r="E5148" t="inlineStr">
        <is>
          <t>ÄLVSBYN</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2778-2023</t>
        </is>
      </c>
      <c r="B5149" s="1" t="n">
        <v>44944</v>
      </c>
      <c r="C5149" s="1" t="n">
        <v>45662</v>
      </c>
      <c r="D5149" t="inlineStr">
        <is>
          <t>NORRBOTTENS LÄN</t>
        </is>
      </c>
      <c r="E5149" t="inlineStr">
        <is>
          <t>ARVIDSJAUR</t>
        </is>
      </c>
      <c r="F5149" t="inlineStr">
        <is>
          <t>Sveaskog</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2928-2023</t>
        </is>
      </c>
      <c r="B5150" s="1" t="n">
        <v>44944</v>
      </c>
      <c r="C5150" s="1" t="n">
        <v>45662</v>
      </c>
      <c r="D5150" t="inlineStr">
        <is>
          <t>NORRBOTTENS LÄN</t>
        </is>
      </c>
      <c r="E5150" t="inlineStr">
        <is>
          <t>PAJALA</t>
        </is>
      </c>
      <c r="G5150" t="n">
        <v>15.2</v>
      </c>
      <c r="H5150" t="n">
        <v>0</v>
      </c>
      <c r="I5150" t="n">
        <v>0</v>
      </c>
      <c r="J5150" t="n">
        <v>0</v>
      </c>
      <c r="K5150" t="n">
        <v>0</v>
      </c>
      <c r="L5150" t="n">
        <v>0</v>
      </c>
      <c r="M5150" t="n">
        <v>0</v>
      </c>
      <c r="N5150" t="n">
        <v>0</v>
      </c>
      <c r="O5150" t="n">
        <v>0</v>
      </c>
      <c r="P5150" t="n">
        <v>0</v>
      </c>
      <c r="Q5150" t="n">
        <v>0</v>
      </c>
      <c r="R5150" s="2" t="inlineStr"/>
    </row>
    <row r="5151" ht="15" customHeight="1">
      <c r="A5151" t="inlineStr">
        <is>
          <t>A 2948-2023</t>
        </is>
      </c>
      <c r="B5151" s="1" t="n">
        <v>44945</v>
      </c>
      <c r="C5151" s="1" t="n">
        <v>45662</v>
      </c>
      <c r="D5151" t="inlineStr">
        <is>
          <t>NORRBOTTENS LÄN</t>
        </is>
      </c>
      <c r="E5151" t="inlineStr">
        <is>
          <t>PAJALA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2925-2023</t>
        </is>
      </c>
      <c r="B5152" s="1" t="n">
        <v>44945</v>
      </c>
      <c r="C5152" s="1" t="n">
        <v>45662</v>
      </c>
      <c r="D5152" t="inlineStr">
        <is>
          <t>NORRBOTTENS LÄN</t>
        </is>
      </c>
      <c r="E5152" t="inlineStr">
        <is>
          <t>PAJALA</t>
        </is>
      </c>
      <c r="G5152" t="n">
        <v>20.2</v>
      </c>
      <c r="H5152" t="n">
        <v>0</v>
      </c>
      <c r="I5152" t="n">
        <v>0</v>
      </c>
      <c r="J5152" t="n">
        <v>0</v>
      </c>
      <c r="K5152" t="n">
        <v>0</v>
      </c>
      <c r="L5152" t="n">
        <v>0</v>
      </c>
      <c r="M5152" t="n">
        <v>0</v>
      </c>
      <c r="N5152" t="n">
        <v>0</v>
      </c>
      <c r="O5152" t="n">
        <v>0</v>
      </c>
      <c r="P5152" t="n">
        <v>0</v>
      </c>
      <c r="Q5152" t="n">
        <v>0</v>
      </c>
      <c r="R5152" s="2" t="inlineStr"/>
    </row>
    <row r="5153" ht="15" customHeight="1">
      <c r="A5153" t="inlineStr">
        <is>
          <t>A 2931-2023</t>
        </is>
      </c>
      <c r="B5153" s="1" t="n">
        <v>44945</v>
      </c>
      <c r="C5153" s="1" t="n">
        <v>45662</v>
      </c>
      <c r="D5153" t="inlineStr">
        <is>
          <t>NORRBOTTENS LÄN</t>
        </is>
      </c>
      <c r="E5153" t="inlineStr">
        <is>
          <t>PAJALA</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2961-2023</t>
        </is>
      </c>
      <c r="B5154" s="1" t="n">
        <v>44945</v>
      </c>
      <c r="C5154" s="1" t="n">
        <v>45662</v>
      </c>
      <c r="D5154" t="inlineStr">
        <is>
          <t>NORRBOTTENS LÄN</t>
        </is>
      </c>
      <c r="E5154" t="inlineStr">
        <is>
          <t>ÖVERTORNEÅ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3387-2023</t>
        </is>
      </c>
      <c r="B5155" s="1" t="n">
        <v>44945</v>
      </c>
      <c r="C5155" s="1" t="n">
        <v>45662</v>
      </c>
      <c r="D5155" t="inlineStr">
        <is>
          <t>NORRBOTTENS LÄN</t>
        </is>
      </c>
      <c r="E5155" t="inlineStr">
        <is>
          <t>KALIX</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3405-2023</t>
        </is>
      </c>
      <c r="B5156" s="1" t="n">
        <v>44945</v>
      </c>
      <c r="C5156" s="1" t="n">
        <v>45662</v>
      </c>
      <c r="D5156" t="inlineStr">
        <is>
          <t>NORRBOTTENS LÄN</t>
        </is>
      </c>
      <c r="E5156" t="inlineStr">
        <is>
          <t>KALIX</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3400-2023</t>
        </is>
      </c>
      <c r="B5157" s="1" t="n">
        <v>44945</v>
      </c>
      <c r="C5157" s="1" t="n">
        <v>45662</v>
      </c>
      <c r="D5157" t="inlineStr">
        <is>
          <t>NORRBOTTENS LÄN</t>
        </is>
      </c>
      <c r="E5157" t="inlineStr">
        <is>
          <t>KALIX</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3403-2023</t>
        </is>
      </c>
      <c r="B5158" s="1" t="n">
        <v>44945</v>
      </c>
      <c r="C5158" s="1" t="n">
        <v>45662</v>
      </c>
      <c r="D5158" t="inlineStr">
        <is>
          <t>NORRBOTTENS LÄN</t>
        </is>
      </c>
      <c r="E5158" t="inlineStr">
        <is>
          <t>KALIX</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3128-2023</t>
        </is>
      </c>
      <c r="B5159" s="1" t="n">
        <v>44946</v>
      </c>
      <c r="C5159" s="1" t="n">
        <v>45662</v>
      </c>
      <c r="D5159" t="inlineStr">
        <is>
          <t>NORRBOTTENS LÄN</t>
        </is>
      </c>
      <c r="E5159" t="inlineStr">
        <is>
          <t>LULEÅ</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3130-2023</t>
        </is>
      </c>
      <c r="B5160" s="1" t="n">
        <v>44946</v>
      </c>
      <c r="C5160" s="1" t="n">
        <v>45662</v>
      </c>
      <c r="D5160" t="inlineStr">
        <is>
          <t>NORRBOTTENS LÄN</t>
        </is>
      </c>
      <c r="E5160" t="inlineStr">
        <is>
          <t>BODEN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3241-2023</t>
        </is>
      </c>
      <c r="B5161" s="1" t="n">
        <v>44946</v>
      </c>
      <c r="C5161" s="1" t="n">
        <v>45662</v>
      </c>
      <c r="D5161" t="inlineStr">
        <is>
          <t>NORRBOTTENS LÄN</t>
        </is>
      </c>
      <c r="E5161" t="inlineStr">
        <is>
          <t>ARVIDSJAUR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3500-2023</t>
        </is>
      </c>
      <c r="B5162" s="1" t="n">
        <v>44949</v>
      </c>
      <c r="C5162" s="1" t="n">
        <v>45662</v>
      </c>
      <c r="D5162" t="inlineStr">
        <is>
          <t>NORRBOTTENS LÄN</t>
        </is>
      </c>
      <c r="E5162" t="inlineStr">
        <is>
          <t>ÄLVSBYN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3497-2023</t>
        </is>
      </c>
      <c r="B5163" s="1" t="n">
        <v>44949</v>
      </c>
      <c r="C5163" s="1" t="n">
        <v>45662</v>
      </c>
      <c r="D5163" t="inlineStr">
        <is>
          <t>NORRBOTTENS LÄN</t>
        </is>
      </c>
      <c r="E5163" t="inlineStr">
        <is>
          <t>ÄLVSBYN</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4013-2023</t>
        </is>
      </c>
      <c r="B5164" s="1" t="n">
        <v>44949</v>
      </c>
      <c r="C5164" s="1" t="n">
        <v>45662</v>
      </c>
      <c r="D5164" t="inlineStr">
        <is>
          <t>NORRBOTTENS LÄN</t>
        </is>
      </c>
      <c r="E5164" t="inlineStr">
        <is>
          <t>ÄLVSBYN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3498-2023</t>
        </is>
      </c>
      <c r="B5165" s="1" t="n">
        <v>44949</v>
      </c>
      <c r="C5165" s="1" t="n">
        <v>45662</v>
      </c>
      <c r="D5165" t="inlineStr">
        <is>
          <t>NORRBOTTENS LÄN</t>
        </is>
      </c>
      <c r="E5165" t="inlineStr">
        <is>
          <t>HAPARANDA</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3595-2023</t>
        </is>
      </c>
      <c r="B5166" s="1" t="n">
        <v>44950</v>
      </c>
      <c r="C5166" s="1" t="n">
        <v>45662</v>
      </c>
      <c r="D5166" t="inlineStr">
        <is>
          <t>NORRBOTTENS LÄN</t>
        </is>
      </c>
      <c r="E5166" t="inlineStr">
        <is>
          <t>ÖVERTORNEÅ</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3521-2023</t>
        </is>
      </c>
      <c r="B5167" s="1" t="n">
        <v>44950</v>
      </c>
      <c r="C5167" s="1" t="n">
        <v>45662</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3695-2023</t>
        </is>
      </c>
      <c r="B5168" s="1" t="n">
        <v>44950</v>
      </c>
      <c r="C5168" s="1" t="n">
        <v>45662</v>
      </c>
      <c r="D5168" t="inlineStr">
        <is>
          <t>NORRBOTTENS LÄN</t>
        </is>
      </c>
      <c r="E5168" t="inlineStr">
        <is>
          <t>ÖVERKALIX</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3694-2023</t>
        </is>
      </c>
      <c r="B5169" s="1" t="n">
        <v>44950</v>
      </c>
      <c r="C5169" s="1" t="n">
        <v>45662</v>
      </c>
      <c r="D5169" t="inlineStr">
        <is>
          <t>NORRBOTTENS LÄN</t>
        </is>
      </c>
      <c r="E5169" t="inlineStr">
        <is>
          <t>ÖVERKALIX</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4082-2023</t>
        </is>
      </c>
      <c r="B5170" s="1" t="n">
        <v>44950</v>
      </c>
      <c r="C5170" s="1" t="n">
        <v>45662</v>
      </c>
      <c r="D5170" t="inlineStr">
        <is>
          <t>NORRBOTTENS LÄN</t>
        </is>
      </c>
      <c r="E5170" t="inlineStr">
        <is>
          <t>KALIX</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3725-2023</t>
        </is>
      </c>
      <c r="B5171" s="1" t="n">
        <v>44951</v>
      </c>
      <c r="C5171" s="1" t="n">
        <v>45662</v>
      </c>
      <c r="D5171" t="inlineStr">
        <is>
          <t>NORRBOTTENS LÄN</t>
        </is>
      </c>
      <c r="E5171" t="inlineStr">
        <is>
          <t>BODEN</t>
        </is>
      </c>
      <c r="G5171" t="n">
        <v>28.9</v>
      </c>
      <c r="H5171" t="n">
        <v>0</v>
      </c>
      <c r="I5171" t="n">
        <v>0</v>
      </c>
      <c r="J5171" t="n">
        <v>0</v>
      </c>
      <c r="K5171" t="n">
        <v>0</v>
      </c>
      <c r="L5171" t="n">
        <v>0</v>
      </c>
      <c r="M5171" t="n">
        <v>0</v>
      </c>
      <c r="N5171" t="n">
        <v>0</v>
      </c>
      <c r="O5171" t="n">
        <v>0</v>
      </c>
      <c r="P5171" t="n">
        <v>0</v>
      </c>
      <c r="Q5171" t="n">
        <v>0</v>
      </c>
      <c r="R5171" s="2" t="inlineStr"/>
    </row>
    <row r="5172" ht="15" customHeight="1">
      <c r="A5172" t="inlineStr">
        <is>
          <t>A 3888-2023</t>
        </is>
      </c>
      <c r="B5172" s="1" t="n">
        <v>44951</v>
      </c>
      <c r="C5172" s="1" t="n">
        <v>45662</v>
      </c>
      <c r="D5172" t="inlineStr">
        <is>
          <t>NORRBOTTENS LÄN</t>
        </is>
      </c>
      <c r="E5172" t="inlineStr">
        <is>
          <t>LULEÅ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3889-2023</t>
        </is>
      </c>
      <c r="B5173" s="1" t="n">
        <v>44951</v>
      </c>
      <c r="C5173" s="1" t="n">
        <v>45662</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4357-2023</t>
        </is>
      </c>
      <c r="B5174" s="1" t="n">
        <v>44951</v>
      </c>
      <c r="C5174" s="1" t="n">
        <v>45662</v>
      </c>
      <c r="D5174" t="inlineStr">
        <is>
          <t>NORRBOTTENS LÄN</t>
        </is>
      </c>
      <c r="E5174" t="inlineStr">
        <is>
          <t>KALIX</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4128-2023</t>
        </is>
      </c>
      <c r="B5175" s="1" t="n">
        <v>44952</v>
      </c>
      <c r="C5175" s="1" t="n">
        <v>45662</v>
      </c>
      <c r="D5175" t="inlineStr">
        <is>
          <t>NORRBOTTENS LÄN</t>
        </is>
      </c>
      <c r="E5175" t="inlineStr">
        <is>
          <t>ÄLVSBYN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4127-2023</t>
        </is>
      </c>
      <c r="B5176" s="1" t="n">
        <v>44952</v>
      </c>
      <c r="C5176" s="1" t="n">
        <v>45662</v>
      </c>
      <c r="D5176" t="inlineStr">
        <is>
          <t>NORRBOTTENS LÄN</t>
        </is>
      </c>
      <c r="E5176" t="inlineStr">
        <is>
          <t>ÄLVSBYN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4046-2023</t>
        </is>
      </c>
      <c r="B5177" s="1" t="n">
        <v>44952</v>
      </c>
      <c r="C5177" s="1" t="n">
        <v>45662</v>
      </c>
      <c r="D5177" t="inlineStr">
        <is>
          <t>NORRBOTTENS LÄN</t>
        </is>
      </c>
      <c r="E5177" t="inlineStr">
        <is>
          <t>LULEÅ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4185-2023</t>
        </is>
      </c>
      <c r="B5178" s="1" t="n">
        <v>44953</v>
      </c>
      <c r="C5178" s="1" t="n">
        <v>45662</v>
      </c>
      <c r="D5178" t="inlineStr">
        <is>
          <t>NORRBOTTENS LÄN</t>
        </is>
      </c>
      <c r="E5178" t="inlineStr">
        <is>
          <t>GÄLLIVARE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4768-2023</t>
        </is>
      </c>
      <c r="B5179" s="1" t="n">
        <v>44953</v>
      </c>
      <c r="C5179" s="1" t="n">
        <v>45662</v>
      </c>
      <c r="D5179" t="inlineStr">
        <is>
          <t>NORRBOTTENS LÄN</t>
        </is>
      </c>
      <c r="E5179" t="inlineStr">
        <is>
          <t>GÄLLIVARE</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4756-2023</t>
        </is>
      </c>
      <c r="B5180" s="1" t="n">
        <v>44953</v>
      </c>
      <c r="C5180" s="1" t="n">
        <v>45662</v>
      </c>
      <c r="D5180" t="inlineStr">
        <is>
          <t>NORRBOTTENS LÄN</t>
        </is>
      </c>
      <c r="E5180" t="inlineStr">
        <is>
          <t>GÄLLIVARE</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4773-2023</t>
        </is>
      </c>
      <c r="B5181" s="1" t="n">
        <v>44953</v>
      </c>
      <c r="C5181" s="1" t="n">
        <v>45662</v>
      </c>
      <c r="D5181" t="inlineStr">
        <is>
          <t>NORRBOTTENS LÄN</t>
        </is>
      </c>
      <c r="E5181" t="inlineStr">
        <is>
          <t>GÄLLIVARE</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4238-2023</t>
        </is>
      </c>
      <c r="B5182" s="1" t="n">
        <v>44953</v>
      </c>
      <c r="C5182" s="1" t="n">
        <v>45662</v>
      </c>
      <c r="D5182" t="inlineStr">
        <is>
          <t>NORRBOTTENS LÄN</t>
        </is>
      </c>
      <c r="E5182" t="inlineStr">
        <is>
          <t>GÄLLIVARE</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4354-2023</t>
        </is>
      </c>
      <c r="B5183" s="1" t="n">
        <v>44954</v>
      </c>
      <c r="C5183" s="1" t="n">
        <v>45662</v>
      </c>
      <c r="D5183" t="inlineStr">
        <is>
          <t>NORRBOTTENS LÄN</t>
        </is>
      </c>
      <c r="E5183" t="inlineStr">
        <is>
          <t>PAJALA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4405-2023</t>
        </is>
      </c>
      <c r="B5184" s="1" t="n">
        <v>44956</v>
      </c>
      <c r="C5184" s="1" t="n">
        <v>45662</v>
      </c>
      <c r="D5184" t="inlineStr">
        <is>
          <t>NORRBOTTENS LÄN</t>
        </is>
      </c>
      <c r="E5184" t="inlineStr">
        <is>
          <t>KALIX</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4412-2023</t>
        </is>
      </c>
      <c r="B5185" s="1" t="n">
        <v>44956</v>
      </c>
      <c r="C5185" s="1" t="n">
        <v>45662</v>
      </c>
      <c r="D5185" t="inlineStr">
        <is>
          <t>NORRBOTTENS LÄN</t>
        </is>
      </c>
      <c r="E5185" t="inlineStr">
        <is>
          <t>KALIX</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4599-2023</t>
        </is>
      </c>
      <c r="B5186" s="1" t="n">
        <v>44956</v>
      </c>
      <c r="C5186" s="1" t="n">
        <v>45662</v>
      </c>
      <c r="D5186" t="inlineStr">
        <is>
          <t>NORRBOTTENS LÄN</t>
        </is>
      </c>
      <c r="E5186" t="inlineStr">
        <is>
          <t>LULEÅ</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5259-2023</t>
        </is>
      </c>
      <c r="B5187" s="1" t="n">
        <v>44956</v>
      </c>
      <c r="C5187" s="1" t="n">
        <v>45662</v>
      </c>
      <c r="D5187" t="inlineStr">
        <is>
          <t>NORRBOTTENS LÄN</t>
        </is>
      </c>
      <c r="E5187" t="inlineStr">
        <is>
          <t>BODEN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4732-2023</t>
        </is>
      </c>
      <c r="B5188" s="1" t="n">
        <v>44957</v>
      </c>
      <c r="C5188" s="1" t="n">
        <v>45662</v>
      </c>
      <c r="D5188" t="inlineStr">
        <is>
          <t>NORRBOTTENS LÄN</t>
        </is>
      </c>
      <c r="E5188" t="inlineStr">
        <is>
          <t>ARVIDSJAUR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4729-2023</t>
        </is>
      </c>
      <c r="B5189" s="1" t="n">
        <v>44957</v>
      </c>
      <c r="C5189" s="1" t="n">
        <v>45662</v>
      </c>
      <c r="D5189" t="inlineStr">
        <is>
          <t>NORRBOTTENS LÄN</t>
        </is>
      </c>
      <c r="E5189" t="inlineStr">
        <is>
          <t>ARVIDSJAUR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5420-2023</t>
        </is>
      </c>
      <c r="B5190" s="1" t="n">
        <v>44957</v>
      </c>
      <c r="C5190" s="1" t="n">
        <v>45662</v>
      </c>
      <c r="D5190" t="inlineStr">
        <is>
          <t>NORRBOTTENS LÄN</t>
        </is>
      </c>
      <c r="E5190" t="inlineStr">
        <is>
          <t>KALIX</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5508-2023</t>
        </is>
      </c>
      <c r="B5191" s="1" t="n">
        <v>44957</v>
      </c>
      <c r="C5191" s="1" t="n">
        <v>45662</v>
      </c>
      <c r="D5191" t="inlineStr">
        <is>
          <t>NORRBOTTENS LÄN</t>
        </is>
      </c>
      <c r="E5191" t="inlineStr">
        <is>
          <t>HAPARANDA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5549-2023</t>
        </is>
      </c>
      <c r="B5192" s="1" t="n">
        <v>44957</v>
      </c>
      <c r="C5192" s="1" t="n">
        <v>45662</v>
      </c>
      <c r="D5192" t="inlineStr">
        <is>
          <t>NORRBOTTENS LÄN</t>
        </is>
      </c>
      <c r="E5192" t="inlineStr">
        <is>
          <t>HAPARANDA</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5498-2023</t>
        </is>
      </c>
      <c r="B5193" s="1" t="n">
        <v>44957</v>
      </c>
      <c r="C5193" s="1" t="n">
        <v>45662</v>
      </c>
      <c r="D5193" t="inlineStr">
        <is>
          <t>NORRBOTTENS LÄN</t>
        </is>
      </c>
      <c r="E5193" t="inlineStr">
        <is>
          <t>HAPARANDA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5534-2023</t>
        </is>
      </c>
      <c r="B5194" s="1" t="n">
        <v>44957</v>
      </c>
      <c r="C5194" s="1" t="n">
        <v>45662</v>
      </c>
      <c r="D5194" t="inlineStr">
        <is>
          <t>NORRBOTTENS LÄN</t>
        </is>
      </c>
      <c r="E5194" t="inlineStr">
        <is>
          <t>KALIX</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5562-2023</t>
        </is>
      </c>
      <c r="B5195" s="1" t="n">
        <v>44957</v>
      </c>
      <c r="C5195" s="1" t="n">
        <v>45662</v>
      </c>
      <c r="D5195" t="inlineStr">
        <is>
          <t>NORRBOTTENS LÄN</t>
        </is>
      </c>
      <c r="E5195" t="inlineStr">
        <is>
          <t>HAPARANDA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5503-2023</t>
        </is>
      </c>
      <c r="B5196" s="1" t="n">
        <v>44957</v>
      </c>
      <c r="C5196" s="1" t="n">
        <v>45662</v>
      </c>
      <c r="D5196" t="inlineStr">
        <is>
          <t>NORRBOTTENS LÄN</t>
        </is>
      </c>
      <c r="E5196" t="inlineStr">
        <is>
          <t>HAPARANDA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5539-2023</t>
        </is>
      </c>
      <c r="B5197" s="1" t="n">
        <v>44957</v>
      </c>
      <c r="C5197" s="1" t="n">
        <v>45662</v>
      </c>
      <c r="D5197" t="inlineStr">
        <is>
          <t>NORRBOTTENS LÄN</t>
        </is>
      </c>
      <c r="E5197" t="inlineStr">
        <is>
          <t>HAPARANDA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5563-2023</t>
        </is>
      </c>
      <c r="B5198" s="1" t="n">
        <v>44957</v>
      </c>
      <c r="C5198" s="1" t="n">
        <v>45662</v>
      </c>
      <c r="D5198" t="inlineStr">
        <is>
          <t>NORRBOTTENS LÄN</t>
        </is>
      </c>
      <c r="E5198" t="inlineStr">
        <is>
          <t>HAPARANDA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5157-2023</t>
        </is>
      </c>
      <c r="B5199" s="1" t="n">
        <v>44958</v>
      </c>
      <c r="C5199" s="1" t="n">
        <v>45662</v>
      </c>
      <c r="D5199" t="inlineStr">
        <is>
          <t>NORRBOTTENS LÄN</t>
        </is>
      </c>
      <c r="E5199" t="inlineStr">
        <is>
          <t>ÖVERKALIX</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5771-2023</t>
        </is>
      </c>
      <c r="B5200" s="1" t="n">
        <v>44958</v>
      </c>
      <c r="C5200" s="1" t="n">
        <v>45662</v>
      </c>
      <c r="D5200" t="inlineStr">
        <is>
          <t>NORRBOTTENS LÄN</t>
        </is>
      </c>
      <c r="E5200" t="inlineStr">
        <is>
          <t>PAJALA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5659-2023</t>
        </is>
      </c>
      <c r="B5201" s="1" t="n">
        <v>44958</v>
      </c>
      <c r="C5201" s="1" t="n">
        <v>45662</v>
      </c>
      <c r="D5201" t="inlineStr">
        <is>
          <t>NORRBOTTENS LÄN</t>
        </is>
      </c>
      <c r="E5201" t="inlineStr">
        <is>
          <t>ÄLVSBYN</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5842-2023</t>
        </is>
      </c>
      <c r="B5202" s="1" t="n">
        <v>44958</v>
      </c>
      <c r="C5202" s="1" t="n">
        <v>45662</v>
      </c>
      <c r="D5202" t="inlineStr">
        <is>
          <t>NORRBOTTENS LÄN</t>
        </is>
      </c>
      <c r="E5202" t="inlineStr">
        <is>
          <t>KIRUNA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5434-2023</t>
        </is>
      </c>
      <c r="B5203" s="1" t="n">
        <v>44959</v>
      </c>
      <c r="C5203" s="1" t="n">
        <v>45662</v>
      </c>
      <c r="D5203" t="inlineStr">
        <is>
          <t>NORRBOTTENS LÄN</t>
        </is>
      </c>
      <c r="E5203" t="inlineStr">
        <is>
          <t>PAJALA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5336-2023</t>
        </is>
      </c>
      <c r="B5204" s="1" t="n">
        <v>44959</v>
      </c>
      <c r="C5204" s="1" t="n">
        <v>45662</v>
      </c>
      <c r="D5204" t="inlineStr">
        <is>
          <t>NORRBOTTENS LÄN</t>
        </is>
      </c>
      <c r="E5204" t="inlineStr">
        <is>
          <t>PAJALA</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5435-2023</t>
        </is>
      </c>
      <c r="B5205" s="1" t="n">
        <v>44959</v>
      </c>
      <c r="C5205" s="1" t="n">
        <v>45662</v>
      </c>
      <c r="D5205" t="inlineStr">
        <is>
          <t>NORRBOTTENS LÄN</t>
        </is>
      </c>
      <c r="E5205" t="inlineStr">
        <is>
          <t>PAJALA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5432-2023</t>
        </is>
      </c>
      <c r="B5206" s="1" t="n">
        <v>44959</v>
      </c>
      <c r="C5206" s="1" t="n">
        <v>45662</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5381-2023</t>
        </is>
      </c>
      <c r="B5207" s="1" t="n">
        <v>44959</v>
      </c>
      <c r="C5207" s="1" t="n">
        <v>45662</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5454-2023</t>
        </is>
      </c>
      <c r="B5208" s="1" t="n">
        <v>44959</v>
      </c>
      <c r="C5208" s="1" t="n">
        <v>45662</v>
      </c>
      <c r="D5208" t="inlineStr">
        <is>
          <t>NORRBOTTENS LÄN</t>
        </is>
      </c>
      <c r="E5208" t="inlineStr">
        <is>
          <t>GÄLLIVARE</t>
        </is>
      </c>
      <c r="F5208" t="inlineStr">
        <is>
          <t>SCA</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5456-2023</t>
        </is>
      </c>
      <c r="B5209" s="1" t="n">
        <v>44959</v>
      </c>
      <c r="C5209" s="1" t="n">
        <v>45662</v>
      </c>
      <c r="D5209" t="inlineStr">
        <is>
          <t>NORRBOTTENS LÄN</t>
        </is>
      </c>
      <c r="E5209" t="inlineStr">
        <is>
          <t>GÄLLIVARE</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5453-2023</t>
        </is>
      </c>
      <c r="B5210" s="1" t="n">
        <v>44959</v>
      </c>
      <c r="C5210" s="1" t="n">
        <v>45662</v>
      </c>
      <c r="D5210" t="inlineStr">
        <is>
          <t>NORRBOTTENS LÄN</t>
        </is>
      </c>
      <c r="E5210" t="inlineStr">
        <is>
          <t>ÖVERKALIX</t>
        </is>
      </c>
      <c r="F5210" t="inlineStr">
        <is>
          <t>SCA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6004-2023</t>
        </is>
      </c>
      <c r="B5211" s="1" t="n">
        <v>44959</v>
      </c>
      <c r="C5211" s="1" t="n">
        <v>45662</v>
      </c>
      <c r="D5211" t="inlineStr">
        <is>
          <t>NORRBOTTENS LÄN</t>
        </is>
      </c>
      <c r="E5211" t="inlineStr">
        <is>
          <t>ÄLVSBYN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5635-2023</t>
        </is>
      </c>
      <c r="B5212" s="1" t="n">
        <v>44960</v>
      </c>
      <c r="C5212" s="1" t="n">
        <v>45662</v>
      </c>
      <c r="D5212" t="inlineStr">
        <is>
          <t>NORRBOTTENS LÄN</t>
        </is>
      </c>
      <c r="E5212" t="inlineStr">
        <is>
          <t>ÄLVSBYN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5695-2023</t>
        </is>
      </c>
      <c r="B5213" s="1" t="n">
        <v>44960</v>
      </c>
      <c r="C5213" s="1" t="n">
        <v>45662</v>
      </c>
      <c r="D5213" t="inlineStr">
        <is>
          <t>NORRBOTTENS LÄN</t>
        </is>
      </c>
      <c r="E5213" t="inlineStr">
        <is>
          <t>GÄLLIVARE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5704-2023</t>
        </is>
      </c>
      <c r="B5214" s="1" t="n">
        <v>44960</v>
      </c>
      <c r="C5214" s="1" t="n">
        <v>45662</v>
      </c>
      <c r="D5214" t="inlineStr">
        <is>
          <t>NORRBOTTENS LÄN</t>
        </is>
      </c>
      <c r="E5214" t="inlineStr">
        <is>
          <t>GÄLLIVARE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5708-2023</t>
        </is>
      </c>
      <c r="B5215" s="1" t="n">
        <v>44960</v>
      </c>
      <c r="C5215" s="1" t="n">
        <v>45662</v>
      </c>
      <c r="D5215" t="inlineStr">
        <is>
          <t>NORRBOTTENS LÄN</t>
        </is>
      </c>
      <c r="E5215" t="inlineStr">
        <is>
          <t>GÄLLIVARE</t>
        </is>
      </c>
      <c r="F5215" t="inlineStr">
        <is>
          <t>SCA</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5636-2023</t>
        </is>
      </c>
      <c r="B5216" s="1" t="n">
        <v>44960</v>
      </c>
      <c r="C5216" s="1" t="n">
        <v>45662</v>
      </c>
      <c r="D5216" t="inlineStr">
        <is>
          <t>NORRBOTTENS LÄN</t>
        </is>
      </c>
      <c r="E5216" t="inlineStr">
        <is>
          <t>PITEÅ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5705-2023</t>
        </is>
      </c>
      <c r="B5217" s="1" t="n">
        <v>44960</v>
      </c>
      <c r="C5217" s="1" t="n">
        <v>45662</v>
      </c>
      <c r="D5217" t="inlineStr">
        <is>
          <t>NORRBOTTENS LÄN</t>
        </is>
      </c>
      <c r="E5217" t="inlineStr">
        <is>
          <t>ÖVERKALIX</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5709-2023</t>
        </is>
      </c>
      <c r="B5218" s="1" t="n">
        <v>44960</v>
      </c>
      <c r="C5218" s="1" t="n">
        <v>45662</v>
      </c>
      <c r="D5218" t="inlineStr">
        <is>
          <t>NORRBOTTENS LÄN</t>
        </is>
      </c>
      <c r="E5218" t="inlineStr">
        <is>
          <t>GÄLLIVARE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5706-2023</t>
        </is>
      </c>
      <c r="B5219" s="1" t="n">
        <v>44960</v>
      </c>
      <c r="C5219" s="1" t="n">
        <v>45662</v>
      </c>
      <c r="D5219" t="inlineStr">
        <is>
          <t>NORRBOTTENS LÄN</t>
        </is>
      </c>
      <c r="E5219" t="inlineStr">
        <is>
          <t>PAJALA</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5688-2023</t>
        </is>
      </c>
      <c r="B5220" s="1" t="n">
        <v>44960</v>
      </c>
      <c r="C5220" s="1" t="n">
        <v>45662</v>
      </c>
      <c r="D5220" t="inlineStr">
        <is>
          <t>NORRBOTTENS LÄN</t>
        </is>
      </c>
      <c r="E5220" t="inlineStr">
        <is>
          <t>LULEÅ</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5693-2023</t>
        </is>
      </c>
      <c r="B5221" s="1" t="n">
        <v>44960</v>
      </c>
      <c r="C5221" s="1" t="n">
        <v>45662</v>
      </c>
      <c r="D5221" t="inlineStr">
        <is>
          <t>NORRBOTTENS LÄN</t>
        </is>
      </c>
      <c r="E5221" t="inlineStr">
        <is>
          <t>PAJALA</t>
        </is>
      </c>
      <c r="F5221" t="inlineStr">
        <is>
          <t>SCA</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5703-2023</t>
        </is>
      </c>
      <c r="B5222" s="1" t="n">
        <v>44960</v>
      </c>
      <c r="C5222" s="1" t="n">
        <v>45662</v>
      </c>
      <c r="D5222" t="inlineStr">
        <is>
          <t>NORRBOTTENS LÄN</t>
        </is>
      </c>
      <c r="E5222" t="inlineStr">
        <is>
          <t>ÖVERKALIX</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5707-2023</t>
        </is>
      </c>
      <c r="B5223" s="1" t="n">
        <v>44960</v>
      </c>
      <c r="C5223" s="1" t="n">
        <v>45662</v>
      </c>
      <c r="D5223" t="inlineStr">
        <is>
          <t>NORRBOTTENS LÄN</t>
        </is>
      </c>
      <c r="E5223" t="inlineStr">
        <is>
          <t>PAJALA</t>
        </is>
      </c>
      <c r="F5223" t="inlineStr">
        <is>
          <t>SCA</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6386-2023</t>
        </is>
      </c>
      <c r="B5224" s="1" t="n">
        <v>44960</v>
      </c>
      <c r="C5224" s="1" t="n">
        <v>45662</v>
      </c>
      <c r="D5224" t="inlineStr">
        <is>
          <t>NORRBOTTENS LÄN</t>
        </is>
      </c>
      <c r="E5224" t="inlineStr">
        <is>
          <t>LULEÅ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6269-2023</t>
        </is>
      </c>
      <c r="B5225" s="1" t="n">
        <v>44960</v>
      </c>
      <c r="C5225" s="1" t="n">
        <v>45662</v>
      </c>
      <c r="D5225" t="inlineStr">
        <is>
          <t>NORRBOTTENS LÄN</t>
        </is>
      </c>
      <c r="E5225" t="inlineStr">
        <is>
          <t>LULEÅ</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6396-2023</t>
        </is>
      </c>
      <c r="B5226" s="1" t="n">
        <v>44960</v>
      </c>
      <c r="C5226" s="1" t="n">
        <v>45662</v>
      </c>
      <c r="D5226" t="inlineStr">
        <is>
          <t>NORRBOTTENS LÄN</t>
        </is>
      </c>
      <c r="E5226" t="inlineStr">
        <is>
          <t>LULEÅ</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5610-2023</t>
        </is>
      </c>
      <c r="B5227" s="1" t="n">
        <v>44960</v>
      </c>
      <c r="C5227" s="1" t="n">
        <v>45662</v>
      </c>
      <c r="D5227" t="inlineStr">
        <is>
          <t>NORRBOTTENS LÄN</t>
        </is>
      </c>
      <c r="E5227" t="inlineStr">
        <is>
          <t>ÄLVSBYN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5603-2023</t>
        </is>
      </c>
      <c r="B5228" s="1" t="n">
        <v>44960</v>
      </c>
      <c r="C5228" s="1" t="n">
        <v>45662</v>
      </c>
      <c r="D5228" t="inlineStr">
        <is>
          <t>NORRBOTTENS LÄN</t>
        </is>
      </c>
      <c r="E5228" t="inlineStr">
        <is>
          <t>ÄLVSBYN</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5784-2023</t>
        </is>
      </c>
      <c r="B5229" s="1" t="n">
        <v>44963</v>
      </c>
      <c r="C5229" s="1" t="n">
        <v>45662</v>
      </c>
      <c r="D5229" t="inlineStr">
        <is>
          <t>NORRBOTTENS LÄN</t>
        </is>
      </c>
      <c r="E5229" t="inlineStr">
        <is>
          <t>PAJALA</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5788-2023</t>
        </is>
      </c>
      <c r="B5230" s="1" t="n">
        <v>44963</v>
      </c>
      <c r="C5230" s="1" t="n">
        <v>45662</v>
      </c>
      <c r="D5230" t="inlineStr">
        <is>
          <t>NORRBOTTENS LÄN</t>
        </is>
      </c>
      <c r="E5230" t="inlineStr">
        <is>
          <t>PAJALA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5786-2023</t>
        </is>
      </c>
      <c r="B5231" s="1" t="n">
        <v>44963</v>
      </c>
      <c r="C5231" s="1" t="n">
        <v>45662</v>
      </c>
      <c r="D5231" t="inlineStr">
        <is>
          <t>NORRBOTTENS LÄN</t>
        </is>
      </c>
      <c r="E5231" t="inlineStr">
        <is>
          <t>PAJALA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5791-2023</t>
        </is>
      </c>
      <c r="B5232" s="1" t="n">
        <v>44963</v>
      </c>
      <c r="C5232" s="1" t="n">
        <v>45662</v>
      </c>
      <c r="D5232" t="inlineStr">
        <is>
          <t>NORRBOTTENS LÄN</t>
        </is>
      </c>
      <c r="E5232" t="inlineStr">
        <is>
          <t>PAJALA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5780-2023</t>
        </is>
      </c>
      <c r="B5233" s="1" t="n">
        <v>44963</v>
      </c>
      <c r="C5233" s="1" t="n">
        <v>45662</v>
      </c>
      <c r="D5233" t="inlineStr">
        <is>
          <t>NORRBOTTENS LÄN</t>
        </is>
      </c>
      <c r="E5233" t="inlineStr">
        <is>
          <t>PAJALA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5828-2023</t>
        </is>
      </c>
      <c r="B5234" s="1" t="n">
        <v>44963</v>
      </c>
      <c r="C5234" s="1" t="n">
        <v>45662</v>
      </c>
      <c r="D5234" t="inlineStr">
        <is>
          <t>NORRBOTTENS LÄN</t>
        </is>
      </c>
      <c r="E5234" t="inlineStr">
        <is>
          <t>PITEÅ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6693-2023</t>
        </is>
      </c>
      <c r="B5235" s="1" t="n">
        <v>44963</v>
      </c>
      <c r="C5235" s="1" t="n">
        <v>45662</v>
      </c>
      <c r="D5235" t="inlineStr">
        <is>
          <t>NORRBOTTENS LÄN</t>
        </is>
      </c>
      <c r="E5235" t="inlineStr">
        <is>
          <t>BODEN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6122-2023</t>
        </is>
      </c>
      <c r="B5236" s="1" t="n">
        <v>44964</v>
      </c>
      <c r="C5236" s="1" t="n">
        <v>45662</v>
      </c>
      <c r="D5236" t="inlineStr">
        <is>
          <t>NORRBOTTENS LÄN</t>
        </is>
      </c>
      <c r="E5236" t="inlineStr">
        <is>
          <t>ÖVERKALIX</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6241-2023</t>
        </is>
      </c>
      <c r="B5237" s="1" t="n">
        <v>44964</v>
      </c>
      <c r="C5237" s="1" t="n">
        <v>45662</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6245-2023</t>
        </is>
      </c>
      <c r="B5238" s="1" t="n">
        <v>44964</v>
      </c>
      <c r="C5238" s="1" t="n">
        <v>45662</v>
      </c>
      <c r="D5238" t="inlineStr">
        <is>
          <t>NORRBOTTENS LÄN</t>
        </is>
      </c>
      <c r="E5238" t="inlineStr">
        <is>
          <t>KALIX</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6240-2023</t>
        </is>
      </c>
      <c r="B5239" s="1" t="n">
        <v>44964</v>
      </c>
      <c r="C5239" s="1" t="n">
        <v>45662</v>
      </c>
      <c r="D5239" t="inlineStr">
        <is>
          <t>NORRBOTTENS LÄN</t>
        </is>
      </c>
      <c r="E5239" t="inlineStr">
        <is>
          <t>KALIX</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6244-2023</t>
        </is>
      </c>
      <c r="B5240" s="1" t="n">
        <v>44964</v>
      </c>
      <c r="C5240" s="1" t="n">
        <v>45662</v>
      </c>
      <c r="D5240" t="inlineStr">
        <is>
          <t>NORRBOTTENS LÄN</t>
        </is>
      </c>
      <c r="E5240" t="inlineStr">
        <is>
          <t>BODEN</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6238-2023</t>
        </is>
      </c>
      <c r="B5241" s="1" t="n">
        <v>44964</v>
      </c>
      <c r="C5241" s="1" t="n">
        <v>45662</v>
      </c>
      <c r="D5241" t="inlineStr">
        <is>
          <t>NORRBOTTENS LÄN</t>
        </is>
      </c>
      <c r="E5241" t="inlineStr">
        <is>
          <t>BODEN</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6242-2023</t>
        </is>
      </c>
      <c r="B5242" s="1" t="n">
        <v>44964</v>
      </c>
      <c r="C5242" s="1" t="n">
        <v>45662</v>
      </c>
      <c r="D5242" t="inlineStr">
        <is>
          <t>NORRBOTTENS LÄN</t>
        </is>
      </c>
      <c r="E5242" t="inlineStr">
        <is>
          <t>BODEN</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6920-2023</t>
        </is>
      </c>
      <c r="B5243" s="1" t="n">
        <v>44964</v>
      </c>
      <c r="C5243" s="1" t="n">
        <v>45662</v>
      </c>
      <c r="D5243" t="inlineStr">
        <is>
          <t>NORRBOTTENS LÄN</t>
        </is>
      </c>
      <c r="E5243" t="inlineStr">
        <is>
          <t>KALIX</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6939-2023</t>
        </is>
      </c>
      <c r="B5244" s="1" t="n">
        <v>44964</v>
      </c>
      <c r="C5244" s="1" t="n">
        <v>45662</v>
      </c>
      <c r="D5244" t="inlineStr">
        <is>
          <t>NORRBOTTENS LÄN</t>
        </is>
      </c>
      <c r="E5244" t="inlineStr">
        <is>
          <t>ÖVERKALIX</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6917-2023</t>
        </is>
      </c>
      <c r="B5245" s="1" t="n">
        <v>44964</v>
      </c>
      <c r="C5245" s="1" t="n">
        <v>45662</v>
      </c>
      <c r="D5245" t="inlineStr">
        <is>
          <t>NORRBOTTENS LÄN</t>
        </is>
      </c>
      <c r="E5245" t="inlineStr">
        <is>
          <t>ÖVERKALIX</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6973-2023</t>
        </is>
      </c>
      <c r="B5246" s="1" t="n">
        <v>44964</v>
      </c>
      <c r="C5246" s="1" t="n">
        <v>45662</v>
      </c>
      <c r="D5246" t="inlineStr">
        <is>
          <t>NORRBOTTENS LÄN</t>
        </is>
      </c>
      <c r="E5246" t="inlineStr">
        <is>
          <t>PAJALA</t>
        </is>
      </c>
      <c r="G5246" t="n">
        <v>17.5</v>
      </c>
      <c r="H5246" t="n">
        <v>0</v>
      </c>
      <c r="I5246" t="n">
        <v>0</v>
      </c>
      <c r="J5246" t="n">
        <v>0</v>
      </c>
      <c r="K5246" t="n">
        <v>0</v>
      </c>
      <c r="L5246" t="n">
        <v>0</v>
      </c>
      <c r="M5246" t="n">
        <v>0</v>
      </c>
      <c r="N5246" t="n">
        <v>0</v>
      </c>
      <c r="O5246" t="n">
        <v>0</v>
      </c>
      <c r="P5246" t="n">
        <v>0</v>
      </c>
      <c r="Q5246" t="n">
        <v>0</v>
      </c>
      <c r="R5246" s="2" t="inlineStr"/>
    </row>
    <row r="5247" ht="15" customHeight="1">
      <c r="A5247" t="inlineStr">
        <is>
          <t>A 6451-2023</t>
        </is>
      </c>
      <c r="B5247" s="1" t="n">
        <v>44965</v>
      </c>
      <c r="C5247" s="1" t="n">
        <v>45662</v>
      </c>
      <c r="D5247" t="inlineStr">
        <is>
          <t>NORRBOTTENS LÄN</t>
        </is>
      </c>
      <c r="E5247" t="inlineStr">
        <is>
          <t>PITEÅ</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6464-2023</t>
        </is>
      </c>
      <c r="B5248" s="1" t="n">
        <v>44965</v>
      </c>
      <c r="C5248" s="1" t="n">
        <v>45662</v>
      </c>
      <c r="D5248" t="inlineStr">
        <is>
          <t>NORRBOTTENS LÄN</t>
        </is>
      </c>
      <c r="E5248" t="inlineStr">
        <is>
          <t>JOKKMOKK</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6469-2023</t>
        </is>
      </c>
      <c r="B5249" s="1" t="n">
        <v>44965</v>
      </c>
      <c r="C5249" s="1" t="n">
        <v>45662</v>
      </c>
      <c r="D5249" t="inlineStr">
        <is>
          <t>NORRBOTTENS LÄN</t>
        </is>
      </c>
      <c r="E5249" t="inlineStr">
        <is>
          <t>ÖVERKALIX</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6361-2023</t>
        </is>
      </c>
      <c r="B5250" s="1" t="n">
        <v>44965</v>
      </c>
      <c r="C5250" s="1" t="n">
        <v>45662</v>
      </c>
      <c r="D5250" t="inlineStr">
        <is>
          <t>NORRBOTTENS LÄN</t>
        </is>
      </c>
      <c r="E5250" t="inlineStr">
        <is>
          <t>LULEÅ</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6452-2023</t>
        </is>
      </c>
      <c r="B5251" s="1" t="n">
        <v>44965</v>
      </c>
      <c r="C5251" s="1" t="n">
        <v>45662</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6459-2023</t>
        </is>
      </c>
      <c r="B5252" s="1" t="n">
        <v>44965</v>
      </c>
      <c r="C5252" s="1" t="n">
        <v>45662</v>
      </c>
      <c r="D5252" t="inlineStr">
        <is>
          <t>NORRBOTTENS LÄN</t>
        </is>
      </c>
      <c r="E5252" t="inlineStr">
        <is>
          <t>GÄLLIVARE</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6463-2023</t>
        </is>
      </c>
      <c r="B5253" s="1" t="n">
        <v>44965</v>
      </c>
      <c r="C5253" s="1" t="n">
        <v>45662</v>
      </c>
      <c r="D5253" t="inlineStr">
        <is>
          <t>NORRBOTTENS LÄN</t>
        </is>
      </c>
      <c r="E5253" t="inlineStr">
        <is>
          <t>KALIX</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6591-2023</t>
        </is>
      </c>
      <c r="B5254" s="1" t="n">
        <v>44966</v>
      </c>
      <c r="C5254" s="1" t="n">
        <v>45662</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6502-2023</t>
        </is>
      </c>
      <c r="B5255" s="1" t="n">
        <v>44966</v>
      </c>
      <c r="C5255" s="1" t="n">
        <v>45662</v>
      </c>
      <c r="D5255" t="inlineStr">
        <is>
          <t>NORRBOTTENS LÄN</t>
        </is>
      </c>
      <c r="E5255" t="inlineStr">
        <is>
          <t>PITEÅ</t>
        </is>
      </c>
      <c r="G5255" t="n">
        <v>62.5</v>
      </c>
      <c r="H5255" t="n">
        <v>0</v>
      </c>
      <c r="I5255" t="n">
        <v>0</v>
      </c>
      <c r="J5255" t="n">
        <v>0</v>
      </c>
      <c r="K5255" t="n">
        <v>0</v>
      </c>
      <c r="L5255" t="n">
        <v>0</v>
      </c>
      <c r="M5255" t="n">
        <v>0</v>
      </c>
      <c r="N5255" t="n">
        <v>0</v>
      </c>
      <c r="O5255" t="n">
        <v>0</v>
      </c>
      <c r="P5255" t="n">
        <v>0</v>
      </c>
      <c r="Q5255" t="n">
        <v>0</v>
      </c>
      <c r="R5255" s="2" t="inlineStr"/>
    </row>
    <row r="5256" ht="15" customHeight="1">
      <c r="A5256" t="inlineStr">
        <is>
          <t>A 6492-2023</t>
        </is>
      </c>
      <c r="B5256" s="1" t="n">
        <v>44966</v>
      </c>
      <c r="C5256" s="1" t="n">
        <v>45662</v>
      </c>
      <c r="D5256" t="inlineStr">
        <is>
          <t>NORRBOTTENS LÄN</t>
        </is>
      </c>
      <c r="E5256" t="inlineStr">
        <is>
          <t>PITEÅ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6765-2023</t>
        </is>
      </c>
      <c r="B5257" s="1" t="n">
        <v>44966</v>
      </c>
      <c r="C5257" s="1" t="n">
        <v>45662</v>
      </c>
      <c r="D5257" t="inlineStr">
        <is>
          <t>NORRBOTTENS LÄN</t>
        </is>
      </c>
      <c r="E5257" t="inlineStr">
        <is>
          <t>BODEN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6769-2023</t>
        </is>
      </c>
      <c r="B5258" s="1" t="n">
        <v>44966</v>
      </c>
      <c r="C5258" s="1" t="n">
        <v>45662</v>
      </c>
      <c r="D5258" t="inlineStr">
        <is>
          <t>NORRBOTTENS LÄN</t>
        </is>
      </c>
      <c r="E5258" t="inlineStr">
        <is>
          <t>ÄLVSBYN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6779-2023</t>
        </is>
      </c>
      <c r="B5259" s="1" t="n">
        <v>44966</v>
      </c>
      <c r="C5259" s="1" t="n">
        <v>45662</v>
      </c>
      <c r="D5259" t="inlineStr">
        <is>
          <t>NORRBOTTENS LÄN</t>
        </is>
      </c>
      <c r="E5259" t="inlineStr">
        <is>
          <t>JOKKMOKK</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6776-2023</t>
        </is>
      </c>
      <c r="B5260" s="1" t="n">
        <v>44966</v>
      </c>
      <c r="C5260" s="1" t="n">
        <v>45662</v>
      </c>
      <c r="D5260" t="inlineStr">
        <is>
          <t>NORRBOTTENS LÄN</t>
        </is>
      </c>
      <c r="E5260" t="inlineStr">
        <is>
          <t>BODEN</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6778-2023</t>
        </is>
      </c>
      <c r="B5261" s="1" t="n">
        <v>44966</v>
      </c>
      <c r="C5261" s="1" t="n">
        <v>45662</v>
      </c>
      <c r="D5261" t="inlineStr">
        <is>
          <t>NORRBOTTENS LÄN</t>
        </is>
      </c>
      <c r="E5261" t="inlineStr">
        <is>
          <t>JOKKMOKK</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6783-2023</t>
        </is>
      </c>
      <c r="B5262" s="1" t="n">
        <v>44966</v>
      </c>
      <c r="C5262" s="1" t="n">
        <v>45662</v>
      </c>
      <c r="D5262" t="inlineStr">
        <is>
          <t>NORRBOTTENS LÄN</t>
        </is>
      </c>
      <c r="E5262" t="inlineStr">
        <is>
          <t>GÄLLIVARE</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7393-2023</t>
        </is>
      </c>
      <c r="B5263" s="1" t="n">
        <v>44966</v>
      </c>
      <c r="C5263" s="1" t="n">
        <v>45662</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7390-2023</t>
        </is>
      </c>
      <c r="B5264" s="1" t="n">
        <v>44966</v>
      </c>
      <c r="C5264" s="1" t="n">
        <v>45662</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6777-2023</t>
        </is>
      </c>
      <c r="B5265" s="1" t="n">
        <v>44966</v>
      </c>
      <c r="C5265" s="1" t="n">
        <v>45662</v>
      </c>
      <c r="D5265" t="inlineStr">
        <is>
          <t>NORRBOTTENS LÄN</t>
        </is>
      </c>
      <c r="E5265" t="inlineStr">
        <is>
          <t>JOKKMOKK</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6781-2023</t>
        </is>
      </c>
      <c r="B5266" s="1" t="n">
        <v>44966</v>
      </c>
      <c r="C5266" s="1" t="n">
        <v>45662</v>
      </c>
      <c r="D5266" t="inlineStr">
        <is>
          <t>NORRBOTTENS LÄN</t>
        </is>
      </c>
      <c r="E5266" t="inlineStr">
        <is>
          <t>GÄLLIVARE</t>
        </is>
      </c>
      <c r="F5266" t="inlineStr">
        <is>
          <t>SCA</t>
        </is>
      </c>
      <c r="G5266" t="n">
        <v>14.1</v>
      </c>
      <c r="H5266" t="n">
        <v>0</v>
      </c>
      <c r="I5266" t="n">
        <v>0</v>
      </c>
      <c r="J5266" t="n">
        <v>0</v>
      </c>
      <c r="K5266" t="n">
        <v>0</v>
      </c>
      <c r="L5266" t="n">
        <v>0</v>
      </c>
      <c r="M5266" t="n">
        <v>0</v>
      </c>
      <c r="N5266" t="n">
        <v>0</v>
      </c>
      <c r="O5266" t="n">
        <v>0</v>
      </c>
      <c r="P5266" t="n">
        <v>0</v>
      </c>
      <c r="Q5266" t="n">
        <v>0</v>
      </c>
      <c r="R5266" s="2" t="inlineStr"/>
    </row>
    <row r="5267" ht="15" customHeight="1">
      <c r="A5267" t="inlineStr">
        <is>
          <t>A 7448-2023</t>
        </is>
      </c>
      <c r="B5267" s="1" t="n">
        <v>44966</v>
      </c>
      <c r="C5267" s="1" t="n">
        <v>45662</v>
      </c>
      <c r="D5267" t="inlineStr">
        <is>
          <t>NORRBOTTENS LÄN</t>
        </is>
      </c>
      <c r="E5267" t="inlineStr">
        <is>
          <t>ÖVERKALIX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7477-2023</t>
        </is>
      </c>
      <c r="B5268" s="1" t="n">
        <v>44966</v>
      </c>
      <c r="C5268" s="1" t="n">
        <v>45662</v>
      </c>
      <c r="D5268" t="inlineStr">
        <is>
          <t>NORRBOTTENS LÄN</t>
        </is>
      </c>
      <c r="E5268" t="inlineStr">
        <is>
          <t>ÖVERKALIX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6825-2023</t>
        </is>
      </c>
      <c r="B5269" s="1" t="n">
        <v>44967</v>
      </c>
      <c r="C5269" s="1" t="n">
        <v>45662</v>
      </c>
      <c r="D5269" t="inlineStr">
        <is>
          <t>NORRBOTTENS LÄN</t>
        </is>
      </c>
      <c r="E5269" t="inlineStr">
        <is>
          <t>ÄLVSBYN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6937-2023</t>
        </is>
      </c>
      <c r="B5270" s="1" t="n">
        <v>44967</v>
      </c>
      <c r="C5270" s="1" t="n">
        <v>45662</v>
      </c>
      <c r="D5270" t="inlineStr">
        <is>
          <t>NORRBOTTENS LÄN</t>
        </is>
      </c>
      <c r="E5270" t="inlineStr">
        <is>
          <t>BODEN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7010-2023</t>
        </is>
      </c>
      <c r="B5271" s="1" t="n">
        <v>44967</v>
      </c>
      <c r="C5271" s="1" t="n">
        <v>45662</v>
      </c>
      <c r="D5271" t="inlineStr">
        <is>
          <t>NORRBOTTENS LÄN</t>
        </is>
      </c>
      <c r="E5271" t="inlineStr">
        <is>
          <t>LULEÅ</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7029-2023</t>
        </is>
      </c>
      <c r="B5272" s="1" t="n">
        <v>44968</v>
      </c>
      <c r="C5272" s="1" t="n">
        <v>45662</v>
      </c>
      <c r="D5272" t="inlineStr">
        <is>
          <t>NORRBOTTENS LÄN</t>
        </is>
      </c>
      <c r="E5272" t="inlineStr">
        <is>
          <t>PAJALA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7033-2023</t>
        </is>
      </c>
      <c r="B5273" s="1" t="n">
        <v>44968</v>
      </c>
      <c r="C5273" s="1" t="n">
        <v>45662</v>
      </c>
      <c r="D5273" t="inlineStr">
        <is>
          <t>NORRBOTTENS LÄN</t>
        </is>
      </c>
      <c r="E5273" t="inlineStr">
        <is>
          <t>PAJALA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7028-2023</t>
        </is>
      </c>
      <c r="B5274" s="1" t="n">
        <v>44968</v>
      </c>
      <c r="C5274" s="1" t="n">
        <v>45662</v>
      </c>
      <c r="D5274" t="inlineStr">
        <is>
          <t>NORRBOTTENS LÄN</t>
        </is>
      </c>
      <c r="E5274" t="inlineStr">
        <is>
          <t>PAJALA</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7031-2023</t>
        </is>
      </c>
      <c r="B5275" s="1" t="n">
        <v>44968</v>
      </c>
      <c r="C5275" s="1" t="n">
        <v>45662</v>
      </c>
      <c r="D5275" t="inlineStr">
        <is>
          <t>NORRBOTTENS LÄN</t>
        </is>
      </c>
      <c r="E5275" t="inlineStr">
        <is>
          <t>PAJALA</t>
        </is>
      </c>
      <c r="G5275" t="n">
        <v>41.3</v>
      </c>
      <c r="H5275" t="n">
        <v>0</v>
      </c>
      <c r="I5275" t="n">
        <v>0</v>
      </c>
      <c r="J5275" t="n">
        <v>0</v>
      </c>
      <c r="K5275" t="n">
        <v>0</v>
      </c>
      <c r="L5275" t="n">
        <v>0</v>
      </c>
      <c r="M5275" t="n">
        <v>0</v>
      </c>
      <c r="N5275" t="n">
        <v>0</v>
      </c>
      <c r="O5275" t="n">
        <v>0</v>
      </c>
      <c r="P5275" t="n">
        <v>0</v>
      </c>
      <c r="Q5275" t="n">
        <v>0</v>
      </c>
      <c r="R5275" s="2" t="inlineStr"/>
    </row>
    <row r="5276" ht="15" customHeight="1">
      <c r="A5276" t="inlineStr">
        <is>
          <t>A 7189-2023</t>
        </is>
      </c>
      <c r="B5276" s="1" t="n">
        <v>44970</v>
      </c>
      <c r="C5276" s="1" t="n">
        <v>45662</v>
      </c>
      <c r="D5276" t="inlineStr">
        <is>
          <t>NORRBOTTENS LÄN</t>
        </is>
      </c>
      <c r="E5276" t="inlineStr">
        <is>
          <t>KALIX</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7234-2023</t>
        </is>
      </c>
      <c r="B5277" s="1" t="n">
        <v>44970</v>
      </c>
      <c r="C5277" s="1" t="n">
        <v>45662</v>
      </c>
      <c r="D5277" t="inlineStr">
        <is>
          <t>NORRBOTTENS LÄN</t>
        </is>
      </c>
      <c r="E5277" t="inlineStr">
        <is>
          <t>ÖVERKALIX</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7258-2023</t>
        </is>
      </c>
      <c r="B5278" s="1" t="n">
        <v>44970</v>
      </c>
      <c r="C5278" s="1" t="n">
        <v>45662</v>
      </c>
      <c r="D5278" t="inlineStr">
        <is>
          <t>NORRBOTTENS LÄN</t>
        </is>
      </c>
      <c r="E5278" t="inlineStr">
        <is>
          <t>KALIX</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7159-2023</t>
        </is>
      </c>
      <c r="B5279" s="1" t="n">
        <v>44970</v>
      </c>
      <c r="C5279" s="1" t="n">
        <v>45662</v>
      </c>
      <c r="D5279" t="inlineStr">
        <is>
          <t>NORRBOTTENS LÄN</t>
        </is>
      </c>
      <c r="E5279" t="inlineStr">
        <is>
          <t>BODEN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7184-2023</t>
        </is>
      </c>
      <c r="B5280" s="1" t="n">
        <v>44970</v>
      </c>
      <c r="C5280" s="1" t="n">
        <v>45662</v>
      </c>
      <c r="D5280" t="inlineStr">
        <is>
          <t>NORRBOTTENS LÄN</t>
        </is>
      </c>
      <c r="E5280" t="inlineStr">
        <is>
          <t>KALIX</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7196-2023</t>
        </is>
      </c>
      <c r="B5281" s="1" t="n">
        <v>44970</v>
      </c>
      <c r="C5281" s="1" t="n">
        <v>45662</v>
      </c>
      <c r="D5281" t="inlineStr">
        <is>
          <t>NORRBOTTENS LÄN</t>
        </is>
      </c>
      <c r="E5281" t="inlineStr">
        <is>
          <t>KALIX</t>
        </is>
      </c>
      <c r="G5281" t="n">
        <v>16.9</v>
      </c>
      <c r="H5281" t="n">
        <v>0</v>
      </c>
      <c r="I5281" t="n">
        <v>0</v>
      </c>
      <c r="J5281" t="n">
        <v>0</v>
      </c>
      <c r="K5281" t="n">
        <v>0</v>
      </c>
      <c r="L5281" t="n">
        <v>0</v>
      </c>
      <c r="M5281" t="n">
        <v>0</v>
      </c>
      <c r="N5281" t="n">
        <v>0</v>
      </c>
      <c r="O5281" t="n">
        <v>0</v>
      </c>
      <c r="P5281" t="n">
        <v>0</v>
      </c>
      <c r="Q5281" t="n">
        <v>0</v>
      </c>
      <c r="R5281" s="2" t="inlineStr"/>
    </row>
    <row r="5282" ht="15" customHeight="1">
      <c r="A5282" t="inlineStr">
        <is>
          <t>A 7186-2023</t>
        </is>
      </c>
      <c r="B5282" s="1" t="n">
        <v>44970</v>
      </c>
      <c r="C5282" s="1" t="n">
        <v>45662</v>
      </c>
      <c r="D5282" t="inlineStr">
        <is>
          <t>NORRBOTTENS LÄN</t>
        </is>
      </c>
      <c r="E5282" t="inlineStr">
        <is>
          <t>KALIX</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7942-2023</t>
        </is>
      </c>
      <c r="B5283" s="1" t="n">
        <v>44970</v>
      </c>
      <c r="C5283" s="1" t="n">
        <v>45662</v>
      </c>
      <c r="D5283" t="inlineStr">
        <is>
          <t>NORRBOTTENS LÄN</t>
        </is>
      </c>
      <c r="E5283" t="inlineStr">
        <is>
          <t>PAJALA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8175-2023</t>
        </is>
      </c>
      <c r="B5284" s="1" t="n">
        <v>44971</v>
      </c>
      <c r="C5284" s="1" t="n">
        <v>45662</v>
      </c>
      <c r="D5284" t="inlineStr">
        <is>
          <t>NORRBOTTENS LÄN</t>
        </is>
      </c>
      <c r="E5284" t="inlineStr">
        <is>
          <t>PITEÅ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8267-2023</t>
        </is>
      </c>
      <c r="B5285" s="1" t="n">
        <v>44971</v>
      </c>
      <c r="C5285" s="1" t="n">
        <v>45662</v>
      </c>
      <c r="D5285" t="inlineStr">
        <is>
          <t>NORRBOTTENS LÄN</t>
        </is>
      </c>
      <c r="E5285" t="inlineStr">
        <is>
          <t>PITEÅ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7553-2023</t>
        </is>
      </c>
      <c r="B5286" s="1" t="n">
        <v>44972</v>
      </c>
      <c r="C5286" s="1" t="n">
        <v>45662</v>
      </c>
      <c r="D5286" t="inlineStr">
        <is>
          <t>NORRBOTTENS LÄN</t>
        </is>
      </c>
      <c r="E5286" t="inlineStr">
        <is>
          <t>PITEÅ</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7793-2023</t>
        </is>
      </c>
      <c r="B5287" s="1" t="n">
        <v>44973</v>
      </c>
      <c r="C5287" s="1" t="n">
        <v>45662</v>
      </c>
      <c r="D5287" t="inlineStr">
        <is>
          <t>NORRBOTTENS LÄN</t>
        </is>
      </c>
      <c r="E5287" t="inlineStr">
        <is>
          <t>PITEÅ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8022-2023</t>
        </is>
      </c>
      <c r="B5288" s="1" t="n">
        <v>44973</v>
      </c>
      <c r="C5288" s="1" t="n">
        <v>45662</v>
      </c>
      <c r="D5288" t="inlineStr">
        <is>
          <t>NORRBOTTENS LÄN</t>
        </is>
      </c>
      <c r="E5288" t="inlineStr">
        <is>
          <t>PITEÅ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8026-2023</t>
        </is>
      </c>
      <c r="B5289" s="1" t="n">
        <v>44973</v>
      </c>
      <c r="C5289" s="1" t="n">
        <v>45662</v>
      </c>
      <c r="D5289" t="inlineStr">
        <is>
          <t>NORRBOTTENS LÄN</t>
        </is>
      </c>
      <c r="E5289" t="inlineStr">
        <is>
          <t>ÖVERKALIX</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8739-2023</t>
        </is>
      </c>
      <c r="B5290" s="1" t="n">
        <v>44973</v>
      </c>
      <c r="C5290" s="1" t="n">
        <v>45662</v>
      </c>
      <c r="D5290" t="inlineStr">
        <is>
          <t>NORRBOTTENS LÄN</t>
        </is>
      </c>
      <c r="E5290" t="inlineStr">
        <is>
          <t>ÄLVSBYN</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8824-2023</t>
        </is>
      </c>
      <c r="B5291" s="1" t="n">
        <v>44973</v>
      </c>
      <c r="C5291" s="1" t="n">
        <v>45662</v>
      </c>
      <c r="D5291" t="inlineStr">
        <is>
          <t>NORRBOTTENS LÄN</t>
        </is>
      </c>
      <c r="E5291" t="inlineStr">
        <is>
          <t>LULEÅ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8907-2023</t>
        </is>
      </c>
      <c r="B5292" s="1" t="n">
        <v>44973</v>
      </c>
      <c r="C5292" s="1" t="n">
        <v>45662</v>
      </c>
      <c r="D5292" t="inlineStr">
        <is>
          <t>NORRBOTTENS LÄN</t>
        </is>
      </c>
      <c r="E5292" t="inlineStr">
        <is>
          <t>PAJALA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8021-2023</t>
        </is>
      </c>
      <c r="B5293" s="1" t="n">
        <v>44973</v>
      </c>
      <c r="C5293" s="1" t="n">
        <v>45662</v>
      </c>
      <c r="D5293" t="inlineStr">
        <is>
          <t>NORRBOTTENS LÄN</t>
        </is>
      </c>
      <c r="E5293" t="inlineStr">
        <is>
          <t>PITEÅ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8723-2023</t>
        </is>
      </c>
      <c r="B5294" s="1" t="n">
        <v>44973</v>
      </c>
      <c r="C5294" s="1" t="n">
        <v>45662</v>
      </c>
      <c r="D5294" t="inlineStr">
        <is>
          <t>NORRBOTTENS LÄN</t>
        </is>
      </c>
      <c r="E5294" t="inlineStr">
        <is>
          <t>ÄLVSBYN</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8816-2023</t>
        </is>
      </c>
      <c r="B5295" s="1" t="n">
        <v>44973</v>
      </c>
      <c r="C5295" s="1" t="n">
        <v>45662</v>
      </c>
      <c r="D5295" t="inlineStr">
        <is>
          <t>NORRBOTTENS LÄN</t>
        </is>
      </c>
      <c r="E5295" t="inlineStr">
        <is>
          <t>LULEÅ</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8903-2023</t>
        </is>
      </c>
      <c r="B5296" s="1" t="n">
        <v>44973</v>
      </c>
      <c r="C5296" s="1" t="n">
        <v>45662</v>
      </c>
      <c r="D5296" t="inlineStr">
        <is>
          <t>NORRBOTTENS LÄN</t>
        </is>
      </c>
      <c r="E5296" t="inlineStr">
        <is>
          <t>PAJALA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8068-2023</t>
        </is>
      </c>
      <c r="B5297" s="1" t="n">
        <v>44974</v>
      </c>
      <c r="C5297" s="1" t="n">
        <v>45662</v>
      </c>
      <c r="D5297" t="inlineStr">
        <is>
          <t>NORRBOTTENS LÄN</t>
        </is>
      </c>
      <c r="E5297" t="inlineStr">
        <is>
          <t>LULEÅ</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8272-2023</t>
        </is>
      </c>
      <c r="B5298" s="1" t="n">
        <v>44974</v>
      </c>
      <c r="C5298" s="1" t="n">
        <v>45662</v>
      </c>
      <c r="D5298" t="inlineStr">
        <is>
          <t>NORRBOTTENS LÄN</t>
        </is>
      </c>
      <c r="E5298" t="inlineStr">
        <is>
          <t>KALIX</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8277-2023</t>
        </is>
      </c>
      <c r="B5299" s="1" t="n">
        <v>44974</v>
      </c>
      <c r="C5299" s="1" t="n">
        <v>45662</v>
      </c>
      <c r="D5299" t="inlineStr">
        <is>
          <t>NORRBOTTENS LÄN</t>
        </is>
      </c>
      <c r="E5299" t="inlineStr">
        <is>
          <t>KALIX</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8471-2023</t>
        </is>
      </c>
      <c r="B5300" s="1" t="n">
        <v>44977</v>
      </c>
      <c r="C5300" s="1" t="n">
        <v>45662</v>
      </c>
      <c r="D5300" t="inlineStr">
        <is>
          <t>NORRBOTTENS LÄN</t>
        </is>
      </c>
      <c r="E5300" t="inlineStr">
        <is>
          <t>JOKKMOKK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8502-2023</t>
        </is>
      </c>
      <c r="B5301" s="1" t="n">
        <v>44977</v>
      </c>
      <c r="C5301" s="1" t="n">
        <v>45662</v>
      </c>
      <c r="D5301" t="inlineStr">
        <is>
          <t>NORRBOTTENS LÄN</t>
        </is>
      </c>
      <c r="E5301" t="inlineStr">
        <is>
          <t>ÄLVSBYN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8583-2023</t>
        </is>
      </c>
      <c r="B5302" s="1" t="n">
        <v>44977</v>
      </c>
      <c r="C5302" s="1" t="n">
        <v>45662</v>
      </c>
      <c r="D5302" t="inlineStr">
        <is>
          <t>NORRBOTTENS LÄN</t>
        </is>
      </c>
      <c r="E5302" t="inlineStr">
        <is>
          <t>PITEÅ</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8626-2023</t>
        </is>
      </c>
      <c r="B5303" s="1" t="n">
        <v>44977</v>
      </c>
      <c r="C5303" s="1" t="n">
        <v>45662</v>
      </c>
      <c r="D5303" t="inlineStr">
        <is>
          <t>NORRBOTTENS LÄN</t>
        </is>
      </c>
      <c r="E5303" t="inlineStr">
        <is>
          <t>ARVIDSJAUR</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8635-2023</t>
        </is>
      </c>
      <c r="B5304" s="1" t="n">
        <v>44977</v>
      </c>
      <c r="C5304" s="1" t="n">
        <v>45662</v>
      </c>
      <c r="D5304" t="inlineStr">
        <is>
          <t>NORRBOTTENS LÄN</t>
        </is>
      </c>
      <c r="E5304" t="inlineStr">
        <is>
          <t>ARVIDSJAUR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8637-2023</t>
        </is>
      </c>
      <c r="B5305" s="1" t="n">
        <v>44977</v>
      </c>
      <c r="C5305" s="1" t="n">
        <v>45662</v>
      </c>
      <c r="D5305" t="inlineStr">
        <is>
          <t>NORRBOTTENS LÄN</t>
        </is>
      </c>
      <c r="E5305" t="inlineStr">
        <is>
          <t>ÖVERTORNEÅ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8472-2023</t>
        </is>
      </c>
      <c r="B5306" s="1" t="n">
        <v>44977</v>
      </c>
      <c r="C5306" s="1" t="n">
        <v>45662</v>
      </c>
      <c r="D5306" t="inlineStr">
        <is>
          <t>NORRBOTTENS LÄN</t>
        </is>
      </c>
      <c r="E5306" t="inlineStr">
        <is>
          <t>JOKKMOKK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8625-2023</t>
        </is>
      </c>
      <c r="B5307" s="1" t="n">
        <v>44977</v>
      </c>
      <c r="C5307" s="1" t="n">
        <v>45662</v>
      </c>
      <c r="D5307" t="inlineStr">
        <is>
          <t>NORRBOTTENS LÄN</t>
        </is>
      </c>
      <c r="E5307" t="inlineStr">
        <is>
          <t>ARJEPLOG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9278-2023</t>
        </is>
      </c>
      <c r="B5308" s="1" t="n">
        <v>44977</v>
      </c>
      <c r="C5308" s="1" t="n">
        <v>45662</v>
      </c>
      <c r="D5308" t="inlineStr">
        <is>
          <t>NORRBOTTENS LÄN</t>
        </is>
      </c>
      <c r="E5308" t="inlineStr">
        <is>
          <t>LULEÅ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9282-2023</t>
        </is>
      </c>
      <c r="B5309" s="1" t="n">
        <v>44977</v>
      </c>
      <c r="C5309" s="1" t="n">
        <v>45662</v>
      </c>
      <c r="D5309" t="inlineStr">
        <is>
          <t>NORRBOTTENS LÄN</t>
        </is>
      </c>
      <c r="E5309" t="inlineStr">
        <is>
          <t>LULEÅ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9286-2023</t>
        </is>
      </c>
      <c r="B5310" s="1" t="n">
        <v>44977</v>
      </c>
      <c r="C5310" s="1" t="n">
        <v>45662</v>
      </c>
      <c r="D5310" t="inlineStr">
        <is>
          <t>NORRBOTTENS LÄN</t>
        </is>
      </c>
      <c r="E5310" t="inlineStr">
        <is>
          <t>LULEÅ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9274-2023</t>
        </is>
      </c>
      <c r="B5311" s="1" t="n">
        <v>44977</v>
      </c>
      <c r="C5311" s="1" t="n">
        <v>45662</v>
      </c>
      <c r="D5311" t="inlineStr">
        <is>
          <t>NORRBOTTENS LÄN</t>
        </is>
      </c>
      <c r="E5311" t="inlineStr">
        <is>
          <t>LULEÅ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9289-2023</t>
        </is>
      </c>
      <c r="B5312" s="1" t="n">
        <v>44977</v>
      </c>
      <c r="C5312" s="1" t="n">
        <v>45662</v>
      </c>
      <c r="D5312" t="inlineStr">
        <is>
          <t>NORRBOTTENS LÄN</t>
        </is>
      </c>
      <c r="E5312" t="inlineStr">
        <is>
          <t>LULEÅ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8984-2023</t>
        </is>
      </c>
      <c r="B5313" s="1" t="n">
        <v>44979</v>
      </c>
      <c r="C5313" s="1" t="n">
        <v>45662</v>
      </c>
      <c r="D5313" t="inlineStr">
        <is>
          <t>NORRBOTTENS LÄN</t>
        </is>
      </c>
      <c r="E5313" t="inlineStr">
        <is>
          <t>PAJALA</t>
        </is>
      </c>
      <c r="G5313" t="n">
        <v>38.1</v>
      </c>
      <c r="H5313" t="n">
        <v>0</v>
      </c>
      <c r="I5313" t="n">
        <v>0</v>
      </c>
      <c r="J5313" t="n">
        <v>0</v>
      </c>
      <c r="K5313" t="n">
        <v>0</v>
      </c>
      <c r="L5313" t="n">
        <v>0</v>
      </c>
      <c r="M5313" t="n">
        <v>0</v>
      </c>
      <c r="N5313" t="n">
        <v>0</v>
      </c>
      <c r="O5313" t="n">
        <v>0</v>
      </c>
      <c r="P5313" t="n">
        <v>0</v>
      </c>
      <c r="Q5313" t="n">
        <v>0</v>
      </c>
      <c r="R5313" s="2" t="inlineStr"/>
    </row>
    <row r="5314" ht="15" customHeight="1">
      <c r="A5314" t="inlineStr">
        <is>
          <t>A 8988-2023</t>
        </is>
      </c>
      <c r="B5314" s="1" t="n">
        <v>44979</v>
      </c>
      <c r="C5314" s="1" t="n">
        <v>45662</v>
      </c>
      <c r="D5314" t="inlineStr">
        <is>
          <t>NORRBOTTENS LÄN</t>
        </is>
      </c>
      <c r="E5314" t="inlineStr">
        <is>
          <t>KALIX</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9069-2023</t>
        </is>
      </c>
      <c r="B5315" s="1" t="n">
        <v>44979</v>
      </c>
      <c r="C5315" s="1" t="n">
        <v>45662</v>
      </c>
      <c r="D5315" t="inlineStr">
        <is>
          <t>NORRBOTTENS LÄN</t>
        </is>
      </c>
      <c r="E5315" t="inlineStr">
        <is>
          <t>KIRUNA</t>
        </is>
      </c>
      <c r="F5315" t="inlineStr">
        <is>
          <t>SCA</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9072-2023</t>
        </is>
      </c>
      <c r="B5316" s="1" t="n">
        <v>44979</v>
      </c>
      <c r="C5316" s="1" t="n">
        <v>45662</v>
      </c>
      <c r="D5316" t="inlineStr">
        <is>
          <t>NORRBOTTENS LÄN</t>
        </is>
      </c>
      <c r="E5316" t="inlineStr">
        <is>
          <t>KIRUNA</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10009-2023</t>
        </is>
      </c>
      <c r="B5317" s="1" t="n">
        <v>44979</v>
      </c>
      <c r="C5317" s="1" t="n">
        <v>45662</v>
      </c>
      <c r="D5317" t="inlineStr">
        <is>
          <t>NORRBOTTENS LÄN</t>
        </is>
      </c>
      <c r="E5317" t="inlineStr">
        <is>
          <t>ARVIDSJAUR</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9068-2023</t>
        </is>
      </c>
      <c r="B5318" s="1" t="n">
        <v>44979</v>
      </c>
      <c r="C5318" s="1" t="n">
        <v>45662</v>
      </c>
      <c r="D5318" t="inlineStr">
        <is>
          <t>NORRBOTTENS LÄN</t>
        </is>
      </c>
      <c r="E5318" t="inlineStr">
        <is>
          <t>KIRUNA</t>
        </is>
      </c>
      <c r="F5318" t="inlineStr">
        <is>
          <t>SCA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9969-2023</t>
        </is>
      </c>
      <c r="B5319" s="1" t="n">
        <v>44979</v>
      </c>
      <c r="C5319" s="1" t="n">
        <v>45662</v>
      </c>
      <c r="D5319" t="inlineStr">
        <is>
          <t>NORRBOTTENS LÄN</t>
        </is>
      </c>
      <c r="E5319" t="inlineStr">
        <is>
          <t>BODEN</t>
        </is>
      </c>
      <c r="F5319" t="inlineStr">
        <is>
          <t>Övriga statliga verk och myndigheter</t>
        </is>
      </c>
      <c r="G5319" t="n">
        <v>18.8</v>
      </c>
      <c r="H5319" t="n">
        <v>0</v>
      </c>
      <c r="I5319" t="n">
        <v>0</v>
      </c>
      <c r="J5319" t="n">
        <v>0</v>
      </c>
      <c r="K5319" t="n">
        <v>0</v>
      </c>
      <c r="L5319" t="n">
        <v>0</v>
      </c>
      <c r="M5319" t="n">
        <v>0</v>
      </c>
      <c r="N5319" t="n">
        <v>0</v>
      </c>
      <c r="O5319" t="n">
        <v>0</v>
      </c>
      <c r="P5319" t="n">
        <v>0</v>
      </c>
      <c r="Q5319" t="n">
        <v>0</v>
      </c>
      <c r="R5319" s="2" t="inlineStr"/>
    </row>
    <row r="5320" ht="15" customHeight="1">
      <c r="A5320" t="inlineStr">
        <is>
          <t>A 10022-2023</t>
        </is>
      </c>
      <c r="B5320" s="1" t="n">
        <v>44979</v>
      </c>
      <c r="C5320" s="1" t="n">
        <v>45662</v>
      </c>
      <c r="D5320" t="inlineStr">
        <is>
          <t>NORRBOTTENS LÄN</t>
        </is>
      </c>
      <c r="E5320" t="inlineStr">
        <is>
          <t>ARVIDSJAUR</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9996-2023</t>
        </is>
      </c>
      <c r="B5321" s="1" t="n">
        <v>44979</v>
      </c>
      <c r="C5321" s="1" t="n">
        <v>45662</v>
      </c>
      <c r="D5321" t="inlineStr">
        <is>
          <t>NORRBOTTENS LÄN</t>
        </is>
      </c>
      <c r="E5321" t="inlineStr">
        <is>
          <t>ARVIDSJAUR</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10050-2023</t>
        </is>
      </c>
      <c r="B5322" s="1" t="n">
        <v>44979</v>
      </c>
      <c r="C5322" s="1" t="n">
        <v>45662</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9352-2023</t>
        </is>
      </c>
      <c r="B5323" s="1" t="n">
        <v>44980</v>
      </c>
      <c r="C5323" s="1" t="n">
        <v>45662</v>
      </c>
      <c r="D5323" t="inlineStr">
        <is>
          <t>NORRBOTTENS LÄN</t>
        </is>
      </c>
      <c r="E5323" t="inlineStr">
        <is>
          <t>JOKKMOKK</t>
        </is>
      </c>
      <c r="F5323" t="inlineStr">
        <is>
          <t>SCA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9344-2023</t>
        </is>
      </c>
      <c r="B5324" s="1" t="n">
        <v>44980</v>
      </c>
      <c r="C5324" s="1" t="n">
        <v>45662</v>
      </c>
      <c r="D5324" t="inlineStr">
        <is>
          <t>NORRBOTTENS LÄN</t>
        </is>
      </c>
      <c r="E5324" t="inlineStr">
        <is>
          <t>KALIX</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9349-2023</t>
        </is>
      </c>
      <c r="B5325" s="1" t="n">
        <v>44980</v>
      </c>
      <c r="C5325" s="1" t="n">
        <v>45662</v>
      </c>
      <c r="D5325" t="inlineStr">
        <is>
          <t>NORRBOTTENS LÄN</t>
        </is>
      </c>
      <c r="E5325" t="inlineStr">
        <is>
          <t>JOKKMOKK</t>
        </is>
      </c>
      <c r="F5325" t="inlineStr">
        <is>
          <t>SCA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9351-2023</t>
        </is>
      </c>
      <c r="B5326" s="1" t="n">
        <v>44980</v>
      </c>
      <c r="C5326" s="1" t="n">
        <v>45662</v>
      </c>
      <c r="D5326" t="inlineStr">
        <is>
          <t>NORRBOTTENS LÄN</t>
        </is>
      </c>
      <c r="E5326" t="inlineStr">
        <is>
          <t>JOKKMOKK</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10149-2023</t>
        </is>
      </c>
      <c r="B5327" s="1" t="n">
        <v>44980</v>
      </c>
      <c r="C5327" s="1" t="n">
        <v>45662</v>
      </c>
      <c r="D5327" t="inlineStr">
        <is>
          <t>NORRBOTTENS LÄN</t>
        </is>
      </c>
      <c r="E5327" t="inlineStr">
        <is>
          <t>GÄLLIVARE</t>
        </is>
      </c>
      <c r="F5327" t="inlineStr">
        <is>
          <t>Allmännings- och besparingsskogar</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10183-2023</t>
        </is>
      </c>
      <c r="B5328" s="1" t="n">
        <v>44980</v>
      </c>
      <c r="C5328" s="1" t="n">
        <v>45662</v>
      </c>
      <c r="D5328" t="inlineStr">
        <is>
          <t>NORRBOTTENS LÄN</t>
        </is>
      </c>
      <c r="E5328" t="inlineStr">
        <is>
          <t>GÄLLIVARE</t>
        </is>
      </c>
      <c r="F5328" t="inlineStr">
        <is>
          <t>Allmännings- och besparingsskogar</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10153-2023</t>
        </is>
      </c>
      <c r="B5329" s="1" t="n">
        <v>44980</v>
      </c>
      <c r="C5329" s="1" t="n">
        <v>45662</v>
      </c>
      <c r="D5329" t="inlineStr">
        <is>
          <t>NORRBOTTENS LÄN</t>
        </is>
      </c>
      <c r="E5329" t="inlineStr">
        <is>
          <t>GÄLLIVARE</t>
        </is>
      </c>
      <c r="F5329" t="inlineStr">
        <is>
          <t>Allmännings- och besparingsskogar</t>
        </is>
      </c>
      <c r="G5329" t="n">
        <v>35.1</v>
      </c>
      <c r="H5329" t="n">
        <v>0</v>
      </c>
      <c r="I5329" t="n">
        <v>0</v>
      </c>
      <c r="J5329" t="n">
        <v>0</v>
      </c>
      <c r="K5329" t="n">
        <v>0</v>
      </c>
      <c r="L5329" t="n">
        <v>0</v>
      </c>
      <c r="M5329" t="n">
        <v>0</v>
      </c>
      <c r="N5329" t="n">
        <v>0</v>
      </c>
      <c r="O5329" t="n">
        <v>0</v>
      </c>
      <c r="P5329" t="n">
        <v>0</v>
      </c>
      <c r="Q5329" t="n">
        <v>0</v>
      </c>
      <c r="R5329" s="2" t="inlineStr"/>
    </row>
    <row r="5330" ht="15" customHeight="1">
      <c r="A5330" t="inlineStr">
        <is>
          <t>A 10139-2023</t>
        </is>
      </c>
      <c r="B5330" s="1" t="n">
        <v>44980</v>
      </c>
      <c r="C5330" s="1" t="n">
        <v>45662</v>
      </c>
      <c r="D5330" t="inlineStr">
        <is>
          <t>NORRBOTTENS LÄN</t>
        </is>
      </c>
      <c r="E5330" t="inlineStr">
        <is>
          <t>GÄLLIVARE</t>
        </is>
      </c>
      <c r="F5330" t="inlineStr">
        <is>
          <t>Allmännings- och besparingsskogar</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10166-2023</t>
        </is>
      </c>
      <c r="B5331" s="1" t="n">
        <v>44980</v>
      </c>
      <c r="C5331" s="1" t="n">
        <v>45662</v>
      </c>
      <c r="D5331" t="inlineStr">
        <is>
          <t>NORRBOTTENS LÄN</t>
        </is>
      </c>
      <c r="E5331" t="inlineStr">
        <is>
          <t>GÄLLIVARE</t>
        </is>
      </c>
      <c r="F5331" t="inlineStr">
        <is>
          <t>Allmännings- och besparingsskogar</t>
        </is>
      </c>
      <c r="G5331" t="n">
        <v>18.6</v>
      </c>
      <c r="H5331" t="n">
        <v>0</v>
      </c>
      <c r="I5331" t="n">
        <v>0</v>
      </c>
      <c r="J5331" t="n">
        <v>0</v>
      </c>
      <c r="K5331" t="n">
        <v>0</v>
      </c>
      <c r="L5331" t="n">
        <v>0</v>
      </c>
      <c r="M5331" t="n">
        <v>0</v>
      </c>
      <c r="N5331" t="n">
        <v>0</v>
      </c>
      <c r="O5331" t="n">
        <v>0</v>
      </c>
      <c r="P5331" t="n">
        <v>0</v>
      </c>
      <c r="Q5331" t="n">
        <v>0</v>
      </c>
      <c r="R5331" s="2" t="inlineStr"/>
    </row>
    <row r="5332" ht="15" customHeight="1">
      <c r="A5332" t="inlineStr">
        <is>
          <t>A 10187-2023</t>
        </is>
      </c>
      <c r="B5332" s="1" t="n">
        <v>44980</v>
      </c>
      <c r="C5332" s="1" t="n">
        <v>45662</v>
      </c>
      <c r="D5332" t="inlineStr">
        <is>
          <t>NORRBOTTENS LÄN</t>
        </is>
      </c>
      <c r="E5332" t="inlineStr">
        <is>
          <t>GÄLLIVARE</t>
        </is>
      </c>
      <c r="F5332" t="inlineStr">
        <is>
          <t>Allmännings- och besparingsskogar</t>
        </is>
      </c>
      <c r="G5332" t="n">
        <v>33.5</v>
      </c>
      <c r="H5332" t="n">
        <v>0</v>
      </c>
      <c r="I5332" t="n">
        <v>0</v>
      </c>
      <c r="J5332" t="n">
        <v>0</v>
      </c>
      <c r="K5332" t="n">
        <v>0</v>
      </c>
      <c r="L5332" t="n">
        <v>0</v>
      </c>
      <c r="M5332" t="n">
        <v>0</v>
      </c>
      <c r="N5332" t="n">
        <v>0</v>
      </c>
      <c r="O5332" t="n">
        <v>0</v>
      </c>
      <c r="P5332" t="n">
        <v>0</v>
      </c>
      <c r="Q5332" t="n">
        <v>0</v>
      </c>
      <c r="R5332" s="2" t="inlineStr"/>
    </row>
    <row r="5333" ht="15" customHeight="1">
      <c r="A5333" t="inlineStr">
        <is>
          <t>A 9450-2023</t>
        </is>
      </c>
      <c r="B5333" s="1" t="n">
        <v>44981</v>
      </c>
      <c r="C5333" s="1" t="n">
        <v>45662</v>
      </c>
      <c r="D5333" t="inlineStr">
        <is>
          <t>NORRBOTTENS LÄN</t>
        </is>
      </c>
      <c r="E5333" t="inlineStr">
        <is>
          <t>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9449-2023</t>
        </is>
      </c>
      <c r="B5334" s="1" t="n">
        <v>44981</v>
      </c>
      <c r="C5334" s="1" t="n">
        <v>45662</v>
      </c>
      <c r="D5334" t="inlineStr">
        <is>
          <t>NORRBOTTENS LÄN</t>
        </is>
      </c>
      <c r="E5334" t="inlineStr">
        <is>
          <t>LULEÅ</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9389-2023</t>
        </is>
      </c>
      <c r="B5335" s="1" t="n">
        <v>44981</v>
      </c>
      <c r="C5335" s="1" t="n">
        <v>45662</v>
      </c>
      <c r="D5335" t="inlineStr">
        <is>
          <t>NORRBOTTENS LÄN</t>
        </is>
      </c>
      <c r="E5335" t="inlineStr">
        <is>
          <t>ÖVERTORNEÅ</t>
        </is>
      </c>
      <c r="F5335" t="inlineStr">
        <is>
          <t>Sveaskog</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9480-2023</t>
        </is>
      </c>
      <c r="B5336" s="1" t="n">
        <v>44981</v>
      </c>
      <c r="C5336" s="1" t="n">
        <v>45662</v>
      </c>
      <c r="D5336" t="inlineStr">
        <is>
          <t>NORRBOTTENS LÄN</t>
        </is>
      </c>
      <c r="E5336" t="inlineStr">
        <is>
          <t>BODEN</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10422-2023</t>
        </is>
      </c>
      <c r="B5337" s="1" t="n">
        <v>44981</v>
      </c>
      <c r="C5337" s="1" t="n">
        <v>45662</v>
      </c>
      <c r="D5337" t="inlineStr">
        <is>
          <t>NORRBOTTENS LÄN</t>
        </is>
      </c>
      <c r="E5337" t="inlineStr">
        <is>
          <t>JOKKMOKK</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9545-2023</t>
        </is>
      </c>
      <c r="B5338" s="1" t="n">
        <v>44981</v>
      </c>
      <c r="C5338" s="1" t="n">
        <v>45662</v>
      </c>
      <c r="D5338" t="inlineStr">
        <is>
          <t>NORRBOTTENS LÄN</t>
        </is>
      </c>
      <c r="E5338" t="inlineStr">
        <is>
          <t>PITEÅ</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9556-2023</t>
        </is>
      </c>
      <c r="B5339" s="1" t="n">
        <v>44981</v>
      </c>
      <c r="C5339" s="1" t="n">
        <v>45662</v>
      </c>
      <c r="D5339" t="inlineStr">
        <is>
          <t>NORRBOTTENS LÄN</t>
        </is>
      </c>
      <c r="E5339" t="inlineStr">
        <is>
          <t>GÄLLIVARE</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9596-2023</t>
        </is>
      </c>
      <c r="B5340" s="1" t="n">
        <v>44983</v>
      </c>
      <c r="C5340" s="1" t="n">
        <v>45662</v>
      </c>
      <c r="D5340" t="inlineStr">
        <is>
          <t>NORRBOTTENS LÄN</t>
        </is>
      </c>
      <c r="E5340" t="inlineStr">
        <is>
          <t>BODEN</t>
        </is>
      </c>
      <c r="G5340" t="n">
        <v>37.1</v>
      </c>
      <c r="H5340" t="n">
        <v>0</v>
      </c>
      <c r="I5340" t="n">
        <v>0</v>
      </c>
      <c r="J5340" t="n">
        <v>0</v>
      </c>
      <c r="K5340" t="n">
        <v>0</v>
      </c>
      <c r="L5340" t="n">
        <v>0</v>
      </c>
      <c r="M5340" t="n">
        <v>0</v>
      </c>
      <c r="N5340" t="n">
        <v>0</v>
      </c>
      <c r="O5340" t="n">
        <v>0</v>
      </c>
      <c r="P5340" t="n">
        <v>0</v>
      </c>
      <c r="Q5340" t="n">
        <v>0</v>
      </c>
      <c r="R5340" s="2" t="inlineStr"/>
    </row>
    <row r="5341" ht="15" customHeight="1">
      <c r="A5341" t="inlineStr">
        <is>
          <t>A 9860-2023</t>
        </is>
      </c>
      <c r="B5341" s="1" t="n">
        <v>44984</v>
      </c>
      <c r="C5341" s="1" t="n">
        <v>45662</v>
      </c>
      <c r="D5341" t="inlineStr">
        <is>
          <t>NORRBOTTENS LÄN</t>
        </is>
      </c>
      <c r="E5341" t="inlineStr">
        <is>
          <t>JOKKMOKK</t>
        </is>
      </c>
      <c r="F5341" t="inlineStr">
        <is>
          <t>SCA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9854-2023</t>
        </is>
      </c>
      <c r="B5342" s="1" t="n">
        <v>44984</v>
      </c>
      <c r="C5342" s="1" t="n">
        <v>45662</v>
      </c>
      <c r="D5342" t="inlineStr">
        <is>
          <t>NORRBOTTENS LÄN</t>
        </is>
      </c>
      <c r="E5342" t="inlineStr">
        <is>
          <t>JOKKMOKK</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9863-2023</t>
        </is>
      </c>
      <c r="B5343" s="1" t="n">
        <v>44984</v>
      </c>
      <c r="C5343" s="1" t="n">
        <v>45662</v>
      </c>
      <c r="D5343" t="inlineStr">
        <is>
          <t>NORRBOTTENS LÄN</t>
        </is>
      </c>
      <c r="E5343" t="inlineStr">
        <is>
          <t>JOKKMOKK</t>
        </is>
      </c>
      <c r="F5343" t="inlineStr">
        <is>
          <t>SCA</t>
        </is>
      </c>
      <c r="G5343" t="n">
        <v>14.4</v>
      </c>
      <c r="H5343" t="n">
        <v>0</v>
      </c>
      <c r="I5343" t="n">
        <v>0</v>
      </c>
      <c r="J5343" t="n">
        <v>0</v>
      </c>
      <c r="K5343" t="n">
        <v>0</v>
      </c>
      <c r="L5343" t="n">
        <v>0</v>
      </c>
      <c r="M5343" t="n">
        <v>0</v>
      </c>
      <c r="N5343" t="n">
        <v>0</v>
      </c>
      <c r="O5343" t="n">
        <v>0</v>
      </c>
      <c r="P5343" t="n">
        <v>0</v>
      </c>
      <c r="Q5343" t="n">
        <v>0</v>
      </c>
      <c r="R5343" s="2" t="inlineStr"/>
    </row>
    <row r="5344" ht="15" customHeight="1">
      <c r="A5344" t="inlineStr">
        <is>
          <t>A 9870-2023</t>
        </is>
      </c>
      <c r="B5344" s="1" t="n">
        <v>44984</v>
      </c>
      <c r="C5344" s="1" t="n">
        <v>45662</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9865-2023</t>
        </is>
      </c>
      <c r="B5345" s="1" t="n">
        <v>44984</v>
      </c>
      <c r="C5345" s="1" t="n">
        <v>45662</v>
      </c>
      <c r="D5345" t="inlineStr">
        <is>
          <t>NORRBOTTENS LÄN</t>
        </is>
      </c>
      <c r="E5345" t="inlineStr">
        <is>
          <t>JOKKMOKK</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9872-2023</t>
        </is>
      </c>
      <c r="B5346" s="1" t="n">
        <v>44984</v>
      </c>
      <c r="C5346" s="1" t="n">
        <v>45662</v>
      </c>
      <c r="D5346" t="inlineStr">
        <is>
          <t>NORRBOTTENS LÄN</t>
        </is>
      </c>
      <c r="E5346" t="inlineStr">
        <is>
          <t>JOKKMOKK</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9877-2023</t>
        </is>
      </c>
      <c r="B5347" s="1" t="n">
        <v>44984</v>
      </c>
      <c r="C5347" s="1" t="n">
        <v>45662</v>
      </c>
      <c r="D5347" t="inlineStr">
        <is>
          <t>NORRBOTTENS LÄN</t>
        </is>
      </c>
      <c r="E5347" t="inlineStr">
        <is>
          <t>JOKKMOKK</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9874-2023</t>
        </is>
      </c>
      <c r="B5348" s="1" t="n">
        <v>44984</v>
      </c>
      <c r="C5348" s="1" t="n">
        <v>45662</v>
      </c>
      <c r="D5348" t="inlineStr">
        <is>
          <t>NORRBOTTENS LÄN</t>
        </is>
      </c>
      <c r="E5348" t="inlineStr">
        <is>
          <t>JOKKMOKK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9852-2023</t>
        </is>
      </c>
      <c r="B5349" s="1" t="n">
        <v>44984</v>
      </c>
      <c r="C5349" s="1" t="n">
        <v>45662</v>
      </c>
      <c r="D5349" t="inlineStr">
        <is>
          <t>NORRBOTTENS LÄN</t>
        </is>
      </c>
      <c r="E5349" t="inlineStr">
        <is>
          <t>JOKKMOKK</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9866-2023</t>
        </is>
      </c>
      <c r="B5350" s="1" t="n">
        <v>44984</v>
      </c>
      <c r="C5350" s="1" t="n">
        <v>45662</v>
      </c>
      <c r="D5350" t="inlineStr">
        <is>
          <t>NORRBOTTENS LÄN</t>
        </is>
      </c>
      <c r="E5350" t="inlineStr">
        <is>
          <t>JOKKMOKK</t>
        </is>
      </c>
      <c r="F5350" t="inlineStr">
        <is>
          <t>SCA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9869-2023</t>
        </is>
      </c>
      <c r="B5351" s="1" t="n">
        <v>44984</v>
      </c>
      <c r="C5351" s="1" t="n">
        <v>45662</v>
      </c>
      <c r="D5351" t="inlineStr">
        <is>
          <t>NORRBOTTENS LÄN</t>
        </is>
      </c>
      <c r="E5351" t="inlineStr">
        <is>
          <t>JOKKMOKK</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9873-2023</t>
        </is>
      </c>
      <c r="B5352" s="1" t="n">
        <v>44984</v>
      </c>
      <c r="C5352" s="1" t="n">
        <v>45662</v>
      </c>
      <c r="D5352" t="inlineStr">
        <is>
          <t>NORRBOTTENS LÄN</t>
        </is>
      </c>
      <c r="E5352" t="inlineStr">
        <is>
          <t>JOKKMOKK</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9878-2023</t>
        </is>
      </c>
      <c r="B5353" s="1" t="n">
        <v>44984</v>
      </c>
      <c r="C5353" s="1" t="n">
        <v>45662</v>
      </c>
      <c r="D5353" t="inlineStr">
        <is>
          <t>NORRBOTTENS LÄN</t>
        </is>
      </c>
      <c r="E5353" t="inlineStr">
        <is>
          <t>JOKKMOKK</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9859-2023</t>
        </is>
      </c>
      <c r="B5354" s="1" t="n">
        <v>44984</v>
      </c>
      <c r="C5354" s="1" t="n">
        <v>45662</v>
      </c>
      <c r="D5354" t="inlineStr">
        <is>
          <t>NORRBOTTENS LÄN</t>
        </is>
      </c>
      <c r="E5354" t="inlineStr">
        <is>
          <t>JOKKMOKK</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9864-2023</t>
        </is>
      </c>
      <c r="B5355" s="1" t="n">
        <v>44984</v>
      </c>
      <c r="C5355" s="1" t="n">
        <v>45662</v>
      </c>
      <c r="D5355" t="inlineStr">
        <is>
          <t>NORRBOTTENS LÄN</t>
        </is>
      </c>
      <c r="E5355" t="inlineStr">
        <is>
          <t>JOKKMOKK</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9875-2023</t>
        </is>
      </c>
      <c r="B5356" s="1" t="n">
        <v>44984</v>
      </c>
      <c r="C5356" s="1" t="n">
        <v>45662</v>
      </c>
      <c r="D5356" t="inlineStr">
        <is>
          <t>NORRBOTTENS LÄN</t>
        </is>
      </c>
      <c r="E5356" t="inlineStr">
        <is>
          <t>JOKKMOKK</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10707-2023</t>
        </is>
      </c>
      <c r="B5357" s="1" t="n">
        <v>44984</v>
      </c>
      <c r="C5357" s="1" t="n">
        <v>45662</v>
      </c>
      <c r="D5357" t="inlineStr">
        <is>
          <t>NORRBOTTENS LÄN</t>
        </is>
      </c>
      <c r="E5357" t="inlineStr">
        <is>
          <t>ÖVERKALIX</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10711-2023</t>
        </is>
      </c>
      <c r="B5358" s="1" t="n">
        <v>44984</v>
      </c>
      <c r="C5358" s="1" t="n">
        <v>45662</v>
      </c>
      <c r="D5358" t="inlineStr">
        <is>
          <t>NORRBOTTENS LÄN</t>
        </is>
      </c>
      <c r="E5358" t="inlineStr">
        <is>
          <t>ÖVERKALIX</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10713-2023</t>
        </is>
      </c>
      <c r="B5359" s="1" t="n">
        <v>44984</v>
      </c>
      <c r="C5359" s="1" t="n">
        <v>45662</v>
      </c>
      <c r="D5359" t="inlineStr">
        <is>
          <t>NORRBOTTENS LÄN</t>
        </is>
      </c>
      <c r="E5359" t="inlineStr">
        <is>
          <t>PITEÅ</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10720-2023</t>
        </is>
      </c>
      <c r="B5360" s="1" t="n">
        <v>44984</v>
      </c>
      <c r="C5360" s="1" t="n">
        <v>45662</v>
      </c>
      <c r="D5360" t="inlineStr">
        <is>
          <t>NORRBOTTENS LÄN</t>
        </is>
      </c>
      <c r="E5360" t="inlineStr">
        <is>
          <t>ÖVERKALIX</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9931-2023</t>
        </is>
      </c>
      <c r="B5361" s="1" t="n">
        <v>44985</v>
      </c>
      <c r="C5361" s="1" t="n">
        <v>45662</v>
      </c>
      <c r="D5361" t="inlineStr">
        <is>
          <t>NORRBOTTENS LÄN</t>
        </is>
      </c>
      <c r="E5361" t="inlineStr">
        <is>
          <t>PITEÅ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9962-2023</t>
        </is>
      </c>
      <c r="B5362" s="1" t="n">
        <v>44985</v>
      </c>
      <c r="C5362" s="1" t="n">
        <v>45662</v>
      </c>
      <c r="D5362" t="inlineStr">
        <is>
          <t>NORRBOTTENS LÄN</t>
        </is>
      </c>
      <c r="E5362" t="inlineStr">
        <is>
          <t>PITEÅ</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9928-2023</t>
        </is>
      </c>
      <c r="B5363" s="1" t="n">
        <v>44985</v>
      </c>
      <c r="C5363" s="1" t="n">
        <v>45662</v>
      </c>
      <c r="D5363" t="inlineStr">
        <is>
          <t>NORRBOTTENS LÄN</t>
        </is>
      </c>
      <c r="E5363" t="inlineStr">
        <is>
          <t>ARVIDSJAUR</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9964-2023</t>
        </is>
      </c>
      <c r="B5364" s="1" t="n">
        <v>44985</v>
      </c>
      <c r="C5364" s="1" t="n">
        <v>45662</v>
      </c>
      <c r="D5364" t="inlineStr">
        <is>
          <t>NORRBOTTENS LÄN</t>
        </is>
      </c>
      <c r="E5364" t="inlineStr">
        <is>
          <t>PITEÅ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10859-2023</t>
        </is>
      </c>
      <c r="B5365" s="1" t="n">
        <v>44985</v>
      </c>
      <c r="C5365" s="1" t="n">
        <v>45662</v>
      </c>
      <c r="D5365" t="inlineStr">
        <is>
          <t>NORRBOTTENS LÄN</t>
        </is>
      </c>
      <c r="E5365" t="inlineStr">
        <is>
          <t>ARVIDSJAUR</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10066-2023</t>
        </is>
      </c>
      <c r="B5366" s="1" t="n">
        <v>44985</v>
      </c>
      <c r="C5366" s="1" t="n">
        <v>45662</v>
      </c>
      <c r="D5366" t="inlineStr">
        <is>
          <t>NORRBOTTENS LÄN</t>
        </is>
      </c>
      <c r="E5366" t="inlineStr">
        <is>
          <t>ÄLVSBYN</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10903-2023</t>
        </is>
      </c>
      <c r="B5367" s="1" t="n">
        <v>44985</v>
      </c>
      <c r="C5367" s="1" t="n">
        <v>45662</v>
      </c>
      <c r="D5367" t="inlineStr">
        <is>
          <t>NORRBOTTENS LÄN</t>
        </is>
      </c>
      <c r="E5367" t="inlineStr">
        <is>
          <t>LULEÅ</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10894-2023</t>
        </is>
      </c>
      <c r="B5368" s="1" t="n">
        <v>44985</v>
      </c>
      <c r="C5368" s="1" t="n">
        <v>45662</v>
      </c>
      <c r="D5368" t="inlineStr">
        <is>
          <t>NORRBOTTENS LÄN</t>
        </is>
      </c>
      <c r="E5368" t="inlineStr">
        <is>
          <t>LULEÅ</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10948-2023</t>
        </is>
      </c>
      <c r="B5369" s="1" t="n">
        <v>44985</v>
      </c>
      <c r="C5369" s="1" t="n">
        <v>45662</v>
      </c>
      <c r="D5369" t="inlineStr">
        <is>
          <t>NORRBOTTENS LÄN</t>
        </is>
      </c>
      <c r="E5369" t="inlineStr">
        <is>
          <t>HAPARANDA</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10954-2023</t>
        </is>
      </c>
      <c r="B5370" s="1" t="n">
        <v>44985</v>
      </c>
      <c r="C5370" s="1" t="n">
        <v>45662</v>
      </c>
      <c r="D5370" t="inlineStr">
        <is>
          <t>NORRBOTTENS LÄN</t>
        </is>
      </c>
      <c r="E5370" t="inlineStr">
        <is>
          <t>HAPARANDA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10885-2023</t>
        </is>
      </c>
      <c r="B5371" s="1" t="n">
        <v>44985</v>
      </c>
      <c r="C5371" s="1" t="n">
        <v>45662</v>
      </c>
      <c r="D5371" t="inlineStr">
        <is>
          <t>NORRBOTTENS LÄN</t>
        </is>
      </c>
      <c r="E5371" t="inlineStr">
        <is>
          <t>LULEÅ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10899-2023</t>
        </is>
      </c>
      <c r="B5372" s="1" t="n">
        <v>44985</v>
      </c>
      <c r="C5372" s="1" t="n">
        <v>45662</v>
      </c>
      <c r="D5372" t="inlineStr">
        <is>
          <t>NORRBOTTENS LÄN</t>
        </is>
      </c>
      <c r="E5372" t="inlineStr">
        <is>
          <t>PAJALA</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10298-2023</t>
        </is>
      </c>
      <c r="B5373" s="1" t="n">
        <v>44986</v>
      </c>
      <c r="C5373" s="1" t="n">
        <v>45662</v>
      </c>
      <c r="D5373" t="inlineStr">
        <is>
          <t>NORRBOTTENS LÄN</t>
        </is>
      </c>
      <c r="E5373" t="inlineStr">
        <is>
          <t>GÄLLIVARE</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10529-2023</t>
        </is>
      </c>
      <c r="B5374" s="1" t="n">
        <v>44987</v>
      </c>
      <c r="C5374" s="1" t="n">
        <v>45662</v>
      </c>
      <c r="D5374" t="inlineStr">
        <is>
          <t>NORRBOTTENS LÄN</t>
        </is>
      </c>
      <c r="E5374" t="inlineStr">
        <is>
          <t>ÖVERTORNEÅ</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10528-2023</t>
        </is>
      </c>
      <c r="B5375" s="1" t="n">
        <v>44987</v>
      </c>
      <c r="C5375" s="1" t="n">
        <v>45662</v>
      </c>
      <c r="D5375" t="inlineStr">
        <is>
          <t>NORRBOTTENS LÄN</t>
        </is>
      </c>
      <c r="E5375" t="inlineStr">
        <is>
          <t>ÖVERTORNEÅ</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11142-2023</t>
        </is>
      </c>
      <c r="B5376" s="1" t="n">
        <v>44987</v>
      </c>
      <c r="C5376" s="1" t="n">
        <v>45662</v>
      </c>
      <c r="D5376" t="inlineStr">
        <is>
          <t>NORRBOTTENS LÄN</t>
        </is>
      </c>
      <c r="E5376" t="inlineStr">
        <is>
          <t>LULEÅ</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11178-2023</t>
        </is>
      </c>
      <c r="B5377" s="1" t="n">
        <v>44987</v>
      </c>
      <c r="C5377" s="1" t="n">
        <v>45662</v>
      </c>
      <c r="D5377" t="inlineStr">
        <is>
          <t>NORRBOTTENS LÄN</t>
        </is>
      </c>
      <c r="E5377" t="inlineStr">
        <is>
          <t>LULEÅ</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10664-2023</t>
        </is>
      </c>
      <c r="B5378" s="1" t="n">
        <v>44988</v>
      </c>
      <c r="C5378" s="1" t="n">
        <v>45662</v>
      </c>
      <c r="D5378" t="inlineStr">
        <is>
          <t>NORRBOTTENS LÄN</t>
        </is>
      </c>
      <c r="E5378" t="inlineStr">
        <is>
          <t>ARVIDSJAUR</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10712-2023</t>
        </is>
      </c>
      <c r="B5379" s="1" t="n">
        <v>44988</v>
      </c>
      <c r="C5379" s="1" t="n">
        <v>45662</v>
      </c>
      <c r="D5379" t="inlineStr">
        <is>
          <t>NORRBOTTENS LÄN</t>
        </is>
      </c>
      <c r="E5379" t="inlineStr">
        <is>
          <t>ÄLVSBYN</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11197-2023</t>
        </is>
      </c>
      <c r="B5380" s="1" t="n">
        <v>44988</v>
      </c>
      <c r="C5380" s="1" t="n">
        <v>45662</v>
      </c>
      <c r="D5380" t="inlineStr">
        <is>
          <t>NORRBOTTENS LÄN</t>
        </is>
      </c>
      <c r="E5380" t="inlineStr">
        <is>
          <t>PAJALA</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11207-2023</t>
        </is>
      </c>
      <c r="B5381" s="1" t="n">
        <v>44988</v>
      </c>
      <c r="C5381" s="1" t="n">
        <v>45662</v>
      </c>
      <c r="D5381" t="inlineStr">
        <is>
          <t>NORRBOTTENS LÄN</t>
        </is>
      </c>
      <c r="E5381" t="inlineStr">
        <is>
          <t>PAJALA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10705-2023</t>
        </is>
      </c>
      <c r="B5382" s="1" t="n">
        <v>44988</v>
      </c>
      <c r="C5382" s="1" t="n">
        <v>45662</v>
      </c>
      <c r="D5382" t="inlineStr">
        <is>
          <t>NORRBOTTENS LÄN</t>
        </is>
      </c>
      <c r="E5382" t="inlineStr">
        <is>
          <t>ÄLVSBYN</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11200-2023</t>
        </is>
      </c>
      <c r="B5383" s="1" t="n">
        <v>44988</v>
      </c>
      <c r="C5383" s="1" t="n">
        <v>45662</v>
      </c>
      <c r="D5383" t="inlineStr">
        <is>
          <t>NORRBOTTENS LÄN</t>
        </is>
      </c>
      <c r="E5383" t="inlineStr">
        <is>
          <t>PAJALA</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11203-2023</t>
        </is>
      </c>
      <c r="B5384" s="1" t="n">
        <v>44988</v>
      </c>
      <c r="C5384" s="1" t="n">
        <v>45662</v>
      </c>
      <c r="D5384" t="inlineStr">
        <is>
          <t>NORRBOTTENS LÄN</t>
        </is>
      </c>
      <c r="E5384" t="inlineStr">
        <is>
          <t>PAJALA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11512-2023</t>
        </is>
      </c>
      <c r="B5385" s="1" t="n">
        <v>44988</v>
      </c>
      <c r="C5385" s="1" t="n">
        <v>45662</v>
      </c>
      <c r="D5385" t="inlineStr">
        <is>
          <t>NORRBOTTENS LÄN</t>
        </is>
      </c>
      <c r="E5385" t="inlineStr">
        <is>
          <t>PAJALA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10999-2023</t>
        </is>
      </c>
      <c r="B5386" s="1" t="n">
        <v>44991</v>
      </c>
      <c r="C5386" s="1" t="n">
        <v>45662</v>
      </c>
      <c r="D5386" t="inlineStr">
        <is>
          <t>NORRBOTTENS LÄN</t>
        </is>
      </c>
      <c r="E5386" t="inlineStr">
        <is>
          <t>BODEN</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11482-2023</t>
        </is>
      </c>
      <c r="B5387" s="1" t="n">
        <v>44991</v>
      </c>
      <c r="C5387" s="1" t="n">
        <v>45662</v>
      </c>
      <c r="D5387" t="inlineStr">
        <is>
          <t>NORRBOTTENS LÄN</t>
        </is>
      </c>
      <c r="E5387" t="inlineStr">
        <is>
          <t>PITEÅ</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11464-2023</t>
        </is>
      </c>
      <c r="B5388" s="1" t="n">
        <v>44991</v>
      </c>
      <c r="C5388" s="1" t="n">
        <v>45662</v>
      </c>
      <c r="D5388" t="inlineStr">
        <is>
          <t>NORRBOTTENS LÄN</t>
        </is>
      </c>
      <c r="E5388" t="inlineStr">
        <is>
          <t>PITEÅ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11112-2023</t>
        </is>
      </c>
      <c r="B5389" s="1" t="n">
        <v>44992</v>
      </c>
      <c r="C5389" s="1" t="n">
        <v>45662</v>
      </c>
      <c r="D5389" t="inlineStr">
        <is>
          <t>NORRBOTTENS LÄN</t>
        </is>
      </c>
      <c r="E5389" t="inlineStr">
        <is>
          <t>KALIX</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11292-2023</t>
        </is>
      </c>
      <c r="B5390" s="1" t="n">
        <v>44992</v>
      </c>
      <c r="C5390" s="1" t="n">
        <v>45662</v>
      </c>
      <c r="D5390" t="inlineStr">
        <is>
          <t>NORRBOTTENS LÄN</t>
        </is>
      </c>
      <c r="E5390" t="inlineStr">
        <is>
          <t>ARVIDSJAUR</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11290-2023</t>
        </is>
      </c>
      <c r="B5391" s="1" t="n">
        <v>44992</v>
      </c>
      <c r="C5391" s="1" t="n">
        <v>45662</v>
      </c>
      <c r="D5391" t="inlineStr">
        <is>
          <t>NORRBOTTENS LÄN</t>
        </is>
      </c>
      <c r="E5391" t="inlineStr">
        <is>
          <t>GÄLLIVARE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11293-2023</t>
        </is>
      </c>
      <c r="B5392" s="1" t="n">
        <v>44992</v>
      </c>
      <c r="C5392" s="1" t="n">
        <v>45662</v>
      </c>
      <c r="D5392" t="inlineStr">
        <is>
          <t>NORRBOTTENS LÄN</t>
        </is>
      </c>
      <c r="E5392" t="inlineStr">
        <is>
          <t>ÄLVSBYN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11716-2023</t>
        </is>
      </c>
      <c r="B5393" s="1" t="n">
        <v>44992</v>
      </c>
      <c r="C5393" s="1" t="n">
        <v>45662</v>
      </c>
      <c r="D5393" t="inlineStr">
        <is>
          <t>NORRBOTTENS LÄN</t>
        </is>
      </c>
      <c r="E5393" t="inlineStr">
        <is>
          <t>LULEÅ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11719-2023</t>
        </is>
      </c>
      <c r="B5394" s="1" t="n">
        <v>44992</v>
      </c>
      <c r="C5394" s="1" t="n">
        <v>45662</v>
      </c>
      <c r="D5394" t="inlineStr">
        <is>
          <t>NORRBOTTENS LÄN</t>
        </is>
      </c>
      <c r="E5394" t="inlineStr">
        <is>
          <t>LULEÅ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11919-2023</t>
        </is>
      </c>
      <c r="B5395" s="1" t="n">
        <v>44993</v>
      </c>
      <c r="C5395" s="1" t="n">
        <v>45662</v>
      </c>
      <c r="D5395" t="inlineStr">
        <is>
          <t>NORRBOTTENS LÄN</t>
        </is>
      </c>
      <c r="E5395" t="inlineStr">
        <is>
          <t>ÖVERKALIX</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11915-2023</t>
        </is>
      </c>
      <c r="B5396" s="1" t="n">
        <v>44993</v>
      </c>
      <c r="C5396" s="1" t="n">
        <v>45662</v>
      </c>
      <c r="D5396" t="inlineStr">
        <is>
          <t>NORRBOTTENS LÄN</t>
        </is>
      </c>
      <c r="E5396" t="inlineStr">
        <is>
          <t>ÖVERKALIX</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11647-2023</t>
        </is>
      </c>
      <c r="B5397" s="1" t="n">
        <v>44994</v>
      </c>
      <c r="C5397" s="1" t="n">
        <v>45662</v>
      </c>
      <c r="D5397" t="inlineStr">
        <is>
          <t>NORRBOTTENS LÄN</t>
        </is>
      </c>
      <c r="E5397" t="inlineStr">
        <is>
          <t>BODEN</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11651-2023</t>
        </is>
      </c>
      <c r="B5398" s="1" t="n">
        <v>44994</v>
      </c>
      <c r="C5398" s="1" t="n">
        <v>45662</v>
      </c>
      <c r="D5398" t="inlineStr">
        <is>
          <t>NORRBOTTENS LÄN</t>
        </is>
      </c>
      <c r="E5398" t="inlineStr">
        <is>
          <t>BODEN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11930-2023</t>
        </is>
      </c>
      <c r="B5399" s="1" t="n">
        <v>44994</v>
      </c>
      <c r="C5399" s="1" t="n">
        <v>45662</v>
      </c>
      <c r="D5399" t="inlineStr">
        <is>
          <t>NORRBOTTENS LÄN</t>
        </is>
      </c>
      <c r="E5399" t="inlineStr">
        <is>
          <t>BODEN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11911-2023</t>
        </is>
      </c>
      <c r="B5400" s="1" t="n">
        <v>44994</v>
      </c>
      <c r="C5400" s="1" t="n">
        <v>45662</v>
      </c>
      <c r="D5400" t="inlineStr">
        <is>
          <t>NORRBOTTENS LÄN</t>
        </is>
      </c>
      <c r="E5400" t="inlineStr">
        <is>
          <t>KALIX</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11984-2023</t>
        </is>
      </c>
      <c r="B5401" s="1" t="n">
        <v>44994</v>
      </c>
      <c r="C5401" s="1" t="n">
        <v>45662</v>
      </c>
      <c r="D5401" t="inlineStr">
        <is>
          <t>NORRBOTTENS LÄN</t>
        </is>
      </c>
      <c r="E5401" t="inlineStr">
        <is>
          <t>BODEN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11835-2023</t>
        </is>
      </c>
      <c r="B5402" s="1" t="n">
        <v>44994</v>
      </c>
      <c r="C5402" s="1" t="n">
        <v>45662</v>
      </c>
      <c r="D5402" t="inlineStr">
        <is>
          <t>NORRBOTTENS LÄN</t>
        </is>
      </c>
      <c r="E5402" t="inlineStr">
        <is>
          <t>ÄLVSBYN</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11982-2023</t>
        </is>
      </c>
      <c r="B5403" s="1" t="n">
        <v>44994</v>
      </c>
      <c r="C5403" s="1" t="n">
        <v>45662</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11856-2023</t>
        </is>
      </c>
      <c r="B5404" s="1" t="n">
        <v>44995</v>
      </c>
      <c r="C5404" s="1" t="n">
        <v>45662</v>
      </c>
      <c r="D5404" t="inlineStr">
        <is>
          <t>NORRBOTTENS LÄN</t>
        </is>
      </c>
      <c r="E5404" t="inlineStr">
        <is>
          <t>KALIX</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12312-2023</t>
        </is>
      </c>
      <c r="B5405" s="1" t="n">
        <v>44995</v>
      </c>
      <c r="C5405" s="1" t="n">
        <v>45662</v>
      </c>
      <c r="D5405" t="inlineStr">
        <is>
          <t>NORRBOTTENS LÄN</t>
        </is>
      </c>
      <c r="E5405" t="inlineStr">
        <is>
          <t>LULEÅ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12323-2023</t>
        </is>
      </c>
      <c r="B5406" s="1" t="n">
        <v>44995</v>
      </c>
      <c r="C5406" s="1" t="n">
        <v>45662</v>
      </c>
      <c r="D5406" t="inlineStr">
        <is>
          <t>NORRBOTTENS LÄN</t>
        </is>
      </c>
      <c r="E5406" t="inlineStr">
        <is>
          <t>LULEÅ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12035-2023</t>
        </is>
      </c>
      <c r="B5407" s="1" t="n">
        <v>44995</v>
      </c>
      <c r="C5407" s="1" t="n">
        <v>45662</v>
      </c>
      <c r="D5407" t="inlineStr">
        <is>
          <t>NORRBOTTENS LÄN</t>
        </is>
      </c>
      <c r="E5407" t="inlineStr">
        <is>
          <t>ÖVERKALIX</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12686-2023</t>
        </is>
      </c>
      <c r="B5408" s="1" t="n">
        <v>44999</v>
      </c>
      <c r="C5408" s="1" t="n">
        <v>45662</v>
      </c>
      <c r="D5408" t="inlineStr">
        <is>
          <t>NORRBOTTENS LÄN</t>
        </is>
      </c>
      <c r="E5408" t="inlineStr">
        <is>
          <t>JOKKMOKK</t>
        </is>
      </c>
      <c r="G5408" t="n">
        <v>36.7</v>
      </c>
      <c r="H5408" t="n">
        <v>0</v>
      </c>
      <c r="I5408" t="n">
        <v>0</v>
      </c>
      <c r="J5408" t="n">
        <v>0</v>
      </c>
      <c r="K5408" t="n">
        <v>0</v>
      </c>
      <c r="L5408" t="n">
        <v>0</v>
      </c>
      <c r="M5408" t="n">
        <v>0</v>
      </c>
      <c r="N5408" t="n">
        <v>0</v>
      </c>
      <c r="O5408" t="n">
        <v>0</v>
      </c>
      <c r="P5408" t="n">
        <v>0</v>
      </c>
      <c r="Q5408" t="n">
        <v>0</v>
      </c>
      <c r="R5408" s="2" t="inlineStr"/>
    </row>
    <row r="5409" ht="15" customHeight="1">
      <c r="A5409" t="inlineStr">
        <is>
          <t>A 12656-2023</t>
        </is>
      </c>
      <c r="B5409" s="1" t="n">
        <v>44999</v>
      </c>
      <c r="C5409" s="1" t="n">
        <v>45662</v>
      </c>
      <c r="D5409" t="inlineStr">
        <is>
          <t>NORRBOTTENS LÄN</t>
        </is>
      </c>
      <c r="E5409" t="inlineStr">
        <is>
          <t>ARJEPLOG</t>
        </is>
      </c>
      <c r="G5409" t="n">
        <v>18.9</v>
      </c>
      <c r="H5409" t="n">
        <v>0</v>
      </c>
      <c r="I5409" t="n">
        <v>0</v>
      </c>
      <c r="J5409" t="n">
        <v>0</v>
      </c>
      <c r="K5409" t="n">
        <v>0</v>
      </c>
      <c r="L5409" t="n">
        <v>0</v>
      </c>
      <c r="M5409" t="n">
        <v>0</v>
      </c>
      <c r="N5409" t="n">
        <v>0</v>
      </c>
      <c r="O5409" t="n">
        <v>0</v>
      </c>
      <c r="P5409" t="n">
        <v>0</v>
      </c>
      <c r="Q5409" t="n">
        <v>0</v>
      </c>
      <c r="R5409" s="2" t="inlineStr"/>
    </row>
    <row r="5410" ht="15" customHeight="1">
      <c r="A5410" t="inlineStr">
        <is>
          <t>A 12685-2023</t>
        </is>
      </c>
      <c r="B5410" s="1" t="n">
        <v>44999</v>
      </c>
      <c r="C5410" s="1" t="n">
        <v>45662</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12782-2023</t>
        </is>
      </c>
      <c r="B5411" s="1" t="n">
        <v>45000</v>
      </c>
      <c r="C5411" s="1" t="n">
        <v>45662</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12794-2023</t>
        </is>
      </c>
      <c r="B5412" s="1" t="n">
        <v>45001</v>
      </c>
      <c r="C5412" s="1" t="n">
        <v>45662</v>
      </c>
      <c r="D5412" t="inlineStr">
        <is>
          <t>NORRBOTTENS LÄN</t>
        </is>
      </c>
      <c r="E5412" t="inlineStr">
        <is>
          <t>ARVIDSJAUR</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12865-2023</t>
        </is>
      </c>
      <c r="B5413" s="1" t="n">
        <v>45001</v>
      </c>
      <c r="C5413" s="1" t="n">
        <v>45662</v>
      </c>
      <c r="D5413" t="inlineStr">
        <is>
          <t>NORRBOTTENS LÄN</t>
        </is>
      </c>
      <c r="E5413" t="inlineStr">
        <is>
          <t>LULEÅ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12801-2023</t>
        </is>
      </c>
      <c r="B5414" s="1" t="n">
        <v>45001</v>
      </c>
      <c r="C5414" s="1" t="n">
        <v>45662</v>
      </c>
      <c r="D5414" t="inlineStr">
        <is>
          <t>NORRBOTTENS LÄN</t>
        </is>
      </c>
      <c r="E5414" t="inlineStr">
        <is>
          <t>BODEN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13197-2023</t>
        </is>
      </c>
      <c r="B5415" s="1" t="n">
        <v>45002</v>
      </c>
      <c r="C5415" s="1" t="n">
        <v>45662</v>
      </c>
      <c r="D5415" t="inlineStr">
        <is>
          <t>NORRBOTTENS LÄN</t>
        </is>
      </c>
      <c r="E5415" t="inlineStr">
        <is>
          <t>PAJALA</t>
        </is>
      </c>
      <c r="F5415" t="inlineStr">
        <is>
          <t>Allmännings- och besparingsskogar</t>
        </is>
      </c>
      <c r="G5415" t="n">
        <v>26.1</v>
      </c>
      <c r="H5415" t="n">
        <v>0</v>
      </c>
      <c r="I5415" t="n">
        <v>0</v>
      </c>
      <c r="J5415" t="n">
        <v>0</v>
      </c>
      <c r="K5415" t="n">
        <v>0</v>
      </c>
      <c r="L5415" t="n">
        <v>0</v>
      </c>
      <c r="M5415" t="n">
        <v>0</v>
      </c>
      <c r="N5415" t="n">
        <v>0</v>
      </c>
      <c r="O5415" t="n">
        <v>0</v>
      </c>
      <c r="P5415" t="n">
        <v>0</v>
      </c>
      <c r="Q5415" t="n">
        <v>0</v>
      </c>
      <c r="R5415" s="2" t="inlineStr"/>
    </row>
    <row r="5416" ht="15" customHeight="1">
      <c r="A5416" t="inlineStr">
        <is>
          <t>A 13173-2023</t>
        </is>
      </c>
      <c r="B5416" s="1" t="n">
        <v>45002</v>
      </c>
      <c r="C5416" s="1" t="n">
        <v>45662</v>
      </c>
      <c r="D5416" t="inlineStr">
        <is>
          <t>NORRBOTTENS LÄN</t>
        </is>
      </c>
      <c r="E5416" t="inlineStr">
        <is>
          <t>ÄLVSBYN</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13204-2023</t>
        </is>
      </c>
      <c r="B5417" s="1" t="n">
        <v>45002</v>
      </c>
      <c r="C5417" s="1" t="n">
        <v>45662</v>
      </c>
      <c r="D5417" t="inlineStr">
        <is>
          <t>NORRBOTTENS LÄN</t>
        </is>
      </c>
      <c r="E5417" t="inlineStr">
        <is>
          <t>ÄLVSBYN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13212-2023</t>
        </is>
      </c>
      <c r="B5418" s="1" t="n">
        <v>45002</v>
      </c>
      <c r="C5418" s="1" t="n">
        <v>45662</v>
      </c>
      <c r="D5418" t="inlineStr">
        <is>
          <t>NORRBOTTENS LÄN</t>
        </is>
      </c>
      <c r="E5418" t="inlineStr">
        <is>
          <t>PAJALA</t>
        </is>
      </c>
      <c r="F5418" t="inlineStr">
        <is>
          <t>Allmännings- och besparingsskogar</t>
        </is>
      </c>
      <c r="G5418" t="n">
        <v>46.9</v>
      </c>
      <c r="H5418" t="n">
        <v>0</v>
      </c>
      <c r="I5418" t="n">
        <v>0</v>
      </c>
      <c r="J5418" t="n">
        <v>0</v>
      </c>
      <c r="K5418" t="n">
        <v>0</v>
      </c>
      <c r="L5418" t="n">
        <v>0</v>
      </c>
      <c r="M5418" t="n">
        <v>0</v>
      </c>
      <c r="N5418" t="n">
        <v>0</v>
      </c>
      <c r="O5418" t="n">
        <v>0</v>
      </c>
      <c r="P5418" t="n">
        <v>0</v>
      </c>
      <c r="Q5418" t="n">
        <v>0</v>
      </c>
      <c r="R5418" s="2" t="inlineStr"/>
    </row>
    <row r="5419" ht="15" customHeight="1">
      <c r="A5419" t="inlineStr">
        <is>
          <t>A 13250-2023</t>
        </is>
      </c>
      <c r="B5419" s="1" t="n">
        <v>45002</v>
      </c>
      <c r="C5419" s="1" t="n">
        <v>45662</v>
      </c>
      <c r="D5419" t="inlineStr">
        <is>
          <t>NORRBOTTENS LÄN</t>
        </is>
      </c>
      <c r="E5419" t="inlineStr">
        <is>
          <t>GÄLLIVARE</t>
        </is>
      </c>
      <c r="F5419" t="inlineStr">
        <is>
          <t>SCA</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13247-2023</t>
        </is>
      </c>
      <c r="B5420" s="1" t="n">
        <v>45002</v>
      </c>
      <c r="C5420" s="1" t="n">
        <v>45662</v>
      </c>
      <c r="D5420" t="inlineStr">
        <is>
          <t>NORRBOTTENS LÄN</t>
        </is>
      </c>
      <c r="E5420" t="inlineStr">
        <is>
          <t>LULEÅ</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13207-2023</t>
        </is>
      </c>
      <c r="B5421" s="1" t="n">
        <v>45002</v>
      </c>
      <c r="C5421" s="1" t="n">
        <v>45662</v>
      </c>
      <c r="D5421" t="inlineStr">
        <is>
          <t>NORRBOTTENS LÄN</t>
        </is>
      </c>
      <c r="E5421" t="inlineStr">
        <is>
          <t>PAJALA</t>
        </is>
      </c>
      <c r="F5421" t="inlineStr">
        <is>
          <t>Allmännings- och besparingsskogar</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13251-2023</t>
        </is>
      </c>
      <c r="B5422" s="1" t="n">
        <v>45002</v>
      </c>
      <c r="C5422" s="1" t="n">
        <v>45662</v>
      </c>
      <c r="D5422" t="inlineStr">
        <is>
          <t>NORRBOTTENS LÄN</t>
        </is>
      </c>
      <c r="E5422" t="inlineStr">
        <is>
          <t>GÄLLIVARE</t>
        </is>
      </c>
      <c r="F5422" t="inlineStr">
        <is>
          <t>SCA</t>
        </is>
      </c>
      <c r="G5422" t="n">
        <v>23.6</v>
      </c>
      <c r="H5422" t="n">
        <v>0</v>
      </c>
      <c r="I5422" t="n">
        <v>0</v>
      </c>
      <c r="J5422" t="n">
        <v>0</v>
      </c>
      <c r="K5422" t="n">
        <v>0</v>
      </c>
      <c r="L5422" t="n">
        <v>0</v>
      </c>
      <c r="M5422" t="n">
        <v>0</v>
      </c>
      <c r="N5422" t="n">
        <v>0</v>
      </c>
      <c r="O5422" t="n">
        <v>0</v>
      </c>
      <c r="P5422" t="n">
        <v>0</v>
      </c>
      <c r="Q5422" t="n">
        <v>0</v>
      </c>
      <c r="R5422" s="2" t="inlineStr"/>
    </row>
    <row r="5423" ht="15" customHeight="1">
      <c r="A5423" t="inlineStr">
        <is>
          <t>A 13372-2023</t>
        </is>
      </c>
      <c r="B5423" s="1" t="n">
        <v>45005</v>
      </c>
      <c r="C5423" s="1" t="n">
        <v>45662</v>
      </c>
      <c r="D5423" t="inlineStr">
        <is>
          <t>NORRBOTTENS LÄN</t>
        </is>
      </c>
      <c r="E5423" t="inlineStr">
        <is>
          <t>ÖVERKALIX</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13395-2023</t>
        </is>
      </c>
      <c r="B5424" s="1" t="n">
        <v>45005</v>
      </c>
      <c r="C5424" s="1" t="n">
        <v>45662</v>
      </c>
      <c r="D5424" t="inlineStr">
        <is>
          <t>NORRBOTTENS LÄN</t>
        </is>
      </c>
      <c r="E5424" t="inlineStr">
        <is>
          <t>ARVIDSJAUR</t>
        </is>
      </c>
      <c r="F5424" t="inlineStr">
        <is>
          <t>Sveaskog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13380-2023</t>
        </is>
      </c>
      <c r="B5425" s="1" t="n">
        <v>45005</v>
      </c>
      <c r="C5425" s="1" t="n">
        <v>45662</v>
      </c>
      <c r="D5425" t="inlineStr">
        <is>
          <t>NORRBOTTENS LÄN</t>
        </is>
      </c>
      <c r="E5425" t="inlineStr">
        <is>
          <t>KALIX</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13435-2023</t>
        </is>
      </c>
      <c r="B5426" s="1" t="n">
        <v>45005</v>
      </c>
      <c r="C5426" s="1" t="n">
        <v>45662</v>
      </c>
      <c r="D5426" t="inlineStr">
        <is>
          <t>NORRBOTTENS LÄN</t>
        </is>
      </c>
      <c r="E5426" t="inlineStr">
        <is>
          <t>BODEN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13451-2023</t>
        </is>
      </c>
      <c r="B5427" s="1" t="n">
        <v>45005</v>
      </c>
      <c r="C5427" s="1" t="n">
        <v>45662</v>
      </c>
      <c r="D5427" t="inlineStr">
        <is>
          <t>NORRBOTTENS LÄN</t>
        </is>
      </c>
      <c r="E5427" t="inlineStr">
        <is>
          <t>BODEN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13473-2023</t>
        </is>
      </c>
      <c r="B5428" s="1" t="n">
        <v>45005</v>
      </c>
      <c r="C5428" s="1" t="n">
        <v>45662</v>
      </c>
      <c r="D5428" t="inlineStr">
        <is>
          <t>NORRBOTTENS LÄN</t>
        </is>
      </c>
      <c r="E5428" t="inlineStr">
        <is>
          <t>BODEN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13590-2023</t>
        </is>
      </c>
      <c r="B5429" s="1" t="n">
        <v>45005</v>
      </c>
      <c r="C5429" s="1" t="n">
        <v>45662</v>
      </c>
      <c r="D5429" t="inlineStr">
        <is>
          <t>NORRBOTTENS LÄN</t>
        </is>
      </c>
      <c r="E5429" t="inlineStr">
        <is>
          <t>ARJEPLOG</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13652-2023</t>
        </is>
      </c>
      <c r="B5430" s="1" t="n">
        <v>45006</v>
      </c>
      <c r="C5430" s="1" t="n">
        <v>45662</v>
      </c>
      <c r="D5430" t="inlineStr">
        <is>
          <t>NORRBOTTENS LÄN</t>
        </is>
      </c>
      <c r="E5430" t="inlineStr">
        <is>
          <t>PAJALA</t>
        </is>
      </c>
      <c r="F5430" t="inlineStr">
        <is>
          <t>Allmännings- och besparingsskogar</t>
        </is>
      </c>
      <c r="G5430" t="n">
        <v>31.1</v>
      </c>
      <c r="H5430" t="n">
        <v>0</v>
      </c>
      <c r="I5430" t="n">
        <v>0</v>
      </c>
      <c r="J5430" t="n">
        <v>0</v>
      </c>
      <c r="K5430" t="n">
        <v>0</v>
      </c>
      <c r="L5430" t="n">
        <v>0</v>
      </c>
      <c r="M5430" t="n">
        <v>0</v>
      </c>
      <c r="N5430" t="n">
        <v>0</v>
      </c>
      <c r="O5430" t="n">
        <v>0</v>
      </c>
      <c r="P5430" t="n">
        <v>0</v>
      </c>
      <c r="Q5430" t="n">
        <v>0</v>
      </c>
      <c r="R5430" s="2" t="inlineStr"/>
    </row>
    <row r="5431" ht="15" customHeight="1">
      <c r="A5431" t="inlineStr">
        <is>
          <t>A 13659-2023</t>
        </is>
      </c>
      <c r="B5431" s="1" t="n">
        <v>45006</v>
      </c>
      <c r="C5431" s="1" t="n">
        <v>45662</v>
      </c>
      <c r="D5431" t="inlineStr">
        <is>
          <t>NORRBOTTENS LÄN</t>
        </is>
      </c>
      <c r="E5431" t="inlineStr">
        <is>
          <t>PAJALA</t>
        </is>
      </c>
      <c r="F5431" t="inlineStr">
        <is>
          <t>Allmännings- och besparingsskogar</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13683-2023</t>
        </is>
      </c>
      <c r="B5432" s="1" t="n">
        <v>45006</v>
      </c>
      <c r="C5432" s="1" t="n">
        <v>45662</v>
      </c>
      <c r="D5432" t="inlineStr">
        <is>
          <t>NORRBOTTENS LÄN</t>
        </is>
      </c>
      <c r="E5432" t="inlineStr">
        <is>
          <t>PITEÅ</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13682-2023</t>
        </is>
      </c>
      <c r="B5433" s="1" t="n">
        <v>45006</v>
      </c>
      <c r="C5433" s="1" t="n">
        <v>45662</v>
      </c>
      <c r="D5433" t="inlineStr">
        <is>
          <t>NORRBOTTENS LÄN</t>
        </is>
      </c>
      <c r="E5433" t="inlineStr">
        <is>
          <t>PITEÅ</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13802-2023</t>
        </is>
      </c>
      <c r="B5434" s="1" t="n">
        <v>45006</v>
      </c>
      <c r="C5434" s="1" t="n">
        <v>45662</v>
      </c>
      <c r="D5434" t="inlineStr">
        <is>
          <t>NORRBOTTENS LÄN</t>
        </is>
      </c>
      <c r="E5434" t="inlineStr">
        <is>
          <t>KALIX</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13808-2023</t>
        </is>
      </c>
      <c r="B5435" s="1" t="n">
        <v>45006</v>
      </c>
      <c r="C5435" s="1" t="n">
        <v>45662</v>
      </c>
      <c r="D5435" t="inlineStr">
        <is>
          <t>NORRBOTTENS LÄN</t>
        </is>
      </c>
      <c r="E5435" t="inlineStr">
        <is>
          <t>BODEN</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14047-2023</t>
        </is>
      </c>
      <c r="B5436" s="1" t="n">
        <v>45008</v>
      </c>
      <c r="C5436" s="1" t="n">
        <v>45662</v>
      </c>
      <c r="D5436" t="inlineStr">
        <is>
          <t>NORRBOTTENS LÄN</t>
        </is>
      </c>
      <c r="E5436" t="inlineStr">
        <is>
          <t>KALIX</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14128-2023</t>
        </is>
      </c>
      <c r="B5437" s="1" t="n">
        <v>45009</v>
      </c>
      <c r="C5437" s="1" t="n">
        <v>45662</v>
      </c>
      <c r="D5437" t="inlineStr">
        <is>
          <t>NORRBOTTENS LÄN</t>
        </is>
      </c>
      <c r="E5437" t="inlineStr">
        <is>
          <t>LULEÅ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14255-2023</t>
        </is>
      </c>
      <c r="B5438" s="1" t="n">
        <v>45009</v>
      </c>
      <c r="C5438" s="1" t="n">
        <v>45662</v>
      </c>
      <c r="D5438" t="inlineStr">
        <is>
          <t>NORRBOTTENS LÄN</t>
        </is>
      </c>
      <c r="E5438" t="inlineStr">
        <is>
          <t>ÖVERKALIX</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14404-2023</t>
        </is>
      </c>
      <c r="B5439" s="1" t="n">
        <v>45009</v>
      </c>
      <c r="C5439" s="1" t="n">
        <v>45662</v>
      </c>
      <c r="D5439" t="inlineStr">
        <is>
          <t>NORRBOTTENS LÄN</t>
        </is>
      </c>
      <c r="E5439" t="inlineStr">
        <is>
          <t>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14281-2023</t>
        </is>
      </c>
      <c r="B5440" s="1" t="n">
        <v>45010</v>
      </c>
      <c r="C5440" s="1" t="n">
        <v>45662</v>
      </c>
      <c r="D5440" t="inlineStr">
        <is>
          <t>NORRBOTTENS LÄN</t>
        </is>
      </c>
      <c r="E5440" t="inlineStr">
        <is>
          <t>ÖVERTORNEÅ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14298-2023</t>
        </is>
      </c>
      <c r="B5441" s="1" t="n">
        <v>45011</v>
      </c>
      <c r="C5441" s="1" t="n">
        <v>45662</v>
      </c>
      <c r="D5441" t="inlineStr">
        <is>
          <t>NORRBOTTENS LÄN</t>
        </is>
      </c>
      <c r="E5441" t="inlineStr">
        <is>
          <t>ÖVERTORNEÅ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14436-2023</t>
        </is>
      </c>
      <c r="B5442" s="1" t="n">
        <v>45012</v>
      </c>
      <c r="C5442" s="1" t="n">
        <v>45662</v>
      </c>
      <c r="D5442" t="inlineStr">
        <is>
          <t>NORRBOTTENS LÄN</t>
        </is>
      </c>
      <c r="E5442" t="inlineStr">
        <is>
          <t>ÄLVSBYN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14445-2023</t>
        </is>
      </c>
      <c r="B5443" s="1" t="n">
        <v>45012</v>
      </c>
      <c r="C5443" s="1" t="n">
        <v>45662</v>
      </c>
      <c r="D5443" t="inlineStr">
        <is>
          <t>NORRBOTTENS LÄN</t>
        </is>
      </c>
      <c r="E5443" t="inlineStr">
        <is>
          <t>PAJALA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14405-2023</t>
        </is>
      </c>
      <c r="B5444" s="1" t="n">
        <v>45012</v>
      </c>
      <c r="C5444" s="1" t="n">
        <v>45662</v>
      </c>
      <c r="D5444" t="inlineStr">
        <is>
          <t>NORRBOTTENS LÄN</t>
        </is>
      </c>
      <c r="E5444" t="inlineStr">
        <is>
          <t>PAJALA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14409-2023</t>
        </is>
      </c>
      <c r="B5445" s="1" t="n">
        <v>45012</v>
      </c>
      <c r="C5445" s="1" t="n">
        <v>45662</v>
      </c>
      <c r="D5445" t="inlineStr">
        <is>
          <t>NORRBOTTENS LÄN</t>
        </is>
      </c>
      <c r="E5445" t="inlineStr">
        <is>
          <t>PAJALA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14447-2023</t>
        </is>
      </c>
      <c r="B5446" s="1" t="n">
        <v>45012</v>
      </c>
      <c r="C5446" s="1" t="n">
        <v>45662</v>
      </c>
      <c r="D5446" t="inlineStr">
        <is>
          <t>NORRBOTTENS LÄN</t>
        </is>
      </c>
      <c r="E5446" t="inlineStr">
        <is>
          <t>LULEÅ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14573-2023</t>
        </is>
      </c>
      <c r="B5447" s="1" t="n">
        <v>45012</v>
      </c>
      <c r="C5447" s="1" t="n">
        <v>45662</v>
      </c>
      <c r="D5447" t="inlineStr">
        <is>
          <t>NORRBOTTENS LÄN</t>
        </is>
      </c>
      <c r="E5447" t="inlineStr">
        <is>
          <t>PAJALA</t>
        </is>
      </c>
      <c r="F5447" t="inlineStr">
        <is>
          <t>Allmännings- och besparingsskogar</t>
        </is>
      </c>
      <c r="G5447" t="n">
        <v>48.8</v>
      </c>
      <c r="H5447" t="n">
        <v>0</v>
      </c>
      <c r="I5447" t="n">
        <v>0</v>
      </c>
      <c r="J5447" t="n">
        <v>0</v>
      </c>
      <c r="K5447" t="n">
        <v>0</v>
      </c>
      <c r="L5447" t="n">
        <v>0</v>
      </c>
      <c r="M5447" t="n">
        <v>0</v>
      </c>
      <c r="N5447" t="n">
        <v>0</v>
      </c>
      <c r="O5447" t="n">
        <v>0</v>
      </c>
      <c r="P5447" t="n">
        <v>0</v>
      </c>
      <c r="Q5447" t="n">
        <v>0</v>
      </c>
      <c r="R5447" s="2" t="inlineStr"/>
    </row>
    <row r="5448" ht="15" customHeight="1">
      <c r="A5448" t="inlineStr">
        <is>
          <t>A 14522-2023</t>
        </is>
      </c>
      <c r="B5448" s="1" t="n">
        <v>45013</v>
      </c>
      <c r="C5448" s="1" t="n">
        <v>45662</v>
      </c>
      <c r="D5448" t="inlineStr">
        <is>
          <t>NORRBOTTENS LÄN</t>
        </is>
      </c>
      <c r="E5448" t="inlineStr">
        <is>
          <t>PITEÅ</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14574-2023</t>
        </is>
      </c>
      <c r="B5449" s="1" t="n">
        <v>45012</v>
      </c>
      <c r="C5449" s="1" t="n">
        <v>45662</v>
      </c>
      <c r="D5449" t="inlineStr">
        <is>
          <t>NORRBOTTENS LÄN</t>
        </is>
      </c>
      <c r="E5449" t="inlineStr">
        <is>
          <t>PAJALA</t>
        </is>
      </c>
      <c r="F5449" t="inlineStr">
        <is>
          <t>Allmännings- och besparingsskogar</t>
        </is>
      </c>
      <c r="G5449" t="n">
        <v>31.2</v>
      </c>
      <c r="H5449" t="n">
        <v>0</v>
      </c>
      <c r="I5449" t="n">
        <v>0</v>
      </c>
      <c r="J5449" t="n">
        <v>0</v>
      </c>
      <c r="K5449" t="n">
        <v>0</v>
      </c>
      <c r="L5449" t="n">
        <v>0</v>
      </c>
      <c r="M5449" t="n">
        <v>0</v>
      </c>
      <c r="N5449" t="n">
        <v>0</v>
      </c>
      <c r="O5449" t="n">
        <v>0</v>
      </c>
      <c r="P5449" t="n">
        <v>0</v>
      </c>
      <c r="Q5449" t="n">
        <v>0</v>
      </c>
      <c r="R5449" s="2" t="inlineStr"/>
    </row>
    <row r="5450" ht="15" customHeight="1">
      <c r="A5450" t="inlineStr">
        <is>
          <t>A 14613-2023</t>
        </is>
      </c>
      <c r="B5450" s="1" t="n">
        <v>45013</v>
      </c>
      <c r="C5450" s="1" t="n">
        <v>45662</v>
      </c>
      <c r="D5450" t="inlineStr">
        <is>
          <t>NORRBOTTENS LÄN</t>
        </is>
      </c>
      <c r="E5450" t="inlineStr">
        <is>
          <t>ARVIDSJAUR</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14748-2023</t>
        </is>
      </c>
      <c r="B5451" s="1" t="n">
        <v>45013</v>
      </c>
      <c r="C5451" s="1" t="n">
        <v>45662</v>
      </c>
      <c r="D5451" t="inlineStr">
        <is>
          <t>NORRBOTTENS LÄN</t>
        </is>
      </c>
      <c r="E5451" t="inlineStr">
        <is>
          <t>BODEN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14738-2023</t>
        </is>
      </c>
      <c r="B5452" s="1" t="n">
        <v>45013</v>
      </c>
      <c r="C5452" s="1" t="n">
        <v>45662</v>
      </c>
      <c r="D5452" t="inlineStr">
        <is>
          <t>NORRBOTTENS LÄN</t>
        </is>
      </c>
      <c r="E5452" t="inlineStr">
        <is>
          <t>BODEN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14761-2023</t>
        </is>
      </c>
      <c r="B5453" s="1" t="n">
        <v>45013</v>
      </c>
      <c r="C5453" s="1" t="n">
        <v>45662</v>
      </c>
      <c r="D5453" t="inlineStr">
        <is>
          <t>NORRBOTTENS LÄN</t>
        </is>
      </c>
      <c r="E5453" t="inlineStr">
        <is>
          <t>KALIX</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14743-2023</t>
        </is>
      </c>
      <c r="B5454" s="1" t="n">
        <v>45013</v>
      </c>
      <c r="C5454" s="1" t="n">
        <v>45662</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14803-2023</t>
        </is>
      </c>
      <c r="B5455" s="1" t="n">
        <v>45013</v>
      </c>
      <c r="C5455" s="1" t="n">
        <v>45662</v>
      </c>
      <c r="D5455" t="inlineStr">
        <is>
          <t>NORRBOTTENS LÄN</t>
        </is>
      </c>
      <c r="E5455" t="inlineStr">
        <is>
          <t>LULEÅ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14757-2023</t>
        </is>
      </c>
      <c r="B5456" s="1" t="n">
        <v>45014</v>
      </c>
      <c r="C5456" s="1" t="n">
        <v>45662</v>
      </c>
      <c r="D5456" t="inlineStr">
        <is>
          <t>NORRBOTTENS LÄN</t>
        </is>
      </c>
      <c r="E5456" t="inlineStr">
        <is>
          <t>BODEN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14886-2023</t>
        </is>
      </c>
      <c r="B5457" s="1" t="n">
        <v>45015</v>
      </c>
      <c r="C5457" s="1" t="n">
        <v>45662</v>
      </c>
      <c r="D5457" t="inlineStr">
        <is>
          <t>NORRBOTTENS LÄN</t>
        </is>
      </c>
      <c r="E5457" t="inlineStr">
        <is>
          <t>PITEÅ</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14862-2023</t>
        </is>
      </c>
      <c r="B5458" s="1" t="n">
        <v>45015</v>
      </c>
      <c r="C5458" s="1" t="n">
        <v>45662</v>
      </c>
      <c r="D5458" t="inlineStr">
        <is>
          <t>NORRBOTTENS LÄN</t>
        </is>
      </c>
      <c r="E5458" t="inlineStr">
        <is>
          <t>PITEÅ</t>
        </is>
      </c>
      <c r="F5458" t="inlineStr">
        <is>
          <t>SCA</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14997-2023</t>
        </is>
      </c>
      <c r="B5459" s="1" t="n">
        <v>45015</v>
      </c>
      <c r="C5459" s="1" t="n">
        <v>45662</v>
      </c>
      <c r="D5459" t="inlineStr">
        <is>
          <t>NORRBOTTENS LÄN</t>
        </is>
      </c>
      <c r="E5459" t="inlineStr">
        <is>
          <t>PITEÅ</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15072-2023</t>
        </is>
      </c>
      <c r="B5460" s="1" t="n">
        <v>45015</v>
      </c>
      <c r="C5460" s="1" t="n">
        <v>45662</v>
      </c>
      <c r="D5460" t="inlineStr">
        <is>
          <t>NORRBOTTENS LÄN</t>
        </is>
      </c>
      <c r="E5460" t="inlineStr">
        <is>
          <t>GÄLLIVARE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15076-2023</t>
        </is>
      </c>
      <c r="B5461" s="1" t="n">
        <v>45016</v>
      </c>
      <c r="C5461" s="1" t="n">
        <v>45662</v>
      </c>
      <c r="D5461" t="inlineStr">
        <is>
          <t>NORRBOTTENS LÄN</t>
        </is>
      </c>
      <c r="E5461" t="inlineStr">
        <is>
          <t>ÄLVSBYN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15127-2023</t>
        </is>
      </c>
      <c r="B5462" s="1" t="n">
        <v>45016</v>
      </c>
      <c r="C5462" s="1" t="n">
        <v>45662</v>
      </c>
      <c r="D5462" t="inlineStr">
        <is>
          <t>NORRBOTTENS LÄN</t>
        </is>
      </c>
      <c r="E5462" t="inlineStr">
        <is>
          <t>LULEÅ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15251-2023</t>
        </is>
      </c>
      <c r="B5463" s="1" t="n">
        <v>45016</v>
      </c>
      <c r="C5463" s="1" t="n">
        <v>45662</v>
      </c>
      <c r="D5463" t="inlineStr">
        <is>
          <t>NORRBOTTENS LÄN</t>
        </is>
      </c>
      <c r="E5463" t="inlineStr">
        <is>
          <t>ÄLVSBYN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15255-2023</t>
        </is>
      </c>
      <c r="B5464" s="1" t="n">
        <v>45016</v>
      </c>
      <c r="C5464" s="1" t="n">
        <v>45662</v>
      </c>
      <c r="D5464" t="inlineStr">
        <is>
          <t>NORRBOTTENS LÄN</t>
        </is>
      </c>
      <c r="E5464" t="inlineStr">
        <is>
          <t>ÄLVSBYN</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15250-2023</t>
        </is>
      </c>
      <c r="B5465" s="1" t="n">
        <v>45016</v>
      </c>
      <c r="C5465" s="1" t="n">
        <v>45662</v>
      </c>
      <c r="D5465" t="inlineStr">
        <is>
          <t>NORRBOTTENS LÄN</t>
        </is>
      </c>
      <c r="E5465" t="inlineStr">
        <is>
          <t>ÄLVSBYN</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15201-2023</t>
        </is>
      </c>
      <c r="B5466" s="1" t="n">
        <v>45017</v>
      </c>
      <c r="C5466" s="1" t="n">
        <v>45662</v>
      </c>
      <c r="D5466" t="inlineStr">
        <is>
          <t>NORRBOTTENS LÄN</t>
        </is>
      </c>
      <c r="E5466" t="inlineStr">
        <is>
          <t>ÖVERTORNEÅ</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15422-2023</t>
        </is>
      </c>
      <c r="B5467" s="1" t="n">
        <v>45019</v>
      </c>
      <c r="C5467" s="1" t="n">
        <v>45662</v>
      </c>
      <c r="D5467" t="inlineStr">
        <is>
          <t>NORRBOTTENS LÄN</t>
        </is>
      </c>
      <c r="E5467" t="inlineStr">
        <is>
          <t>PAJALA</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15475-2023</t>
        </is>
      </c>
      <c r="B5468" s="1" t="n">
        <v>45020</v>
      </c>
      <c r="C5468" s="1" t="n">
        <v>45662</v>
      </c>
      <c r="D5468" t="inlineStr">
        <is>
          <t>NORRBOTTENS LÄN</t>
        </is>
      </c>
      <c r="E5468" t="inlineStr">
        <is>
          <t>ARVIDSJAUR</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15619-2023</t>
        </is>
      </c>
      <c r="B5469" s="1" t="n">
        <v>45021</v>
      </c>
      <c r="C5469" s="1" t="n">
        <v>45662</v>
      </c>
      <c r="D5469" t="inlineStr">
        <is>
          <t>NORRBOTTENS LÄN</t>
        </is>
      </c>
      <c r="E5469" t="inlineStr">
        <is>
          <t>ÄLVSBYN</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15810-2023</t>
        </is>
      </c>
      <c r="B5470" s="1" t="n">
        <v>45021</v>
      </c>
      <c r="C5470" s="1" t="n">
        <v>45662</v>
      </c>
      <c r="D5470" t="inlineStr">
        <is>
          <t>NORRBOTTENS LÄN</t>
        </is>
      </c>
      <c r="E5470" t="inlineStr">
        <is>
          <t>PITEÅ</t>
        </is>
      </c>
      <c r="G5470" t="n">
        <v>16.6</v>
      </c>
      <c r="H5470" t="n">
        <v>0</v>
      </c>
      <c r="I5470" t="n">
        <v>0</v>
      </c>
      <c r="J5470" t="n">
        <v>0</v>
      </c>
      <c r="K5470" t="n">
        <v>0</v>
      </c>
      <c r="L5470" t="n">
        <v>0</v>
      </c>
      <c r="M5470" t="n">
        <v>0</v>
      </c>
      <c r="N5470" t="n">
        <v>0</v>
      </c>
      <c r="O5470" t="n">
        <v>0</v>
      </c>
      <c r="P5470" t="n">
        <v>0</v>
      </c>
      <c r="Q5470" t="n">
        <v>0</v>
      </c>
      <c r="R5470" s="2" t="inlineStr"/>
    </row>
    <row r="5471" ht="15" customHeight="1">
      <c r="A5471" t="inlineStr">
        <is>
          <t>A 15803-2023</t>
        </is>
      </c>
      <c r="B5471" s="1" t="n">
        <v>45021</v>
      </c>
      <c r="C5471" s="1" t="n">
        <v>45662</v>
      </c>
      <c r="D5471" t="inlineStr">
        <is>
          <t>NORRBOTTENS LÄN</t>
        </is>
      </c>
      <c r="E5471" t="inlineStr">
        <is>
          <t>PITEÅ</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15916-2023</t>
        </is>
      </c>
      <c r="B5472" s="1" t="n">
        <v>45021</v>
      </c>
      <c r="C5472" s="1" t="n">
        <v>45662</v>
      </c>
      <c r="D5472" t="inlineStr">
        <is>
          <t>NORRBOTTENS LÄN</t>
        </is>
      </c>
      <c r="E5472" t="inlineStr">
        <is>
          <t>KALIX</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16108-2023</t>
        </is>
      </c>
      <c r="B5473" s="1" t="n">
        <v>45021</v>
      </c>
      <c r="C5473" s="1" t="n">
        <v>45662</v>
      </c>
      <c r="D5473" t="inlineStr">
        <is>
          <t>NORRBOTTENS LÄN</t>
        </is>
      </c>
      <c r="E5473" t="inlineStr">
        <is>
          <t>LULEÅ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15909-2023</t>
        </is>
      </c>
      <c r="B5474" s="1" t="n">
        <v>45021</v>
      </c>
      <c r="C5474" s="1" t="n">
        <v>45662</v>
      </c>
      <c r="D5474" t="inlineStr">
        <is>
          <t>NORRBOTTENS LÄN</t>
        </is>
      </c>
      <c r="E5474" t="inlineStr">
        <is>
          <t>KALIX</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15868-2023</t>
        </is>
      </c>
      <c r="B5475" s="1" t="n">
        <v>45022</v>
      </c>
      <c r="C5475" s="1" t="n">
        <v>45662</v>
      </c>
      <c r="D5475" t="inlineStr">
        <is>
          <t>NORRBOTTENS LÄN</t>
        </is>
      </c>
      <c r="E5475" t="inlineStr">
        <is>
          <t>BODEN</t>
        </is>
      </c>
      <c r="G5475" t="n">
        <v>24.8</v>
      </c>
      <c r="H5475" t="n">
        <v>0</v>
      </c>
      <c r="I5475" t="n">
        <v>0</v>
      </c>
      <c r="J5475" t="n">
        <v>0</v>
      </c>
      <c r="K5475" t="n">
        <v>0</v>
      </c>
      <c r="L5475" t="n">
        <v>0</v>
      </c>
      <c r="M5475" t="n">
        <v>0</v>
      </c>
      <c r="N5475" t="n">
        <v>0</v>
      </c>
      <c r="O5475" t="n">
        <v>0</v>
      </c>
      <c r="P5475" t="n">
        <v>0</v>
      </c>
      <c r="Q5475" t="n">
        <v>0</v>
      </c>
      <c r="R5475" s="2" t="inlineStr"/>
    </row>
    <row r="5476" ht="15" customHeight="1">
      <c r="A5476" t="inlineStr">
        <is>
          <t>A 15881-2023</t>
        </is>
      </c>
      <c r="B5476" s="1" t="n">
        <v>45022</v>
      </c>
      <c r="C5476" s="1" t="n">
        <v>45662</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15912-2023</t>
        </is>
      </c>
      <c r="B5477" s="1" t="n">
        <v>45022</v>
      </c>
      <c r="C5477" s="1" t="n">
        <v>45662</v>
      </c>
      <c r="D5477" t="inlineStr">
        <is>
          <t>NORRBOTTENS LÄN</t>
        </is>
      </c>
      <c r="E5477" t="inlineStr">
        <is>
          <t>ÖVERTORNEÅ</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15922-2023</t>
        </is>
      </c>
      <c r="B5478" s="1" t="n">
        <v>45022</v>
      </c>
      <c r="C5478" s="1" t="n">
        <v>45662</v>
      </c>
      <c r="D5478" t="inlineStr">
        <is>
          <t>NORRBOTTENS LÄN</t>
        </is>
      </c>
      <c r="E5478" t="inlineStr">
        <is>
          <t>BODEN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16336-2023</t>
        </is>
      </c>
      <c r="B5479" s="1" t="n">
        <v>45022</v>
      </c>
      <c r="C5479" s="1" t="n">
        <v>45662</v>
      </c>
      <c r="D5479" t="inlineStr">
        <is>
          <t>NORRBOTTENS LÄN</t>
        </is>
      </c>
      <c r="E5479" t="inlineStr">
        <is>
          <t>JOKKMOKK</t>
        </is>
      </c>
      <c r="F5479" t="inlineStr">
        <is>
          <t>Övriga statliga verk och myndigheter</t>
        </is>
      </c>
      <c r="G5479" t="n">
        <v>130.2</v>
      </c>
      <c r="H5479" t="n">
        <v>0</v>
      </c>
      <c r="I5479" t="n">
        <v>0</v>
      </c>
      <c r="J5479" t="n">
        <v>0</v>
      </c>
      <c r="K5479" t="n">
        <v>0</v>
      </c>
      <c r="L5479" t="n">
        <v>0</v>
      </c>
      <c r="M5479" t="n">
        <v>0</v>
      </c>
      <c r="N5479" t="n">
        <v>0</v>
      </c>
      <c r="O5479" t="n">
        <v>0</v>
      </c>
      <c r="P5479" t="n">
        <v>0</v>
      </c>
      <c r="Q5479" t="n">
        <v>0</v>
      </c>
      <c r="R5479" s="2" t="inlineStr"/>
    </row>
    <row r="5480" ht="15" customHeight="1">
      <c r="A5480" t="inlineStr">
        <is>
          <t>A 16402-2023</t>
        </is>
      </c>
      <c r="B5480" s="1" t="n">
        <v>45022</v>
      </c>
      <c r="C5480" s="1" t="n">
        <v>45662</v>
      </c>
      <c r="D5480" t="inlineStr">
        <is>
          <t>NORRBOTTENS LÄN</t>
        </is>
      </c>
      <c r="E5480" t="inlineStr">
        <is>
          <t>PAJALA</t>
        </is>
      </c>
      <c r="F5480" t="inlineStr">
        <is>
          <t>Allmännings- och besparingsskogar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16068-2023</t>
        </is>
      </c>
      <c r="B5481" s="1" t="n">
        <v>45027</v>
      </c>
      <c r="C5481" s="1" t="n">
        <v>45662</v>
      </c>
      <c r="D5481" t="inlineStr">
        <is>
          <t>NORRBOTTENS LÄN</t>
        </is>
      </c>
      <c r="E5481" t="inlineStr">
        <is>
          <t>GÄLLIVARE</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16184-2023</t>
        </is>
      </c>
      <c r="B5482" s="1" t="n">
        <v>45027</v>
      </c>
      <c r="C5482" s="1" t="n">
        <v>45662</v>
      </c>
      <c r="D5482" t="inlineStr">
        <is>
          <t>NORRBOTTENS LÄN</t>
        </is>
      </c>
      <c r="E5482" t="inlineStr">
        <is>
          <t>PAJALA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16233-2023</t>
        </is>
      </c>
      <c r="B5483" s="1" t="n">
        <v>45028</v>
      </c>
      <c r="C5483" s="1" t="n">
        <v>45662</v>
      </c>
      <c r="D5483" t="inlineStr">
        <is>
          <t>NORRBOTTENS LÄN</t>
        </is>
      </c>
      <c r="E5483" t="inlineStr">
        <is>
          <t>PITEÅ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16864-2023</t>
        </is>
      </c>
      <c r="B5484" s="1" t="n">
        <v>45028</v>
      </c>
      <c r="C5484" s="1" t="n">
        <v>45662</v>
      </c>
      <c r="D5484" t="inlineStr">
        <is>
          <t>NORRBOTTENS LÄN</t>
        </is>
      </c>
      <c r="E5484" t="inlineStr">
        <is>
          <t>JOKKMOKK</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16847-2023</t>
        </is>
      </c>
      <c r="B5485" s="1" t="n">
        <v>45028</v>
      </c>
      <c r="C5485" s="1" t="n">
        <v>45662</v>
      </c>
      <c r="D5485" t="inlineStr">
        <is>
          <t>NORRBOTTENS LÄN</t>
        </is>
      </c>
      <c r="E5485" t="inlineStr">
        <is>
          <t>JOKKMOKK</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16363-2023</t>
        </is>
      </c>
      <c r="B5486" s="1" t="n">
        <v>45028</v>
      </c>
      <c r="C5486" s="1" t="n">
        <v>45662</v>
      </c>
      <c r="D5486" t="inlineStr">
        <is>
          <t>NORRBOTTENS LÄN</t>
        </is>
      </c>
      <c r="E5486" t="inlineStr">
        <is>
          <t>BODEN</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18537-2023</t>
        </is>
      </c>
      <c r="B5487" s="1" t="n">
        <v>45028</v>
      </c>
      <c r="C5487" s="1" t="n">
        <v>45662</v>
      </c>
      <c r="D5487" t="inlineStr">
        <is>
          <t>NORRBOTTENS LÄN</t>
        </is>
      </c>
      <c r="E5487" t="inlineStr">
        <is>
          <t>JOKKMOKK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16914-2023</t>
        </is>
      </c>
      <c r="B5488" s="1" t="n">
        <v>45028</v>
      </c>
      <c r="C5488" s="1" t="n">
        <v>45662</v>
      </c>
      <c r="D5488" t="inlineStr">
        <is>
          <t>NORRBOTTENS LÄN</t>
        </is>
      </c>
      <c r="E5488" t="inlineStr">
        <is>
          <t>ÄLVSBYN</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16560-2023</t>
        </is>
      </c>
      <c r="B5489" s="1" t="n">
        <v>45029</v>
      </c>
      <c r="C5489" s="1" t="n">
        <v>45662</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16557-2023</t>
        </is>
      </c>
      <c r="B5490" s="1" t="n">
        <v>45030</v>
      </c>
      <c r="C5490" s="1" t="n">
        <v>45662</v>
      </c>
      <c r="D5490" t="inlineStr">
        <is>
          <t>NORRBOTTENS LÄN</t>
        </is>
      </c>
      <c r="E5490" t="inlineStr">
        <is>
          <t>PITEÅ</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16754-2023</t>
        </is>
      </c>
      <c r="B5491" s="1" t="n">
        <v>45030</v>
      </c>
      <c r="C5491" s="1" t="n">
        <v>45662</v>
      </c>
      <c r="D5491" t="inlineStr">
        <is>
          <t>NORRBOTTENS LÄN</t>
        </is>
      </c>
      <c r="E5491" t="inlineStr">
        <is>
          <t>GÄLLIVARE</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16769-2023</t>
        </is>
      </c>
      <c r="B5492" s="1" t="n">
        <v>45031</v>
      </c>
      <c r="C5492" s="1" t="n">
        <v>45662</v>
      </c>
      <c r="D5492" t="inlineStr">
        <is>
          <t>NORRBOTTENS LÄN</t>
        </is>
      </c>
      <c r="E5492" t="inlineStr">
        <is>
          <t>PAJALA</t>
        </is>
      </c>
      <c r="G5492" t="n">
        <v>35.6</v>
      </c>
      <c r="H5492" t="n">
        <v>0</v>
      </c>
      <c r="I5492" t="n">
        <v>0</v>
      </c>
      <c r="J5492" t="n">
        <v>0</v>
      </c>
      <c r="K5492" t="n">
        <v>0</v>
      </c>
      <c r="L5492" t="n">
        <v>0</v>
      </c>
      <c r="M5492" t="n">
        <v>0</v>
      </c>
      <c r="N5492" t="n">
        <v>0</v>
      </c>
      <c r="O5492" t="n">
        <v>0</v>
      </c>
      <c r="P5492" t="n">
        <v>0</v>
      </c>
      <c r="Q5492" t="n">
        <v>0</v>
      </c>
      <c r="R5492" s="2" t="inlineStr"/>
    </row>
    <row r="5493" ht="15" customHeight="1">
      <c r="A5493" t="inlineStr">
        <is>
          <t>A 16973-2023</t>
        </is>
      </c>
      <c r="B5493" s="1" t="n">
        <v>45033</v>
      </c>
      <c r="C5493" s="1" t="n">
        <v>45662</v>
      </c>
      <c r="D5493" t="inlineStr">
        <is>
          <t>NORRBOTTENS LÄN</t>
        </is>
      </c>
      <c r="E5493" t="inlineStr">
        <is>
          <t>GÄLLIVARE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16991-2023</t>
        </is>
      </c>
      <c r="B5494" s="1" t="n">
        <v>45033</v>
      </c>
      <c r="C5494" s="1" t="n">
        <v>45662</v>
      </c>
      <c r="D5494" t="inlineStr">
        <is>
          <t>NORRBOTTENS LÄN</t>
        </is>
      </c>
      <c r="E5494" t="inlineStr">
        <is>
          <t>ÄLVSBYN</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16952-2023</t>
        </is>
      </c>
      <c r="B5495" s="1" t="n">
        <v>45033</v>
      </c>
      <c r="C5495" s="1" t="n">
        <v>45662</v>
      </c>
      <c r="D5495" t="inlineStr">
        <is>
          <t>NORRBOTTENS LÄN</t>
        </is>
      </c>
      <c r="E5495" t="inlineStr">
        <is>
          <t>GÄLLIVARE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17000-2023</t>
        </is>
      </c>
      <c r="B5496" s="1" t="n">
        <v>45033</v>
      </c>
      <c r="C5496" s="1" t="n">
        <v>45662</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17536-2023</t>
        </is>
      </c>
      <c r="B5497" s="1" t="n">
        <v>45034</v>
      </c>
      <c r="C5497" s="1" t="n">
        <v>45662</v>
      </c>
      <c r="D5497" t="inlineStr">
        <is>
          <t>NORRBOTTENS LÄN</t>
        </is>
      </c>
      <c r="E5497" t="inlineStr">
        <is>
          <t>ARJEPLOG</t>
        </is>
      </c>
      <c r="F5497" t="inlineStr">
        <is>
          <t>Övriga statliga verk och myndigheter</t>
        </is>
      </c>
      <c r="G5497" t="n">
        <v>20.3</v>
      </c>
      <c r="H5497" t="n">
        <v>0</v>
      </c>
      <c r="I5497" t="n">
        <v>0</v>
      </c>
      <c r="J5497" t="n">
        <v>0</v>
      </c>
      <c r="K5497" t="n">
        <v>0</v>
      </c>
      <c r="L5497" t="n">
        <v>0</v>
      </c>
      <c r="M5497" t="n">
        <v>0</v>
      </c>
      <c r="N5497" t="n">
        <v>0</v>
      </c>
      <c r="O5497" t="n">
        <v>0</v>
      </c>
      <c r="P5497" t="n">
        <v>0</v>
      </c>
      <c r="Q5497" t="n">
        <v>0</v>
      </c>
      <c r="R5497" s="2" t="inlineStr"/>
    </row>
    <row r="5498" ht="15" customHeight="1">
      <c r="A5498" t="inlineStr">
        <is>
          <t>A 17418-2023</t>
        </is>
      </c>
      <c r="B5498" s="1" t="n">
        <v>45036</v>
      </c>
      <c r="C5498" s="1" t="n">
        <v>45662</v>
      </c>
      <c r="D5498" t="inlineStr">
        <is>
          <t>NORRBOTTENS LÄN</t>
        </is>
      </c>
      <c r="E5498" t="inlineStr">
        <is>
          <t>PITEÅ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17422-2023</t>
        </is>
      </c>
      <c r="B5499" s="1" t="n">
        <v>45036</v>
      </c>
      <c r="C5499" s="1" t="n">
        <v>45662</v>
      </c>
      <c r="D5499" t="inlineStr">
        <is>
          <t>NORRBOTTENS LÄN</t>
        </is>
      </c>
      <c r="E5499" t="inlineStr">
        <is>
          <t>PITEÅ</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17419-2023</t>
        </is>
      </c>
      <c r="B5500" s="1" t="n">
        <v>45035</v>
      </c>
      <c r="C5500" s="1" t="n">
        <v>45662</v>
      </c>
      <c r="D5500" t="inlineStr">
        <is>
          <t>NORRBOTTENS LÄN</t>
        </is>
      </c>
      <c r="E5500" t="inlineStr">
        <is>
          <t>LULEÅ</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17423-2023</t>
        </is>
      </c>
      <c r="B5501" s="1" t="n">
        <v>45036</v>
      </c>
      <c r="C5501" s="1" t="n">
        <v>45662</v>
      </c>
      <c r="D5501" t="inlineStr">
        <is>
          <t>NORRBOTTENS LÄN</t>
        </is>
      </c>
      <c r="E5501" t="inlineStr">
        <is>
          <t>PITEÅ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17438-2023</t>
        </is>
      </c>
      <c r="B5502" s="1" t="n">
        <v>45036</v>
      </c>
      <c r="C5502" s="1" t="n">
        <v>45662</v>
      </c>
      <c r="D5502" t="inlineStr">
        <is>
          <t>NORRBOTTENS LÄN</t>
        </is>
      </c>
      <c r="E5502" t="inlineStr">
        <is>
          <t>LULEÅ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17447-2023</t>
        </is>
      </c>
      <c r="B5503" s="1" t="n">
        <v>45035</v>
      </c>
      <c r="C5503" s="1" t="n">
        <v>45662</v>
      </c>
      <c r="D5503" t="inlineStr">
        <is>
          <t>NORRBOTTENS LÄN</t>
        </is>
      </c>
      <c r="E5503" t="inlineStr">
        <is>
          <t>PITEÅ</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17420-2023</t>
        </is>
      </c>
      <c r="B5504" s="1" t="n">
        <v>45036</v>
      </c>
      <c r="C5504" s="1" t="n">
        <v>45662</v>
      </c>
      <c r="D5504" t="inlineStr">
        <is>
          <t>NORRBOTTENS LÄN</t>
        </is>
      </c>
      <c r="E5504" t="inlineStr">
        <is>
          <t>PITEÅ</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17424-2023</t>
        </is>
      </c>
      <c r="B5505" s="1" t="n">
        <v>45035</v>
      </c>
      <c r="C5505" s="1" t="n">
        <v>45662</v>
      </c>
      <c r="D5505" t="inlineStr">
        <is>
          <t>NORRBOTTENS LÄN</t>
        </is>
      </c>
      <c r="E5505" t="inlineStr">
        <is>
          <t>PITEÅ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17445-2023</t>
        </is>
      </c>
      <c r="B5506" s="1" t="n">
        <v>45035</v>
      </c>
      <c r="C5506" s="1" t="n">
        <v>45662</v>
      </c>
      <c r="D5506" t="inlineStr">
        <is>
          <t>NORRBOTTENS LÄN</t>
        </is>
      </c>
      <c r="E5506" t="inlineStr">
        <is>
          <t>ÄLVSBYN</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17427-2023</t>
        </is>
      </c>
      <c r="B5507" s="1" t="n">
        <v>45035</v>
      </c>
      <c r="C5507" s="1" t="n">
        <v>45662</v>
      </c>
      <c r="D5507" t="inlineStr">
        <is>
          <t>NORRBOTTENS LÄN</t>
        </is>
      </c>
      <c r="E5507" t="inlineStr">
        <is>
          <t>LULEÅ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17435-2023</t>
        </is>
      </c>
      <c r="B5508" s="1" t="n">
        <v>45036</v>
      </c>
      <c r="C5508" s="1" t="n">
        <v>45662</v>
      </c>
      <c r="D5508" t="inlineStr">
        <is>
          <t>NORRBOTTENS LÄN</t>
        </is>
      </c>
      <c r="E5508" t="inlineStr">
        <is>
          <t>KALIX</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17439-2023</t>
        </is>
      </c>
      <c r="B5509" s="1" t="n">
        <v>45036</v>
      </c>
      <c r="C5509" s="1" t="n">
        <v>45662</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17417-2023</t>
        </is>
      </c>
      <c r="B5510" s="1" t="n">
        <v>45035</v>
      </c>
      <c r="C5510" s="1" t="n">
        <v>45662</v>
      </c>
      <c r="D5510" t="inlineStr">
        <is>
          <t>NORRBOTTENS LÄN</t>
        </is>
      </c>
      <c r="E5510" t="inlineStr">
        <is>
          <t>BODEN</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17421-2023</t>
        </is>
      </c>
      <c r="B5511" s="1" t="n">
        <v>45036</v>
      </c>
      <c r="C5511" s="1" t="n">
        <v>45662</v>
      </c>
      <c r="D5511" t="inlineStr">
        <is>
          <t>NORRBOTTENS LÄN</t>
        </is>
      </c>
      <c r="E5511" t="inlineStr">
        <is>
          <t>LULEÅ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17425-2023</t>
        </is>
      </c>
      <c r="B5512" s="1" t="n">
        <v>45035</v>
      </c>
      <c r="C5512" s="1" t="n">
        <v>45662</v>
      </c>
      <c r="D5512" t="inlineStr">
        <is>
          <t>NORRBOTTENS LÄN</t>
        </is>
      </c>
      <c r="E5512" t="inlineStr">
        <is>
          <t>LULEÅ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17490-2023</t>
        </is>
      </c>
      <c r="B5513" s="1" t="n">
        <v>45036</v>
      </c>
      <c r="C5513" s="1" t="n">
        <v>45662</v>
      </c>
      <c r="D5513" t="inlineStr">
        <is>
          <t>NORRBOTTENS LÄN</t>
        </is>
      </c>
      <c r="E5513" t="inlineStr">
        <is>
          <t>ÖVERTORNEÅ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17661-2023</t>
        </is>
      </c>
      <c r="B5514" s="1" t="n">
        <v>45036</v>
      </c>
      <c r="C5514" s="1" t="n">
        <v>45662</v>
      </c>
      <c r="D5514" t="inlineStr">
        <is>
          <t>NORRBOTTENS LÄN</t>
        </is>
      </c>
      <c r="E5514" t="inlineStr">
        <is>
          <t>KALIX</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17491-2023</t>
        </is>
      </c>
      <c r="B5515" s="1" t="n">
        <v>45036</v>
      </c>
      <c r="C5515" s="1" t="n">
        <v>45662</v>
      </c>
      <c r="D5515" t="inlineStr">
        <is>
          <t>NORRBOTTENS LÄN</t>
        </is>
      </c>
      <c r="E5515" t="inlineStr">
        <is>
          <t>PAJALA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17498-2023</t>
        </is>
      </c>
      <c r="B5516" s="1" t="n">
        <v>45036</v>
      </c>
      <c r="C5516" s="1" t="n">
        <v>45662</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17505-2023</t>
        </is>
      </c>
      <c r="B5517" s="1" t="n">
        <v>45036</v>
      </c>
      <c r="C5517" s="1" t="n">
        <v>45662</v>
      </c>
      <c r="D5517" t="inlineStr">
        <is>
          <t>NORRBOTTENS LÄN</t>
        </is>
      </c>
      <c r="E5517" t="inlineStr">
        <is>
          <t>HAPARANDA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17823-2023</t>
        </is>
      </c>
      <c r="B5518" s="1" t="n">
        <v>45036</v>
      </c>
      <c r="C5518" s="1" t="n">
        <v>45662</v>
      </c>
      <c r="D5518" t="inlineStr">
        <is>
          <t>NORRBOTTENS LÄN</t>
        </is>
      </c>
      <c r="E5518" t="inlineStr">
        <is>
          <t>PAJALA</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17829-2023</t>
        </is>
      </c>
      <c r="B5519" s="1" t="n">
        <v>45036</v>
      </c>
      <c r="C5519" s="1" t="n">
        <v>45662</v>
      </c>
      <c r="D5519" t="inlineStr">
        <is>
          <t>NORRBOTTENS LÄN</t>
        </is>
      </c>
      <c r="E5519" t="inlineStr">
        <is>
          <t>PAJALA</t>
        </is>
      </c>
      <c r="G5519" t="n">
        <v>41.2</v>
      </c>
      <c r="H5519" t="n">
        <v>0</v>
      </c>
      <c r="I5519" t="n">
        <v>0</v>
      </c>
      <c r="J5519" t="n">
        <v>0</v>
      </c>
      <c r="K5519" t="n">
        <v>0</v>
      </c>
      <c r="L5519" t="n">
        <v>0</v>
      </c>
      <c r="M5519" t="n">
        <v>0</v>
      </c>
      <c r="N5519" t="n">
        <v>0</v>
      </c>
      <c r="O5519" t="n">
        <v>0</v>
      </c>
      <c r="P5519" t="n">
        <v>0</v>
      </c>
      <c r="Q5519" t="n">
        <v>0</v>
      </c>
      <c r="R5519" s="2" t="inlineStr"/>
    </row>
    <row r="5520" ht="15" customHeight="1">
      <c r="A5520" t="inlineStr">
        <is>
          <t>A 17771-2023</t>
        </is>
      </c>
      <c r="B5520" s="1" t="n">
        <v>45036</v>
      </c>
      <c r="C5520" s="1" t="n">
        <v>45662</v>
      </c>
      <c r="D5520" t="inlineStr">
        <is>
          <t>NORRBOTTENS LÄN</t>
        </is>
      </c>
      <c r="E5520" t="inlineStr">
        <is>
          <t>ARVIDSJAUR</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17856-2023</t>
        </is>
      </c>
      <c r="B5521" s="1" t="n">
        <v>45037</v>
      </c>
      <c r="C5521" s="1" t="n">
        <v>45662</v>
      </c>
      <c r="D5521" t="inlineStr">
        <is>
          <t>NORRBOTTENS LÄN</t>
        </is>
      </c>
      <c r="E5521" t="inlineStr">
        <is>
          <t>KALIX</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17889-2023</t>
        </is>
      </c>
      <c r="B5522" s="1" t="n">
        <v>45037</v>
      </c>
      <c r="C5522" s="1" t="n">
        <v>45662</v>
      </c>
      <c r="D5522" t="inlineStr">
        <is>
          <t>NORRBOTTENS LÄN</t>
        </is>
      </c>
      <c r="E5522" t="inlineStr">
        <is>
          <t>ÖVERTORNEÅ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17896-2023</t>
        </is>
      </c>
      <c r="B5523" s="1" t="n">
        <v>45039</v>
      </c>
      <c r="C5523" s="1" t="n">
        <v>45662</v>
      </c>
      <c r="D5523" t="inlineStr">
        <is>
          <t>NORRBOTTENS LÄN</t>
        </is>
      </c>
      <c r="E5523" t="inlineStr">
        <is>
          <t>ÖVERTORNEÅ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18166-2023</t>
        </is>
      </c>
      <c r="B5524" s="1" t="n">
        <v>45041</v>
      </c>
      <c r="C5524" s="1" t="n">
        <v>45662</v>
      </c>
      <c r="D5524" t="inlineStr">
        <is>
          <t>NORRBOTTENS LÄN</t>
        </is>
      </c>
      <c r="E5524" t="inlineStr">
        <is>
          <t>LULEÅ</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18208-2023</t>
        </is>
      </c>
      <c r="B5525" s="1" t="n">
        <v>45040</v>
      </c>
      <c r="C5525" s="1" t="n">
        <v>45662</v>
      </c>
      <c r="D5525" t="inlineStr">
        <is>
          <t>NORRBOTTENS LÄN</t>
        </is>
      </c>
      <c r="E5525" t="inlineStr">
        <is>
          <t>LULEÅ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17999-2023</t>
        </is>
      </c>
      <c r="B5526" s="1" t="n">
        <v>45040</v>
      </c>
      <c r="C5526" s="1" t="n">
        <v>45662</v>
      </c>
      <c r="D5526" t="inlineStr">
        <is>
          <t>NORRBOTTENS LÄN</t>
        </is>
      </c>
      <c r="E5526" t="inlineStr">
        <is>
          <t>JOKKMOKK</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18358-2023</t>
        </is>
      </c>
      <c r="B5527" s="1" t="n">
        <v>45042</v>
      </c>
      <c r="C5527" s="1" t="n">
        <v>45662</v>
      </c>
      <c r="D5527" t="inlineStr">
        <is>
          <t>NORRBOTTENS LÄN</t>
        </is>
      </c>
      <c r="E5527" t="inlineStr">
        <is>
          <t>ÖVERTORNEÅ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18359-2023</t>
        </is>
      </c>
      <c r="B5528" s="1" t="n">
        <v>45041</v>
      </c>
      <c r="C5528" s="1" t="n">
        <v>45662</v>
      </c>
      <c r="D5528" t="inlineStr">
        <is>
          <t>NORRBOTTENS LÄN</t>
        </is>
      </c>
      <c r="E5528" t="inlineStr">
        <is>
          <t>ÖVERTORNEÅ</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18453-2023</t>
        </is>
      </c>
      <c r="B5529" s="1" t="n">
        <v>45041</v>
      </c>
      <c r="C5529" s="1" t="n">
        <v>45662</v>
      </c>
      <c r="D5529" t="inlineStr">
        <is>
          <t>NORRBOTTENS LÄN</t>
        </is>
      </c>
      <c r="E5529" t="inlineStr">
        <is>
          <t>HAPARANDA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18447-2023</t>
        </is>
      </c>
      <c r="B5530" s="1" t="n">
        <v>45041</v>
      </c>
      <c r="C5530" s="1" t="n">
        <v>45662</v>
      </c>
      <c r="D5530" t="inlineStr">
        <is>
          <t>NORRBOTTENS LÄN</t>
        </is>
      </c>
      <c r="E5530" t="inlineStr">
        <is>
          <t>HAPARANDA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18737-2023</t>
        </is>
      </c>
      <c r="B5531" s="1" t="n">
        <v>45042</v>
      </c>
      <c r="C5531" s="1" t="n">
        <v>45662</v>
      </c>
      <c r="D5531" t="inlineStr">
        <is>
          <t>NORRBOTTENS LÄN</t>
        </is>
      </c>
      <c r="E5531" t="inlineStr">
        <is>
          <t>KIRUNA</t>
        </is>
      </c>
      <c r="F5531" t="inlineStr">
        <is>
          <t>Sveaskog</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18550-2023</t>
        </is>
      </c>
      <c r="B5532" s="1" t="n">
        <v>45043</v>
      </c>
      <c r="C5532" s="1" t="n">
        <v>45662</v>
      </c>
      <c r="D5532" t="inlineStr">
        <is>
          <t>NORRBOTTENS LÄN</t>
        </is>
      </c>
      <c r="E5532" t="inlineStr">
        <is>
          <t>PITEÅ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18663-2023</t>
        </is>
      </c>
      <c r="B5533" s="1" t="n">
        <v>45043</v>
      </c>
      <c r="C5533" s="1" t="n">
        <v>45662</v>
      </c>
      <c r="D5533" t="inlineStr">
        <is>
          <t>NORRBOTTENS LÄN</t>
        </is>
      </c>
      <c r="E5533" t="inlineStr">
        <is>
          <t>PAJALA</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18740-2023</t>
        </is>
      </c>
      <c r="B5534" s="1" t="n">
        <v>45043</v>
      </c>
      <c r="C5534" s="1" t="n">
        <v>45662</v>
      </c>
      <c r="D5534" t="inlineStr">
        <is>
          <t>NORRBOTTENS LÄN</t>
        </is>
      </c>
      <c r="E5534" t="inlineStr">
        <is>
          <t>PITEÅ</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18754-2023</t>
        </is>
      </c>
      <c r="B5535" s="1" t="n">
        <v>45043</v>
      </c>
      <c r="C5535" s="1" t="n">
        <v>45662</v>
      </c>
      <c r="D5535" t="inlineStr">
        <is>
          <t>NORRBOTTENS LÄN</t>
        </is>
      </c>
      <c r="E5535" t="inlineStr">
        <is>
          <t>LULEÅ</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18643-2023</t>
        </is>
      </c>
      <c r="B5536" s="1" t="n">
        <v>45043</v>
      </c>
      <c r="C5536" s="1" t="n">
        <v>45662</v>
      </c>
      <c r="D5536" t="inlineStr">
        <is>
          <t>NORRBOTTENS LÄN</t>
        </is>
      </c>
      <c r="E5536" t="inlineStr">
        <is>
          <t>BODEN</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18724-2023</t>
        </is>
      </c>
      <c r="B5537" s="1" t="n">
        <v>45043</v>
      </c>
      <c r="C5537" s="1" t="n">
        <v>45662</v>
      </c>
      <c r="D5537" t="inlineStr">
        <is>
          <t>NORRBOTTENS LÄN</t>
        </is>
      </c>
      <c r="E5537" t="inlineStr">
        <is>
          <t>PITEÅ</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18771-2023</t>
        </is>
      </c>
      <c r="B5538" s="1" t="n">
        <v>45044</v>
      </c>
      <c r="C5538" s="1" t="n">
        <v>45662</v>
      </c>
      <c r="D5538" t="inlineStr">
        <is>
          <t>NORRBOTTENS LÄN</t>
        </is>
      </c>
      <c r="E5538" t="inlineStr">
        <is>
          <t>PITEÅ</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18772-2023</t>
        </is>
      </c>
      <c r="B5539" s="1" t="n">
        <v>45043</v>
      </c>
      <c r="C5539" s="1" t="n">
        <v>45662</v>
      </c>
      <c r="D5539" t="inlineStr">
        <is>
          <t>NORRBOTTENS LÄN</t>
        </is>
      </c>
      <c r="E5539" t="inlineStr">
        <is>
          <t>JOKKMOKK</t>
        </is>
      </c>
      <c r="F5539" t="inlineStr">
        <is>
          <t>SCA</t>
        </is>
      </c>
      <c r="G5539" t="n">
        <v>11.9</v>
      </c>
      <c r="H5539" t="n">
        <v>0</v>
      </c>
      <c r="I5539" t="n">
        <v>0</v>
      </c>
      <c r="J5539" t="n">
        <v>0</v>
      </c>
      <c r="K5539" t="n">
        <v>0</v>
      </c>
      <c r="L5539" t="n">
        <v>0</v>
      </c>
      <c r="M5539" t="n">
        <v>0</v>
      </c>
      <c r="N5539" t="n">
        <v>0</v>
      </c>
      <c r="O5539" t="n">
        <v>0</v>
      </c>
      <c r="P5539" t="n">
        <v>0</v>
      </c>
      <c r="Q5539" t="n">
        <v>0</v>
      </c>
      <c r="R5539" s="2" t="inlineStr"/>
    </row>
    <row r="5540" ht="15" customHeight="1">
      <c r="A5540" t="inlineStr">
        <is>
          <t>A 18935-2023</t>
        </is>
      </c>
      <c r="B5540" s="1" t="n">
        <v>45044</v>
      </c>
      <c r="C5540" s="1" t="n">
        <v>45662</v>
      </c>
      <c r="D5540" t="inlineStr">
        <is>
          <t>NORRBOTTENS LÄN</t>
        </is>
      </c>
      <c r="E5540" t="inlineStr">
        <is>
          <t>ARVIDSJAUR</t>
        </is>
      </c>
      <c r="F5540" t="inlineStr">
        <is>
          <t>Sveaskog</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18983-2023</t>
        </is>
      </c>
      <c r="B5541" s="1" t="n">
        <v>45044</v>
      </c>
      <c r="C5541" s="1" t="n">
        <v>45662</v>
      </c>
      <c r="D5541" t="inlineStr">
        <is>
          <t>NORRBOTTENS LÄN</t>
        </is>
      </c>
      <c r="E5541" t="inlineStr">
        <is>
          <t>BODEN</t>
        </is>
      </c>
      <c r="F5541" t="inlineStr">
        <is>
          <t>SCA</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18855-2023</t>
        </is>
      </c>
      <c r="B5542" s="1" t="n">
        <v>45044</v>
      </c>
      <c r="C5542" s="1" t="n">
        <v>45662</v>
      </c>
      <c r="D5542" t="inlineStr">
        <is>
          <t>NORRBOTTENS LÄN</t>
        </is>
      </c>
      <c r="E5542" t="inlineStr">
        <is>
          <t>HAPARANDA</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18934-2023</t>
        </is>
      </c>
      <c r="B5543" s="1" t="n">
        <v>45044</v>
      </c>
      <c r="C5543" s="1" t="n">
        <v>45662</v>
      </c>
      <c r="D5543" t="inlineStr">
        <is>
          <t>NORRBOTTENS LÄN</t>
        </is>
      </c>
      <c r="E5543" t="inlineStr">
        <is>
          <t>ARVIDSJAUR</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19142-2023</t>
        </is>
      </c>
      <c r="B5544" s="1" t="n">
        <v>45044</v>
      </c>
      <c r="C5544" s="1" t="n">
        <v>45662</v>
      </c>
      <c r="D5544" t="inlineStr">
        <is>
          <t>NORRBOTTENS LÄN</t>
        </is>
      </c>
      <c r="E5544" t="inlineStr">
        <is>
          <t>ÄLVSBYN</t>
        </is>
      </c>
      <c r="G5544" t="n">
        <v>11.4</v>
      </c>
      <c r="H5544" t="n">
        <v>0</v>
      </c>
      <c r="I5544" t="n">
        <v>0</v>
      </c>
      <c r="J5544" t="n">
        <v>0</v>
      </c>
      <c r="K5544" t="n">
        <v>0</v>
      </c>
      <c r="L5544" t="n">
        <v>0</v>
      </c>
      <c r="M5544" t="n">
        <v>0</v>
      </c>
      <c r="N5544" t="n">
        <v>0</v>
      </c>
      <c r="O5544" t="n">
        <v>0</v>
      </c>
      <c r="P5544" t="n">
        <v>0</v>
      </c>
      <c r="Q5544" t="n">
        <v>0</v>
      </c>
      <c r="R5544" s="2" t="inlineStr"/>
    </row>
    <row r="5545" ht="15" customHeight="1">
      <c r="A5545" t="inlineStr">
        <is>
          <t>A 19155-2023</t>
        </is>
      </c>
      <c r="B5545" s="1" t="n">
        <v>45044</v>
      </c>
      <c r="C5545" s="1" t="n">
        <v>45662</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19146-2023</t>
        </is>
      </c>
      <c r="B5546" s="1" t="n">
        <v>45044</v>
      </c>
      <c r="C5546" s="1" t="n">
        <v>45662</v>
      </c>
      <c r="D5546" t="inlineStr">
        <is>
          <t>NORRBOTTENS LÄN</t>
        </is>
      </c>
      <c r="E5546" t="inlineStr">
        <is>
          <t>KALIX</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19195-2023</t>
        </is>
      </c>
      <c r="B5547" s="1" t="n">
        <v>45048</v>
      </c>
      <c r="C5547" s="1" t="n">
        <v>45662</v>
      </c>
      <c r="D5547" t="inlineStr">
        <is>
          <t>NORRBOTTENS LÄN</t>
        </is>
      </c>
      <c r="E5547" t="inlineStr">
        <is>
          <t>HAPARANDA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19297-2023</t>
        </is>
      </c>
      <c r="B5548" s="1" t="n">
        <v>45048</v>
      </c>
      <c r="C5548" s="1" t="n">
        <v>45662</v>
      </c>
      <c r="D5548" t="inlineStr">
        <is>
          <t>NORRBOTTENS LÄN</t>
        </is>
      </c>
      <c r="E5548" t="inlineStr">
        <is>
          <t>KALIX</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19312-2023</t>
        </is>
      </c>
      <c r="B5549" s="1" t="n">
        <v>45048</v>
      </c>
      <c r="C5549" s="1" t="n">
        <v>45662</v>
      </c>
      <c r="D5549" t="inlineStr">
        <is>
          <t>NORRBOTTENS LÄN</t>
        </is>
      </c>
      <c r="E5549" t="inlineStr">
        <is>
          <t>ÖVERTORNEÅ</t>
        </is>
      </c>
      <c r="G5549" t="n">
        <v>30.7</v>
      </c>
      <c r="H5549" t="n">
        <v>0</v>
      </c>
      <c r="I5549" t="n">
        <v>0</v>
      </c>
      <c r="J5549" t="n">
        <v>0</v>
      </c>
      <c r="K5549" t="n">
        <v>0</v>
      </c>
      <c r="L5549" t="n">
        <v>0</v>
      </c>
      <c r="M5549" t="n">
        <v>0</v>
      </c>
      <c r="N5549" t="n">
        <v>0</v>
      </c>
      <c r="O5549" t="n">
        <v>0</v>
      </c>
      <c r="P5549" t="n">
        <v>0</v>
      </c>
      <c r="Q5549" t="n">
        <v>0</v>
      </c>
      <c r="R5549" s="2" t="inlineStr"/>
    </row>
    <row r="5550" ht="15" customHeight="1">
      <c r="A5550" t="inlineStr">
        <is>
          <t>A 19368-2023</t>
        </is>
      </c>
      <c r="B5550" s="1" t="n">
        <v>45048</v>
      </c>
      <c r="C5550" s="1" t="n">
        <v>45662</v>
      </c>
      <c r="D5550" t="inlineStr">
        <is>
          <t>NORRBOTTENS LÄN</t>
        </is>
      </c>
      <c r="E5550" t="inlineStr">
        <is>
          <t>PITEÅ</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19412-2023</t>
        </is>
      </c>
      <c r="B5551" s="1" t="n">
        <v>45049</v>
      </c>
      <c r="C5551" s="1" t="n">
        <v>45662</v>
      </c>
      <c r="D5551" t="inlineStr">
        <is>
          <t>NORRBOTTENS LÄN</t>
        </is>
      </c>
      <c r="E5551" t="inlineStr">
        <is>
          <t>BODEN</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19579-2023</t>
        </is>
      </c>
      <c r="B5552" s="1" t="n">
        <v>45049</v>
      </c>
      <c r="C5552" s="1" t="n">
        <v>45662</v>
      </c>
      <c r="D5552" t="inlineStr">
        <is>
          <t>NORRBOTTENS LÄN</t>
        </is>
      </c>
      <c r="E5552" t="inlineStr">
        <is>
          <t>KALIX</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19311-2023</t>
        </is>
      </c>
      <c r="B5553" s="1" t="n">
        <v>45049</v>
      </c>
      <c r="C5553" s="1" t="n">
        <v>45662</v>
      </c>
      <c r="D5553" t="inlineStr">
        <is>
          <t>NORRBOTTENS LÄN</t>
        </is>
      </c>
      <c r="E5553" t="inlineStr">
        <is>
          <t>KALIX</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19599-2023</t>
        </is>
      </c>
      <c r="B5554" s="1" t="n">
        <v>45049</v>
      </c>
      <c r="C5554" s="1" t="n">
        <v>45662</v>
      </c>
      <c r="D5554" t="inlineStr">
        <is>
          <t>NORRBOTTENS LÄN</t>
        </is>
      </c>
      <c r="E5554" t="inlineStr">
        <is>
          <t>BODEN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19569-2023</t>
        </is>
      </c>
      <c r="B5555" s="1" t="n">
        <v>45049</v>
      </c>
      <c r="C5555" s="1" t="n">
        <v>45662</v>
      </c>
      <c r="D5555" t="inlineStr">
        <is>
          <t>NORRBOTTENS LÄN</t>
        </is>
      </c>
      <c r="E5555" t="inlineStr">
        <is>
          <t>ÖVERTORNEÅ</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19537-2023</t>
        </is>
      </c>
      <c r="B5556" s="1" t="n">
        <v>45050</v>
      </c>
      <c r="C5556" s="1" t="n">
        <v>45662</v>
      </c>
      <c r="D5556" t="inlineStr">
        <is>
          <t>NORRBOTTENS LÄN</t>
        </is>
      </c>
      <c r="E5556" t="inlineStr">
        <is>
          <t>ARVIDSJAUR</t>
        </is>
      </c>
      <c r="G5556" t="n">
        <v>17.3</v>
      </c>
      <c r="H5556" t="n">
        <v>0</v>
      </c>
      <c r="I5556" t="n">
        <v>0</v>
      </c>
      <c r="J5556" t="n">
        <v>0</v>
      </c>
      <c r="K5556" t="n">
        <v>0</v>
      </c>
      <c r="L5556" t="n">
        <v>0</v>
      </c>
      <c r="M5556" t="n">
        <v>0</v>
      </c>
      <c r="N5556" t="n">
        <v>0</v>
      </c>
      <c r="O5556" t="n">
        <v>0</v>
      </c>
      <c r="P5556" t="n">
        <v>0</v>
      </c>
      <c r="Q5556" t="n">
        <v>0</v>
      </c>
      <c r="R5556" s="2" t="inlineStr"/>
    </row>
    <row r="5557" ht="15" customHeight="1">
      <c r="A5557" t="inlineStr">
        <is>
          <t>A 19611-2023</t>
        </is>
      </c>
      <c r="B5557" s="1" t="n">
        <v>45050</v>
      </c>
      <c r="C5557" s="1" t="n">
        <v>45662</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19619-2023</t>
        </is>
      </c>
      <c r="B5558" s="1" t="n">
        <v>45050</v>
      </c>
      <c r="C5558" s="1" t="n">
        <v>45662</v>
      </c>
      <c r="D5558" t="inlineStr">
        <is>
          <t>NORRBOTTENS LÄN</t>
        </is>
      </c>
      <c r="E5558" t="inlineStr">
        <is>
          <t>GÄLLIVARE</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19595-2023</t>
        </is>
      </c>
      <c r="B5559" s="1" t="n">
        <v>45050</v>
      </c>
      <c r="C5559" s="1" t="n">
        <v>45662</v>
      </c>
      <c r="D5559" t="inlineStr">
        <is>
          <t>NORRBOTTENS LÄN</t>
        </is>
      </c>
      <c r="E5559" t="inlineStr">
        <is>
          <t>PITEÅ</t>
        </is>
      </c>
      <c r="G5559" t="n">
        <v>11.3</v>
      </c>
      <c r="H5559" t="n">
        <v>0</v>
      </c>
      <c r="I5559" t="n">
        <v>0</v>
      </c>
      <c r="J5559" t="n">
        <v>0</v>
      </c>
      <c r="K5559" t="n">
        <v>0</v>
      </c>
      <c r="L5559" t="n">
        <v>0</v>
      </c>
      <c r="M5559" t="n">
        <v>0</v>
      </c>
      <c r="N5559" t="n">
        <v>0</v>
      </c>
      <c r="O5559" t="n">
        <v>0</v>
      </c>
      <c r="P5559" t="n">
        <v>0</v>
      </c>
      <c r="Q5559" t="n">
        <v>0</v>
      </c>
      <c r="R5559" s="2" t="inlineStr"/>
    </row>
    <row r="5560" ht="15" customHeight="1">
      <c r="A5560" t="inlineStr">
        <is>
          <t>A 20126-2023</t>
        </is>
      </c>
      <c r="B5560" s="1" t="n">
        <v>45051</v>
      </c>
      <c r="C5560" s="1" t="n">
        <v>45662</v>
      </c>
      <c r="D5560" t="inlineStr">
        <is>
          <t>NORRBOTTENS LÄN</t>
        </is>
      </c>
      <c r="E5560" t="inlineStr">
        <is>
          <t>GÄLLIVARE</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19836-2023</t>
        </is>
      </c>
      <c r="B5561" s="1" t="n">
        <v>45052</v>
      </c>
      <c r="C5561" s="1" t="n">
        <v>45662</v>
      </c>
      <c r="D5561" t="inlineStr">
        <is>
          <t>NORRBOTTENS LÄN</t>
        </is>
      </c>
      <c r="E5561" t="inlineStr">
        <is>
          <t>ÖVERTORNEÅ</t>
        </is>
      </c>
      <c r="F5561" t="inlineStr">
        <is>
          <t>Sveaskog</t>
        </is>
      </c>
      <c r="G5561" t="n">
        <v>25.4</v>
      </c>
      <c r="H5561" t="n">
        <v>0</v>
      </c>
      <c r="I5561" t="n">
        <v>0</v>
      </c>
      <c r="J5561" t="n">
        <v>0</v>
      </c>
      <c r="K5561" t="n">
        <v>0</v>
      </c>
      <c r="L5561" t="n">
        <v>0</v>
      </c>
      <c r="M5561" t="n">
        <v>0</v>
      </c>
      <c r="N5561" t="n">
        <v>0</v>
      </c>
      <c r="O5561" t="n">
        <v>0</v>
      </c>
      <c r="P5561" t="n">
        <v>0</v>
      </c>
      <c r="Q5561" t="n">
        <v>0</v>
      </c>
      <c r="R5561" s="2" t="inlineStr"/>
    </row>
    <row r="5562" ht="15" customHeight="1">
      <c r="A5562" t="inlineStr">
        <is>
          <t>A 19925-2023</t>
        </is>
      </c>
      <c r="B5562" s="1" t="n">
        <v>45054</v>
      </c>
      <c r="C5562" s="1" t="n">
        <v>45662</v>
      </c>
      <c r="D5562" t="inlineStr">
        <is>
          <t>NORRBOTTENS LÄN</t>
        </is>
      </c>
      <c r="E5562" t="inlineStr">
        <is>
          <t>PAJALA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19873-2023</t>
        </is>
      </c>
      <c r="B5563" s="1" t="n">
        <v>45054</v>
      </c>
      <c r="C5563" s="1" t="n">
        <v>45662</v>
      </c>
      <c r="D5563" t="inlineStr">
        <is>
          <t>NORRBOTTENS LÄN</t>
        </is>
      </c>
      <c r="E5563" t="inlineStr">
        <is>
          <t>ÖVERTORNEÅ</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19923-2023</t>
        </is>
      </c>
      <c r="B5564" s="1" t="n">
        <v>45054</v>
      </c>
      <c r="C5564" s="1" t="n">
        <v>45662</v>
      </c>
      <c r="D5564" t="inlineStr">
        <is>
          <t>NORRBOTTENS LÄN</t>
        </is>
      </c>
      <c r="E5564" t="inlineStr">
        <is>
          <t>PAJALA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20063-2023</t>
        </is>
      </c>
      <c r="B5565" s="1" t="n">
        <v>45054</v>
      </c>
      <c r="C5565" s="1" t="n">
        <v>45662</v>
      </c>
      <c r="D5565" t="inlineStr">
        <is>
          <t>NORRBOTTENS LÄN</t>
        </is>
      </c>
      <c r="E5565" t="inlineStr">
        <is>
          <t>LULEÅ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20350-2023</t>
        </is>
      </c>
      <c r="B5566" s="1" t="n">
        <v>45054</v>
      </c>
      <c r="C5566" s="1" t="n">
        <v>45662</v>
      </c>
      <c r="D5566" t="inlineStr">
        <is>
          <t>NORRBOTTENS LÄN</t>
        </is>
      </c>
      <c r="E5566" t="inlineStr">
        <is>
          <t>KALIX</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20362-2023</t>
        </is>
      </c>
      <c r="B5567" s="1" t="n">
        <v>45054</v>
      </c>
      <c r="C5567" s="1" t="n">
        <v>45662</v>
      </c>
      <c r="D5567" t="inlineStr">
        <is>
          <t>NORRBOTTENS LÄN</t>
        </is>
      </c>
      <c r="E5567" t="inlineStr">
        <is>
          <t>KALIX</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20083-2023</t>
        </is>
      </c>
      <c r="B5568" s="1" t="n">
        <v>45055</v>
      </c>
      <c r="C5568" s="1" t="n">
        <v>45662</v>
      </c>
      <c r="D5568" t="inlineStr">
        <is>
          <t>NORRBOTTENS LÄN</t>
        </is>
      </c>
      <c r="E5568" t="inlineStr">
        <is>
          <t>KALIX</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20317-2023</t>
        </is>
      </c>
      <c r="B5569" s="1" t="n">
        <v>45054</v>
      </c>
      <c r="C5569" s="1" t="n">
        <v>45662</v>
      </c>
      <c r="D5569" t="inlineStr">
        <is>
          <t>NORRBOTTENS LÄN</t>
        </is>
      </c>
      <c r="E5569" t="inlineStr">
        <is>
          <t>KALIX</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19928-2023</t>
        </is>
      </c>
      <c r="B5570" s="1" t="n">
        <v>45054</v>
      </c>
      <c r="C5570" s="1" t="n">
        <v>45662</v>
      </c>
      <c r="D5570" t="inlineStr">
        <is>
          <t>NORRBOTTENS LÄN</t>
        </is>
      </c>
      <c r="E5570" t="inlineStr">
        <is>
          <t>PAJALA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20084-2023</t>
        </is>
      </c>
      <c r="B5571" s="1" t="n">
        <v>45055</v>
      </c>
      <c r="C5571" s="1" t="n">
        <v>45662</v>
      </c>
      <c r="D5571" t="inlineStr">
        <is>
          <t>NORRBOTTENS LÄN</t>
        </is>
      </c>
      <c r="E5571" t="inlineStr">
        <is>
          <t>KALIX</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20505-2023</t>
        </is>
      </c>
      <c r="B5572" s="1" t="n">
        <v>45054</v>
      </c>
      <c r="C5572" s="1" t="n">
        <v>45662</v>
      </c>
      <c r="D5572" t="inlineStr">
        <is>
          <t>NORRBOTTENS LÄN</t>
        </is>
      </c>
      <c r="E5572" t="inlineStr">
        <is>
          <t>BODEN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20340-2023</t>
        </is>
      </c>
      <c r="B5573" s="1" t="n">
        <v>45054</v>
      </c>
      <c r="C5573" s="1" t="n">
        <v>45662</v>
      </c>
      <c r="D5573" t="inlineStr">
        <is>
          <t>NORRBOTTENS LÄN</t>
        </is>
      </c>
      <c r="E5573" t="inlineStr">
        <is>
          <t>LULEÅ</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20387-2023</t>
        </is>
      </c>
      <c r="B5574" s="1" t="n">
        <v>45054</v>
      </c>
      <c r="C5574" s="1" t="n">
        <v>45662</v>
      </c>
      <c r="D5574" t="inlineStr">
        <is>
          <t>NORRBOTTENS LÄN</t>
        </is>
      </c>
      <c r="E5574" t="inlineStr">
        <is>
          <t>ÖVERTORNEÅ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20675-2023</t>
        </is>
      </c>
      <c r="B5575" s="1" t="n">
        <v>45055</v>
      </c>
      <c r="C5575" s="1" t="n">
        <v>45662</v>
      </c>
      <c r="D5575" t="inlineStr">
        <is>
          <t>NORRBOTTENS LÄN</t>
        </is>
      </c>
      <c r="E5575" t="inlineStr">
        <is>
          <t>ARVIDSJAUR</t>
        </is>
      </c>
      <c r="F5575" t="inlineStr">
        <is>
          <t>Allmännings- och besparingsskogar</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20691-2023</t>
        </is>
      </c>
      <c r="B5576" s="1" t="n">
        <v>45055</v>
      </c>
      <c r="C5576" s="1" t="n">
        <v>45662</v>
      </c>
      <c r="D5576" t="inlineStr">
        <is>
          <t>NORRBOTTENS LÄN</t>
        </is>
      </c>
      <c r="E5576" t="inlineStr">
        <is>
          <t>ARVIDSJAUR</t>
        </is>
      </c>
      <c r="F5576" t="inlineStr">
        <is>
          <t>Allmännings- och besparingsskogar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20731-2023</t>
        </is>
      </c>
      <c r="B5577" s="1" t="n">
        <v>45055</v>
      </c>
      <c r="C5577" s="1" t="n">
        <v>45662</v>
      </c>
      <c r="D5577" t="inlineStr">
        <is>
          <t>NORRBOTTENS LÄN</t>
        </is>
      </c>
      <c r="E5577" t="inlineStr">
        <is>
          <t>PITEÅ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20684-2023</t>
        </is>
      </c>
      <c r="B5578" s="1" t="n">
        <v>45055</v>
      </c>
      <c r="C5578" s="1" t="n">
        <v>45662</v>
      </c>
      <c r="D5578" t="inlineStr">
        <is>
          <t>NORRBOTTENS LÄN</t>
        </is>
      </c>
      <c r="E5578" t="inlineStr">
        <is>
          <t>ARVIDSJAUR</t>
        </is>
      </c>
      <c r="F5578" t="inlineStr">
        <is>
          <t>Allmännings- och besparingsskogar</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20698-2023</t>
        </is>
      </c>
      <c r="B5579" s="1" t="n">
        <v>45055</v>
      </c>
      <c r="C5579" s="1" t="n">
        <v>45662</v>
      </c>
      <c r="D5579" t="inlineStr">
        <is>
          <t>NORRBOTTENS LÄN</t>
        </is>
      </c>
      <c r="E5579" t="inlineStr">
        <is>
          <t>ARVIDSJAUR</t>
        </is>
      </c>
      <c r="F5579" t="inlineStr">
        <is>
          <t>Allmännings- och besparingsskogar</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20685-2023</t>
        </is>
      </c>
      <c r="B5580" s="1" t="n">
        <v>45055</v>
      </c>
      <c r="C5580" s="1" t="n">
        <v>45662</v>
      </c>
      <c r="D5580" t="inlineStr">
        <is>
          <t>NORRBOTTENS LÄN</t>
        </is>
      </c>
      <c r="E5580" t="inlineStr">
        <is>
          <t>PAJALA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20690-2023</t>
        </is>
      </c>
      <c r="B5581" s="1" t="n">
        <v>45055</v>
      </c>
      <c r="C5581" s="1" t="n">
        <v>45662</v>
      </c>
      <c r="D5581" t="inlineStr">
        <is>
          <t>NORRBOTTENS LÄN</t>
        </is>
      </c>
      <c r="E5581" t="inlineStr">
        <is>
          <t>ARVIDSJAUR</t>
        </is>
      </c>
      <c r="F5581" t="inlineStr">
        <is>
          <t>Allmännings- och besparingsskogar</t>
        </is>
      </c>
      <c r="G5581" t="n">
        <v>13.6</v>
      </c>
      <c r="H5581" t="n">
        <v>0</v>
      </c>
      <c r="I5581" t="n">
        <v>0</v>
      </c>
      <c r="J5581" t="n">
        <v>0</v>
      </c>
      <c r="K5581" t="n">
        <v>0</v>
      </c>
      <c r="L5581" t="n">
        <v>0</v>
      </c>
      <c r="M5581" t="n">
        <v>0</v>
      </c>
      <c r="N5581" t="n">
        <v>0</v>
      </c>
      <c r="O5581" t="n">
        <v>0</v>
      </c>
      <c r="P5581" t="n">
        <v>0</v>
      </c>
      <c r="Q5581" t="n">
        <v>0</v>
      </c>
      <c r="R5581" s="2" t="inlineStr"/>
    </row>
    <row r="5582" ht="15" customHeight="1">
      <c r="A5582" t="inlineStr">
        <is>
          <t>A 20796-2023</t>
        </is>
      </c>
      <c r="B5582" s="1" t="n">
        <v>45055</v>
      </c>
      <c r="C5582" s="1" t="n">
        <v>45662</v>
      </c>
      <c r="D5582" t="inlineStr">
        <is>
          <t>NORRBOTTENS LÄN</t>
        </is>
      </c>
      <c r="E5582" t="inlineStr">
        <is>
          <t>BODEN</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20707-2023</t>
        </is>
      </c>
      <c r="B5583" s="1" t="n">
        <v>45055</v>
      </c>
      <c r="C5583" s="1" t="n">
        <v>45662</v>
      </c>
      <c r="D5583" t="inlineStr">
        <is>
          <t>NORRBOTTENS LÄN</t>
        </is>
      </c>
      <c r="E5583" t="inlineStr">
        <is>
          <t>ARVIDSJAUR</t>
        </is>
      </c>
      <c r="F5583" t="inlineStr">
        <is>
          <t>Allmännings- och besparingsskogar</t>
        </is>
      </c>
      <c r="G5583" t="n">
        <v>11.1</v>
      </c>
      <c r="H5583" t="n">
        <v>0</v>
      </c>
      <c r="I5583" t="n">
        <v>0</v>
      </c>
      <c r="J5583" t="n">
        <v>0</v>
      </c>
      <c r="K5583" t="n">
        <v>0</v>
      </c>
      <c r="L5583" t="n">
        <v>0</v>
      </c>
      <c r="M5583" t="n">
        <v>0</v>
      </c>
      <c r="N5583" t="n">
        <v>0</v>
      </c>
      <c r="O5583" t="n">
        <v>0</v>
      </c>
      <c r="P5583" t="n">
        <v>0</v>
      </c>
      <c r="Q5583" t="n">
        <v>0</v>
      </c>
      <c r="R5583" s="2" t="inlineStr"/>
    </row>
    <row r="5584" ht="15" customHeight="1">
      <c r="A5584" t="inlineStr">
        <is>
          <t>A 20448-2023</t>
        </is>
      </c>
      <c r="B5584" s="1" t="n">
        <v>45057</v>
      </c>
      <c r="C5584" s="1" t="n">
        <v>45662</v>
      </c>
      <c r="D5584" t="inlineStr">
        <is>
          <t>NORRBOTTENS LÄN</t>
        </is>
      </c>
      <c r="E5584" t="inlineStr">
        <is>
          <t>PITEÅ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20449-2023</t>
        </is>
      </c>
      <c r="B5585" s="1" t="n">
        <v>45056</v>
      </c>
      <c r="C5585" s="1" t="n">
        <v>45662</v>
      </c>
      <c r="D5585" t="inlineStr">
        <is>
          <t>NORRBOTTENS LÄN</t>
        </is>
      </c>
      <c r="E5585" t="inlineStr">
        <is>
          <t>PITEÅ</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20480-2023</t>
        </is>
      </c>
      <c r="B5586" s="1" t="n">
        <v>45057</v>
      </c>
      <c r="C5586" s="1" t="n">
        <v>45662</v>
      </c>
      <c r="D5586" t="inlineStr">
        <is>
          <t>NORRBOTTENS LÄN</t>
        </is>
      </c>
      <c r="E5586" t="inlineStr">
        <is>
          <t>JOKKMOKK</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20621-2023</t>
        </is>
      </c>
      <c r="B5587" s="1" t="n">
        <v>45058</v>
      </c>
      <c r="C5587" s="1" t="n">
        <v>45662</v>
      </c>
      <c r="D5587" t="inlineStr">
        <is>
          <t>NORRBOTTENS LÄN</t>
        </is>
      </c>
      <c r="E5587" t="inlineStr">
        <is>
          <t>PAJALA</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20593-2023</t>
        </is>
      </c>
      <c r="B5588" s="1" t="n">
        <v>45057</v>
      </c>
      <c r="C5588" s="1" t="n">
        <v>45662</v>
      </c>
      <c r="D5588" t="inlineStr">
        <is>
          <t>NORRBOTTENS LÄN</t>
        </is>
      </c>
      <c r="E5588" t="inlineStr">
        <is>
          <t>JOKKMOKK</t>
        </is>
      </c>
      <c r="F5588" t="inlineStr">
        <is>
          <t>SCA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20357-2023</t>
        </is>
      </c>
      <c r="B5589" s="1" t="n">
        <v>45058</v>
      </c>
      <c r="C5589" s="1" t="n">
        <v>45662</v>
      </c>
      <c r="D5589" t="inlineStr">
        <is>
          <t>NORRBOTTENS LÄN</t>
        </is>
      </c>
      <c r="E5589" t="inlineStr">
        <is>
          <t>KALIX</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20848-2023</t>
        </is>
      </c>
      <c r="B5590" s="1" t="n">
        <v>45058</v>
      </c>
      <c r="C5590" s="1" t="n">
        <v>45662</v>
      </c>
      <c r="D5590" t="inlineStr">
        <is>
          <t>NORRBOTTENS LÄN</t>
        </is>
      </c>
      <c r="E5590" t="inlineStr">
        <is>
          <t>PAJALA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21226-2023</t>
        </is>
      </c>
      <c r="B5591" s="1" t="n">
        <v>45058</v>
      </c>
      <c r="C5591" s="1" t="n">
        <v>45662</v>
      </c>
      <c r="D5591" t="inlineStr">
        <is>
          <t>NORRBOTTENS LÄN</t>
        </is>
      </c>
      <c r="E5591" t="inlineStr">
        <is>
          <t>LULEÅ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21120-2023</t>
        </is>
      </c>
      <c r="B5592" s="1" t="n">
        <v>45062</v>
      </c>
      <c r="C5592" s="1" t="n">
        <v>45662</v>
      </c>
      <c r="D5592" t="inlineStr">
        <is>
          <t>NORRBOTTENS LÄN</t>
        </is>
      </c>
      <c r="E5592" t="inlineStr">
        <is>
          <t>PITEÅ</t>
        </is>
      </c>
      <c r="F5592" t="inlineStr">
        <is>
          <t>SCA</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21562-2023</t>
        </is>
      </c>
      <c r="B5593" s="1" t="n">
        <v>45061</v>
      </c>
      <c r="C5593" s="1" t="n">
        <v>45662</v>
      </c>
      <c r="D5593" t="inlineStr">
        <is>
          <t>NORRBOTTENS LÄN</t>
        </is>
      </c>
      <c r="E5593" t="inlineStr">
        <is>
          <t>ÖVERKALIX</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21119-2023</t>
        </is>
      </c>
      <c r="B5594" s="1" t="n">
        <v>45062</v>
      </c>
      <c r="C5594" s="1" t="n">
        <v>45662</v>
      </c>
      <c r="D5594" t="inlineStr">
        <is>
          <t>NORRBOTTENS LÄN</t>
        </is>
      </c>
      <c r="E5594" t="inlineStr">
        <is>
          <t>PITEÅ</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21123-2023</t>
        </is>
      </c>
      <c r="B5595" s="1" t="n">
        <v>45062</v>
      </c>
      <c r="C5595" s="1" t="n">
        <v>45662</v>
      </c>
      <c r="D5595" t="inlineStr">
        <is>
          <t>NORRBOTTENS LÄN</t>
        </is>
      </c>
      <c r="E5595" t="inlineStr">
        <is>
          <t>PAJALA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21159-2023</t>
        </is>
      </c>
      <c r="B5596" s="1" t="n">
        <v>45062</v>
      </c>
      <c r="C5596" s="1" t="n">
        <v>45662</v>
      </c>
      <c r="D5596" t="inlineStr">
        <is>
          <t>NORRBOTTENS LÄN</t>
        </is>
      </c>
      <c r="E5596" t="inlineStr">
        <is>
          <t>GÄLLIVARE</t>
        </is>
      </c>
      <c r="F5596" t="inlineStr">
        <is>
          <t>Sveaskog</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21139-2023</t>
        </is>
      </c>
      <c r="B5597" s="1" t="n">
        <v>45062</v>
      </c>
      <c r="C5597" s="1" t="n">
        <v>45662</v>
      </c>
      <c r="D5597" t="inlineStr">
        <is>
          <t>NORRBOTTENS LÄN</t>
        </is>
      </c>
      <c r="E5597" t="inlineStr">
        <is>
          <t>PAJALA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21515-2023</t>
        </is>
      </c>
      <c r="B5598" s="1" t="n">
        <v>45063</v>
      </c>
      <c r="C5598" s="1" t="n">
        <v>45662</v>
      </c>
      <c r="D5598" t="inlineStr">
        <is>
          <t>NORRBOTTENS LÄN</t>
        </is>
      </c>
      <c r="E5598" t="inlineStr">
        <is>
          <t>ÖVERKALIX</t>
        </is>
      </c>
      <c r="F5598" t="inlineStr">
        <is>
          <t>Sveaskog</t>
        </is>
      </c>
      <c r="G5598" t="n">
        <v>15.9</v>
      </c>
      <c r="H5598" t="n">
        <v>0</v>
      </c>
      <c r="I5598" t="n">
        <v>0</v>
      </c>
      <c r="J5598" t="n">
        <v>0</v>
      </c>
      <c r="K5598" t="n">
        <v>0</v>
      </c>
      <c r="L5598" t="n">
        <v>0</v>
      </c>
      <c r="M5598" t="n">
        <v>0</v>
      </c>
      <c r="N5598" t="n">
        <v>0</v>
      </c>
      <c r="O5598" t="n">
        <v>0</v>
      </c>
      <c r="P5598" t="n">
        <v>0</v>
      </c>
      <c r="Q5598" t="n">
        <v>0</v>
      </c>
      <c r="R5598" s="2" t="inlineStr"/>
    </row>
    <row r="5599" ht="15" customHeight="1">
      <c r="A5599" t="inlineStr">
        <is>
          <t>A 21514-2023</t>
        </is>
      </c>
      <c r="B5599" s="1" t="n">
        <v>45063</v>
      </c>
      <c r="C5599" s="1" t="n">
        <v>45662</v>
      </c>
      <c r="D5599" t="inlineStr">
        <is>
          <t>NORRBOTTENS LÄN</t>
        </is>
      </c>
      <c r="E5599" t="inlineStr">
        <is>
          <t>ÖVERKALIX</t>
        </is>
      </c>
      <c r="F5599" t="inlineStr">
        <is>
          <t>Sveaskog</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21537-2023</t>
        </is>
      </c>
      <c r="B5600" s="1" t="n">
        <v>45063</v>
      </c>
      <c r="C5600" s="1" t="n">
        <v>45662</v>
      </c>
      <c r="D5600" t="inlineStr">
        <is>
          <t>NORRBOTTENS LÄN</t>
        </is>
      </c>
      <c r="E5600" t="inlineStr">
        <is>
          <t>HAPARANDA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21481-2023</t>
        </is>
      </c>
      <c r="B5601" s="1" t="n">
        <v>45063</v>
      </c>
      <c r="C5601" s="1" t="n">
        <v>45662</v>
      </c>
      <c r="D5601" t="inlineStr">
        <is>
          <t>NORRBOTTENS LÄN</t>
        </is>
      </c>
      <c r="E5601" t="inlineStr">
        <is>
          <t>KALIX</t>
        </is>
      </c>
      <c r="G5601" t="n">
        <v>37.1</v>
      </c>
      <c r="H5601" t="n">
        <v>0</v>
      </c>
      <c r="I5601" t="n">
        <v>0</v>
      </c>
      <c r="J5601" t="n">
        <v>0</v>
      </c>
      <c r="K5601" t="n">
        <v>0</v>
      </c>
      <c r="L5601" t="n">
        <v>0</v>
      </c>
      <c r="M5601" t="n">
        <v>0</v>
      </c>
      <c r="N5601" t="n">
        <v>0</v>
      </c>
      <c r="O5601" t="n">
        <v>0</v>
      </c>
      <c r="P5601" t="n">
        <v>0</v>
      </c>
      <c r="Q5601" t="n">
        <v>0</v>
      </c>
      <c r="R5601" s="2" t="inlineStr"/>
    </row>
    <row r="5602" ht="15" customHeight="1">
      <c r="A5602" t="inlineStr">
        <is>
          <t>A 21559-2023</t>
        </is>
      </c>
      <c r="B5602" s="1" t="n">
        <v>45063</v>
      </c>
      <c r="C5602" s="1" t="n">
        <v>45662</v>
      </c>
      <c r="D5602" t="inlineStr">
        <is>
          <t>NORRBOTTENS LÄN</t>
        </is>
      </c>
      <c r="E5602" t="inlineStr">
        <is>
          <t>ÖVERKALIX</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21574-2023</t>
        </is>
      </c>
      <c r="B5603" s="1" t="n">
        <v>45063</v>
      </c>
      <c r="C5603" s="1" t="n">
        <v>45662</v>
      </c>
      <c r="D5603" t="inlineStr">
        <is>
          <t>NORRBOTTENS LÄN</t>
        </is>
      </c>
      <c r="E5603" t="inlineStr">
        <is>
          <t>KALIX</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21606-2023</t>
        </is>
      </c>
      <c r="B5604" s="1" t="n">
        <v>45063</v>
      </c>
      <c r="C5604" s="1" t="n">
        <v>45662</v>
      </c>
      <c r="D5604" t="inlineStr">
        <is>
          <t>NORRBOTTENS LÄN</t>
        </is>
      </c>
      <c r="E5604" t="inlineStr">
        <is>
          <t>KALIX</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21532-2023</t>
        </is>
      </c>
      <c r="B5605" s="1" t="n">
        <v>45063</v>
      </c>
      <c r="C5605" s="1" t="n">
        <v>45662</v>
      </c>
      <c r="D5605" t="inlineStr">
        <is>
          <t>NORRBOTTENS LÄN</t>
        </is>
      </c>
      <c r="E5605" t="inlineStr">
        <is>
          <t>HAPARANDA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21556-2023</t>
        </is>
      </c>
      <c r="B5606" s="1" t="n">
        <v>45063</v>
      </c>
      <c r="C5606" s="1" t="n">
        <v>45662</v>
      </c>
      <c r="D5606" t="inlineStr">
        <is>
          <t>NORRBOTTENS LÄN</t>
        </is>
      </c>
      <c r="E5606" t="inlineStr">
        <is>
          <t>GÄLLIVARE</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21561-2023</t>
        </is>
      </c>
      <c r="B5607" s="1" t="n">
        <v>45063</v>
      </c>
      <c r="C5607" s="1" t="n">
        <v>45662</v>
      </c>
      <c r="D5607" t="inlineStr">
        <is>
          <t>NORRBOTTENS LÄN</t>
        </is>
      </c>
      <c r="E5607" t="inlineStr">
        <is>
          <t>KALIX</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21589-2023</t>
        </is>
      </c>
      <c r="B5608" s="1" t="n">
        <v>45063</v>
      </c>
      <c r="C5608" s="1" t="n">
        <v>45662</v>
      </c>
      <c r="D5608" t="inlineStr">
        <is>
          <t>NORRBOTTENS LÄN</t>
        </is>
      </c>
      <c r="E5608" t="inlineStr">
        <is>
          <t>KALIX</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21610-2023</t>
        </is>
      </c>
      <c r="B5609" s="1" t="n">
        <v>45063</v>
      </c>
      <c r="C5609" s="1" t="n">
        <v>45662</v>
      </c>
      <c r="D5609" t="inlineStr">
        <is>
          <t>NORRBOTTENS LÄN</t>
        </is>
      </c>
      <c r="E5609" t="inlineStr">
        <is>
          <t>KALIX</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21599-2023</t>
        </is>
      </c>
      <c r="B5610" s="1" t="n">
        <v>45063</v>
      </c>
      <c r="C5610" s="1" t="n">
        <v>45662</v>
      </c>
      <c r="D5610" t="inlineStr">
        <is>
          <t>NORRBOTTENS LÄN</t>
        </is>
      </c>
      <c r="E5610" t="inlineStr">
        <is>
          <t>KALIX</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21651-2023</t>
        </is>
      </c>
      <c r="B5611" s="1" t="n">
        <v>45063</v>
      </c>
      <c r="C5611" s="1" t="n">
        <v>45662</v>
      </c>
      <c r="D5611" t="inlineStr">
        <is>
          <t>NORRBOTTENS LÄN</t>
        </is>
      </c>
      <c r="E5611" t="inlineStr">
        <is>
          <t>PAJALA</t>
        </is>
      </c>
      <c r="F5611" t="inlineStr">
        <is>
          <t>Sveaskog</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21614-2023</t>
        </is>
      </c>
      <c r="B5612" s="1" t="n">
        <v>45063</v>
      </c>
      <c r="C5612" s="1" t="n">
        <v>45662</v>
      </c>
      <c r="D5612" t="inlineStr">
        <is>
          <t>NORRBOTTENS LÄN</t>
        </is>
      </c>
      <c r="E5612" t="inlineStr">
        <is>
          <t>KALIX</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21678-2023</t>
        </is>
      </c>
      <c r="B5613" s="1" t="n">
        <v>45064</v>
      </c>
      <c r="C5613" s="1" t="n">
        <v>45662</v>
      </c>
      <c r="D5613" t="inlineStr">
        <is>
          <t>NORRBOTTENS LÄN</t>
        </is>
      </c>
      <c r="E5613" t="inlineStr">
        <is>
          <t>PITEÅ</t>
        </is>
      </c>
      <c r="F5613" t="inlineStr">
        <is>
          <t>SCA</t>
        </is>
      </c>
      <c r="G5613" t="n">
        <v>10.4</v>
      </c>
      <c r="H5613" t="n">
        <v>0</v>
      </c>
      <c r="I5613" t="n">
        <v>0</v>
      </c>
      <c r="J5613" t="n">
        <v>0</v>
      </c>
      <c r="K5613" t="n">
        <v>0</v>
      </c>
      <c r="L5613" t="n">
        <v>0</v>
      </c>
      <c r="M5613" t="n">
        <v>0</v>
      </c>
      <c r="N5613" t="n">
        <v>0</v>
      </c>
      <c r="O5613" t="n">
        <v>0</v>
      </c>
      <c r="P5613" t="n">
        <v>0</v>
      </c>
      <c r="Q5613" t="n">
        <v>0</v>
      </c>
      <c r="R5613" s="2" t="inlineStr"/>
    </row>
    <row r="5614" ht="15" customHeight="1">
      <c r="A5614" t="inlineStr">
        <is>
          <t>A 21677-2023</t>
        </is>
      </c>
      <c r="B5614" s="1" t="n">
        <v>45064</v>
      </c>
      <c r="C5614" s="1" t="n">
        <v>45662</v>
      </c>
      <c r="D5614" t="inlineStr">
        <is>
          <t>NORRBOTTENS LÄN</t>
        </is>
      </c>
      <c r="E5614" t="inlineStr">
        <is>
          <t>ÄLVSBYN</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21702-2023</t>
        </is>
      </c>
      <c r="B5615" s="1" t="n">
        <v>45064</v>
      </c>
      <c r="C5615" s="1" t="n">
        <v>45662</v>
      </c>
      <c r="D5615" t="inlineStr">
        <is>
          <t>NORRBOTTENS LÄN</t>
        </is>
      </c>
      <c r="E5615" t="inlineStr">
        <is>
          <t>PAJALA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21713-2023</t>
        </is>
      </c>
      <c r="B5616" s="1" t="n">
        <v>45065</v>
      </c>
      <c r="C5616" s="1" t="n">
        <v>45662</v>
      </c>
      <c r="D5616" t="inlineStr">
        <is>
          <t>NORRBOTTENS LÄN</t>
        </is>
      </c>
      <c r="E5616" t="inlineStr">
        <is>
          <t>BODEN</t>
        </is>
      </c>
      <c r="F5616" t="inlineStr">
        <is>
          <t>Sveaskog</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21785-2023</t>
        </is>
      </c>
      <c r="B5617" s="1" t="n">
        <v>45065</v>
      </c>
      <c r="C5617" s="1" t="n">
        <v>45662</v>
      </c>
      <c r="D5617" t="inlineStr">
        <is>
          <t>NORRBOTTENS LÄN</t>
        </is>
      </c>
      <c r="E5617" t="inlineStr">
        <is>
          <t>GÄLLIVARE</t>
        </is>
      </c>
      <c r="G5617" t="n">
        <v>22.4</v>
      </c>
      <c r="H5617" t="n">
        <v>0</v>
      </c>
      <c r="I5617" t="n">
        <v>0</v>
      </c>
      <c r="J5617" t="n">
        <v>0</v>
      </c>
      <c r="K5617" t="n">
        <v>0</v>
      </c>
      <c r="L5617" t="n">
        <v>0</v>
      </c>
      <c r="M5617" t="n">
        <v>0</v>
      </c>
      <c r="N5617" t="n">
        <v>0</v>
      </c>
      <c r="O5617" t="n">
        <v>0</v>
      </c>
      <c r="P5617" t="n">
        <v>0</v>
      </c>
      <c r="Q5617" t="n">
        <v>0</v>
      </c>
      <c r="R5617" s="2" t="inlineStr"/>
    </row>
    <row r="5618" ht="15" customHeight="1">
      <c r="A5618" t="inlineStr">
        <is>
          <t>A 21783-2023</t>
        </is>
      </c>
      <c r="B5618" s="1" t="n">
        <v>45066</v>
      </c>
      <c r="C5618" s="1" t="n">
        <v>45662</v>
      </c>
      <c r="D5618" t="inlineStr">
        <is>
          <t>NORRBOTTENS LÄN</t>
        </is>
      </c>
      <c r="E5618" t="inlineStr">
        <is>
          <t>PITEÅ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21924-2023</t>
        </is>
      </c>
      <c r="B5619" s="1" t="n">
        <v>45067</v>
      </c>
      <c r="C5619" s="1" t="n">
        <v>45662</v>
      </c>
      <c r="D5619" t="inlineStr">
        <is>
          <t>NORRBOTTENS LÄN</t>
        </is>
      </c>
      <c r="E5619" t="inlineStr">
        <is>
          <t>JOKKMOKK</t>
        </is>
      </c>
      <c r="F5619" t="inlineStr">
        <is>
          <t>Övriga Aktiebolag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21821-2023</t>
        </is>
      </c>
      <c r="B5620" s="1" t="n">
        <v>45068</v>
      </c>
      <c r="C5620" s="1" t="n">
        <v>45662</v>
      </c>
      <c r="D5620" t="inlineStr">
        <is>
          <t>NORRBOTTENS LÄN</t>
        </is>
      </c>
      <c r="E5620" t="inlineStr">
        <is>
          <t>PITEÅ</t>
        </is>
      </c>
      <c r="F5620" t="inlineStr">
        <is>
          <t>Sveaskog</t>
        </is>
      </c>
      <c r="G5620" t="n">
        <v>14.9</v>
      </c>
      <c r="H5620" t="n">
        <v>0</v>
      </c>
      <c r="I5620" t="n">
        <v>0</v>
      </c>
      <c r="J5620" t="n">
        <v>0</v>
      </c>
      <c r="K5620" t="n">
        <v>0</v>
      </c>
      <c r="L5620" t="n">
        <v>0</v>
      </c>
      <c r="M5620" t="n">
        <v>0</v>
      </c>
      <c r="N5620" t="n">
        <v>0</v>
      </c>
      <c r="O5620" t="n">
        <v>0</v>
      </c>
      <c r="P5620" t="n">
        <v>0</v>
      </c>
      <c r="Q5620" t="n">
        <v>0</v>
      </c>
      <c r="R5620" s="2" t="inlineStr"/>
    </row>
    <row r="5621" ht="15" customHeight="1">
      <c r="A5621" t="inlineStr">
        <is>
          <t>A 21938-2023</t>
        </is>
      </c>
      <c r="B5621" s="1" t="n">
        <v>45068</v>
      </c>
      <c r="C5621" s="1" t="n">
        <v>45662</v>
      </c>
      <c r="D5621" t="inlineStr">
        <is>
          <t>NORRBOTTENS LÄN</t>
        </is>
      </c>
      <c r="E5621" t="inlineStr">
        <is>
          <t>ÖVERTORNEÅ</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21951-2023</t>
        </is>
      </c>
      <c r="B5622" s="1" t="n">
        <v>45068</v>
      </c>
      <c r="C5622" s="1" t="n">
        <v>45662</v>
      </c>
      <c r="D5622" t="inlineStr">
        <is>
          <t>NORRBOTTENS LÄN</t>
        </is>
      </c>
      <c r="E5622" t="inlineStr">
        <is>
          <t>BODEN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21891-2023</t>
        </is>
      </c>
      <c r="B5623" s="1" t="n">
        <v>45068</v>
      </c>
      <c r="C5623" s="1" t="n">
        <v>45662</v>
      </c>
      <c r="D5623" t="inlineStr">
        <is>
          <t>NORRBOTTENS LÄN</t>
        </is>
      </c>
      <c r="E5623" t="inlineStr">
        <is>
          <t>LULEÅ</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21979-2023</t>
        </is>
      </c>
      <c r="B5624" s="1" t="n">
        <v>45068</v>
      </c>
      <c r="C5624" s="1" t="n">
        <v>45662</v>
      </c>
      <c r="D5624" t="inlineStr">
        <is>
          <t>NORRBOTTENS LÄN</t>
        </is>
      </c>
      <c r="E5624" t="inlineStr">
        <is>
          <t>HAPARANDA</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22127-2023</t>
        </is>
      </c>
      <c r="B5625" s="1" t="n">
        <v>45068</v>
      </c>
      <c r="C5625" s="1" t="n">
        <v>45662</v>
      </c>
      <c r="D5625" t="inlineStr">
        <is>
          <t>NORRBOTTENS LÄN</t>
        </is>
      </c>
      <c r="E5625" t="inlineStr">
        <is>
          <t>BODEN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21895-2023</t>
        </is>
      </c>
      <c r="B5626" s="1" t="n">
        <v>45068</v>
      </c>
      <c r="C5626" s="1" t="n">
        <v>45662</v>
      </c>
      <c r="D5626" t="inlineStr">
        <is>
          <t>NORRBOTTENS LÄN</t>
        </is>
      </c>
      <c r="E5626" t="inlineStr">
        <is>
          <t>ÄLVSBYN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22230-2023</t>
        </is>
      </c>
      <c r="B5627" s="1" t="n">
        <v>45070</v>
      </c>
      <c r="C5627" s="1" t="n">
        <v>45662</v>
      </c>
      <c r="D5627" t="inlineStr">
        <is>
          <t>NORRBOTTENS LÄN</t>
        </is>
      </c>
      <c r="E5627" t="inlineStr">
        <is>
          <t>PITEÅ</t>
        </is>
      </c>
      <c r="F5627" t="inlineStr">
        <is>
          <t>SCA</t>
        </is>
      </c>
      <c r="G5627" t="n">
        <v>13.4</v>
      </c>
      <c r="H5627" t="n">
        <v>0</v>
      </c>
      <c r="I5627" t="n">
        <v>0</v>
      </c>
      <c r="J5627" t="n">
        <v>0</v>
      </c>
      <c r="K5627" t="n">
        <v>0</v>
      </c>
      <c r="L5627" t="n">
        <v>0</v>
      </c>
      <c r="M5627" t="n">
        <v>0</v>
      </c>
      <c r="N5627" t="n">
        <v>0</v>
      </c>
      <c r="O5627" t="n">
        <v>0</v>
      </c>
      <c r="P5627" t="n">
        <v>0</v>
      </c>
      <c r="Q5627" t="n">
        <v>0</v>
      </c>
      <c r="R5627" s="2" t="inlineStr"/>
    </row>
    <row r="5628" ht="15" customHeight="1">
      <c r="A5628" t="inlineStr">
        <is>
          <t>A 22335-2023</t>
        </is>
      </c>
      <c r="B5628" s="1" t="n">
        <v>45070</v>
      </c>
      <c r="C5628" s="1" t="n">
        <v>45662</v>
      </c>
      <c r="D5628" t="inlineStr">
        <is>
          <t>NORRBOTTENS LÄN</t>
        </is>
      </c>
      <c r="E5628" t="inlineStr">
        <is>
          <t>ÄLVSBYN</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22355-2023</t>
        </is>
      </c>
      <c r="B5629" s="1" t="n">
        <v>45070</v>
      </c>
      <c r="C5629" s="1" t="n">
        <v>45662</v>
      </c>
      <c r="D5629" t="inlineStr">
        <is>
          <t>NORRBOTTENS LÄN</t>
        </is>
      </c>
      <c r="E5629" t="inlineStr">
        <is>
          <t>KALIX</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22460-2023</t>
        </is>
      </c>
      <c r="B5630" s="1" t="n">
        <v>45071</v>
      </c>
      <c r="C5630" s="1" t="n">
        <v>45662</v>
      </c>
      <c r="D5630" t="inlineStr">
        <is>
          <t>NORRBOTTENS LÄN</t>
        </is>
      </c>
      <c r="E5630" t="inlineStr">
        <is>
          <t>BODEN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22458-2023</t>
        </is>
      </c>
      <c r="B5631" s="1" t="n">
        <v>45070</v>
      </c>
      <c r="C5631" s="1" t="n">
        <v>45662</v>
      </c>
      <c r="D5631" t="inlineStr">
        <is>
          <t>NORRBOTTENS LÄN</t>
        </is>
      </c>
      <c r="E5631" t="inlineStr">
        <is>
          <t>BODEN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22470-2023</t>
        </is>
      </c>
      <c r="B5632" s="1" t="n">
        <v>45070</v>
      </c>
      <c r="C5632" s="1" t="n">
        <v>45662</v>
      </c>
      <c r="D5632" t="inlineStr">
        <is>
          <t>NORRBOTTENS LÄN</t>
        </is>
      </c>
      <c r="E5632" t="inlineStr">
        <is>
          <t>ÖVERKALIX</t>
        </is>
      </c>
      <c r="F5632" t="inlineStr">
        <is>
          <t>SCA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22597-2023</t>
        </is>
      </c>
      <c r="B5633" s="1" t="n">
        <v>45071</v>
      </c>
      <c r="C5633" s="1" t="n">
        <v>45662</v>
      </c>
      <c r="D5633" t="inlineStr">
        <is>
          <t>NORRBOTTENS LÄN</t>
        </is>
      </c>
      <c r="E5633" t="inlineStr">
        <is>
          <t>ÖVERTORNEÅ</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22685-2023</t>
        </is>
      </c>
      <c r="B5634" s="1" t="n">
        <v>45071</v>
      </c>
      <c r="C5634" s="1" t="n">
        <v>45662</v>
      </c>
      <c r="D5634" t="inlineStr">
        <is>
          <t>NORRBOTTENS LÄN</t>
        </is>
      </c>
      <c r="E5634" t="inlineStr">
        <is>
          <t>JOKKMOKK</t>
        </is>
      </c>
      <c r="F5634" t="inlineStr">
        <is>
          <t>Sveaskog</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22595-2023</t>
        </is>
      </c>
      <c r="B5635" s="1" t="n">
        <v>45071</v>
      </c>
      <c r="C5635" s="1" t="n">
        <v>45662</v>
      </c>
      <c r="D5635" t="inlineStr">
        <is>
          <t>NORRBOTTENS LÄN</t>
        </is>
      </c>
      <c r="E5635" t="inlineStr">
        <is>
          <t>ÖVERTORNEÅ</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22744-2023</t>
        </is>
      </c>
      <c r="B5636" s="1" t="n">
        <v>45072</v>
      </c>
      <c r="C5636" s="1" t="n">
        <v>45662</v>
      </c>
      <c r="D5636" t="inlineStr">
        <is>
          <t>NORRBOTTENS LÄN</t>
        </is>
      </c>
      <c r="E5636" t="inlineStr">
        <is>
          <t>GÄLLIVARE</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22743-2023</t>
        </is>
      </c>
      <c r="B5637" s="1" t="n">
        <v>45072</v>
      </c>
      <c r="C5637" s="1" t="n">
        <v>45662</v>
      </c>
      <c r="D5637" t="inlineStr">
        <is>
          <t>NORRBOTTENS LÄN</t>
        </is>
      </c>
      <c r="E5637" t="inlineStr">
        <is>
          <t>GÄLLIVARE</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22757-2023</t>
        </is>
      </c>
      <c r="B5638" s="1" t="n">
        <v>45072</v>
      </c>
      <c r="C5638" s="1" t="n">
        <v>45662</v>
      </c>
      <c r="D5638" t="inlineStr">
        <is>
          <t>NORRBOTTENS LÄN</t>
        </is>
      </c>
      <c r="E5638" t="inlineStr">
        <is>
          <t>BODEN</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22768-2023</t>
        </is>
      </c>
      <c r="B5639" s="1" t="n">
        <v>45072</v>
      </c>
      <c r="C5639" s="1" t="n">
        <v>45662</v>
      </c>
      <c r="D5639" t="inlineStr">
        <is>
          <t>NORRBOTTENS LÄN</t>
        </is>
      </c>
      <c r="E5639" t="inlineStr">
        <is>
          <t>ÖVERKALIX</t>
        </is>
      </c>
      <c r="F5639" t="inlineStr">
        <is>
          <t>Sveaskog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22894-2023</t>
        </is>
      </c>
      <c r="B5640" s="1" t="n">
        <v>45072</v>
      </c>
      <c r="C5640" s="1" t="n">
        <v>45662</v>
      </c>
      <c r="D5640" t="inlineStr">
        <is>
          <t>NORRBOTTENS LÄN</t>
        </is>
      </c>
      <c r="E5640" t="inlineStr">
        <is>
          <t>PITEÅ</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22909-2023</t>
        </is>
      </c>
      <c r="B5641" s="1" t="n">
        <v>45072</v>
      </c>
      <c r="C5641" s="1" t="n">
        <v>45662</v>
      </c>
      <c r="D5641" t="inlineStr">
        <is>
          <t>NORRBOTTENS LÄN</t>
        </is>
      </c>
      <c r="E5641" t="inlineStr">
        <is>
          <t>PAJALA</t>
        </is>
      </c>
      <c r="F5641" t="inlineStr">
        <is>
          <t>Sveaskog</t>
        </is>
      </c>
      <c r="G5641" t="n">
        <v>22.1</v>
      </c>
      <c r="H5641" t="n">
        <v>0</v>
      </c>
      <c r="I5641" t="n">
        <v>0</v>
      </c>
      <c r="J5641" t="n">
        <v>0</v>
      </c>
      <c r="K5641" t="n">
        <v>0</v>
      </c>
      <c r="L5641" t="n">
        <v>0</v>
      </c>
      <c r="M5641" t="n">
        <v>0</v>
      </c>
      <c r="N5641" t="n">
        <v>0</v>
      </c>
      <c r="O5641" t="n">
        <v>0</v>
      </c>
      <c r="P5641" t="n">
        <v>0</v>
      </c>
      <c r="Q5641" t="n">
        <v>0</v>
      </c>
      <c r="R5641" s="2" t="inlineStr"/>
    </row>
    <row r="5642" ht="15" customHeight="1">
      <c r="A5642" t="inlineStr">
        <is>
          <t>A 22895-2023</t>
        </is>
      </c>
      <c r="B5642" s="1" t="n">
        <v>45072</v>
      </c>
      <c r="C5642" s="1" t="n">
        <v>45662</v>
      </c>
      <c r="D5642" t="inlineStr">
        <is>
          <t>NORRBOTTENS LÄN</t>
        </is>
      </c>
      <c r="E5642" t="inlineStr">
        <is>
          <t>ARVIDSJAUR</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22908-2023</t>
        </is>
      </c>
      <c r="B5643" s="1" t="n">
        <v>45072</v>
      </c>
      <c r="C5643" s="1" t="n">
        <v>45662</v>
      </c>
      <c r="D5643" t="inlineStr">
        <is>
          <t>NORRBOTTENS LÄN</t>
        </is>
      </c>
      <c r="E5643" t="inlineStr">
        <is>
          <t>PITEÅ</t>
        </is>
      </c>
      <c r="F5643" t="inlineStr">
        <is>
          <t>Sveaskog</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22982-2023</t>
        </is>
      </c>
      <c r="B5644" s="1" t="n">
        <v>45072</v>
      </c>
      <c r="C5644" s="1" t="n">
        <v>45662</v>
      </c>
      <c r="D5644" t="inlineStr">
        <is>
          <t>NORRBOTTENS LÄN</t>
        </is>
      </c>
      <c r="E5644" t="inlineStr">
        <is>
          <t>LULEÅ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22905-2023</t>
        </is>
      </c>
      <c r="B5645" s="1" t="n">
        <v>45072</v>
      </c>
      <c r="C5645" s="1" t="n">
        <v>45662</v>
      </c>
      <c r="D5645" t="inlineStr">
        <is>
          <t>NORRBOTTENS LÄN</t>
        </is>
      </c>
      <c r="E5645" t="inlineStr">
        <is>
          <t>BODEN</t>
        </is>
      </c>
      <c r="F5645" t="inlineStr">
        <is>
          <t>Sveaskog</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23489-2023</t>
        </is>
      </c>
      <c r="B5646" s="1" t="n">
        <v>45072</v>
      </c>
      <c r="C5646" s="1" t="n">
        <v>45662</v>
      </c>
      <c r="D5646" t="inlineStr">
        <is>
          <t>NORRBOTTENS LÄN</t>
        </is>
      </c>
      <c r="E5646" t="inlineStr">
        <is>
          <t>GÄLLIVARE</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23022-2023</t>
        </is>
      </c>
      <c r="B5647" s="1" t="n">
        <v>45074</v>
      </c>
      <c r="C5647" s="1" t="n">
        <v>45662</v>
      </c>
      <c r="D5647" t="inlineStr">
        <is>
          <t>NORRBOTTENS LÄN</t>
        </is>
      </c>
      <c r="E5647" t="inlineStr">
        <is>
          <t>JOKKMOKK</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23021-2023</t>
        </is>
      </c>
      <c r="B5648" s="1" t="n">
        <v>45074</v>
      </c>
      <c r="C5648" s="1" t="n">
        <v>45662</v>
      </c>
      <c r="D5648" t="inlineStr">
        <is>
          <t>NORRBOTTENS LÄN</t>
        </is>
      </c>
      <c r="E5648" t="inlineStr">
        <is>
          <t>JOKKMOKK</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23019-2023</t>
        </is>
      </c>
      <c r="B5649" s="1" t="n">
        <v>45073</v>
      </c>
      <c r="C5649" s="1" t="n">
        <v>45662</v>
      </c>
      <c r="D5649" t="inlineStr">
        <is>
          <t>NORRBOTTENS LÄN</t>
        </is>
      </c>
      <c r="E5649" t="inlineStr">
        <is>
          <t>JOKKMOKK</t>
        </is>
      </c>
      <c r="F5649" t="inlineStr">
        <is>
          <t>SCA</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23023-2023</t>
        </is>
      </c>
      <c r="B5650" s="1" t="n">
        <v>45073</v>
      </c>
      <c r="C5650" s="1" t="n">
        <v>45662</v>
      </c>
      <c r="D5650" t="inlineStr">
        <is>
          <t>NORRBOTTENS LÄN</t>
        </is>
      </c>
      <c r="E5650" t="inlineStr">
        <is>
          <t>JOKKMOKK</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23278-2023</t>
        </is>
      </c>
      <c r="B5651" s="1" t="n">
        <v>45076</v>
      </c>
      <c r="C5651" s="1" t="n">
        <v>45662</v>
      </c>
      <c r="D5651" t="inlineStr">
        <is>
          <t>NORRBOTTENS LÄN</t>
        </is>
      </c>
      <c r="E5651" t="inlineStr">
        <is>
          <t>ÄLVSBYN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23290-2023</t>
        </is>
      </c>
      <c r="B5652" s="1" t="n">
        <v>45076</v>
      </c>
      <c r="C5652" s="1" t="n">
        <v>45662</v>
      </c>
      <c r="D5652" t="inlineStr">
        <is>
          <t>NORRBOTTENS LÄN</t>
        </is>
      </c>
      <c r="E5652" t="inlineStr">
        <is>
          <t>KALIX</t>
        </is>
      </c>
      <c r="F5652" t="inlineStr">
        <is>
          <t>SCA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23280-2023</t>
        </is>
      </c>
      <c r="B5653" s="1" t="n">
        <v>45076</v>
      </c>
      <c r="C5653" s="1" t="n">
        <v>45662</v>
      </c>
      <c r="D5653" t="inlineStr">
        <is>
          <t>NORRBOTTENS LÄN</t>
        </is>
      </c>
      <c r="E5653" t="inlineStr">
        <is>
          <t>ÄLVSBYN</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23178-2023</t>
        </is>
      </c>
      <c r="B5654" s="1" t="n">
        <v>45075</v>
      </c>
      <c r="C5654" s="1" t="n">
        <v>45662</v>
      </c>
      <c r="D5654" t="inlineStr">
        <is>
          <t>NORRBOTTENS LÄN</t>
        </is>
      </c>
      <c r="E5654" t="inlineStr">
        <is>
          <t>ÄLVSBYN</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23281-2023</t>
        </is>
      </c>
      <c r="B5655" s="1" t="n">
        <v>45076</v>
      </c>
      <c r="C5655" s="1" t="n">
        <v>45662</v>
      </c>
      <c r="D5655" t="inlineStr">
        <is>
          <t>NORRBOTTENS LÄN</t>
        </is>
      </c>
      <c r="E5655" t="inlineStr">
        <is>
          <t>PITEÅ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23279-2023</t>
        </is>
      </c>
      <c r="B5656" s="1" t="n">
        <v>45076</v>
      </c>
      <c r="C5656" s="1" t="n">
        <v>45662</v>
      </c>
      <c r="D5656" t="inlineStr">
        <is>
          <t>NORRBOTTENS LÄN</t>
        </is>
      </c>
      <c r="E5656" t="inlineStr">
        <is>
          <t>ÄLVSBYN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23292-2023</t>
        </is>
      </c>
      <c r="B5657" s="1" t="n">
        <v>45075</v>
      </c>
      <c r="C5657" s="1" t="n">
        <v>45662</v>
      </c>
      <c r="D5657" t="inlineStr">
        <is>
          <t>NORRBOTTENS LÄN</t>
        </is>
      </c>
      <c r="E5657" t="inlineStr">
        <is>
          <t>ÖVERKALIX</t>
        </is>
      </c>
      <c r="F5657" t="inlineStr">
        <is>
          <t>SCA</t>
        </is>
      </c>
      <c r="G5657" t="n">
        <v>22.5</v>
      </c>
      <c r="H5657" t="n">
        <v>0</v>
      </c>
      <c r="I5657" t="n">
        <v>0</v>
      </c>
      <c r="J5657" t="n">
        <v>0</v>
      </c>
      <c r="K5657" t="n">
        <v>0</v>
      </c>
      <c r="L5657" t="n">
        <v>0</v>
      </c>
      <c r="M5657" t="n">
        <v>0</v>
      </c>
      <c r="N5657" t="n">
        <v>0</v>
      </c>
      <c r="O5657" t="n">
        <v>0</v>
      </c>
      <c r="P5657" t="n">
        <v>0</v>
      </c>
      <c r="Q5657" t="n">
        <v>0</v>
      </c>
      <c r="R5657" s="2" t="inlineStr"/>
    </row>
    <row r="5658" ht="15" customHeight="1">
      <c r="A5658" t="inlineStr">
        <is>
          <t>A 23293-2023</t>
        </is>
      </c>
      <c r="B5658" s="1" t="n">
        <v>45076</v>
      </c>
      <c r="C5658" s="1" t="n">
        <v>45662</v>
      </c>
      <c r="D5658" t="inlineStr">
        <is>
          <t>NORRBOTTENS LÄN</t>
        </is>
      </c>
      <c r="E5658" t="inlineStr">
        <is>
          <t>ÖVERKALIX</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23302-2023</t>
        </is>
      </c>
      <c r="B5659" s="1" t="n">
        <v>45075</v>
      </c>
      <c r="C5659" s="1" t="n">
        <v>45662</v>
      </c>
      <c r="D5659" t="inlineStr">
        <is>
          <t>NORRBOTTENS LÄN</t>
        </is>
      </c>
      <c r="E5659" t="inlineStr">
        <is>
          <t>ÖVERKALIX</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23801-2023</t>
        </is>
      </c>
      <c r="B5660" s="1" t="n">
        <v>45075</v>
      </c>
      <c r="C5660" s="1" t="n">
        <v>45662</v>
      </c>
      <c r="D5660" t="inlineStr">
        <is>
          <t>NORRBOTTENS LÄN</t>
        </is>
      </c>
      <c r="E5660" t="inlineStr">
        <is>
          <t>LULEÅ</t>
        </is>
      </c>
      <c r="G5660" t="n">
        <v>26.1</v>
      </c>
      <c r="H5660" t="n">
        <v>0</v>
      </c>
      <c r="I5660" t="n">
        <v>0</v>
      </c>
      <c r="J5660" t="n">
        <v>0</v>
      </c>
      <c r="K5660" t="n">
        <v>0</v>
      </c>
      <c r="L5660" t="n">
        <v>0</v>
      </c>
      <c r="M5660" t="n">
        <v>0</v>
      </c>
      <c r="N5660" t="n">
        <v>0</v>
      </c>
      <c r="O5660" t="n">
        <v>0</v>
      </c>
      <c r="P5660" t="n">
        <v>0</v>
      </c>
      <c r="Q5660" t="n">
        <v>0</v>
      </c>
      <c r="R5660" s="2" t="inlineStr"/>
    </row>
    <row r="5661" ht="15" customHeight="1">
      <c r="A5661" t="inlineStr">
        <is>
          <t>A 23835-2023</t>
        </is>
      </c>
      <c r="B5661" s="1" t="n">
        <v>45075</v>
      </c>
      <c r="C5661" s="1" t="n">
        <v>45662</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23819-2023</t>
        </is>
      </c>
      <c r="B5662" s="1" t="n">
        <v>45075</v>
      </c>
      <c r="C5662" s="1" t="n">
        <v>45662</v>
      </c>
      <c r="D5662" t="inlineStr">
        <is>
          <t>NORRBOTTENS LÄN</t>
        </is>
      </c>
      <c r="E5662" t="inlineStr">
        <is>
          <t>LULEÅ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23830-2023</t>
        </is>
      </c>
      <c r="B5663" s="1" t="n">
        <v>45075</v>
      </c>
      <c r="C5663" s="1" t="n">
        <v>45662</v>
      </c>
      <c r="D5663" t="inlineStr">
        <is>
          <t>NORRBOTTENS LÄN</t>
        </is>
      </c>
      <c r="E5663" t="inlineStr">
        <is>
          <t>LULEÅ</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23351-2023</t>
        </is>
      </c>
      <c r="B5664" s="1" t="n">
        <v>45076</v>
      </c>
      <c r="C5664" s="1" t="n">
        <v>45662</v>
      </c>
      <c r="D5664" t="inlineStr">
        <is>
          <t>NORRBOTTENS LÄN</t>
        </is>
      </c>
      <c r="E5664" t="inlineStr">
        <is>
          <t>PAJALA</t>
        </is>
      </c>
      <c r="F5664" t="inlineStr">
        <is>
          <t>Sveaskog</t>
        </is>
      </c>
      <c r="G5664" t="n">
        <v>12.7</v>
      </c>
      <c r="H5664" t="n">
        <v>0</v>
      </c>
      <c r="I5664" t="n">
        <v>0</v>
      </c>
      <c r="J5664" t="n">
        <v>0</v>
      </c>
      <c r="K5664" t="n">
        <v>0</v>
      </c>
      <c r="L5664" t="n">
        <v>0</v>
      </c>
      <c r="M5664" t="n">
        <v>0</v>
      </c>
      <c r="N5664" t="n">
        <v>0</v>
      </c>
      <c r="O5664" t="n">
        <v>0</v>
      </c>
      <c r="P5664" t="n">
        <v>0</v>
      </c>
      <c r="Q5664" t="n">
        <v>0</v>
      </c>
      <c r="R5664" s="2" t="inlineStr"/>
    </row>
    <row r="5665" ht="15" customHeight="1">
      <c r="A5665" t="inlineStr">
        <is>
          <t>A 23359-2023</t>
        </is>
      </c>
      <c r="B5665" s="1" t="n">
        <v>45076</v>
      </c>
      <c r="C5665" s="1" t="n">
        <v>45662</v>
      </c>
      <c r="D5665" t="inlineStr">
        <is>
          <t>NORRBOTTENS LÄN</t>
        </is>
      </c>
      <c r="E5665" t="inlineStr">
        <is>
          <t>PITEÅ</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23453-2023</t>
        </is>
      </c>
      <c r="B5666" s="1" t="n">
        <v>45076</v>
      </c>
      <c r="C5666" s="1" t="n">
        <v>45662</v>
      </c>
      <c r="D5666" t="inlineStr">
        <is>
          <t>NORRBOTTENS LÄN</t>
        </is>
      </c>
      <c r="E5666" t="inlineStr">
        <is>
          <t>HAPARANDA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23324-2023</t>
        </is>
      </c>
      <c r="B5667" s="1" t="n">
        <v>45076</v>
      </c>
      <c r="C5667" s="1" t="n">
        <v>45662</v>
      </c>
      <c r="D5667" t="inlineStr">
        <is>
          <t>NORRBOTTENS LÄN</t>
        </is>
      </c>
      <c r="E5667" t="inlineStr">
        <is>
          <t>ÖVERKALIX</t>
        </is>
      </c>
      <c r="F5667" t="inlineStr">
        <is>
          <t>Övriga statliga verk och myndigheter</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23357-2023</t>
        </is>
      </c>
      <c r="B5668" s="1" t="n">
        <v>45076</v>
      </c>
      <c r="C5668" s="1" t="n">
        <v>45662</v>
      </c>
      <c r="D5668" t="inlineStr">
        <is>
          <t>NORRBOTTENS LÄN</t>
        </is>
      </c>
      <c r="E5668" t="inlineStr">
        <is>
          <t>PAJALA</t>
        </is>
      </c>
      <c r="F5668" t="inlineStr">
        <is>
          <t>Sveaskog</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23484-2023</t>
        </is>
      </c>
      <c r="B5669" s="1" t="n">
        <v>45076</v>
      </c>
      <c r="C5669" s="1" t="n">
        <v>45662</v>
      </c>
      <c r="D5669" t="inlineStr">
        <is>
          <t>NORRBOTTENS LÄN</t>
        </is>
      </c>
      <c r="E5669" t="inlineStr">
        <is>
          <t>HAPARANDA</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23502-2023</t>
        </is>
      </c>
      <c r="B5670" s="1" t="n">
        <v>45076</v>
      </c>
      <c r="C5670" s="1" t="n">
        <v>45662</v>
      </c>
      <c r="D5670" t="inlineStr">
        <is>
          <t>NORRBOTTENS LÄN</t>
        </is>
      </c>
      <c r="E5670" t="inlineStr">
        <is>
          <t>PAJALA</t>
        </is>
      </c>
      <c r="F5670" t="inlineStr">
        <is>
          <t>Sveaskog</t>
        </is>
      </c>
      <c r="G5670" t="n">
        <v>30.9</v>
      </c>
      <c r="H5670" t="n">
        <v>0</v>
      </c>
      <c r="I5670" t="n">
        <v>0</v>
      </c>
      <c r="J5670" t="n">
        <v>0</v>
      </c>
      <c r="K5670" t="n">
        <v>0</v>
      </c>
      <c r="L5670" t="n">
        <v>0</v>
      </c>
      <c r="M5670" t="n">
        <v>0</v>
      </c>
      <c r="N5670" t="n">
        <v>0</v>
      </c>
      <c r="O5670" t="n">
        <v>0</v>
      </c>
      <c r="P5670" t="n">
        <v>0</v>
      </c>
      <c r="Q5670" t="n">
        <v>0</v>
      </c>
      <c r="R5670" s="2" t="inlineStr"/>
    </row>
    <row r="5671" ht="15" customHeight="1">
      <c r="A5671" t="inlineStr">
        <is>
          <t>A 23522-2023</t>
        </is>
      </c>
      <c r="B5671" s="1" t="n">
        <v>45077</v>
      </c>
      <c r="C5671" s="1" t="n">
        <v>45662</v>
      </c>
      <c r="D5671" t="inlineStr">
        <is>
          <t>NORRBOTTENS LÄN</t>
        </is>
      </c>
      <c r="E5671" t="inlineStr">
        <is>
          <t>ÄLVSBYN</t>
        </is>
      </c>
      <c r="F5671" t="inlineStr">
        <is>
          <t>SCA</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23571-2023</t>
        </is>
      </c>
      <c r="B5672" s="1" t="n">
        <v>45077</v>
      </c>
      <c r="C5672" s="1" t="n">
        <v>45662</v>
      </c>
      <c r="D5672" t="inlineStr">
        <is>
          <t>NORRBOTTENS LÄN</t>
        </is>
      </c>
      <c r="E5672" t="inlineStr">
        <is>
          <t>BODEN</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23575-2023</t>
        </is>
      </c>
      <c r="B5673" s="1" t="n">
        <v>45077</v>
      </c>
      <c r="C5673" s="1" t="n">
        <v>45662</v>
      </c>
      <c r="D5673" t="inlineStr">
        <is>
          <t>NORRBOTTENS LÄN</t>
        </is>
      </c>
      <c r="E5673" t="inlineStr">
        <is>
          <t>BODEN</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23569-2023</t>
        </is>
      </c>
      <c r="B5674" s="1" t="n">
        <v>45077</v>
      </c>
      <c r="C5674" s="1" t="n">
        <v>45662</v>
      </c>
      <c r="D5674" t="inlineStr">
        <is>
          <t>NORRBOTTENS LÄN</t>
        </is>
      </c>
      <c r="E5674" t="inlineStr">
        <is>
          <t>BODEN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23749-2023</t>
        </is>
      </c>
      <c r="B5675" s="1" t="n">
        <v>45077</v>
      </c>
      <c r="C5675" s="1" t="n">
        <v>45662</v>
      </c>
      <c r="D5675" t="inlineStr">
        <is>
          <t>NORRBOTTENS LÄN</t>
        </is>
      </c>
      <c r="E5675" t="inlineStr">
        <is>
          <t>PITEÅ</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23744-2023</t>
        </is>
      </c>
      <c r="B5676" s="1" t="n">
        <v>45077</v>
      </c>
      <c r="C5676" s="1" t="n">
        <v>45662</v>
      </c>
      <c r="D5676" t="inlineStr">
        <is>
          <t>NORRBOTTENS LÄN</t>
        </is>
      </c>
      <c r="E5676" t="inlineStr">
        <is>
          <t>LULEÅ</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23774-2023</t>
        </is>
      </c>
      <c r="B5677" s="1" t="n">
        <v>45077</v>
      </c>
      <c r="C5677" s="1" t="n">
        <v>45662</v>
      </c>
      <c r="D5677" t="inlineStr">
        <is>
          <t>NORRBOTTENS LÄN</t>
        </is>
      </c>
      <c r="E5677" t="inlineStr">
        <is>
          <t>GÄLLIVARE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23730-2023</t>
        </is>
      </c>
      <c r="B5678" s="1" t="n">
        <v>45077</v>
      </c>
      <c r="C5678" s="1" t="n">
        <v>45662</v>
      </c>
      <c r="D5678" t="inlineStr">
        <is>
          <t>NORRBOTTENS LÄN</t>
        </is>
      </c>
      <c r="E5678" t="inlineStr">
        <is>
          <t>LULEÅ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24511-2023</t>
        </is>
      </c>
      <c r="B5679" s="1" t="n">
        <v>45077</v>
      </c>
      <c r="C5679" s="1" t="n">
        <v>45662</v>
      </c>
      <c r="D5679" t="inlineStr">
        <is>
          <t>NORRBOTTENS LÄN</t>
        </is>
      </c>
      <c r="E5679" t="inlineStr">
        <is>
          <t>HAPARANDA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23964-2023</t>
        </is>
      </c>
      <c r="B5680" s="1" t="n">
        <v>45078</v>
      </c>
      <c r="C5680" s="1" t="n">
        <v>45662</v>
      </c>
      <c r="D5680" t="inlineStr">
        <is>
          <t>NORRBOTTENS LÄN</t>
        </is>
      </c>
      <c r="E5680" t="inlineStr">
        <is>
          <t>ÖVERKALIX</t>
        </is>
      </c>
      <c r="G5680" t="n">
        <v>8.6</v>
      </c>
      <c r="H5680" t="n">
        <v>0</v>
      </c>
      <c r="I5680" t="n">
        <v>0</v>
      </c>
      <c r="J5680" t="n">
        <v>0</v>
      </c>
      <c r="K5680" t="n">
        <v>0</v>
      </c>
      <c r="L5680" t="n">
        <v>0</v>
      </c>
      <c r="M5680" t="n">
        <v>0</v>
      </c>
      <c r="N5680" t="n">
        <v>0</v>
      </c>
      <c r="O5680" t="n">
        <v>0</v>
      </c>
      <c r="P5680" t="n">
        <v>0</v>
      </c>
      <c r="Q5680" t="n">
        <v>0</v>
      </c>
      <c r="R5680" s="2" t="inlineStr"/>
    </row>
    <row r="5681" ht="15" customHeight="1">
      <c r="A5681" t="inlineStr">
        <is>
          <t>A 23982-2023</t>
        </is>
      </c>
      <c r="B5681" s="1" t="n">
        <v>45078</v>
      </c>
      <c r="C5681" s="1" t="n">
        <v>45662</v>
      </c>
      <c r="D5681" t="inlineStr">
        <is>
          <t>NORRBOTTENS LÄN</t>
        </is>
      </c>
      <c r="E5681" t="inlineStr">
        <is>
          <t>HAPARANDA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24054-2023</t>
        </is>
      </c>
      <c r="B5682" s="1" t="n">
        <v>45078</v>
      </c>
      <c r="C5682" s="1" t="n">
        <v>45662</v>
      </c>
      <c r="D5682" t="inlineStr">
        <is>
          <t>NORRBOTTENS LÄN</t>
        </is>
      </c>
      <c r="E5682" t="inlineStr">
        <is>
          <t>JOKKMOKK</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24050-2023</t>
        </is>
      </c>
      <c r="B5683" s="1" t="n">
        <v>45079</v>
      </c>
      <c r="C5683" s="1" t="n">
        <v>45662</v>
      </c>
      <c r="D5683" t="inlineStr">
        <is>
          <t>NORRBOTTENS LÄN</t>
        </is>
      </c>
      <c r="E5683" t="inlineStr">
        <is>
          <t>ÖVERKALIX</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24052-2023</t>
        </is>
      </c>
      <c r="B5684" s="1" t="n">
        <v>45078</v>
      </c>
      <c r="C5684" s="1" t="n">
        <v>45662</v>
      </c>
      <c r="D5684" t="inlineStr">
        <is>
          <t>NORRBOTTENS LÄN</t>
        </is>
      </c>
      <c r="E5684" t="inlineStr">
        <is>
          <t>JOKKMOKK</t>
        </is>
      </c>
      <c r="F5684" t="inlineStr">
        <is>
          <t>Naturvårdsverket</t>
        </is>
      </c>
      <c r="G5684" t="n">
        <v>58.1</v>
      </c>
      <c r="H5684" t="n">
        <v>0</v>
      </c>
      <c r="I5684" t="n">
        <v>0</v>
      </c>
      <c r="J5684" t="n">
        <v>0</v>
      </c>
      <c r="K5684" t="n">
        <v>0</v>
      </c>
      <c r="L5684" t="n">
        <v>0</v>
      </c>
      <c r="M5684" t="n">
        <v>0</v>
      </c>
      <c r="N5684" t="n">
        <v>0</v>
      </c>
      <c r="O5684" t="n">
        <v>0</v>
      </c>
      <c r="P5684" t="n">
        <v>0</v>
      </c>
      <c r="Q5684" t="n">
        <v>0</v>
      </c>
      <c r="R5684" s="2" t="inlineStr"/>
    </row>
    <row r="5685" ht="15" customHeight="1">
      <c r="A5685" t="inlineStr">
        <is>
          <t>A 24056-2023</t>
        </is>
      </c>
      <c r="B5685" s="1" t="n">
        <v>45079</v>
      </c>
      <c r="C5685" s="1" t="n">
        <v>45662</v>
      </c>
      <c r="D5685" t="inlineStr">
        <is>
          <t>NORRBOTTENS LÄN</t>
        </is>
      </c>
      <c r="E5685" t="inlineStr">
        <is>
          <t>JOKKMOKK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24053-2023</t>
        </is>
      </c>
      <c r="B5686" s="1" t="n">
        <v>45078</v>
      </c>
      <c r="C5686" s="1" t="n">
        <v>45662</v>
      </c>
      <c r="D5686" t="inlineStr">
        <is>
          <t>NORRBOTTENS LÄN</t>
        </is>
      </c>
      <c r="E5686" t="inlineStr">
        <is>
          <t>JOKKMOKK</t>
        </is>
      </c>
      <c r="F5686" t="inlineStr">
        <is>
          <t>SCA</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24057-2023</t>
        </is>
      </c>
      <c r="B5687" s="1" t="n">
        <v>45078</v>
      </c>
      <c r="C5687" s="1" t="n">
        <v>45662</v>
      </c>
      <c r="D5687" t="inlineStr">
        <is>
          <t>NORRBOTTENS LÄN</t>
        </is>
      </c>
      <c r="E5687" t="inlineStr">
        <is>
          <t>JOKKMOKK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24065-2023</t>
        </is>
      </c>
      <c r="B5688" s="1" t="n">
        <v>45079</v>
      </c>
      <c r="C5688" s="1" t="n">
        <v>45662</v>
      </c>
      <c r="D5688" t="inlineStr">
        <is>
          <t>NORRBOTTENS LÄN</t>
        </is>
      </c>
      <c r="E5688" t="inlineStr">
        <is>
          <t>JOKKMOKK</t>
        </is>
      </c>
      <c r="F5688" t="inlineStr">
        <is>
          <t>SCA</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25158-2023</t>
        </is>
      </c>
      <c r="B5689" s="1" t="n">
        <v>45078</v>
      </c>
      <c r="C5689" s="1" t="n">
        <v>45662</v>
      </c>
      <c r="D5689" t="inlineStr">
        <is>
          <t>NORRBOTTENS LÄN</t>
        </is>
      </c>
      <c r="E5689" t="inlineStr">
        <is>
          <t>ÄLVSBYN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25102-2023</t>
        </is>
      </c>
      <c r="B5690" s="1" t="n">
        <v>45078</v>
      </c>
      <c r="C5690" s="1" t="n">
        <v>45662</v>
      </c>
      <c r="D5690" t="inlineStr">
        <is>
          <t>NORRBOTTENS LÄN</t>
        </is>
      </c>
      <c r="E5690" t="inlineStr">
        <is>
          <t>ÄLVSBYN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24892-2023</t>
        </is>
      </c>
      <c r="B5691" s="1" t="n">
        <v>45078</v>
      </c>
      <c r="C5691" s="1" t="n">
        <v>45662</v>
      </c>
      <c r="D5691" t="inlineStr">
        <is>
          <t>NORRBOTTENS LÄN</t>
        </is>
      </c>
      <c r="E5691" t="inlineStr">
        <is>
          <t>ÖVERKALIX</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24922-2023</t>
        </is>
      </c>
      <c r="B5692" s="1" t="n">
        <v>45078</v>
      </c>
      <c r="C5692" s="1" t="n">
        <v>45662</v>
      </c>
      <c r="D5692" t="inlineStr">
        <is>
          <t>NORRBOTTENS LÄN</t>
        </is>
      </c>
      <c r="E5692" t="inlineStr">
        <is>
          <t>ÄLVSBYN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24094-2023</t>
        </is>
      </c>
      <c r="B5693" s="1" t="n">
        <v>45079</v>
      </c>
      <c r="C5693" s="1" t="n">
        <v>45662</v>
      </c>
      <c r="D5693" t="inlineStr">
        <is>
          <t>NORRBOTTENS LÄN</t>
        </is>
      </c>
      <c r="E5693" t="inlineStr">
        <is>
          <t>GÄLLIVARE</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24117-2023</t>
        </is>
      </c>
      <c r="B5694" s="1" t="n">
        <v>45079</v>
      </c>
      <c r="C5694" s="1" t="n">
        <v>45662</v>
      </c>
      <c r="D5694" t="inlineStr">
        <is>
          <t>NORRBOTTENS LÄN</t>
        </is>
      </c>
      <c r="E5694" t="inlineStr">
        <is>
          <t>GÄLLIVARE</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24135-2023</t>
        </is>
      </c>
      <c r="B5695" s="1" t="n">
        <v>45079</v>
      </c>
      <c r="C5695" s="1" t="n">
        <v>45662</v>
      </c>
      <c r="D5695" t="inlineStr">
        <is>
          <t>NORRBOTTENS LÄN</t>
        </is>
      </c>
      <c r="E5695" t="inlineStr">
        <is>
          <t>KALIX</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24168-2023</t>
        </is>
      </c>
      <c r="B5696" s="1" t="n">
        <v>45079</v>
      </c>
      <c r="C5696" s="1" t="n">
        <v>45662</v>
      </c>
      <c r="D5696" t="inlineStr">
        <is>
          <t>NORRBOTTENS LÄN</t>
        </is>
      </c>
      <c r="E5696" t="inlineStr">
        <is>
          <t>LULEÅ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24120-2023</t>
        </is>
      </c>
      <c r="B5697" s="1" t="n">
        <v>45079</v>
      </c>
      <c r="C5697" s="1" t="n">
        <v>45662</v>
      </c>
      <c r="D5697" t="inlineStr">
        <is>
          <t>NORRBOTTENS LÄN</t>
        </is>
      </c>
      <c r="E5697" t="inlineStr">
        <is>
          <t>JOKKMOKK</t>
        </is>
      </c>
      <c r="F5697" t="inlineStr">
        <is>
          <t>Sveaskog</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24166-2023</t>
        </is>
      </c>
      <c r="B5698" s="1" t="n">
        <v>45079</v>
      </c>
      <c r="C5698" s="1" t="n">
        <v>45662</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24125-2023</t>
        </is>
      </c>
      <c r="B5699" s="1" t="n">
        <v>45079</v>
      </c>
      <c r="C5699" s="1" t="n">
        <v>45662</v>
      </c>
      <c r="D5699" t="inlineStr">
        <is>
          <t>NORRBOTTENS LÄN</t>
        </is>
      </c>
      <c r="E5699" t="inlineStr">
        <is>
          <t>ÄLVSBYN</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24247-2023</t>
        </is>
      </c>
      <c r="B5700" s="1" t="n">
        <v>45079</v>
      </c>
      <c r="C5700" s="1" t="n">
        <v>45662</v>
      </c>
      <c r="D5700" t="inlineStr">
        <is>
          <t>NORRBOTTENS LÄN</t>
        </is>
      </c>
      <c r="E5700" t="inlineStr">
        <is>
          <t>PITEÅ</t>
        </is>
      </c>
      <c r="F5700" t="inlineStr">
        <is>
          <t>Övriga Aktiebolag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24252-2023</t>
        </is>
      </c>
      <c r="B5701" s="1" t="n">
        <v>45079</v>
      </c>
      <c r="C5701" s="1" t="n">
        <v>45662</v>
      </c>
      <c r="D5701" t="inlineStr">
        <is>
          <t>NORRBOTTENS LÄN</t>
        </is>
      </c>
      <c r="E5701" t="inlineStr">
        <is>
          <t>PITEÅ</t>
        </is>
      </c>
      <c r="F5701" t="inlineStr">
        <is>
          <t>Övriga Aktiebolag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24269-2023</t>
        </is>
      </c>
      <c r="B5702" s="1" t="n">
        <v>45079</v>
      </c>
      <c r="C5702" s="1" t="n">
        <v>45662</v>
      </c>
      <c r="D5702" t="inlineStr">
        <is>
          <t>NORRBOTTENS LÄN</t>
        </is>
      </c>
      <c r="E5702" t="inlineStr">
        <is>
          <t>PAJALA</t>
        </is>
      </c>
      <c r="F5702" t="inlineStr">
        <is>
          <t>Sveaskog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24274-2023</t>
        </is>
      </c>
      <c r="B5703" s="1" t="n">
        <v>45079</v>
      </c>
      <c r="C5703" s="1" t="n">
        <v>45662</v>
      </c>
      <c r="D5703" t="inlineStr">
        <is>
          <t>NORRBOTTENS LÄN</t>
        </is>
      </c>
      <c r="E5703" t="inlineStr">
        <is>
          <t>ÄLVSBYN</t>
        </is>
      </c>
      <c r="F5703" t="inlineStr">
        <is>
          <t>Sveaskog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24109-2023</t>
        </is>
      </c>
      <c r="B5704" s="1" t="n">
        <v>45079</v>
      </c>
      <c r="C5704" s="1" t="n">
        <v>45662</v>
      </c>
      <c r="D5704" t="inlineStr">
        <is>
          <t>NORRBOTTENS LÄN</t>
        </is>
      </c>
      <c r="E5704" t="inlineStr">
        <is>
          <t>JOKKMOKK</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24165-2023</t>
        </is>
      </c>
      <c r="B5705" s="1" t="n">
        <v>45079</v>
      </c>
      <c r="C5705" s="1" t="n">
        <v>45662</v>
      </c>
      <c r="D5705" t="inlineStr">
        <is>
          <t>NORRBOTTENS LÄN</t>
        </is>
      </c>
      <c r="E5705" t="inlineStr">
        <is>
          <t>ARVIDSJAUR</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24266-2023</t>
        </is>
      </c>
      <c r="B5706" s="1" t="n">
        <v>45079</v>
      </c>
      <c r="C5706" s="1" t="n">
        <v>45662</v>
      </c>
      <c r="D5706" t="inlineStr">
        <is>
          <t>NORRBOTTENS LÄN</t>
        </is>
      </c>
      <c r="E5706" t="inlineStr">
        <is>
          <t>PAJALA</t>
        </is>
      </c>
      <c r="F5706" t="inlineStr">
        <is>
          <t>Sveaskog</t>
        </is>
      </c>
      <c r="G5706" t="n">
        <v>15.5</v>
      </c>
      <c r="H5706" t="n">
        <v>0</v>
      </c>
      <c r="I5706" t="n">
        <v>0</v>
      </c>
      <c r="J5706" t="n">
        <v>0</v>
      </c>
      <c r="K5706" t="n">
        <v>0</v>
      </c>
      <c r="L5706" t="n">
        <v>0</v>
      </c>
      <c r="M5706" t="n">
        <v>0</v>
      </c>
      <c r="N5706" t="n">
        <v>0</v>
      </c>
      <c r="O5706" t="n">
        <v>0</v>
      </c>
      <c r="P5706" t="n">
        <v>0</v>
      </c>
      <c r="Q5706" t="n">
        <v>0</v>
      </c>
      <c r="R5706" s="2" t="inlineStr"/>
    </row>
    <row r="5707" ht="15" customHeight="1">
      <c r="A5707" t="inlineStr">
        <is>
          <t>A 25275-2023</t>
        </is>
      </c>
      <c r="B5707" s="1" t="n">
        <v>45079</v>
      </c>
      <c r="C5707" s="1" t="n">
        <v>45662</v>
      </c>
      <c r="D5707" t="inlineStr">
        <is>
          <t>NORRBOTTENS LÄN</t>
        </is>
      </c>
      <c r="E5707" t="inlineStr">
        <is>
          <t>ARJEPLOG</t>
        </is>
      </c>
      <c r="F5707" t="inlineStr">
        <is>
          <t>Övriga statliga verk och myndigheter</t>
        </is>
      </c>
      <c r="G5707" t="n">
        <v>22.7</v>
      </c>
      <c r="H5707" t="n">
        <v>0</v>
      </c>
      <c r="I5707" t="n">
        <v>0</v>
      </c>
      <c r="J5707" t="n">
        <v>0</v>
      </c>
      <c r="K5707" t="n">
        <v>0</v>
      </c>
      <c r="L5707" t="n">
        <v>0</v>
      </c>
      <c r="M5707" t="n">
        <v>0</v>
      </c>
      <c r="N5707" t="n">
        <v>0</v>
      </c>
      <c r="O5707" t="n">
        <v>0</v>
      </c>
      <c r="P5707" t="n">
        <v>0</v>
      </c>
      <c r="Q5707" t="n">
        <v>0</v>
      </c>
      <c r="R5707" s="2" t="inlineStr"/>
    </row>
    <row r="5708" ht="15" customHeight="1">
      <c r="A5708" t="inlineStr">
        <is>
          <t>A 25390-2023</t>
        </is>
      </c>
      <c r="B5708" s="1" t="n">
        <v>45079</v>
      </c>
      <c r="C5708" s="1" t="n">
        <v>45662</v>
      </c>
      <c r="D5708" t="inlineStr">
        <is>
          <t>NORRBOTTENS LÄN</t>
        </is>
      </c>
      <c r="E5708" t="inlineStr">
        <is>
          <t>BODEN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25239-2023</t>
        </is>
      </c>
      <c r="B5709" s="1" t="n">
        <v>45079</v>
      </c>
      <c r="C5709" s="1" t="n">
        <v>45662</v>
      </c>
      <c r="D5709" t="inlineStr">
        <is>
          <t>NORRBOTTENS LÄN</t>
        </is>
      </c>
      <c r="E5709" t="inlineStr">
        <is>
          <t>ARJEPLOG</t>
        </is>
      </c>
      <c r="F5709" t="inlineStr">
        <is>
          <t>Övriga statliga verk och myndigheter</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25270-2023</t>
        </is>
      </c>
      <c r="B5710" s="1" t="n">
        <v>45079</v>
      </c>
      <c r="C5710" s="1" t="n">
        <v>45662</v>
      </c>
      <c r="D5710" t="inlineStr">
        <is>
          <t>NORRBOTTENS LÄN</t>
        </is>
      </c>
      <c r="E5710" t="inlineStr">
        <is>
          <t>ARJEPLOG</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25387-2023</t>
        </is>
      </c>
      <c r="B5711" s="1" t="n">
        <v>45079</v>
      </c>
      <c r="C5711" s="1" t="n">
        <v>45662</v>
      </c>
      <c r="D5711" t="inlineStr">
        <is>
          <t>NORRBOTTENS LÄN</t>
        </is>
      </c>
      <c r="E5711" t="inlineStr">
        <is>
          <t>BODEN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24563-2023</t>
        </is>
      </c>
      <c r="B5712" s="1" t="n">
        <v>45083</v>
      </c>
      <c r="C5712" s="1" t="n">
        <v>45662</v>
      </c>
      <c r="D5712" t="inlineStr">
        <is>
          <t>NORRBOTTENS LÄN</t>
        </is>
      </c>
      <c r="E5712" t="inlineStr">
        <is>
          <t>ARVIDSJAUR</t>
        </is>
      </c>
      <c r="G5712" t="n">
        <v>9.4</v>
      </c>
      <c r="H5712" t="n">
        <v>0</v>
      </c>
      <c r="I5712" t="n">
        <v>0</v>
      </c>
      <c r="J5712" t="n">
        <v>0</v>
      </c>
      <c r="K5712" t="n">
        <v>0</v>
      </c>
      <c r="L5712" t="n">
        <v>0</v>
      </c>
      <c r="M5712" t="n">
        <v>0</v>
      </c>
      <c r="N5712" t="n">
        <v>0</v>
      </c>
      <c r="O5712" t="n">
        <v>0</v>
      </c>
      <c r="P5712" t="n">
        <v>0</v>
      </c>
      <c r="Q5712" t="n">
        <v>0</v>
      </c>
      <c r="R5712" s="2" t="inlineStr"/>
    </row>
    <row r="5713" ht="15" customHeight="1">
      <c r="A5713" t="inlineStr">
        <is>
          <t>A 24603-2023</t>
        </is>
      </c>
      <c r="B5713" s="1" t="n">
        <v>45083</v>
      </c>
      <c r="C5713" s="1" t="n">
        <v>45662</v>
      </c>
      <c r="D5713" t="inlineStr">
        <is>
          <t>NORRBOTTENS LÄN</t>
        </is>
      </c>
      <c r="E5713" t="inlineStr">
        <is>
          <t>JOKKMOKK</t>
        </is>
      </c>
      <c r="F5713" t="inlineStr">
        <is>
          <t>SCA</t>
        </is>
      </c>
      <c r="G5713" t="n">
        <v>17.1</v>
      </c>
      <c r="H5713" t="n">
        <v>0</v>
      </c>
      <c r="I5713" t="n">
        <v>0</v>
      </c>
      <c r="J5713" t="n">
        <v>0</v>
      </c>
      <c r="K5713" t="n">
        <v>0</v>
      </c>
      <c r="L5713" t="n">
        <v>0</v>
      </c>
      <c r="M5713" t="n">
        <v>0</v>
      </c>
      <c r="N5713" t="n">
        <v>0</v>
      </c>
      <c r="O5713" t="n">
        <v>0</v>
      </c>
      <c r="P5713" t="n">
        <v>0</v>
      </c>
      <c r="Q5713" t="n">
        <v>0</v>
      </c>
      <c r="R5713" s="2" t="inlineStr"/>
    </row>
    <row r="5714" ht="15" customHeight="1">
      <c r="A5714" t="inlineStr">
        <is>
          <t>A 24734-2023</t>
        </is>
      </c>
      <c r="B5714" s="1" t="n">
        <v>45084</v>
      </c>
      <c r="C5714" s="1" t="n">
        <v>45662</v>
      </c>
      <c r="D5714" t="inlineStr">
        <is>
          <t>NORRBOTTENS LÄN</t>
        </is>
      </c>
      <c r="E5714" t="inlineStr">
        <is>
          <t>BODEN</t>
        </is>
      </c>
      <c r="F5714" t="inlineStr">
        <is>
          <t>Sveaskog</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24758-2023</t>
        </is>
      </c>
      <c r="B5715" s="1" t="n">
        <v>45084</v>
      </c>
      <c r="C5715" s="1" t="n">
        <v>45662</v>
      </c>
      <c r="D5715" t="inlineStr">
        <is>
          <t>NORRBOTTENS LÄN</t>
        </is>
      </c>
      <c r="E5715" t="inlineStr">
        <is>
          <t>BODEN</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24760-2023</t>
        </is>
      </c>
      <c r="B5716" s="1" t="n">
        <v>45084</v>
      </c>
      <c r="C5716" s="1" t="n">
        <v>45662</v>
      </c>
      <c r="D5716" t="inlineStr">
        <is>
          <t>NORRBOTTENS LÄN</t>
        </is>
      </c>
      <c r="E5716" t="inlineStr">
        <is>
          <t>ÖVERKALIX</t>
        </is>
      </c>
      <c r="F5716" t="inlineStr">
        <is>
          <t>Sveaskog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24737-2023</t>
        </is>
      </c>
      <c r="B5717" s="1" t="n">
        <v>45084</v>
      </c>
      <c r="C5717" s="1" t="n">
        <v>45662</v>
      </c>
      <c r="D5717" t="inlineStr">
        <is>
          <t>NORRBOTTENS LÄN</t>
        </is>
      </c>
      <c r="E5717" t="inlineStr">
        <is>
          <t>ÄLVSBYN</t>
        </is>
      </c>
      <c r="F5717" t="inlineStr">
        <is>
          <t>Övriga Aktiebolag</t>
        </is>
      </c>
      <c r="G5717" t="n">
        <v>10.3</v>
      </c>
      <c r="H5717" t="n">
        <v>0</v>
      </c>
      <c r="I5717" t="n">
        <v>0</v>
      </c>
      <c r="J5717" t="n">
        <v>0</v>
      </c>
      <c r="K5717" t="n">
        <v>0</v>
      </c>
      <c r="L5717" t="n">
        <v>0</v>
      </c>
      <c r="M5717" t="n">
        <v>0</v>
      </c>
      <c r="N5717" t="n">
        <v>0</v>
      </c>
      <c r="O5717" t="n">
        <v>0</v>
      </c>
      <c r="P5717" t="n">
        <v>0</v>
      </c>
      <c r="Q5717" t="n">
        <v>0</v>
      </c>
      <c r="R5717" s="2" t="inlineStr"/>
    </row>
    <row r="5718" ht="15" customHeight="1">
      <c r="A5718" t="inlineStr">
        <is>
          <t>A 24755-2023</t>
        </is>
      </c>
      <c r="B5718" s="1" t="n">
        <v>45084</v>
      </c>
      <c r="C5718" s="1" t="n">
        <v>45662</v>
      </c>
      <c r="D5718" t="inlineStr">
        <is>
          <t>NORRBOTTENS LÄN</t>
        </is>
      </c>
      <c r="E5718" t="inlineStr">
        <is>
          <t>BODEN</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24810-2023</t>
        </is>
      </c>
      <c r="B5719" s="1" t="n">
        <v>45084</v>
      </c>
      <c r="C5719" s="1" t="n">
        <v>45662</v>
      </c>
      <c r="D5719" t="inlineStr">
        <is>
          <t>NORRBOTTENS LÄN</t>
        </is>
      </c>
      <c r="E5719" t="inlineStr">
        <is>
          <t>ARVIDSJAUR</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25731-2023</t>
        </is>
      </c>
      <c r="B5720" s="1" t="n">
        <v>45084</v>
      </c>
      <c r="C5720" s="1" t="n">
        <v>45662</v>
      </c>
      <c r="D5720" t="inlineStr">
        <is>
          <t>NORRBOTTENS LÄN</t>
        </is>
      </c>
      <c r="E5720" t="inlineStr">
        <is>
          <t>ARVIDSJAUR</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24860-2023</t>
        </is>
      </c>
      <c r="B5721" s="1" t="n">
        <v>45085</v>
      </c>
      <c r="C5721" s="1" t="n">
        <v>45662</v>
      </c>
      <c r="D5721" t="inlineStr">
        <is>
          <t>NORRBOTTENS LÄN</t>
        </is>
      </c>
      <c r="E5721" t="inlineStr">
        <is>
          <t>PAJALA</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24865-2023</t>
        </is>
      </c>
      <c r="B5722" s="1" t="n">
        <v>45085</v>
      </c>
      <c r="C5722" s="1" t="n">
        <v>45662</v>
      </c>
      <c r="D5722" t="inlineStr">
        <is>
          <t>NORRBOTTENS LÄN</t>
        </is>
      </c>
      <c r="E5722" t="inlineStr">
        <is>
          <t>ÖVERKALIX</t>
        </is>
      </c>
      <c r="F5722" t="inlineStr">
        <is>
          <t>Sveaskog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25031-2023</t>
        </is>
      </c>
      <c r="B5723" s="1" t="n">
        <v>45085</v>
      </c>
      <c r="C5723" s="1" t="n">
        <v>45662</v>
      </c>
      <c r="D5723" t="inlineStr">
        <is>
          <t>NORRBOTTENS LÄN</t>
        </is>
      </c>
      <c r="E5723" t="inlineStr">
        <is>
          <t>KALIX</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25049-2023</t>
        </is>
      </c>
      <c r="B5724" s="1" t="n">
        <v>45086</v>
      </c>
      <c r="C5724" s="1" t="n">
        <v>45662</v>
      </c>
      <c r="D5724" t="inlineStr">
        <is>
          <t>NORRBOTTENS LÄN</t>
        </is>
      </c>
      <c r="E5724" t="inlineStr">
        <is>
          <t>BODEN</t>
        </is>
      </c>
      <c r="F5724" t="inlineStr">
        <is>
          <t>SCA</t>
        </is>
      </c>
      <c r="G5724" t="n">
        <v>17.4</v>
      </c>
      <c r="H5724" t="n">
        <v>0</v>
      </c>
      <c r="I5724" t="n">
        <v>0</v>
      </c>
      <c r="J5724" t="n">
        <v>0</v>
      </c>
      <c r="K5724" t="n">
        <v>0</v>
      </c>
      <c r="L5724" t="n">
        <v>0</v>
      </c>
      <c r="M5724" t="n">
        <v>0</v>
      </c>
      <c r="N5724" t="n">
        <v>0</v>
      </c>
      <c r="O5724" t="n">
        <v>0</v>
      </c>
      <c r="P5724" t="n">
        <v>0</v>
      </c>
      <c r="Q5724" t="n">
        <v>0</v>
      </c>
      <c r="R5724" s="2" t="inlineStr"/>
    </row>
    <row r="5725" ht="15" customHeight="1">
      <c r="A5725" t="inlineStr">
        <is>
          <t>A 25054-2023</t>
        </is>
      </c>
      <c r="B5725" s="1" t="n">
        <v>45086</v>
      </c>
      <c r="C5725" s="1" t="n">
        <v>45662</v>
      </c>
      <c r="D5725" t="inlineStr">
        <is>
          <t>NORRBOTTENS LÄN</t>
        </is>
      </c>
      <c r="E5725" t="inlineStr">
        <is>
          <t>PITEÅ</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25032-2023</t>
        </is>
      </c>
      <c r="B5726" s="1" t="n">
        <v>45086</v>
      </c>
      <c r="C5726" s="1" t="n">
        <v>45662</v>
      </c>
      <c r="D5726" t="inlineStr">
        <is>
          <t>NORRBOTTENS LÄN</t>
        </is>
      </c>
      <c r="E5726" t="inlineStr">
        <is>
          <t>KALIX</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25044-2023</t>
        </is>
      </c>
      <c r="B5727" s="1" t="n">
        <v>45085</v>
      </c>
      <c r="C5727" s="1" t="n">
        <v>45662</v>
      </c>
      <c r="D5727" t="inlineStr">
        <is>
          <t>NORRBOTTENS LÄN</t>
        </is>
      </c>
      <c r="E5727" t="inlineStr">
        <is>
          <t>PAJALA</t>
        </is>
      </c>
      <c r="F5727" t="inlineStr">
        <is>
          <t>SCA</t>
        </is>
      </c>
      <c r="G5727" t="n">
        <v>23.8</v>
      </c>
      <c r="H5727" t="n">
        <v>0</v>
      </c>
      <c r="I5727" t="n">
        <v>0</v>
      </c>
      <c r="J5727" t="n">
        <v>0</v>
      </c>
      <c r="K5727" t="n">
        <v>0</v>
      </c>
      <c r="L5727" t="n">
        <v>0</v>
      </c>
      <c r="M5727" t="n">
        <v>0</v>
      </c>
      <c r="N5727" t="n">
        <v>0</v>
      </c>
      <c r="O5727" t="n">
        <v>0</v>
      </c>
      <c r="P5727" t="n">
        <v>0</v>
      </c>
      <c r="Q5727" t="n">
        <v>0</v>
      </c>
      <c r="R5727" s="2" t="inlineStr"/>
    </row>
    <row r="5728" ht="15" customHeight="1">
      <c r="A5728" t="inlineStr">
        <is>
          <t>A 25053-2023</t>
        </is>
      </c>
      <c r="B5728" s="1" t="n">
        <v>45085</v>
      </c>
      <c r="C5728" s="1" t="n">
        <v>45662</v>
      </c>
      <c r="D5728" t="inlineStr">
        <is>
          <t>NORRBOTTENS LÄN</t>
        </is>
      </c>
      <c r="E5728" t="inlineStr">
        <is>
          <t>PITEÅ</t>
        </is>
      </c>
      <c r="F5728" t="inlineStr">
        <is>
          <t>SCA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25920-2023</t>
        </is>
      </c>
      <c r="B5729" s="1" t="n">
        <v>45085</v>
      </c>
      <c r="C5729" s="1" t="n">
        <v>45662</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25916-2023</t>
        </is>
      </c>
      <c r="B5730" s="1" t="n">
        <v>45085</v>
      </c>
      <c r="C5730" s="1" t="n">
        <v>45662</v>
      </c>
      <c r="D5730" t="inlineStr">
        <is>
          <t>NORRBOTTENS LÄN</t>
        </is>
      </c>
      <c r="E5730" t="inlineStr">
        <is>
          <t>BODEN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25148-2023</t>
        </is>
      </c>
      <c r="B5731" s="1" t="n">
        <v>45086</v>
      </c>
      <c r="C5731" s="1" t="n">
        <v>45662</v>
      </c>
      <c r="D5731" t="inlineStr">
        <is>
          <t>NORRBOTTENS LÄN</t>
        </is>
      </c>
      <c r="E5731" t="inlineStr">
        <is>
          <t>PITEÅ</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25157-2023</t>
        </is>
      </c>
      <c r="B5732" s="1" t="n">
        <v>45086</v>
      </c>
      <c r="C5732" s="1" t="n">
        <v>45662</v>
      </c>
      <c r="D5732" t="inlineStr">
        <is>
          <t>NORRBOTTENS LÄN</t>
        </is>
      </c>
      <c r="E5732" t="inlineStr">
        <is>
          <t>PITEÅ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25197-2023</t>
        </is>
      </c>
      <c r="B5733" s="1" t="n">
        <v>45086</v>
      </c>
      <c r="C5733" s="1" t="n">
        <v>45662</v>
      </c>
      <c r="D5733" t="inlineStr">
        <is>
          <t>NORRBOTTENS LÄN</t>
        </is>
      </c>
      <c r="E5733" t="inlineStr">
        <is>
          <t>GÄLLIVARE</t>
        </is>
      </c>
      <c r="F5733" t="inlineStr">
        <is>
          <t>Sveaskog</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25154-2023</t>
        </is>
      </c>
      <c r="B5734" s="1" t="n">
        <v>45086</v>
      </c>
      <c r="C5734" s="1" t="n">
        <v>45662</v>
      </c>
      <c r="D5734" t="inlineStr">
        <is>
          <t>NORRBOTTENS LÄN</t>
        </is>
      </c>
      <c r="E5734" t="inlineStr">
        <is>
          <t>PITEÅ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25160-2023</t>
        </is>
      </c>
      <c r="B5735" s="1" t="n">
        <v>45086</v>
      </c>
      <c r="C5735" s="1" t="n">
        <v>45662</v>
      </c>
      <c r="D5735" t="inlineStr">
        <is>
          <t>NORRBOTTENS LÄN</t>
        </is>
      </c>
      <c r="E5735" t="inlineStr">
        <is>
          <t>PITEÅ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25212-2023</t>
        </is>
      </c>
      <c r="B5736" s="1" t="n">
        <v>45086</v>
      </c>
      <c r="C5736" s="1" t="n">
        <v>45662</v>
      </c>
      <c r="D5736" t="inlineStr">
        <is>
          <t>NORRBOTTENS LÄN</t>
        </is>
      </c>
      <c r="E5736" t="inlineStr">
        <is>
          <t>ÄLVSBYN</t>
        </is>
      </c>
      <c r="F5736" t="inlineStr">
        <is>
          <t>Sveaskog</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25161-2023</t>
        </is>
      </c>
      <c r="B5737" s="1" t="n">
        <v>45086</v>
      </c>
      <c r="C5737" s="1" t="n">
        <v>45662</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25195-2023</t>
        </is>
      </c>
      <c r="B5738" s="1" t="n">
        <v>45086</v>
      </c>
      <c r="C5738" s="1" t="n">
        <v>45662</v>
      </c>
      <c r="D5738" t="inlineStr">
        <is>
          <t>NORRBOTTENS LÄN</t>
        </is>
      </c>
      <c r="E5738" t="inlineStr">
        <is>
          <t>GÄLLIVARE</t>
        </is>
      </c>
      <c r="F5738" t="inlineStr">
        <is>
          <t>Sveaskog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25222-2023</t>
        </is>
      </c>
      <c r="B5739" s="1" t="n">
        <v>45086</v>
      </c>
      <c r="C5739" s="1" t="n">
        <v>45662</v>
      </c>
      <c r="D5739" t="inlineStr">
        <is>
          <t>NORRBOTTENS LÄN</t>
        </is>
      </c>
      <c r="E5739" t="inlineStr">
        <is>
          <t>ÄLVSBYN</t>
        </is>
      </c>
      <c r="F5739" t="inlineStr">
        <is>
          <t>Sveaskog</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25298-2023</t>
        </is>
      </c>
      <c r="B5740" s="1" t="n">
        <v>45087</v>
      </c>
      <c r="C5740" s="1" t="n">
        <v>45662</v>
      </c>
      <c r="D5740" t="inlineStr">
        <is>
          <t>NORRBOTTENS LÄN</t>
        </is>
      </c>
      <c r="E5740" t="inlineStr">
        <is>
          <t>ÖVERTORNEÅ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25137-2023</t>
        </is>
      </c>
      <c r="B5741" s="1" t="n">
        <v>45086</v>
      </c>
      <c r="C5741" s="1" t="n">
        <v>45662</v>
      </c>
      <c r="D5741" t="inlineStr">
        <is>
          <t>NORRBOTTENS LÄN</t>
        </is>
      </c>
      <c r="E5741" t="inlineStr">
        <is>
          <t>ÄLVSBYN</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25156-2023</t>
        </is>
      </c>
      <c r="B5742" s="1" t="n">
        <v>45086</v>
      </c>
      <c r="C5742" s="1" t="n">
        <v>45662</v>
      </c>
      <c r="D5742" t="inlineStr">
        <is>
          <t>NORRBOTTENS LÄN</t>
        </is>
      </c>
      <c r="E5742" t="inlineStr">
        <is>
          <t>PITEÅ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25191-2023</t>
        </is>
      </c>
      <c r="B5743" s="1" t="n">
        <v>45086</v>
      </c>
      <c r="C5743" s="1" t="n">
        <v>45662</v>
      </c>
      <c r="D5743" t="inlineStr">
        <is>
          <t>NORRBOTTENS LÄN</t>
        </is>
      </c>
      <c r="E5743" t="inlineStr">
        <is>
          <t>GÄLLIVARE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25271-2023</t>
        </is>
      </c>
      <c r="B5744" s="1" t="n">
        <v>45086</v>
      </c>
      <c r="C5744" s="1" t="n">
        <v>45662</v>
      </c>
      <c r="D5744" t="inlineStr">
        <is>
          <t>NORRBOTTENS LÄN</t>
        </is>
      </c>
      <c r="E5744" t="inlineStr">
        <is>
          <t>PAJALA</t>
        </is>
      </c>
      <c r="F5744" t="inlineStr">
        <is>
          <t>Sveaskog</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25277-2023</t>
        </is>
      </c>
      <c r="B5745" s="1" t="n">
        <v>45086</v>
      </c>
      <c r="C5745" s="1" t="n">
        <v>45662</v>
      </c>
      <c r="D5745" t="inlineStr">
        <is>
          <t>NORRBOTTENS LÄN</t>
        </is>
      </c>
      <c r="E5745" t="inlineStr">
        <is>
          <t>PAJALA</t>
        </is>
      </c>
      <c r="F5745" t="inlineStr">
        <is>
          <t>Sveaskog</t>
        </is>
      </c>
      <c r="G5745" t="n">
        <v>17.5</v>
      </c>
      <c r="H5745" t="n">
        <v>0</v>
      </c>
      <c r="I5745" t="n">
        <v>0</v>
      </c>
      <c r="J5745" t="n">
        <v>0</v>
      </c>
      <c r="K5745" t="n">
        <v>0</v>
      </c>
      <c r="L5745" t="n">
        <v>0</v>
      </c>
      <c r="M5745" t="n">
        <v>0</v>
      </c>
      <c r="N5745" t="n">
        <v>0</v>
      </c>
      <c r="O5745" t="n">
        <v>0</v>
      </c>
      <c r="P5745" t="n">
        <v>0</v>
      </c>
      <c r="Q5745" t="n">
        <v>0</v>
      </c>
      <c r="R5745" s="2" t="inlineStr"/>
    </row>
    <row r="5746" ht="15" customHeight="1">
      <c r="A5746" t="inlineStr">
        <is>
          <t>A 26131-2023</t>
        </is>
      </c>
      <c r="B5746" s="1" t="n">
        <v>45086</v>
      </c>
      <c r="C5746" s="1" t="n">
        <v>45662</v>
      </c>
      <c r="D5746" t="inlineStr">
        <is>
          <t>NORRBOTTENS LÄN</t>
        </is>
      </c>
      <c r="E5746" t="inlineStr">
        <is>
          <t>JOKKMOKK</t>
        </is>
      </c>
      <c r="G5746" t="n">
        <v>35.6</v>
      </c>
      <c r="H5746" t="n">
        <v>0</v>
      </c>
      <c r="I5746" t="n">
        <v>0</v>
      </c>
      <c r="J5746" t="n">
        <v>0</v>
      </c>
      <c r="K5746" t="n">
        <v>0</v>
      </c>
      <c r="L5746" t="n">
        <v>0</v>
      </c>
      <c r="M5746" t="n">
        <v>0</v>
      </c>
      <c r="N5746" t="n">
        <v>0</v>
      </c>
      <c r="O5746" t="n">
        <v>0</v>
      </c>
      <c r="P5746" t="n">
        <v>0</v>
      </c>
      <c r="Q5746" t="n">
        <v>0</v>
      </c>
      <c r="R5746" s="2" t="inlineStr"/>
    </row>
    <row r="5747" ht="15" customHeight="1">
      <c r="A5747" t="inlineStr">
        <is>
          <t>A 26140-2023</t>
        </is>
      </c>
      <c r="B5747" s="1" t="n">
        <v>45086</v>
      </c>
      <c r="C5747" s="1" t="n">
        <v>45662</v>
      </c>
      <c r="D5747" t="inlineStr">
        <is>
          <t>NORRBOTTENS LÄN</t>
        </is>
      </c>
      <c r="E5747" t="inlineStr">
        <is>
          <t>ÖVERKALIX</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25335-2023</t>
        </is>
      </c>
      <c r="B5748" s="1" t="n">
        <v>45087</v>
      </c>
      <c r="C5748" s="1" t="n">
        <v>45662</v>
      </c>
      <c r="D5748" t="inlineStr">
        <is>
          <t>NORRBOTTENS LÄN</t>
        </is>
      </c>
      <c r="E5748" t="inlineStr">
        <is>
          <t>KIRUNA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25336-2023</t>
        </is>
      </c>
      <c r="B5749" s="1" t="n">
        <v>45087</v>
      </c>
      <c r="C5749" s="1" t="n">
        <v>45662</v>
      </c>
      <c r="D5749" t="inlineStr">
        <is>
          <t>NORRBOTTENS LÄN</t>
        </is>
      </c>
      <c r="E5749" t="inlineStr">
        <is>
          <t>KIRUNA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25414-2023</t>
        </is>
      </c>
      <c r="B5750" s="1" t="n">
        <v>45089</v>
      </c>
      <c r="C5750" s="1" t="n">
        <v>45662</v>
      </c>
      <c r="D5750" t="inlineStr">
        <is>
          <t>NORRBOTTENS LÄN</t>
        </is>
      </c>
      <c r="E5750" t="inlineStr">
        <is>
          <t>BODEN</t>
        </is>
      </c>
      <c r="F5750" t="inlineStr">
        <is>
          <t>Sveaskog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25622-2023</t>
        </is>
      </c>
      <c r="B5751" s="1" t="n">
        <v>45089</v>
      </c>
      <c r="C5751" s="1" t="n">
        <v>45662</v>
      </c>
      <c r="D5751" t="inlineStr">
        <is>
          <t>NORRBOTTENS LÄN</t>
        </is>
      </c>
      <c r="E5751" t="inlineStr">
        <is>
          <t>BODEN</t>
        </is>
      </c>
      <c r="F5751" t="inlineStr">
        <is>
          <t>Sveaskog</t>
        </is>
      </c>
      <c r="G5751" t="n">
        <v>28.2</v>
      </c>
      <c r="H5751" t="n">
        <v>0</v>
      </c>
      <c r="I5751" t="n">
        <v>0</v>
      </c>
      <c r="J5751" t="n">
        <v>0</v>
      </c>
      <c r="K5751" t="n">
        <v>0</v>
      </c>
      <c r="L5751" t="n">
        <v>0</v>
      </c>
      <c r="M5751" t="n">
        <v>0</v>
      </c>
      <c r="N5751" t="n">
        <v>0</v>
      </c>
      <c r="O5751" t="n">
        <v>0</v>
      </c>
      <c r="P5751" t="n">
        <v>0</v>
      </c>
      <c r="Q5751" t="n">
        <v>0</v>
      </c>
      <c r="R5751" s="2" t="inlineStr"/>
    </row>
    <row r="5752" ht="15" customHeight="1">
      <c r="A5752" t="inlineStr">
        <is>
          <t>A 25681-2023</t>
        </is>
      </c>
      <c r="B5752" s="1" t="n">
        <v>45089</v>
      </c>
      <c r="C5752" s="1" t="n">
        <v>45662</v>
      </c>
      <c r="D5752" t="inlineStr">
        <is>
          <t>NORRBOTTENS LÄN</t>
        </is>
      </c>
      <c r="E5752" t="inlineStr">
        <is>
          <t>GÄLLIVARE</t>
        </is>
      </c>
      <c r="F5752" t="inlineStr">
        <is>
          <t>SCA</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25663-2023</t>
        </is>
      </c>
      <c r="B5753" s="1" t="n">
        <v>45090</v>
      </c>
      <c r="C5753" s="1" t="n">
        <v>45662</v>
      </c>
      <c r="D5753" t="inlineStr">
        <is>
          <t>NORRBOTTENS LÄN</t>
        </is>
      </c>
      <c r="E5753" t="inlineStr">
        <is>
          <t>ÄLVSBYN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25691-2023</t>
        </is>
      </c>
      <c r="B5754" s="1" t="n">
        <v>45090</v>
      </c>
      <c r="C5754" s="1" t="n">
        <v>45662</v>
      </c>
      <c r="D5754" t="inlineStr">
        <is>
          <t>NORRBOTTENS LÄN</t>
        </is>
      </c>
      <c r="E5754" t="inlineStr">
        <is>
          <t>ÄLVSBYN</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25690-2023</t>
        </is>
      </c>
      <c r="B5755" s="1" t="n">
        <v>45090</v>
      </c>
      <c r="C5755" s="1" t="n">
        <v>45662</v>
      </c>
      <c r="D5755" t="inlineStr">
        <is>
          <t>NORRBOTTENS LÄN</t>
        </is>
      </c>
      <c r="E5755" t="inlineStr">
        <is>
          <t>PITEÅ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25662-2023</t>
        </is>
      </c>
      <c r="B5756" s="1" t="n">
        <v>45090</v>
      </c>
      <c r="C5756" s="1" t="n">
        <v>45662</v>
      </c>
      <c r="D5756" t="inlineStr">
        <is>
          <t>NORRBOTTENS LÄN</t>
        </is>
      </c>
      <c r="E5756" t="inlineStr">
        <is>
          <t>ÄLVSBYN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25661-2023</t>
        </is>
      </c>
      <c r="B5757" s="1" t="n">
        <v>45089</v>
      </c>
      <c r="C5757" s="1" t="n">
        <v>45662</v>
      </c>
      <c r="D5757" t="inlineStr">
        <is>
          <t>NORRBOTTENS LÄN</t>
        </is>
      </c>
      <c r="E5757" t="inlineStr">
        <is>
          <t>PITEÅ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25667-2023</t>
        </is>
      </c>
      <c r="B5758" s="1" t="n">
        <v>45090</v>
      </c>
      <c r="C5758" s="1" t="n">
        <v>45662</v>
      </c>
      <c r="D5758" t="inlineStr">
        <is>
          <t>NORRBOTTENS LÄN</t>
        </is>
      </c>
      <c r="E5758" t="inlineStr">
        <is>
          <t>PITEÅ</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25719-2023</t>
        </is>
      </c>
      <c r="B5759" s="1" t="n">
        <v>45090</v>
      </c>
      <c r="C5759" s="1" t="n">
        <v>45662</v>
      </c>
      <c r="D5759" t="inlineStr">
        <is>
          <t>NORRBOTTENS LÄN</t>
        </is>
      </c>
      <c r="E5759" t="inlineStr">
        <is>
          <t>JOKKMOKK</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25890-2023</t>
        </is>
      </c>
      <c r="B5760" s="1" t="n">
        <v>45090</v>
      </c>
      <c r="C5760" s="1" t="n">
        <v>45662</v>
      </c>
      <c r="D5760" t="inlineStr">
        <is>
          <t>NORRBOTTENS LÄN</t>
        </is>
      </c>
      <c r="E5760" t="inlineStr">
        <is>
          <t>ÄLVSBYN</t>
        </is>
      </c>
      <c r="F5760" t="inlineStr">
        <is>
          <t>Övriga Aktiebolag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25924-2023</t>
        </is>
      </c>
      <c r="B5761" s="1" t="n">
        <v>45090</v>
      </c>
      <c r="C5761" s="1" t="n">
        <v>45662</v>
      </c>
      <c r="D5761" t="inlineStr">
        <is>
          <t>NORRBOTTENS LÄN</t>
        </is>
      </c>
      <c r="E5761" t="inlineStr">
        <is>
          <t>PITEÅ</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25930-2023</t>
        </is>
      </c>
      <c r="B5762" s="1" t="n">
        <v>45090</v>
      </c>
      <c r="C5762" s="1" t="n">
        <v>45662</v>
      </c>
      <c r="D5762" t="inlineStr">
        <is>
          <t>NORRBOTTENS LÄN</t>
        </is>
      </c>
      <c r="E5762" t="inlineStr">
        <is>
          <t>PITEÅ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25720-2023</t>
        </is>
      </c>
      <c r="B5763" s="1" t="n">
        <v>45090</v>
      </c>
      <c r="C5763" s="1" t="n">
        <v>45662</v>
      </c>
      <c r="D5763" t="inlineStr">
        <is>
          <t>NORRBOTTENS LÄN</t>
        </is>
      </c>
      <c r="E5763" t="inlineStr">
        <is>
          <t>JOKKMOKK</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25879-2023</t>
        </is>
      </c>
      <c r="B5764" s="1" t="n">
        <v>45090</v>
      </c>
      <c r="C5764" s="1" t="n">
        <v>45662</v>
      </c>
      <c r="D5764" t="inlineStr">
        <is>
          <t>NORRBOTTENS LÄN</t>
        </is>
      </c>
      <c r="E5764" t="inlineStr">
        <is>
          <t>ÄLVSBYN</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25834-2023</t>
        </is>
      </c>
      <c r="B5765" s="1" t="n">
        <v>45090</v>
      </c>
      <c r="C5765" s="1" t="n">
        <v>45662</v>
      </c>
      <c r="D5765" t="inlineStr">
        <is>
          <t>NORRBOTTENS LÄN</t>
        </is>
      </c>
      <c r="E5765" t="inlineStr">
        <is>
          <t>LULEÅ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25896-2023</t>
        </is>
      </c>
      <c r="B5766" s="1" t="n">
        <v>45090</v>
      </c>
      <c r="C5766" s="1" t="n">
        <v>45662</v>
      </c>
      <c r="D5766" t="inlineStr">
        <is>
          <t>NORRBOTTENS LÄN</t>
        </is>
      </c>
      <c r="E5766" t="inlineStr">
        <is>
          <t>PITEÅ</t>
        </is>
      </c>
      <c r="G5766" t="n">
        <v>12.7</v>
      </c>
      <c r="H5766" t="n">
        <v>0</v>
      </c>
      <c r="I5766" t="n">
        <v>0</v>
      </c>
      <c r="J5766" t="n">
        <v>0</v>
      </c>
      <c r="K5766" t="n">
        <v>0</v>
      </c>
      <c r="L5766" t="n">
        <v>0</v>
      </c>
      <c r="M5766" t="n">
        <v>0</v>
      </c>
      <c r="N5766" t="n">
        <v>0</v>
      </c>
      <c r="O5766" t="n">
        <v>0</v>
      </c>
      <c r="P5766" t="n">
        <v>0</v>
      </c>
      <c r="Q5766" t="n">
        <v>0</v>
      </c>
      <c r="R5766" s="2" t="inlineStr"/>
    </row>
    <row r="5767" ht="15" customHeight="1">
      <c r="A5767" t="inlineStr">
        <is>
          <t>A 25983-2023</t>
        </is>
      </c>
      <c r="B5767" s="1" t="n">
        <v>45090</v>
      </c>
      <c r="C5767" s="1" t="n">
        <v>45662</v>
      </c>
      <c r="D5767" t="inlineStr">
        <is>
          <t>NORRBOTTENS LÄN</t>
        </is>
      </c>
      <c r="E5767" t="inlineStr">
        <is>
          <t>PITEÅ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25984-2023</t>
        </is>
      </c>
      <c r="B5768" s="1" t="n">
        <v>45091</v>
      </c>
      <c r="C5768" s="1" t="n">
        <v>45662</v>
      </c>
      <c r="D5768" t="inlineStr">
        <is>
          <t>NORRBOTTENS LÄN</t>
        </is>
      </c>
      <c r="E5768" t="inlineStr">
        <is>
          <t>PITEÅ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26591-2023</t>
        </is>
      </c>
      <c r="B5769" s="1" t="n">
        <v>45090</v>
      </c>
      <c r="C5769" s="1" t="n">
        <v>45662</v>
      </c>
      <c r="D5769" t="inlineStr">
        <is>
          <t>NORRBOTTENS LÄN</t>
        </is>
      </c>
      <c r="E5769" t="inlineStr">
        <is>
          <t>ARVIDSJAUR</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25989-2023</t>
        </is>
      </c>
      <c r="B5770" s="1" t="n">
        <v>45091</v>
      </c>
      <c r="C5770" s="1" t="n">
        <v>45662</v>
      </c>
      <c r="D5770" t="inlineStr">
        <is>
          <t>NORRBOTTENS LÄN</t>
        </is>
      </c>
      <c r="E5770" t="inlineStr">
        <is>
          <t>PITEÅ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26583-2023</t>
        </is>
      </c>
      <c r="B5771" s="1" t="n">
        <v>45090</v>
      </c>
      <c r="C5771" s="1" t="n">
        <v>45662</v>
      </c>
      <c r="D5771" t="inlineStr">
        <is>
          <t>NORRBOTTENS LÄN</t>
        </is>
      </c>
      <c r="E5771" t="inlineStr">
        <is>
          <t>ARVIDSJAUR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26240-2023</t>
        </is>
      </c>
      <c r="B5772" s="1" t="n">
        <v>45091</v>
      </c>
      <c r="C5772" s="1" t="n">
        <v>45662</v>
      </c>
      <c r="D5772" t="inlineStr">
        <is>
          <t>NORRBOTTENS LÄN</t>
        </is>
      </c>
      <c r="E5772" t="inlineStr">
        <is>
          <t>ÄLVSBYN</t>
        </is>
      </c>
      <c r="F5772" t="inlineStr">
        <is>
          <t>Sveaskog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26253-2023</t>
        </is>
      </c>
      <c r="B5773" s="1" t="n">
        <v>45091</v>
      </c>
      <c r="C5773" s="1" t="n">
        <v>45662</v>
      </c>
      <c r="D5773" t="inlineStr">
        <is>
          <t>NORRBOTTENS LÄN</t>
        </is>
      </c>
      <c r="E5773" t="inlineStr">
        <is>
          <t>LULEÅ</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26271-2023</t>
        </is>
      </c>
      <c r="B5774" s="1" t="n">
        <v>45091</v>
      </c>
      <c r="C5774" s="1" t="n">
        <v>45662</v>
      </c>
      <c r="D5774" t="inlineStr">
        <is>
          <t>NORRBOTTENS LÄN</t>
        </is>
      </c>
      <c r="E5774" t="inlineStr">
        <is>
          <t>BODEN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45662</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26164-2023</t>
        </is>
      </c>
      <c r="B5776" s="1" t="n">
        <v>45091</v>
      </c>
      <c r="C5776" s="1" t="n">
        <v>45662</v>
      </c>
      <c r="D5776" t="inlineStr">
        <is>
          <t>NORRBOTTENS LÄN</t>
        </is>
      </c>
      <c r="E5776" t="inlineStr">
        <is>
          <t>ÄLVSBYN</t>
        </is>
      </c>
      <c r="F5776" t="inlineStr">
        <is>
          <t>Sveaskog</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26119-2023</t>
        </is>
      </c>
      <c r="B5777" s="1" t="n">
        <v>45091</v>
      </c>
      <c r="C5777" s="1" t="n">
        <v>45662</v>
      </c>
      <c r="D5777" t="inlineStr">
        <is>
          <t>NORRBOTTENS LÄN</t>
        </is>
      </c>
      <c r="E5777" t="inlineStr">
        <is>
          <t>PITEÅ</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26141-2023</t>
        </is>
      </c>
      <c r="B5778" s="1" t="n">
        <v>45091</v>
      </c>
      <c r="C5778" s="1" t="n">
        <v>45662</v>
      </c>
      <c r="D5778" t="inlineStr">
        <is>
          <t>NORRBOTTENS LÄN</t>
        </is>
      </c>
      <c r="E5778" t="inlineStr">
        <is>
          <t>PITEÅ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26961-2023</t>
        </is>
      </c>
      <c r="B5779" s="1" t="n">
        <v>45091</v>
      </c>
      <c r="C5779" s="1" t="n">
        <v>45662</v>
      </c>
      <c r="D5779" t="inlineStr">
        <is>
          <t>NORRBOTTENS LÄN</t>
        </is>
      </c>
      <c r="E5779" t="inlineStr">
        <is>
          <t>KALIX</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26969-2023</t>
        </is>
      </c>
      <c r="B5780" s="1" t="n">
        <v>45091</v>
      </c>
      <c r="C5780" s="1" t="n">
        <v>45662</v>
      </c>
      <c r="D5780" t="inlineStr">
        <is>
          <t>NORRBOTTENS LÄN</t>
        </is>
      </c>
      <c r="E5780" t="inlineStr">
        <is>
          <t>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26972-2023</t>
        </is>
      </c>
      <c r="B5781" s="1" t="n">
        <v>45091</v>
      </c>
      <c r="C5781" s="1" t="n">
        <v>45662</v>
      </c>
      <c r="D5781" t="inlineStr">
        <is>
          <t>NORRBOTTENS LÄN</t>
        </is>
      </c>
      <c r="E5781" t="inlineStr">
        <is>
          <t>KALIX</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26552-2023</t>
        </is>
      </c>
      <c r="B5782" s="1" t="n">
        <v>45092</v>
      </c>
      <c r="C5782" s="1" t="n">
        <v>45662</v>
      </c>
      <c r="D5782" t="inlineStr">
        <is>
          <t>NORRBOTTENS LÄN</t>
        </is>
      </c>
      <c r="E5782" t="inlineStr">
        <is>
          <t>ÖVERKALIX</t>
        </is>
      </c>
      <c r="F5782" t="inlineStr">
        <is>
          <t>Sveaskog</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26499-2023</t>
        </is>
      </c>
      <c r="B5783" s="1" t="n">
        <v>45092</v>
      </c>
      <c r="C5783" s="1" t="n">
        <v>45662</v>
      </c>
      <c r="D5783" t="inlineStr">
        <is>
          <t>NORRBOTTENS LÄN</t>
        </is>
      </c>
      <c r="E5783" t="inlineStr">
        <is>
          <t>KALIX</t>
        </is>
      </c>
      <c r="G5783" t="n">
        <v>14.6</v>
      </c>
      <c r="H5783" t="n">
        <v>0</v>
      </c>
      <c r="I5783" t="n">
        <v>0</v>
      </c>
      <c r="J5783" t="n">
        <v>0</v>
      </c>
      <c r="K5783" t="n">
        <v>0</v>
      </c>
      <c r="L5783" t="n">
        <v>0</v>
      </c>
      <c r="M5783" t="n">
        <v>0</v>
      </c>
      <c r="N5783" t="n">
        <v>0</v>
      </c>
      <c r="O5783" t="n">
        <v>0</v>
      </c>
      <c r="P5783" t="n">
        <v>0</v>
      </c>
      <c r="Q5783" t="n">
        <v>0</v>
      </c>
      <c r="R5783" s="2" t="inlineStr"/>
    </row>
    <row r="5784" ht="15" customHeight="1">
      <c r="A5784" t="inlineStr">
        <is>
          <t>A 26576-2023</t>
        </is>
      </c>
      <c r="B5784" s="1" t="n">
        <v>45092</v>
      </c>
      <c r="C5784" s="1" t="n">
        <v>45662</v>
      </c>
      <c r="D5784" t="inlineStr">
        <is>
          <t>NORRBOTTENS LÄN</t>
        </is>
      </c>
      <c r="E5784" t="inlineStr">
        <is>
          <t>BODEN</t>
        </is>
      </c>
      <c r="F5784" t="inlineStr">
        <is>
          <t>Sveaskog</t>
        </is>
      </c>
      <c r="G5784" t="n">
        <v>19.2</v>
      </c>
      <c r="H5784" t="n">
        <v>0</v>
      </c>
      <c r="I5784" t="n">
        <v>0</v>
      </c>
      <c r="J5784" t="n">
        <v>0</v>
      </c>
      <c r="K5784" t="n">
        <v>0</v>
      </c>
      <c r="L5784" t="n">
        <v>0</v>
      </c>
      <c r="M5784" t="n">
        <v>0</v>
      </c>
      <c r="N5784" t="n">
        <v>0</v>
      </c>
      <c r="O5784" t="n">
        <v>0</v>
      </c>
      <c r="P5784" t="n">
        <v>0</v>
      </c>
      <c r="Q5784" t="n">
        <v>0</v>
      </c>
      <c r="R5784" s="2" t="inlineStr"/>
    </row>
    <row r="5785" ht="15" customHeight="1">
      <c r="A5785" t="inlineStr">
        <is>
          <t>A 26554-2023</t>
        </is>
      </c>
      <c r="B5785" s="1" t="n">
        <v>45092</v>
      </c>
      <c r="C5785" s="1" t="n">
        <v>45662</v>
      </c>
      <c r="D5785" t="inlineStr">
        <is>
          <t>NORRBOTTENS LÄN</t>
        </is>
      </c>
      <c r="E5785" t="inlineStr">
        <is>
          <t>ÖVERKALIX</t>
        </is>
      </c>
      <c r="F5785" t="inlineStr">
        <is>
          <t>Sveaskog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26579-2023</t>
        </is>
      </c>
      <c r="B5786" s="1" t="n">
        <v>45092</v>
      </c>
      <c r="C5786" s="1" t="n">
        <v>45662</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26556-2023</t>
        </is>
      </c>
      <c r="B5787" s="1" t="n">
        <v>45092</v>
      </c>
      <c r="C5787" s="1" t="n">
        <v>45662</v>
      </c>
      <c r="D5787" t="inlineStr">
        <is>
          <t>NORRBOTTENS LÄN</t>
        </is>
      </c>
      <c r="E5787" t="inlineStr">
        <is>
          <t>ÖVERTORNEÅ</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27503-2023</t>
        </is>
      </c>
      <c r="B5788" s="1" t="n">
        <v>45092</v>
      </c>
      <c r="C5788" s="1" t="n">
        <v>45662</v>
      </c>
      <c r="D5788" t="inlineStr">
        <is>
          <t>NORRBOTTENS LÄN</t>
        </is>
      </c>
      <c r="E5788" t="inlineStr">
        <is>
          <t>LULEÅ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26671-2023</t>
        </is>
      </c>
      <c r="B5789" s="1" t="n">
        <v>45093</v>
      </c>
      <c r="C5789" s="1" t="n">
        <v>45662</v>
      </c>
      <c r="D5789" t="inlineStr">
        <is>
          <t>NORRBOTTENS LÄN</t>
        </is>
      </c>
      <c r="E5789" t="inlineStr">
        <is>
          <t>ARVIDSJAUR</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26674-2023</t>
        </is>
      </c>
      <c r="B5790" s="1" t="n">
        <v>45093</v>
      </c>
      <c r="C5790" s="1" t="n">
        <v>45662</v>
      </c>
      <c r="D5790" t="inlineStr">
        <is>
          <t>NORRBOTTENS LÄN</t>
        </is>
      </c>
      <c r="E5790" t="inlineStr">
        <is>
          <t>ARVIDSJAUR</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26673-2023</t>
        </is>
      </c>
      <c r="B5791" s="1" t="n">
        <v>45093</v>
      </c>
      <c r="C5791" s="1" t="n">
        <v>45662</v>
      </c>
      <c r="D5791" t="inlineStr">
        <is>
          <t>NORRBOTTENS LÄN</t>
        </is>
      </c>
      <c r="E5791" t="inlineStr">
        <is>
          <t>ARVIDSJAUR</t>
        </is>
      </c>
      <c r="F5791" t="inlineStr">
        <is>
          <t>Sveaskog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26724-2023</t>
        </is>
      </c>
      <c r="B5792" s="1" t="n">
        <v>45093</v>
      </c>
      <c r="C5792" s="1" t="n">
        <v>45662</v>
      </c>
      <c r="D5792" t="inlineStr">
        <is>
          <t>NORRBOTTENS LÄN</t>
        </is>
      </c>
      <c r="E5792" t="inlineStr">
        <is>
          <t>PITEÅ</t>
        </is>
      </c>
      <c r="F5792" t="inlineStr">
        <is>
          <t>Sveaskog</t>
        </is>
      </c>
      <c r="G5792" t="n">
        <v>18.6</v>
      </c>
      <c r="H5792" t="n">
        <v>0</v>
      </c>
      <c r="I5792" t="n">
        <v>0</v>
      </c>
      <c r="J5792" t="n">
        <v>0</v>
      </c>
      <c r="K5792" t="n">
        <v>0</v>
      </c>
      <c r="L5792" t="n">
        <v>0</v>
      </c>
      <c r="M5792" t="n">
        <v>0</v>
      </c>
      <c r="N5792" t="n">
        <v>0</v>
      </c>
      <c r="O5792" t="n">
        <v>0</v>
      </c>
      <c r="P5792" t="n">
        <v>0</v>
      </c>
      <c r="Q5792" t="n">
        <v>0</v>
      </c>
      <c r="R5792" s="2" t="inlineStr"/>
    </row>
    <row r="5793" ht="15" customHeight="1">
      <c r="A5793" t="inlineStr">
        <is>
          <t>A 26712-2023</t>
        </is>
      </c>
      <c r="B5793" s="1" t="n">
        <v>45093</v>
      </c>
      <c r="C5793" s="1" t="n">
        <v>45662</v>
      </c>
      <c r="D5793" t="inlineStr">
        <is>
          <t>NORRBOTTENS LÄN</t>
        </is>
      </c>
      <c r="E5793" t="inlineStr">
        <is>
          <t>HAPARANDA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26963-2023</t>
        </is>
      </c>
      <c r="B5794" s="1" t="n">
        <v>45093</v>
      </c>
      <c r="C5794" s="1" t="n">
        <v>45662</v>
      </c>
      <c r="D5794" t="inlineStr">
        <is>
          <t>NORRBOTTENS LÄN</t>
        </is>
      </c>
      <c r="E5794" t="inlineStr">
        <is>
          <t>BODEN</t>
        </is>
      </c>
      <c r="F5794" t="inlineStr">
        <is>
          <t>Sveaskog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26964-2023</t>
        </is>
      </c>
      <c r="B5795" s="1" t="n">
        <v>45093</v>
      </c>
      <c r="C5795" s="1" t="n">
        <v>45662</v>
      </c>
      <c r="D5795" t="inlineStr">
        <is>
          <t>NORRBOTTENS LÄN</t>
        </is>
      </c>
      <c r="E5795" t="inlineStr">
        <is>
          <t>BODEN</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26962-2023</t>
        </is>
      </c>
      <c r="B5796" s="1" t="n">
        <v>45093</v>
      </c>
      <c r="C5796" s="1" t="n">
        <v>45662</v>
      </c>
      <c r="D5796" t="inlineStr">
        <is>
          <t>NORRBOTTENS LÄN</t>
        </is>
      </c>
      <c r="E5796" t="inlineStr">
        <is>
          <t>JOKKMOKK</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27003-2023</t>
        </is>
      </c>
      <c r="B5797" s="1" t="n">
        <v>45094</v>
      </c>
      <c r="C5797" s="1" t="n">
        <v>45662</v>
      </c>
      <c r="D5797" t="inlineStr">
        <is>
          <t>NORRBOTTENS LÄN</t>
        </is>
      </c>
      <c r="E5797" t="inlineStr">
        <is>
          <t>PITEÅ</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27021-2023</t>
        </is>
      </c>
      <c r="B5798" s="1" t="n">
        <v>45094</v>
      </c>
      <c r="C5798" s="1" t="n">
        <v>45662</v>
      </c>
      <c r="D5798" t="inlineStr">
        <is>
          <t>NORRBOTTENS LÄN</t>
        </is>
      </c>
      <c r="E5798" t="inlineStr">
        <is>
          <t>JOKKMOKK</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27017-2023</t>
        </is>
      </c>
      <c r="B5799" s="1" t="n">
        <v>45094</v>
      </c>
      <c r="C5799" s="1" t="n">
        <v>45662</v>
      </c>
      <c r="D5799" t="inlineStr">
        <is>
          <t>NORRBOTTENS LÄN</t>
        </is>
      </c>
      <c r="E5799" t="inlineStr">
        <is>
          <t>JOKKMOKK</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27022-2023</t>
        </is>
      </c>
      <c r="B5800" s="1" t="n">
        <v>45094</v>
      </c>
      <c r="C5800" s="1" t="n">
        <v>45662</v>
      </c>
      <c r="D5800" t="inlineStr">
        <is>
          <t>NORRBOTTENS LÄN</t>
        </is>
      </c>
      <c r="E5800" t="inlineStr">
        <is>
          <t>JOKKMOKK</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27020-2023</t>
        </is>
      </c>
      <c r="B5801" s="1" t="n">
        <v>45094</v>
      </c>
      <c r="C5801" s="1" t="n">
        <v>45662</v>
      </c>
      <c r="D5801" t="inlineStr">
        <is>
          <t>NORRBOTTENS LÄN</t>
        </is>
      </c>
      <c r="E5801" t="inlineStr">
        <is>
          <t>JOKKMOKK</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27116-2023</t>
        </is>
      </c>
      <c r="B5802" s="1" t="n">
        <v>45096</v>
      </c>
      <c r="C5802" s="1" t="n">
        <v>45662</v>
      </c>
      <c r="D5802" t="inlineStr">
        <is>
          <t>NORRBOTTENS LÄN</t>
        </is>
      </c>
      <c r="E5802" t="inlineStr">
        <is>
          <t>PITEÅ</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27062-2023</t>
        </is>
      </c>
      <c r="B5803" s="1" t="n">
        <v>45096</v>
      </c>
      <c r="C5803" s="1" t="n">
        <v>45662</v>
      </c>
      <c r="D5803" t="inlineStr">
        <is>
          <t>NORRBOTTENS LÄN</t>
        </is>
      </c>
      <c r="E5803" t="inlineStr">
        <is>
          <t>ÖVERKALIX</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27066-2023</t>
        </is>
      </c>
      <c r="B5804" s="1" t="n">
        <v>45096</v>
      </c>
      <c r="C5804" s="1" t="n">
        <v>45662</v>
      </c>
      <c r="D5804" t="inlineStr">
        <is>
          <t>NORRBOTTENS LÄN</t>
        </is>
      </c>
      <c r="E5804" t="inlineStr">
        <is>
          <t>ÖVERKALIX</t>
        </is>
      </c>
      <c r="F5804" t="inlineStr">
        <is>
          <t>Sveaskog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27131-2023</t>
        </is>
      </c>
      <c r="B5805" s="1" t="n">
        <v>45096</v>
      </c>
      <c r="C5805" s="1" t="n">
        <v>45662</v>
      </c>
      <c r="D5805" t="inlineStr">
        <is>
          <t>NORRBOTTENS LÄN</t>
        </is>
      </c>
      <c r="E5805" t="inlineStr">
        <is>
          <t>PITEÅ</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27139-2023</t>
        </is>
      </c>
      <c r="B5806" s="1" t="n">
        <v>45096</v>
      </c>
      <c r="C5806" s="1" t="n">
        <v>45662</v>
      </c>
      <c r="D5806" t="inlineStr">
        <is>
          <t>NORRBOTTENS LÄN</t>
        </is>
      </c>
      <c r="E5806" t="inlineStr">
        <is>
          <t>KALIX</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27175-2023</t>
        </is>
      </c>
      <c r="B5807" s="1" t="n">
        <v>45096</v>
      </c>
      <c r="C5807" s="1" t="n">
        <v>45662</v>
      </c>
      <c r="D5807" t="inlineStr">
        <is>
          <t>NORRBOTTENS LÄN</t>
        </is>
      </c>
      <c r="E5807" t="inlineStr">
        <is>
          <t>PITEÅ</t>
        </is>
      </c>
      <c r="F5807" t="inlineStr">
        <is>
          <t>Övriga Aktiebolag</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27095-2023</t>
        </is>
      </c>
      <c r="B5808" s="1" t="n">
        <v>45096</v>
      </c>
      <c r="C5808" s="1" t="n">
        <v>45662</v>
      </c>
      <c r="D5808" t="inlineStr">
        <is>
          <t>NORRBOTTENS LÄN</t>
        </is>
      </c>
      <c r="E5808" t="inlineStr">
        <is>
          <t>JOKKMOKK</t>
        </is>
      </c>
      <c r="F5808" t="inlineStr">
        <is>
          <t>Sveaskog</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27133-2023</t>
        </is>
      </c>
      <c r="B5809" s="1" t="n">
        <v>45096</v>
      </c>
      <c r="C5809" s="1" t="n">
        <v>45662</v>
      </c>
      <c r="D5809" t="inlineStr">
        <is>
          <t>NORRBOTTENS LÄN</t>
        </is>
      </c>
      <c r="E5809" t="inlineStr">
        <is>
          <t>KALIX</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27141-2023</t>
        </is>
      </c>
      <c r="B5810" s="1" t="n">
        <v>45096</v>
      </c>
      <c r="C5810" s="1" t="n">
        <v>45662</v>
      </c>
      <c r="D5810" t="inlineStr">
        <is>
          <t>NORRBOTTENS LÄN</t>
        </is>
      </c>
      <c r="E5810" t="inlineStr">
        <is>
          <t>KALIX</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28600-2023</t>
        </is>
      </c>
      <c r="B5811" s="1" t="n">
        <v>45096</v>
      </c>
      <c r="C5811" s="1" t="n">
        <v>45662</v>
      </c>
      <c r="D5811" t="inlineStr">
        <is>
          <t>NORRBOTTENS LÄN</t>
        </is>
      </c>
      <c r="E5811" t="inlineStr">
        <is>
          <t>GÄLLIVARE</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28646-2023</t>
        </is>
      </c>
      <c r="B5812" s="1" t="n">
        <v>45096</v>
      </c>
      <c r="C5812" s="1" t="n">
        <v>45662</v>
      </c>
      <c r="D5812" t="inlineStr">
        <is>
          <t>NORRBOTTENS LÄN</t>
        </is>
      </c>
      <c r="E5812" t="inlineStr">
        <is>
          <t>GÄLLIVARE</t>
        </is>
      </c>
      <c r="F5812" t="inlineStr">
        <is>
          <t>Allmännings- och besparingsskogar</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28619-2023</t>
        </is>
      </c>
      <c r="B5813" s="1" t="n">
        <v>45096</v>
      </c>
      <c r="C5813" s="1" t="n">
        <v>45662</v>
      </c>
      <c r="D5813" t="inlineStr">
        <is>
          <t>NORRBOTTENS LÄN</t>
        </is>
      </c>
      <c r="E5813" t="inlineStr">
        <is>
          <t>GÄLLIVARE</t>
        </is>
      </c>
      <c r="F5813" t="inlineStr">
        <is>
          <t>Allmännings- och besparingsskogar</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28294-2023</t>
        </is>
      </c>
      <c r="B5814" s="1" t="n">
        <v>45096</v>
      </c>
      <c r="C5814" s="1" t="n">
        <v>45662</v>
      </c>
      <c r="D5814" t="inlineStr">
        <is>
          <t>NORRBOTTENS LÄN</t>
        </is>
      </c>
      <c r="E5814" t="inlineStr">
        <is>
          <t>LULEÅ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28624-2023</t>
        </is>
      </c>
      <c r="B5815" s="1" t="n">
        <v>45096</v>
      </c>
      <c r="C5815" s="1" t="n">
        <v>45662</v>
      </c>
      <c r="D5815" t="inlineStr">
        <is>
          <t>NORRBOTTENS LÄN</t>
        </is>
      </c>
      <c r="E5815" t="inlineStr">
        <is>
          <t>GÄLLIVARE</t>
        </is>
      </c>
      <c r="F5815" t="inlineStr">
        <is>
          <t>Allmännings- och besparingsskogar</t>
        </is>
      </c>
      <c r="G5815" t="n">
        <v>44.7</v>
      </c>
      <c r="H5815" t="n">
        <v>0</v>
      </c>
      <c r="I5815" t="n">
        <v>0</v>
      </c>
      <c r="J5815" t="n">
        <v>0</v>
      </c>
      <c r="K5815" t="n">
        <v>0</v>
      </c>
      <c r="L5815" t="n">
        <v>0</v>
      </c>
      <c r="M5815" t="n">
        <v>0</v>
      </c>
      <c r="N5815" t="n">
        <v>0</v>
      </c>
      <c r="O5815" t="n">
        <v>0</v>
      </c>
      <c r="P5815" t="n">
        <v>0</v>
      </c>
      <c r="Q5815" t="n">
        <v>0</v>
      </c>
      <c r="R5815" s="2" t="inlineStr"/>
    </row>
    <row r="5816" ht="15" customHeight="1">
      <c r="A5816" t="inlineStr">
        <is>
          <t>A 27441-2023</t>
        </is>
      </c>
      <c r="B5816" s="1" t="n">
        <v>45097</v>
      </c>
      <c r="C5816" s="1" t="n">
        <v>45662</v>
      </c>
      <c r="D5816" t="inlineStr">
        <is>
          <t>NORRBOTTENS LÄN</t>
        </is>
      </c>
      <c r="E5816" t="inlineStr">
        <is>
          <t>ARVIDSJAUR</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27439-2023</t>
        </is>
      </c>
      <c r="B5817" s="1" t="n">
        <v>45097</v>
      </c>
      <c r="C5817" s="1" t="n">
        <v>45662</v>
      </c>
      <c r="D5817" t="inlineStr">
        <is>
          <t>NORRBOTTENS LÄN</t>
        </is>
      </c>
      <c r="E5817" t="inlineStr">
        <is>
          <t>ARVIDSJAUR</t>
        </is>
      </c>
      <c r="F5817" t="inlineStr">
        <is>
          <t>Sveaskog</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27459-2023</t>
        </is>
      </c>
      <c r="B5818" s="1" t="n">
        <v>45097</v>
      </c>
      <c r="C5818" s="1" t="n">
        <v>45662</v>
      </c>
      <c r="D5818" t="inlineStr">
        <is>
          <t>NORRBOTTENS LÄN</t>
        </is>
      </c>
      <c r="E5818" t="inlineStr">
        <is>
          <t>ARVIDSJAUR</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27442-2023</t>
        </is>
      </c>
      <c r="B5819" s="1" t="n">
        <v>45097</v>
      </c>
      <c r="C5819" s="1" t="n">
        <v>45662</v>
      </c>
      <c r="D5819" t="inlineStr">
        <is>
          <t>NORRBOTTENS LÄN</t>
        </is>
      </c>
      <c r="E5819" t="inlineStr">
        <is>
          <t>ARVIDSJAUR</t>
        </is>
      </c>
      <c r="F5819" t="inlineStr">
        <is>
          <t>Sveaskog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27450-2023</t>
        </is>
      </c>
      <c r="B5820" s="1" t="n">
        <v>45097</v>
      </c>
      <c r="C5820" s="1" t="n">
        <v>45662</v>
      </c>
      <c r="D5820" t="inlineStr">
        <is>
          <t>NORRBOTTENS LÄN</t>
        </is>
      </c>
      <c r="E5820" t="inlineStr">
        <is>
          <t>BODEN</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27462-2023</t>
        </is>
      </c>
      <c r="B5821" s="1" t="n">
        <v>45097</v>
      </c>
      <c r="C5821" s="1" t="n">
        <v>45662</v>
      </c>
      <c r="D5821" t="inlineStr">
        <is>
          <t>NORRBOTTENS LÄN</t>
        </is>
      </c>
      <c r="E5821" t="inlineStr">
        <is>
          <t>ARVIDSJAUR</t>
        </is>
      </c>
      <c r="F5821" t="inlineStr">
        <is>
          <t>Sveaskog</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27676-2023</t>
        </is>
      </c>
      <c r="B5822" s="1" t="n">
        <v>45098</v>
      </c>
      <c r="C5822" s="1" t="n">
        <v>45662</v>
      </c>
      <c r="D5822" t="inlineStr">
        <is>
          <t>NORRBOTTENS LÄN</t>
        </is>
      </c>
      <c r="E5822" t="inlineStr">
        <is>
          <t>PITEÅ</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27688-2023</t>
        </is>
      </c>
      <c r="B5823" s="1" t="n">
        <v>45098</v>
      </c>
      <c r="C5823" s="1" t="n">
        <v>45662</v>
      </c>
      <c r="D5823" t="inlineStr">
        <is>
          <t>NORRBOTTENS LÄN</t>
        </is>
      </c>
      <c r="E5823" t="inlineStr">
        <is>
          <t>PITEÅ</t>
        </is>
      </c>
      <c r="F5823" t="inlineStr">
        <is>
          <t>SCA</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27689-2023</t>
        </is>
      </c>
      <c r="B5824" s="1" t="n">
        <v>45098</v>
      </c>
      <c r="C5824" s="1" t="n">
        <v>45662</v>
      </c>
      <c r="D5824" t="inlineStr">
        <is>
          <t>NORRBOTTENS LÄN</t>
        </is>
      </c>
      <c r="E5824" t="inlineStr">
        <is>
          <t>PITEÅ</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27680-2023</t>
        </is>
      </c>
      <c r="B5825" s="1" t="n">
        <v>45097</v>
      </c>
      <c r="C5825" s="1" t="n">
        <v>45662</v>
      </c>
      <c r="D5825" t="inlineStr">
        <is>
          <t>NORRBOTTENS LÄN</t>
        </is>
      </c>
      <c r="E5825" t="inlineStr">
        <is>
          <t>ÖVERKALIX</t>
        </is>
      </c>
      <c r="G5825" t="n">
        <v>12.3</v>
      </c>
      <c r="H5825" t="n">
        <v>0</v>
      </c>
      <c r="I5825" t="n">
        <v>0</v>
      </c>
      <c r="J5825" t="n">
        <v>0</v>
      </c>
      <c r="K5825" t="n">
        <v>0</v>
      </c>
      <c r="L5825" t="n">
        <v>0</v>
      </c>
      <c r="M5825" t="n">
        <v>0</v>
      </c>
      <c r="N5825" t="n">
        <v>0</v>
      </c>
      <c r="O5825" t="n">
        <v>0</v>
      </c>
      <c r="P5825" t="n">
        <v>0</v>
      </c>
      <c r="Q5825" t="n">
        <v>0</v>
      </c>
      <c r="R5825" s="2" t="inlineStr"/>
    </row>
    <row r="5826" ht="15" customHeight="1">
      <c r="A5826" t="inlineStr">
        <is>
          <t>A 29059-2023</t>
        </is>
      </c>
      <c r="B5826" s="1" t="n">
        <v>45097</v>
      </c>
      <c r="C5826" s="1" t="n">
        <v>45662</v>
      </c>
      <c r="D5826" t="inlineStr">
        <is>
          <t>NORRBOTTENS LÄN</t>
        </is>
      </c>
      <c r="E5826" t="inlineStr">
        <is>
          <t>KALIX</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27681-2023</t>
        </is>
      </c>
      <c r="B5827" s="1" t="n">
        <v>45097</v>
      </c>
      <c r="C5827" s="1" t="n">
        <v>45662</v>
      </c>
      <c r="D5827" t="inlineStr">
        <is>
          <t>NORRBOTTENS LÄN</t>
        </is>
      </c>
      <c r="E5827" t="inlineStr">
        <is>
          <t>ÖVERKALIX</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29218-2023</t>
        </is>
      </c>
      <c r="B5828" s="1" t="n">
        <v>45097</v>
      </c>
      <c r="C5828" s="1" t="n">
        <v>45662</v>
      </c>
      <c r="D5828" t="inlineStr">
        <is>
          <t>NORRBOTTENS LÄN</t>
        </is>
      </c>
      <c r="E5828" t="inlineStr">
        <is>
          <t>KALIX</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29060-2023</t>
        </is>
      </c>
      <c r="B5829" s="1" t="n">
        <v>45097</v>
      </c>
      <c r="C5829" s="1" t="n">
        <v>45662</v>
      </c>
      <c r="D5829" t="inlineStr">
        <is>
          <t>NORRBOTTENS LÄN</t>
        </is>
      </c>
      <c r="E5829" t="inlineStr">
        <is>
          <t>KALIX</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27778-2023</t>
        </is>
      </c>
      <c r="B5830" s="1" t="n">
        <v>45098</v>
      </c>
      <c r="C5830" s="1" t="n">
        <v>45662</v>
      </c>
      <c r="D5830" t="inlineStr">
        <is>
          <t>NORRBOTTENS LÄN</t>
        </is>
      </c>
      <c r="E5830" t="inlineStr">
        <is>
          <t>ARVIDSJAUR</t>
        </is>
      </c>
      <c r="F5830" t="inlineStr">
        <is>
          <t>Sveaskog</t>
        </is>
      </c>
      <c r="G5830" t="n">
        <v>15.2</v>
      </c>
      <c r="H5830" t="n">
        <v>0</v>
      </c>
      <c r="I5830" t="n">
        <v>0</v>
      </c>
      <c r="J5830" t="n">
        <v>0</v>
      </c>
      <c r="K5830" t="n">
        <v>0</v>
      </c>
      <c r="L5830" t="n">
        <v>0</v>
      </c>
      <c r="M5830" t="n">
        <v>0</v>
      </c>
      <c r="N5830" t="n">
        <v>0</v>
      </c>
      <c r="O5830" t="n">
        <v>0</v>
      </c>
      <c r="P5830" t="n">
        <v>0</v>
      </c>
      <c r="Q5830" t="n">
        <v>0</v>
      </c>
      <c r="R5830" s="2" t="inlineStr"/>
    </row>
    <row r="5831" ht="15" customHeight="1">
      <c r="A5831" t="inlineStr">
        <is>
          <t>A 27797-2023</t>
        </is>
      </c>
      <c r="B5831" s="1" t="n">
        <v>45098</v>
      </c>
      <c r="C5831" s="1" t="n">
        <v>45662</v>
      </c>
      <c r="D5831" t="inlineStr">
        <is>
          <t>NORRBOTTENS LÄN</t>
        </is>
      </c>
      <c r="E5831" t="inlineStr">
        <is>
          <t>BODEN</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27803-2023</t>
        </is>
      </c>
      <c r="B5832" s="1" t="n">
        <v>45098</v>
      </c>
      <c r="C5832" s="1" t="n">
        <v>45662</v>
      </c>
      <c r="D5832" t="inlineStr">
        <is>
          <t>NORRBOTTENS LÄN</t>
        </is>
      </c>
      <c r="E5832" t="inlineStr">
        <is>
          <t>BODEN</t>
        </is>
      </c>
      <c r="F5832" t="inlineStr">
        <is>
          <t>Sveaskog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27896-2023</t>
        </is>
      </c>
      <c r="B5833" s="1" t="n">
        <v>45098</v>
      </c>
      <c r="C5833" s="1" t="n">
        <v>45662</v>
      </c>
      <c r="D5833" t="inlineStr">
        <is>
          <t>NORRBOTTENS LÄN</t>
        </is>
      </c>
      <c r="E5833" t="inlineStr">
        <is>
          <t>PITEÅ</t>
        </is>
      </c>
      <c r="F5833" t="inlineStr">
        <is>
          <t>Övriga Aktiebolag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27895-2023</t>
        </is>
      </c>
      <c r="B5834" s="1" t="n">
        <v>45098</v>
      </c>
      <c r="C5834" s="1" t="n">
        <v>45662</v>
      </c>
      <c r="D5834" t="inlineStr">
        <is>
          <t>NORRBOTTENS LÄN</t>
        </is>
      </c>
      <c r="E5834" t="inlineStr">
        <is>
          <t>PAJALA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27899-2023</t>
        </is>
      </c>
      <c r="B5835" s="1" t="n">
        <v>45098</v>
      </c>
      <c r="C5835" s="1" t="n">
        <v>45662</v>
      </c>
      <c r="D5835" t="inlineStr">
        <is>
          <t>NORRBOTTENS LÄN</t>
        </is>
      </c>
      <c r="E5835" t="inlineStr">
        <is>
          <t>PITEÅ</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27911-2023</t>
        </is>
      </c>
      <c r="B5836" s="1" t="n">
        <v>45098</v>
      </c>
      <c r="C5836" s="1" t="n">
        <v>45662</v>
      </c>
      <c r="D5836" t="inlineStr">
        <is>
          <t>NORRBOTTENS LÄN</t>
        </is>
      </c>
      <c r="E5836" t="inlineStr">
        <is>
          <t>PITEÅ</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27860-2023</t>
        </is>
      </c>
      <c r="B5837" s="1" t="n">
        <v>45098</v>
      </c>
      <c r="C5837" s="1" t="n">
        <v>45662</v>
      </c>
      <c r="D5837" t="inlineStr">
        <is>
          <t>NORRBOTTENS LÄN</t>
        </is>
      </c>
      <c r="E5837" t="inlineStr">
        <is>
          <t>PITEÅ</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27858-2023</t>
        </is>
      </c>
      <c r="B5838" s="1" t="n">
        <v>45098</v>
      </c>
      <c r="C5838" s="1" t="n">
        <v>45662</v>
      </c>
      <c r="D5838" t="inlineStr">
        <is>
          <t>NORRBOTTENS LÄN</t>
        </is>
      </c>
      <c r="E5838" t="inlineStr">
        <is>
          <t>PITEÅ</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27893-2023</t>
        </is>
      </c>
      <c r="B5839" s="1" t="n">
        <v>45098</v>
      </c>
      <c r="C5839" s="1" t="n">
        <v>45662</v>
      </c>
      <c r="D5839" t="inlineStr">
        <is>
          <t>NORRBOTTENS LÄN</t>
        </is>
      </c>
      <c r="E5839" t="inlineStr">
        <is>
          <t>PITEÅ</t>
        </is>
      </c>
      <c r="G5839" t="n">
        <v>43.6</v>
      </c>
      <c r="H5839" t="n">
        <v>0</v>
      </c>
      <c r="I5839" t="n">
        <v>0</v>
      </c>
      <c r="J5839" t="n">
        <v>0</v>
      </c>
      <c r="K5839" t="n">
        <v>0</v>
      </c>
      <c r="L5839" t="n">
        <v>0</v>
      </c>
      <c r="M5839" t="n">
        <v>0</v>
      </c>
      <c r="N5839" t="n">
        <v>0</v>
      </c>
      <c r="O5839" t="n">
        <v>0</v>
      </c>
      <c r="P5839" t="n">
        <v>0</v>
      </c>
      <c r="Q5839" t="n">
        <v>0</v>
      </c>
      <c r="R5839" s="2" t="inlineStr"/>
    </row>
    <row r="5840" ht="15" customHeight="1">
      <c r="A5840" t="inlineStr">
        <is>
          <t>A 27923-2023</t>
        </is>
      </c>
      <c r="B5840" s="1" t="n">
        <v>45098</v>
      </c>
      <c r="C5840" s="1" t="n">
        <v>45662</v>
      </c>
      <c r="D5840" t="inlineStr">
        <is>
          <t>NORRBOTTENS LÄN</t>
        </is>
      </c>
      <c r="E5840" t="inlineStr">
        <is>
          <t>PITEÅ</t>
        </is>
      </c>
      <c r="F5840" t="inlineStr">
        <is>
          <t>Övriga Aktiebolag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27982-2023</t>
        </is>
      </c>
      <c r="B5841" s="1" t="n">
        <v>45098</v>
      </c>
      <c r="C5841" s="1" t="n">
        <v>45662</v>
      </c>
      <c r="D5841" t="inlineStr">
        <is>
          <t>NORRBOTTENS LÄN</t>
        </is>
      </c>
      <c r="E5841" t="inlineStr">
        <is>
          <t>PAJALA</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27999-2023</t>
        </is>
      </c>
      <c r="B5842" s="1" t="n">
        <v>45099</v>
      </c>
      <c r="C5842" s="1" t="n">
        <v>45662</v>
      </c>
      <c r="D5842" t="inlineStr">
        <is>
          <t>NORRBOTTENS LÄN</t>
        </is>
      </c>
      <c r="E5842" t="inlineStr">
        <is>
          <t>LULEÅ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29490-2023</t>
        </is>
      </c>
      <c r="B5843" s="1" t="n">
        <v>45098</v>
      </c>
      <c r="C5843" s="1" t="n">
        <v>45662</v>
      </c>
      <c r="D5843" t="inlineStr">
        <is>
          <t>NORRBOTTENS LÄN</t>
        </is>
      </c>
      <c r="E5843" t="inlineStr">
        <is>
          <t>LULEÅ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29398-2023</t>
        </is>
      </c>
      <c r="B5844" s="1" t="n">
        <v>45098</v>
      </c>
      <c r="C5844" s="1" t="n">
        <v>45662</v>
      </c>
      <c r="D5844" t="inlineStr">
        <is>
          <t>NORRBOTTENS LÄN</t>
        </is>
      </c>
      <c r="E5844" t="inlineStr">
        <is>
          <t>PITEÅ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29510-2023</t>
        </is>
      </c>
      <c r="B5845" s="1" t="n">
        <v>45098</v>
      </c>
      <c r="C5845" s="1" t="n">
        <v>45662</v>
      </c>
      <c r="D5845" t="inlineStr">
        <is>
          <t>NORRBOTTENS LÄN</t>
        </is>
      </c>
      <c r="E5845" t="inlineStr">
        <is>
          <t>LULEÅ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29580-2023</t>
        </is>
      </c>
      <c r="B5846" s="1" t="n">
        <v>45098</v>
      </c>
      <c r="C5846" s="1" t="n">
        <v>45662</v>
      </c>
      <c r="D5846" t="inlineStr">
        <is>
          <t>NORRBOTTENS LÄN</t>
        </is>
      </c>
      <c r="E5846" t="inlineStr">
        <is>
          <t>ARVIDSJAUR</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29636-2023</t>
        </is>
      </c>
      <c r="B5847" s="1" t="n">
        <v>45098</v>
      </c>
      <c r="C5847" s="1" t="n">
        <v>45662</v>
      </c>
      <c r="D5847" t="inlineStr">
        <is>
          <t>NORRBOTTENS LÄN</t>
        </is>
      </c>
      <c r="E5847" t="inlineStr">
        <is>
          <t>ARVIDSJAUR</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29537-2023</t>
        </is>
      </c>
      <c r="B5848" s="1" t="n">
        <v>45098</v>
      </c>
      <c r="C5848" s="1" t="n">
        <v>45662</v>
      </c>
      <c r="D5848" t="inlineStr">
        <is>
          <t>NORRBOTTENS LÄN</t>
        </is>
      </c>
      <c r="E5848" t="inlineStr">
        <is>
          <t>LULEÅ</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29407-2023</t>
        </is>
      </c>
      <c r="B5849" s="1" t="n">
        <v>45098</v>
      </c>
      <c r="C5849" s="1" t="n">
        <v>45662</v>
      </c>
      <c r="D5849" t="inlineStr">
        <is>
          <t>NORRBOTTENS LÄN</t>
        </is>
      </c>
      <c r="E5849" t="inlineStr">
        <is>
          <t>PITEÅ</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29639-2023</t>
        </is>
      </c>
      <c r="B5850" s="1" t="n">
        <v>45098</v>
      </c>
      <c r="C5850" s="1" t="n">
        <v>45662</v>
      </c>
      <c r="D5850" t="inlineStr">
        <is>
          <t>NORRBOTTENS LÄN</t>
        </is>
      </c>
      <c r="E5850" t="inlineStr">
        <is>
          <t>ARVIDSJAUR</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29427-2023</t>
        </is>
      </c>
      <c r="B5851" s="1" t="n">
        <v>45098</v>
      </c>
      <c r="C5851" s="1" t="n">
        <v>45662</v>
      </c>
      <c r="D5851" t="inlineStr">
        <is>
          <t>NORRBOTTENS LÄN</t>
        </is>
      </c>
      <c r="E5851" t="inlineStr">
        <is>
          <t>PITEÅ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29402-2023</t>
        </is>
      </c>
      <c r="B5852" s="1" t="n">
        <v>45098</v>
      </c>
      <c r="C5852" s="1" t="n">
        <v>45662</v>
      </c>
      <c r="D5852" t="inlineStr">
        <is>
          <t>NORRBOTTENS LÄN</t>
        </is>
      </c>
      <c r="E5852" t="inlineStr">
        <is>
          <t>PITEÅ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29638-2023</t>
        </is>
      </c>
      <c r="B5853" s="1" t="n">
        <v>45098</v>
      </c>
      <c r="C5853" s="1" t="n">
        <v>45662</v>
      </c>
      <c r="D5853" t="inlineStr">
        <is>
          <t>NORRBOTTENS LÄN</t>
        </is>
      </c>
      <c r="E5853" t="inlineStr">
        <is>
          <t>ÄLVSBYN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29602-2023</t>
        </is>
      </c>
      <c r="B5854" s="1" t="n">
        <v>45098</v>
      </c>
      <c r="C5854" s="1" t="n">
        <v>45662</v>
      </c>
      <c r="D5854" t="inlineStr">
        <is>
          <t>NORRBOTTENS LÄN</t>
        </is>
      </c>
      <c r="E5854" t="inlineStr">
        <is>
          <t>ARVIDSJAUR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28090-2023</t>
        </is>
      </c>
      <c r="B5855" s="1" t="n">
        <v>45099</v>
      </c>
      <c r="C5855" s="1" t="n">
        <v>45662</v>
      </c>
      <c r="D5855" t="inlineStr">
        <is>
          <t>NORRBOTTENS LÄN</t>
        </is>
      </c>
      <c r="E5855" t="inlineStr">
        <is>
          <t>JOKKMOKK</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28094-2023</t>
        </is>
      </c>
      <c r="B5856" s="1" t="n">
        <v>45099</v>
      </c>
      <c r="C5856" s="1" t="n">
        <v>45662</v>
      </c>
      <c r="D5856" t="inlineStr">
        <is>
          <t>NORRBOTTENS LÄN</t>
        </is>
      </c>
      <c r="E5856" t="inlineStr">
        <is>
          <t>ÄLVSBYN</t>
        </is>
      </c>
      <c r="F5856" t="inlineStr">
        <is>
          <t>Sveaskog</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28100-2023</t>
        </is>
      </c>
      <c r="B5857" s="1" t="n">
        <v>45099</v>
      </c>
      <c r="C5857" s="1" t="n">
        <v>45662</v>
      </c>
      <c r="D5857" t="inlineStr">
        <is>
          <t>NORRBOTTENS LÄN</t>
        </is>
      </c>
      <c r="E5857" t="inlineStr">
        <is>
          <t>PAJALA</t>
        </is>
      </c>
      <c r="F5857" t="inlineStr">
        <is>
          <t>Sveaskog</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28109-2023</t>
        </is>
      </c>
      <c r="B5858" s="1" t="n">
        <v>45099</v>
      </c>
      <c r="C5858" s="1" t="n">
        <v>45662</v>
      </c>
      <c r="D5858" t="inlineStr">
        <is>
          <t>NORRBOTTENS LÄN</t>
        </is>
      </c>
      <c r="E5858" t="inlineStr">
        <is>
          <t>BODEN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28236-2023</t>
        </is>
      </c>
      <c r="B5859" s="1" t="n">
        <v>45099</v>
      </c>
      <c r="C5859" s="1" t="n">
        <v>45662</v>
      </c>
      <c r="D5859" t="inlineStr">
        <is>
          <t>NORRBOTTENS LÄN</t>
        </is>
      </c>
      <c r="E5859" t="inlineStr">
        <is>
          <t>PITEÅ</t>
        </is>
      </c>
      <c r="F5859" t="inlineStr">
        <is>
          <t>Sveaskog</t>
        </is>
      </c>
      <c r="G5859" t="n">
        <v>13.1</v>
      </c>
      <c r="H5859" t="n">
        <v>0</v>
      </c>
      <c r="I5859" t="n">
        <v>0</v>
      </c>
      <c r="J5859" t="n">
        <v>0</v>
      </c>
      <c r="K5859" t="n">
        <v>0</v>
      </c>
      <c r="L5859" t="n">
        <v>0</v>
      </c>
      <c r="M5859" t="n">
        <v>0</v>
      </c>
      <c r="N5859" t="n">
        <v>0</v>
      </c>
      <c r="O5859" t="n">
        <v>0</v>
      </c>
      <c r="P5859" t="n">
        <v>0</v>
      </c>
      <c r="Q5859" t="n">
        <v>0</v>
      </c>
      <c r="R5859" s="2" t="inlineStr"/>
    </row>
    <row r="5860" ht="15" customHeight="1">
      <c r="A5860" t="inlineStr">
        <is>
          <t>A 28177-2023</t>
        </is>
      </c>
      <c r="B5860" s="1" t="n">
        <v>45099</v>
      </c>
      <c r="C5860" s="1" t="n">
        <v>45662</v>
      </c>
      <c r="D5860" t="inlineStr">
        <is>
          <t>NORRBOTTENS LÄN</t>
        </is>
      </c>
      <c r="E5860" t="inlineStr">
        <is>
          <t>GÄLLIVARE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28307-2023</t>
        </is>
      </c>
      <c r="B5861" s="1" t="n">
        <v>45099</v>
      </c>
      <c r="C5861" s="1" t="n">
        <v>45662</v>
      </c>
      <c r="D5861" t="inlineStr">
        <is>
          <t>NORRBOTTENS LÄN</t>
        </is>
      </c>
      <c r="E5861" t="inlineStr">
        <is>
          <t>ARVIDSJAUR</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28311-2023</t>
        </is>
      </c>
      <c r="B5862" s="1" t="n">
        <v>45099</v>
      </c>
      <c r="C5862" s="1" t="n">
        <v>45662</v>
      </c>
      <c r="D5862" t="inlineStr">
        <is>
          <t>NORRBOTTENS LÄN</t>
        </is>
      </c>
      <c r="E5862" t="inlineStr">
        <is>
          <t>ARVIDSJAUR</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28357-2023</t>
        </is>
      </c>
      <c r="B5863" s="1" t="n">
        <v>45100</v>
      </c>
      <c r="C5863" s="1" t="n">
        <v>45662</v>
      </c>
      <c r="D5863" t="inlineStr">
        <is>
          <t>NORRBOTTENS LÄN</t>
        </is>
      </c>
      <c r="E5863" t="inlineStr">
        <is>
          <t>BODEN</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28389-2023</t>
        </is>
      </c>
      <c r="B5864" s="1" t="n">
        <v>45100</v>
      </c>
      <c r="C5864" s="1" t="n">
        <v>45662</v>
      </c>
      <c r="D5864" t="inlineStr">
        <is>
          <t>NORRBOTTENS LÄN</t>
        </is>
      </c>
      <c r="E5864" t="inlineStr">
        <is>
          <t>PITEÅ</t>
        </is>
      </c>
      <c r="F5864" t="inlineStr">
        <is>
          <t>SCA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28354-2023</t>
        </is>
      </c>
      <c r="B5865" s="1" t="n">
        <v>45100</v>
      </c>
      <c r="C5865" s="1" t="n">
        <v>45662</v>
      </c>
      <c r="D5865" t="inlineStr">
        <is>
          <t>NORRBOTTENS LÄN</t>
        </is>
      </c>
      <c r="E5865" t="inlineStr">
        <is>
          <t>ÄLVSBYN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28313-2023</t>
        </is>
      </c>
      <c r="B5866" s="1" t="n">
        <v>45099</v>
      </c>
      <c r="C5866" s="1" t="n">
        <v>45662</v>
      </c>
      <c r="D5866" t="inlineStr">
        <is>
          <t>NORRBOTTENS LÄN</t>
        </is>
      </c>
      <c r="E5866" t="inlineStr">
        <is>
          <t>ARVIDSJAUR</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28379-2023</t>
        </is>
      </c>
      <c r="B5867" s="1" t="n">
        <v>45100</v>
      </c>
      <c r="C5867" s="1" t="n">
        <v>45662</v>
      </c>
      <c r="D5867" t="inlineStr">
        <is>
          <t>NORRBOTTENS LÄN</t>
        </is>
      </c>
      <c r="E5867" t="inlineStr">
        <is>
          <t>PAJALA</t>
        </is>
      </c>
      <c r="F5867" t="inlineStr">
        <is>
          <t>SCA</t>
        </is>
      </c>
      <c r="G5867" t="n">
        <v>53.1</v>
      </c>
      <c r="H5867" t="n">
        <v>0</v>
      </c>
      <c r="I5867" t="n">
        <v>0</v>
      </c>
      <c r="J5867" t="n">
        <v>0</v>
      </c>
      <c r="K5867" t="n">
        <v>0</v>
      </c>
      <c r="L5867" t="n">
        <v>0</v>
      </c>
      <c r="M5867" t="n">
        <v>0</v>
      </c>
      <c r="N5867" t="n">
        <v>0</v>
      </c>
      <c r="O5867" t="n">
        <v>0</v>
      </c>
      <c r="P5867" t="n">
        <v>0</v>
      </c>
      <c r="Q5867" t="n">
        <v>0</v>
      </c>
      <c r="R5867" s="2" t="inlineStr"/>
    </row>
    <row r="5868" ht="15" customHeight="1">
      <c r="A5868" t="inlineStr">
        <is>
          <t>A 28390-2023</t>
        </is>
      </c>
      <c r="B5868" s="1" t="n">
        <v>45100</v>
      </c>
      <c r="C5868" s="1" t="n">
        <v>45662</v>
      </c>
      <c r="D5868" t="inlineStr">
        <is>
          <t>NORRBOTTENS LÄN</t>
        </is>
      </c>
      <c r="E5868" t="inlineStr">
        <is>
          <t>PITEÅ</t>
        </is>
      </c>
      <c r="F5868" t="inlineStr">
        <is>
          <t>SCA</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28391-2023</t>
        </is>
      </c>
      <c r="B5869" s="1" t="n">
        <v>45100</v>
      </c>
      <c r="C5869" s="1" t="n">
        <v>45662</v>
      </c>
      <c r="D5869" t="inlineStr">
        <is>
          <t>NORRBOTTENS LÄN</t>
        </is>
      </c>
      <c r="E5869" t="inlineStr">
        <is>
          <t>PITEÅ</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45662</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30134-2023</t>
        </is>
      </c>
      <c r="B5871" s="1" t="n">
        <v>45099</v>
      </c>
      <c r="C5871" s="1" t="n">
        <v>45662</v>
      </c>
      <c r="D5871" t="inlineStr">
        <is>
          <t>NORRBOTTENS LÄN</t>
        </is>
      </c>
      <c r="E5871" t="inlineStr">
        <is>
          <t>HAPARANDA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30141-2023</t>
        </is>
      </c>
      <c r="B5872" s="1" t="n">
        <v>45099</v>
      </c>
      <c r="C5872" s="1" t="n">
        <v>45662</v>
      </c>
      <c r="D5872" t="inlineStr">
        <is>
          <t>NORRBOTTENS LÄN</t>
        </is>
      </c>
      <c r="E5872" t="inlineStr">
        <is>
          <t>HAPARANDA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30193-2023</t>
        </is>
      </c>
      <c r="B5873" s="1" t="n">
        <v>45099</v>
      </c>
      <c r="C5873" s="1" t="n">
        <v>45662</v>
      </c>
      <c r="D5873" t="inlineStr">
        <is>
          <t>NORRBOTTENS LÄN</t>
        </is>
      </c>
      <c r="E5873" t="inlineStr">
        <is>
          <t>PAJALA</t>
        </is>
      </c>
      <c r="G5873" t="n">
        <v>26.1</v>
      </c>
      <c r="H5873" t="n">
        <v>0</v>
      </c>
      <c r="I5873" t="n">
        <v>0</v>
      </c>
      <c r="J5873" t="n">
        <v>0</v>
      </c>
      <c r="K5873" t="n">
        <v>0</v>
      </c>
      <c r="L5873" t="n">
        <v>0</v>
      </c>
      <c r="M5873" t="n">
        <v>0</v>
      </c>
      <c r="N5873" t="n">
        <v>0</v>
      </c>
      <c r="O5873" t="n">
        <v>0</v>
      </c>
      <c r="P5873" t="n">
        <v>0</v>
      </c>
      <c r="Q5873" t="n">
        <v>0</v>
      </c>
      <c r="R5873" s="2" t="inlineStr"/>
    </row>
    <row r="5874" ht="15" customHeight="1">
      <c r="A5874" t="inlineStr">
        <is>
          <t>A 30114-2023</t>
        </is>
      </c>
      <c r="B5874" s="1" t="n">
        <v>45099</v>
      </c>
      <c r="C5874" s="1" t="n">
        <v>45662</v>
      </c>
      <c r="D5874" t="inlineStr">
        <is>
          <t>NORRBOTTENS LÄN</t>
        </is>
      </c>
      <c r="E5874" t="inlineStr">
        <is>
          <t>BODEN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30480-2023</t>
        </is>
      </c>
      <c r="B5875" s="1" t="n">
        <v>45099</v>
      </c>
      <c r="C5875" s="1" t="n">
        <v>45662</v>
      </c>
      <c r="D5875" t="inlineStr">
        <is>
          <t>NORRBOTTENS LÄN</t>
        </is>
      </c>
      <c r="E5875" t="inlineStr">
        <is>
          <t>PAJALA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30105-2023</t>
        </is>
      </c>
      <c r="B5876" s="1" t="n">
        <v>45099</v>
      </c>
      <c r="C5876" s="1" t="n">
        <v>45662</v>
      </c>
      <c r="D5876" t="inlineStr">
        <is>
          <t>NORRBOTTENS LÄN</t>
        </is>
      </c>
      <c r="E5876" t="inlineStr">
        <is>
          <t>BODEN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28396-2023</t>
        </is>
      </c>
      <c r="B5877" s="1" t="n">
        <v>45100</v>
      </c>
      <c r="C5877" s="1" t="n">
        <v>45662</v>
      </c>
      <c r="D5877" t="inlineStr">
        <is>
          <t>NORRBOTTENS LÄN</t>
        </is>
      </c>
      <c r="E5877" t="inlineStr">
        <is>
          <t>PITEÅ</t>
        </is>
      </c>
      <c r="G5877" t="n">
        <v>13.3</v>
      </c>
      <c r="H5877" t="n">
        <v>0</v>
      </c>
      <c r="I5877" t="n">
        <v>0</v>
      </c>
      <c r="J5877" t="n">
        <v>0</v>
      </c>
      <c r="K5877" t="n">
        <v>0</v>
      </c>
      <c r="L5877" t="n">
        <v>0</v>
      </c>
      <c r="M5877" t="n">
        <v>0</v>
      </c>
      <c r="N5877" t="n">
        <v>0</v>
      </c>
      <c r="O5877" t="n">
        <v>0</v>
      </c>
      <c r="P5877" t="n">
        <v>0</v>
      </c>
      <c r="Q5877" t="n">
        <v>0</v>
      </c>
      <c r="R5877" s="2" t="inlineStr"/>
    </row>
    <row r="5878" ht="15" customHeight="1">
      <c r="A5878" t="inlineStr">
        <is>
          <t>A 28444-2023</t>
        </is>
      </c>
      <c r="B5878" s="1" t="n">
        <v>45103</v>
      </c>
      <c r="C5878" s="1" t="n">
        <v>45662</v>
      </c>
      <c r="D5878" t="inlineStr">
        <is>
          <t>NORRBOTTENS LÄN</t>
        </is>
      </c>
      <c r="E5878" t="inlineStr">
        <is>
          <t>BODEN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28442-2023</t>
        </is>
      </c>
      <c r="B5879" s="1" t="n">
        <v>45102</v>
      </c>
      <c r="C5879" s="1" t="n">
        <v>45662</v>
      </c>
      <c r="D5879" t="inlineStr">
        <is>
          <t>NORRBOTTENS LÄN</t>
        </is>
      </c>
      <c r="E5879" t="inlineStr">
        <is>
          <t>BODEN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28466-2023</t>
        </is>
      </c>
      <c r="B5880" s="1" t="n">
        <v>45103</v>
      </c>
      <c r="C5880" s="1" t="n">
        <v>45662</v>
      </c>
      <c r="D5880" t="inlineStr">
        <is>
          <t>NORRBOTTENS LÄN</t>
        </is>
      </c>
      <c r="E5880" t="inlineStr">
        <is>
          <t>PAJALA</t>
        </is>
      </c>
      <c r="F5880" t="inlineStr">
        <is>
          <t>Sveaskog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28465-2023</t>
        </is>
      </c>
      <c r="B5881" s="1" t="n">
        <v>45103</v>
      </c>
      <c r="C5881" s="1" t="n">
        <v>45662</v>
      </c>
      <c r="D5881" t="inlineStr">
        <is>
          <t>NORRBOTTENS LÄN</t>
        </is>
      </c>
      <c r="E5881" t="inlineStr">
        <is>
          <t>PAJALA</t>
        </is>
      </c>
      <c r="F5881" t="inlineStr">
        <is>
          <t>Sveaskog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28489-2023</t>
        </is>
      </c>
      <c r="B5882" s="1" t="n">
        <v>45103</v>
      </c>
      <c r="C5882" s="1" t="n">
        <v>45662</v>
      </c>
      <c r="D5882" t="inlineStr">
        <is>
          <t>NORRBOTTENS LÄN</t>
        </is>
      </c>
      <c r="E5882" t="inlineStr">
        <is>
          <t>PITEÅ</t>
        </is>
      </c>
      <c r="F5882" t="inlineStr">
        <is>
          <t>Sveaskog</t>
        </is>
      </c>
      <c r="G5882" t="n">
        <v>19.4</v>
      </c>
      <c r="H5882" t="n">
        <v>0</v>
      </c>
      <c r="I5882" t="n">
        <v>0</v>
      </c>
      <c r="J5882" t="n">
        <v>0</v>
      </c>
      <c r="K5882" t="n">
        <v>0</v>
      </c>
      <c r="L5882" t="n">
        <v>0</v>
      </c>
      <c r="M5882" t="n">
        <v>0</v>
      </c>
      <c r="N5882" t="n">
        <v>0</v>
      </c>
      <c r="O5882" t="n">
        <v>0</v>
      </c>
      <c r="P5882" t="n">
        <v>0</v>
      </c>
      <c r="Q5882" t="n">
        <v>0</v>
      </c>
      <c r="R5882" s="2" t="inlineStr"/>
    </row>
    <row r="5883" ht="15" customHeight="1">
      <c r="A5883" t="inlineStr">
        <is>
          <t>A 28569-2023</t>
        </is>
      </c>
      <c r="B5883" s="1" t="n">
        <v>45103</v>
      </c>
      <c r="C5883" s="1" t="n">
        <v>45662</v>
      </c>
      <c r="D5883" t="inlineStr">
        <is>
          <t>NORRBOTTENS LÄN</t>
        </is>
      </c>
      <c r="E5883" t="inlineStr">
        <is>
          <t>ÄLVSBYN</t>
        </is>
      </c>
      <c r="F5883" t="inlineStr">
        <is>
          <t>Övriga Aktiebolag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28691-2023</t>
        </is>
      </c>
      <c r="B5884" s="1" t="n">
        <v>45103</v>
      </c>
      <c r="C5884" s="1" t="n">
        <v>45662</v>
      </c>
      <c r="D5884" t="inlineStr">
        <is>
          <t>NORRBOTTENS LÄN</t>
        </is>
      </c>
      <c r="E5884" t="inlineStr">
        <is>
          <t>PAJALA</t>
        </is>
      </c>
      <c r="F5884" t="inlineStr">
        <is>
          <t>Sveaskog</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28757-2023</t>
        </is>
      </c>
      <c r="B5885" s="1" t="n">
        <v>45103</v>
      </c>
      <c r="C5885" s="1" t="n">
        <v>45662</v>
      </c>
      <c r="D5885" t="inlineStr">
        <is>
          <t>NORRBOTTENS LÄN</t>
        </is>
      </c>
      <c r="E5885" t="inlineStr">
        <is>
          <t>ÄLVSBYN</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28692-2023</t>
        </is>
      </c>
      <c r="B5886" s="1" t="n">
        <v>45103</v>
      </c>
      <c r="C5886" s="1" t="n">
        <v>45662</v>
      </c>
      <c r="D5886" t="inlineStr">
        <is>
          <t>NORRBOTTENS LÄN</t>
        </is>
      </c>
      <c r="E5886" t="inlineStr">
        <is>
          <t>PAJALA</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28746-2023</t>
        </is>
      </c>
      <c r="B5887" s="1" t="n">
        <v>45104</v>
      </c>
      <c r="C5887" s="1" t="n">
        <v>45662</v>
      </c>
      <c r="D5887" t="inlineStr">
        <is>
          <t>NORRBOTTENS LÄN</t>
        </is>
      </c>
      <c r="E5887" t="inlineStr">
        <is>
          <t>BODEN</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28755-2023</t>
        </is>
      </c>
      <c r="B5888" s="1" t="n">
        <v>45104</v>
      </c>
      <c r="C5888" s="1" t="n">
        <v>45662</v>
      </c>
      <c r="D5888" t="inlineStr">
        <is>
          <t>NORRBOTTENS LÄN</t>
        </is>
      </c>
      <c r="E5888" t="inlineStr">
        <is>
          <t>ÄLVSBYN</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28733-2023</t>
        </is>
      </c>
      <c r="B5889" s="1" t="n">
        <v>45104</v>
      </c>
      <c r="C5889" s="1" t="n">
        <v>45662</v>
      </c>
      <c r="D5889" t="inlineStr">
        <is>
          <t>NORRBOTTENS LÄN</t>
        </is>
      </c>
      <c r="E5889" t="inlineStr">
        <is>
          <t>PITEÅ</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28745-2023</t>
        </is>
      </c>
      <c r="B5890" s="1" t="n">
        <v>45104</v>
      </c>
      <c r="C5890" s="1" t="n">
        <v>45662</v>
      </c>
      <c r="D5890" t="inlineStr">
        <is>
          <t>NORRBOTTENS LÄN</t>
        </is>
      </c>
      <c r="E5890" t="inlineStr">
        <is>
          <t>BODEN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30756-2023</t>
        </is>
      </c>
      <c r="B5891" s="1" t="n">
        <v>45103</v>
      </c>
      <c r="C5891" s="1" t="n">
        <v>45662</v>
      </c>
      <c r="D5891" t="inlineStr">
        <is>
          <t>NORRBOTTENS LÄN</t>
        </is>
      </c>
      <c r="E5891" t="inlineStr">
        <is>
          <t>ARVIDSJAUR</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30757-2023</t>
        </is>
      </c>
      <c r="B5892" s="1" t="n">
        <v>45103</v>
      </c>
      <c r="C5892" s="1" t="n">
        <v>45662</v>
      </c>
      <c r="D5892" t="inlineStr">
        <is>
          <t>NORRBOTTENS LÄN</t>
        </is>
      </c>
      <c r="E5892" t="inlineStr">
        <is>
          <t>ARVIDSJAUR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30753-2023</t>
        </is>
      </c>
      <c r="B5893" s="1" t="n">
        <v>45103</v>
      </c>
      <c r="C5893" s="1" t="n">
        <v>45662</v>
      </c>
      <c r="D5893" t="inlineStr">
        <is>
          <t>NORRBOTTENS LÄN</t>
        </is>
      </c>
      <c r="E5893" t="inlineStr">
        <is>
          <t>ARVIDSJAUR</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28574-2023</t>
        </is>
      </c>
      <c r="B5894" s="1" t="n">
        <v>45103</v>
      </c>
      <c r="C5894" s="1" t="n">
        <v>45662</v>
      </c>
      <c r="D5894" t="inlineStr">
        <is>
          <t>NORRBOTTENS LÄN</t>
        </is>
      </c>
      <c r="E5894" t="inlineStr">
        <is>
          <t>BODEN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28583-2023</t>
        </is>
      </c>
      <c r="B5895" s="1" t="n">
        <v>45103</v>
      </c>
      <c r="C5895" s="1" t="n">
        <v>45662</v>
      </c>
      <c r="D5895" t="inlineStr">
        <is>
          <t>NORRBOTTENS LÄN</t>
        </is>
      </c>
      <c r="E5895" t="inlineStr">
        <is>
          <t>ÄLVSBYN</t>
        </is>
      </c>
      <c r="F5895" t="inlineStr">
        <is>
          <t>Övriga Aktiebolag</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28634-2023</t>
        </is>
      </c>
      <c r="B5896" s="1" t="n">
        <v>45103</v>
      </c>
      <c r="C5896" s="1" t="n">
        <v>45662</v>
      </c>
      <c r="D5896" t="inlineStr">
        <is>
          <t>NORRBOTTENS LÄN</t>
        </is>
      </c>
      <c r="E5896" t="inlineStr">
        <is>
          <t>PAJALA</t>
        </is>
      </c>
      <c r="F5896" t="inlineStr">
        <is>
          <t>Sveaskog</t>
        </is>
      </c>
      <c r="G5896" t="n">
        <v>20</v>
      </c>
      <c r="H5896" t="n">
        <v>0</v>
      </c>
      <c r="I5896" t="n">
        <v>0</v>
      </c>
      <c r="J5896" t="n">
        <v>0</v>
      </c>
      <c r="K5896" t="n">
        <v>0</v>
      </c>
      <c r="L5896" t="n">
        <v>0</v>
      </c>
      <c r="M5896" t="n">
        <v>0</v>
      </c>
      <c r="N5896" t="n">
        <v>0</v>
      </c>
      <c r="O5896" t="n">
        <v>0</v>
      </c>
      <c r="P5896" t="n">
        <v>0</v>
      </c>
      <c r="Q5896" t="n">
        <v>0</v>
      </c>
      <c r="R5896" s="2" t="inlineStr"/>
    </row>
    <row r="5897" ht="15" customHeight="1">
      <c r="A5897" t="inlineStr">
        <is>
          <t>A 28756-2023</t>
        </is>
      </c>
      <c r="B5897" s="1" t="n">
        <v>45104</v>
      </c>
      <c r="C5897" s="1" t="n">
        <v>45662</v>
      </c>
      <c r="D5897" t="inlineStr">
        <is>
          <t>NORRBOTTENS LÄN</t>
        </is>
      </c>
      <c r="E5897" t="inlineStr">
        <is>
          <t>ÄLVSBYN</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45662</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30765-2023</t>
        </is>
      </c>
      <c r="B5899" s="1" t="n">
        <v>45103</v>
      </c>
      <c r="C5899" s="1" t="n">
        <v>45662</v>
      </c>
      <c r="D5899" t="inlineStr">
        <is>
          <t>NORRBOTTENS LÄN</t>
        </is>
      </c>
      <c r="E5899" t="inlineStr">
        <is>
          <t>GÄLLIVARE</t>
        </is>
      </c>
      <c r="F5899" t="inlineStr">
        <is>
          <t>Allmännings- och besparingsskogar</t>
        </is>
      </c>
      <c r="G5899" t="n">
        <v>10.8</v>
      </c>
      <c r="H5899" t="n">
        <v>0</v>
      </c>
      <c r="I5899" t="n">
        <v>0</v>
      </c>
      <c r="J5899" t="n">
        <v>0</v>
      </c>
      <c r="K5899" t="n">
        <v>0</v>
      </c>
      <c r="L5899" t="n">
        <v>0</v>
      </c>
      <c r="M5899" t="n">
        <v>0</v>
      </c>
      <c r="N5899" t="n">
        <v>0</v>
      </c>
      <c r="O5899" t="n">
        <v>0</v>
      </c>
      <c r="P5899" t="n">
        <v>0</v>
      </c>
      <c r="Q5899" t="n">
        <v>0</v>
      </c>
      <c r="R5899" s="2" t="inlineStr"/>
    </row>
    <row r="5900" ht="15" customHeight="1">
      <c r="A5900" t="inlineStr">
        <is>
          <t>A 31238-2023</t>
        </is>
      </c>
      <c r="B5900" s="1" t="n">
        <v>45103</v>
      </c>
      <c r="C5900" s="1" t="n">
        <v>45662</v>
      </c>
      <c r="D5900" t="inlineStr">
        <is>
          <t>NORRBOTTENS LÄN</t>
        </is>
      </c>
      <c r="E5900" t="inlineStr">
        <is>
          <t>HAPARANDA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31236-2023</t>
        </is>
      </c>
      <c r="B5901" s="1" t="n">
        <v>45103</v>
      </c>
      <c r="C5901" s="1" t="n">
        <v>45662</v>
      </c>
      <c r="D5901" t="inlineStr">
        <is>
          <t>NORRBOTTENS LÄN</t>
        </is>
      </c>
      <c r="E5901" t="inlineStr">
        <is>
          <t>HAPARANDA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31242-2023</t>
        </is>
      </c>
      <c r="B5902" s="1" t="n">
        <v>45103</v>
      </c>
      <c r="C5902" s="1" t="n">
        <v>45662</v>
      </c>
      <c r="D5902" t="inlineStr">
        <is>
          <t>NORRBOTTENS LÄN</t>
        </is>
      </c>
      <c r="E5902" t="inlineStr">
        <is>
          <t>HAPARANDA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28859-2023</t>
        </is>
      </c>
      <c r="B5903" s="1" t="n">
        <v>45104</v>
      </c>
      <c r="C5903" s="1" t="n">
        <v>45662</v>
      </c>
      <c r="D5903" t="inlineStr">
        <is>
          <t>NORRBOTTENS LÄN</t>
        </is>
      </c>
      <c r="E5903" t="inlineStr">
        <is>
          <t>PITEÅ</t>
        </is>
      </c>
      <c r="G5903" t="n">
        <v>23.2</v>
      </c>
      <c r="H5903" t="n">
        <v>0</v>
      </c>
      <c r="I5903" t="n">
        <v>0</v>
      </c>
      <c r="J5903" t="n">
        <v>0</v>
      </c>
      <c r="K5903" t="n">
        <v>0</v>
      </c>
      <c r="L5903" t="n">
        <v>0</v>
      </c>
      <c r="M5903" t="n">
        <v>0</v>
      </c>
      <c r="N5903" t="n">
        <v>0</v>
      </c>
      <c r="O5903" t="n">
        <v>0</v>
      </c>
      <c r="P5903" t="n">
        <v>0</v>
      </c>
      <c r="Q5903" t="n">
        <v>0</v>
      </c>
      <c r="R5903" s="2" t="inlineStr"/>
    </row>
    <row r="5904" ht="15" customHeight="1">
      <c r="A5904" t="inlineStr">
        <is>
          <t>A 28916-2023</t>
        </is>
      </c>
      <c r="B5904" s="1" t="n">
        <v>45104</v>
      </c>
      <c r="C5904" s="1" t="n">
        <v>45662</v>
      </c>
      <c r="D5904" t="inlineStr">
        <is>
          <t>NORRBOTTENS LÄN</t>
        </is>
      </c>
      <c r="E5904" t="inlineStr">
        <is>
          <t>BODEN</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28993-2023</t>
        </is>
      </c>
      <c r="B5905" s="1" t="n">
        <v>45104</v>
      </c>
      <c r="C5905" s="1" t="n">
        <v>45662</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31347-2023</t>
        </is>
      </c>
      <c r="B5906" s="1" t="n">
        <v>45104</v>
      </c>
      <c r="C5906" s="1" t="n">
        <v>45662</v>
      </c>
      <c r="D5906" t="inlineStr">
        <is>
          <t>NORRBOTTENS LÄN</t>
        </is>
      </c>
      <c r="E5906" t="inlineStr">
        <is>
          <t>LULEÅ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31338-2023</t>
        </is>
      </c>
      <c r="B5907" s="1" t="n">
        <v>45104</v>
      </c>
      <c r="C5907" s="1" t="n">
        <v>45662</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31428-2023</t>
        </is>
      </c>
      <c r="B5908" s="1" t="n">
        <v>45104</v>
      </c>
      <c r="C5908" s="1" t="n">
        <v>45662</v>
      </c>
      <c r="D5908" t="inlineStr">
        <is>
          <t>NORRBOTTENS LÄN</t>
        </is>
      </c>
      <c r="E5908" t="inlineStr">
        <is>
          <t>PITEÅ</t>
        </is>
      </c>
      <c r="G5908" t="n">
        <v>10.7</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45662</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28851-2023</t>
        </is>
      </c>
      <c r="B5910" s="1" t="n">
        <v>45104</v>
      </c>
      <c r="C5910" s="1" t="n">
        <v>45662</v>
      </c>
      <c r="D5910" t="inlineStr">
        <is>
          <t>NORRBOTTENS LÄN</t>
        </is>
      </c>
      <c r="E5910" t="inlineStr">
        <is>
          <t>KALIX</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28837-2023</t>
        </is>
      </c>
      <c r="B5911" s="1" t="n">
        <v>45104</v>
      </c>
      <c r="C5911" s="1" t="n">
        <v>45662</v>
      </c>
      <c r="D5911" t="inlineStr">
        <is>
          <t>NORRBOTTENS LÄN</t>
        </is>
      </c>
      <c r="E5911" t="inlineStr">
        <is>
          <t>GÄLLIVARE</t>
        </is>
      </c>
      <c r="F5911" t="inlineStr">
        <is>
          <t>Sveaskog</t>
        </is>
      </c>
      <c r="G5911" t="n">
        <v>22.4</v>
      </c>
      <c r="H5911" t="n">
        <v>0</v>
      </c>
      <c r="I5911" t="n">
        <v>0</v>
      </c>
      <c r="J5911" t="n">
        <v>0</v>
      </c>
      <c r="K5911" t="n">
        <v>0</v>
      </c>
      <c r="L5911" t="n">
        <v>0</v>
      </c>
      <c r="M5911" t="n">
        <v>0</v>
      </c>
      <c r="N5911" t="n">
        <v>0</v>
      </c>
      <c r="O5911" t="n">
        <v>0</v>
      </c>
      <c r="P5911" t="n">
        <v>0</v>
      </c>
      <c r="Q5911" t="n">
        <v>0</v>
      </c>
      <c r="R5911" s="2" t="inlineStr"/>
    </row>
    <row r="5912" ht="15" customHeight="1">
      <c r="A5912" t="inlineStr">
        <is>
          <t>A 31436-2023</t>
        </is>
      </c>
      <c r="B5912" s="1" t="n">
        <v>45104</v>
      </c>
      <c r="C5912" s="1" t="n">
        <v>45662</v>
      </c>
      <c r="D5912" t="inlineStr">
        <is>
          <t>NORRBOTTENS LÄN</t>
        </is>
      </c>
      <c r="E5912" t="inlineStr">
        <is>
          <t>PITEÅ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29243-2023</t>
        </is>
      </c>
      <c r="B5913" s="1" t="n">
        <v>45105</v>
      </c>
      <c r="C5913" s="1" t="n">
        <v>45662</v>
      </c>
      <c r="D5913" t="inlineStr">
        <is>
          <t>NORRBOTTENS LÄN</t>
        </is>
      </c>
      <c r="E5913" t="inlineStr">
        <is>
          <t>PAJALA</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29150-2023</t>
        </is>
      </c>
      <c r="B5914" s="1" t="n">
        <v>45105</v>
      </c>
      <c r="C5914" s="1" t="n">
        <v>45662</v>
      </c>
      <c r="D5914" t="inlineStr">
        <is>
          <t>NORRBOTTENS LÄN</t>
        </is>
      </c>
      <c r="E5914" t="inlineStr">
        <is>
          <t>BODEN</t>
        </is>
      </c>
      <c r="F5914" t="inlineStr">
        <is>
          <t>Sveaskog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29174-2023</t>
        </is>
      </c>
      <c r="B5915" s="1" t="n">
        <v>45105</v>
      </c>
      <c r="C5915" s="1" t="n">
        <v>45662</v>
      </c>
      <c r="D5915" t="inlineStr">
        <is>
          <t>NORRBOTTENS LÄN</t>
        </is>
      </c>
      <c r="E5915" t="inlineStr">
        <is>
          <t>BODEN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29215-2023</t>
        </is>
      </c>
      <c r="B5916" s="1" t="n">
        <v>45105</v>
      </c>
      <c r="C5916" s="1" t="n">
        <v>45662</v>
      </c>
      <c r="D5916" t="inlineStr">
        <is>
          <t>NORRBOTTENS LÄN</t>
        </is>
      </c>
      <c r="E5916" t="inlineStr">
        <is>
          <t>BODEN</t>
        </is>
      </c>
      <c r="F5916" t="inlineStr">
        <is>
          <t>Sveaskog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31666-2023</t>
        </is>
      </c>
      <c r="B5917" s="1" t="n">
        <v>45105</v>
      </c>
      <c r="C5917" s="1" t="n">
        <v>45662</v>
      </c>
      <c r="D5917" t="inlineStr">
        <is>
          <t>NORRBOTTENS LÄN</t>
        </is>
      </c>
      <c r="E5917" t="inlineStr">
        <is>
          <t>ARVIDSJAUR</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29309-2023</t>
        </is>
      </c>
      <c r="B5918" s="1" t="n">
        <v>45106</v>
      </c>
      <c r="C5918" s="1" t="n">
        <v>45662</v>
      </c>
      <c r="D5918" t="inlineStr">
        <is>
          <t>NORRBOTTENS LÄN</t>
        </is>
      </c>
      <c r="E5918" t="inlineStr">
        <is>
          <t>BODEN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29310-2023</t>
        </is>
      </c>
      <c r="B5919" s="1" t="n">
        <v>45106</v>
      </c>
      <c r="C5919" s="1" t="n">
        <v>45662</v>
      </c>
      <c r="D5919" t="inlineStr">
        <is>
          <t>NORRBOTTENS LÄN</t>
        </is>
      </c>
      <c r="E5919" t="inlineStr">
        <is>
          <t>KALIX</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31655-2023</t>
        </is>
      </c>
      <c r="B5920" s="1" t="n">
        <v>45105</v>
      </c>
      <c r="C5920" s="1" t="n">
        <v>45662</v>
      </c>
      <c r="D5920" t="inlineStr">
        <is>
          <t>NORRBOTTENS LÄN</t>
        </is>
      </c>
      <c r="E5920" t="inlineStr">
        <is>
          <t>ÖVERKALIX</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29308-2023</t>
        </is>
      </c>
      <c r="B5921" s="1" t="n">
        <v>45106</v>
      </c>
      <c r="C5921" s="1" t="n">
        <v>45662</v>
      </c>
      <c r="D5921" t="inlineStr">
        <is>
          <t>NORRBOTTENS LÄN</t>
        </is>
      </c>
      <c r="E5921" t="inlineStr">
        <is>
          <t>BODEN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29307-2023</t>
        </is>
      </c>
      <c r="B5922" s="1" t="n">
        <v>45106</v>
      </c>
      <c r="C5922" s="1" t="n">
        <v>45662</v>
      </c>
      <c r="D5922" t="inlineStr">
        <is>
          <t>NORRBOTTENS LÄN</t>
        </is>
      </c>
      <c r="E5922" t="inlineStr">
        <is>
          <t>BODEN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29311-2023</t>
        </is>
      </c>
      <c r="B5923" s="1" t="n">
        <v>45106</v>
      </c>
      <c r="C5923" s="1" t="n">
        <v>45662</v>
      </c>
      <c r="D5923" t="inlineStr">
        <is>
          <t>NORRBOTTENS LÄN</t>
        </is>
      </c>
      <c r="E5923" t="inlineStr">
        <is>
          <t>BODEN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29377-2023</t>
        </is>
      </c>
      <c r="B5924" s="1" t="n">
        <v>45106</v>
      </c>
      <c r="C5924" s="1" t="n">
        <v>45662</v>
      </c>
      <c r="D5924" t="inlineStr">
        <is>
          <t>NORRBOTTENS LÄN</t>
        </is>
      </c>
      <c r="E5924" t="inlineStr">
        <is>
          <t>PITEÅ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29458-2023</t>
        </is>
      </c>
      <c r="B5925" s="1" t="n">
        <v>45106</v>
      </c>
      <c r="C5925" s="1" t="n">
        <v>45662</v>
      </c>
      <c r="D5925" t="inlineStr">
        <is>
          <t>NORRBOTTENS LÄN</t>
        </is>
      </c>
      <c r="E5925" t="inlineStr">
        <is>
          <t>LULEÅ</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29481-2023</t>
        </is>
      </c>
      <c r="B5926" s="1" t="n">
        <v>45106</v>
      </c>
      <c r="C5926" s="1" t="n">
        <v>45662</v>
      </c>
      <c r="D5926" t="inlineStr">
        <is>
          <t>NORRBOTTENS LÄN</t>
        </is>
      </c>
      <c r="E5926" t="inlineStr">
        <is>
          <t>PITEÅ</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29457-2023</t>
        </is>
      </c>
      <c r="B5927" s="1" t="n">
        <v>45106</v>
      </c>
      <c r="C5927" s="1" t="n">
        <v>45662</v>
      </c>
      <c r="D5927" t="inlineStr">
        <is>
          <t>NORRBOTTENS LÄN</t>
        </is>
      </c>
      <c r="E5927" t="inlineStr">
        <is>
          <t>LULEÅ</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29483-2023</t>
        </is>
      </c>
      <c r="B5928" s="1" t="n">
        <v>45106</v>
      </c>
      <c r="C5928" s="1" t="n">
        <v>45662</v>
      </c>
      <c r="D5928" t="inlineStr">
        <is>
          <t>NORRBOTTENS LÄN</t>
        </is>
      </c>
      <c r="E5928" t="inlineStr">
        <is>
          <t>PITEÅ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29555-2023</t>
        </is>
      </c>
      <c r="B5929" s="1" t="n">
        <v>45106</v>
      </c>
      <c r="C5929" s="1" t="n">
        <v>45662</v>
      </c>
      <c r="D5929" t="inlineStr">
        <is>
          <t>NORRBOTTENS LÄN</t>
        </is>
      </c>
      <c r="E5929" t="inlineStr">
        <is>
          <t>PITEÅ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31777-2023</t>
        </is>
      </c>
      <c r="B5930" s="1" t="n">
        <v>45106</v>
      </c>
      <c r="C5930" s="1" t="n">
        <v>45662</v>
      </c>
      <c r="D5930" t="inlineStr">
        <is>
          <t>NORRBOTTENS LÄN</t>
        </is>
      </c>
      <c r="E5930" t="inlineStr">
        <is>
          <t>PITEÅ</t>
        </is>
      </c>
      <c r="G5930" t="n">
        <v>11.4</v>
      </c>
      <c r="H5930" t="n">
        <v>0</v>
      </c>
      <c r="I5930" t="n">
        <v>0</v>
      </c>
      <c r="J5930" t="n">
        <v>0</v>
      </c>
      <c r="K5930" t="n">
        <v>0</v>
      </c>
      <c r="L5930" t="n">
        <v>0</v>
      </c>
      <c r="M5930" t="n">
        <v>0</v>
      </c>
      <c r="N5930" t="n">
        <v>0</v>
      </c>
      <c r="O5930" t="n">
        <v>0</v>
      </c>
      <c r="P5930" t="n">
        <v>0</v>
      </c>
      <c r="Q5930" t="n">
        <v>0</v>
      </c>
      <c r="R5930" s="2" t="inlineStr"/>
    </row>
    <row r="5931" ht="15" customHeight="1">
      <c r="A5931" t="inlineStr">
        <is>
          <t>A 31814-2023</t>
        </is>
      </c>
      <c r="B5931" s="1" t="n">
        <v>45106</v>
      </c>
      <c r="C5931" s="1" t="n">
        <v>45662</v>
      </c>
      <c r="D5931" t="inlineStr">
        <is>
          <t>NORRBOTTENS LÄN</t>
        </is>
      </c>
      <c r="E5931" t="inlineStr">
        <is>
          <t>PITEÅ</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29634-2023</t>
        </is>
      </c>
      <c r="B5932" s="1" t="n">
        <v>45107</v>
      </c>
      <c r="C5932" s="1" t="n">
        <v>45662</v>
      </c>
      <c r="D5932" t="inlineStr">
        <is>
          <t>NORRBOTTENS LÄN</t>
        </is>
      </c>
      <c r="E5932" t="inlineStr">
        <is>
          <t>GÄLLIVARE</t>
        </is>
      </c>
      <c r="F5932" t="inlineStr">
        <is>
          <t>SCA</t>
        </is>
      </c>
      <c r="G5932" t="n">
        <v>12.1</v>
      </c>
      <c r="H5932" t="n">
        <v>0</v>
      </c>
      <c r="I5932" t="n">
        <v>0</v>
      </c>
      <c r="J5932" t="n">
        <v>0</v>
      </c>
      <c r="K5932" t="n">
        <v>0</v>
      </c>
      <c r="L5932" t="n">
        <v>0</v>
      </c>
      <c r="M5932" t="n">
        <v>0</v>
      </c>
      <c r="N5932" t="n">
        <v>0</v>
      </c>
      <c r="O5932" t="n">
        <v>0</v>
      </c>
      <c r="P5932" t="n">
        <v>0</v>
      </c>
      <c r="Q5932" t="n">
        <v>0</v>
      </c>
      <c r="R5932" s="2" t="inlineStr"/>
    </row>
    <row r="5933" ht="15" customHeight="1">
      <c r="A5933" t="inlineStr">
        <is>
          <t>A 29624-2023</t>
        </is>
      </c>
      <c r="B5933" s="1" t="n">
        <v>45107</v>
      </c>
      <c r="C5933" s="1" t="n">
        <v>45662</v>
      </c>
      <c r="D5933" t="inlineStr">
        <is>
          <t>NORRBOTTENS LÄN</t>
        </is>
      </c>
      <c r="E5933" t="inlineStr">
        <is>
          <t>JOKKMOKK</t>
        </is>
      </c>
      <c r="F5933" t="inlineStr">
        <is>
          <t>SCA</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29628-2023</t>
        </is>
      </c>
      <c r="B5934" s="1" t="n">
        <v>45107</v>
      </c>
      <c r="C5934" s="1" t="n">
        <v>45662</v>
      </c>
      <c r="D5934" t="inlineStr">
        <is>
          <t>NORRBOTTENS LÄN</t>
        </is>
      </c>
      <c r="E5934" t="inlineStr">
        <is>
          <t>JOKKMOKK</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29627-2023</t>
        </is>
      </c>
      <c r="B5935" s="1" t="n">
        <v>45107</v>
      </c>
      <c r="C5935" s="1" t="n">
        <v>45662</v>
      </c>
      <c r="D5935" t="inlineStr">
        <is>
          <t>NORRBOTTENS LÄN</t>
        </is>
      </c>
      <c r="E5935" t="inlineStr">
        <is>
          <t>JOKKMOKK</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29625-2023</t>
        </is>
      </c>
      <c r="B5936" s="1" t="n">
        <v>45107</v>
      </c>
      <c r="C5936" s="1" t="n">
        <v>45662</v>
      </c>
      <c r="D5936" t="inlineStr">
        <is>
          <t>NORRBOTTENS LÄN</t>
        </is>
      </c>
      <c r="E5936" t="inlineStr">
        <is>
          <t>JOKKMOKK</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29655-2023</t>
        </is>
      </c>
      <c r="B5937" s="1" t="n">
        <v>45107</v>
      </c>
      <c r="C5937" s="1" t="n">
        <v>45662</v>
      </c>
      <c r="D5937" t="inlineStr">
        <is>
          <t>NORRBOTTENS LÄN</t>
        </is>
      </c>
      <c r="E5937" t="inlineStr">
        <is>
          <t>ÄLVSBYN</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29693-2023</t>
        </is>
      </c>
      <c r="B5938" s="1" t="n">
        <v>45107</v>
      </c>
      <c r="C5938" s="1" t="n">
        <v>45662</v>
      </c>
      <c r="D5938" t="inlineStr">
        <is>
          <t>NORRBOTTENS LÄN</t>
        </is>
      </c>
      <c r="E5938" t="inlineStr">
        <is>
          <t>ARVIDSJAUR</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29654-2023</t>
        </is>
      </c>
      <c r="B5939" s="1" t="n">
        <v>45107</v>
      </c>
      <c r="C5939" s="1" t="n">
        <v>45662</v>
      </c>
      <c r="D5939" t="inlineStr">
        <is>
          <t>NORRBOTTENS LÄN</t>
        </is>
      </c>
      <c r="E5939" t="inlineStr">
        <is>
          <t>ÄLVSBYN</t>
        </is>
      </c>
      <c r="F5939" t="inlineStr">
        <is>
          <t>Sveaskog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29709-2023</t>
        </is>
      </c>
      <c r="B5940" s="1" t="n">
        <v>45107</v>
      </c>
      <c r="C5940" s="1" t="n">
        <v>45662</v>
      </c>
      <c r="D5940" t="inlineStr">
        <is>
          <t>NORRBOTTENS LÄN</t>
        </is>
      </c>
      <c r="E5940" t="inlineStr">
        <is>
          <t>ARVIDSJAUR</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29649-2023</t>
        </is>
      </c>
      <c r="B5941" s="1" t="n">
        <v>45107</v>
      </c>
      <c r="C5941" s="1" t="n">
        <v>45662</v>
      </c>
      <c r="D5941" t="inlineStr">
        <is>
          <t>NORRBOTTENS LÄN</t>
        </is>
      </c>
      <c r="E5941" t="inlineStr">
        <is>
          <t>ÄLVSBYN</t>
        </is>
      </c>
      <c r="F5941" t="inlineStr">
        <is>
          <t>Sveaskog</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29653-2023</t>
        </is>
      </c>
      <c r="B5942" s="1" t="n">
        <v>45107</v>
      </c>
      <c r="C5942" s="1" t="n">
        <v>45662</v>
      </c>
      <c r="D5942" t="inlineStr">
        <is>
          <t>NORRBOTTENS LÄN</t>
        </is>
      </c>
      <c r="E5942" t="inlineStr">
        <is>
          <t>ÄLVSBYN</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29695-2023</t>
        </is>
      </c>
      <c r="B5943" s="1" t="n">
        <v>45107</v>
      </c>
      <c r="C5943" s="1" t="n">
        <v>45662</v>
      </c>
      <c r="D5943" t="inlineStr">
        <is>
          <t>NORRBOTTENS LÄN</t>
        </is>
      </c>
      <c r="E5943" t="inlineStr">
        <is>
          <t>ARVIDSJAUR</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29786-2023</t>
        </is>
      </c>
      <c r="B5944" s="1" t="n">
        <v>45107</v>
      </c>
      <c r="C5944" s="1" t="n">
        <v>45662</v>
      </c>
      <c r="D5944" t="inlineStr">
        <is>
          <t>NORRBOTTENS LÄN</t>
        </is>
      </c>
      <c r="E5944" t="inlineStr">
        <is>
          <t>PITEÅ</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29652-2023</t>
        </is>
      </c>
      <c r="B5945" s="1" t="n">
        <v>45107</v>
      </c>
      <c r="C5945" s="1" t="n">
        <v>45662</v>
      </c>
      <c r="D5945" t="inlineStr">
        <is>
          <t>NORRBOTTENS LÄN</t>
        </is>
      </c>
      <c r="E5945" t="inlineStr">
        <is>
          <t>ÄLVSBYN</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29920-2023</t>
        </is>
      </c>
      <c r="B5946" s="1" t="n">
        <v>45107</v>
      </c>
      <c r="C5946" s="1" t="n">
        <v>45662</v>
      </c>
      <c r="D5946" t="inlineStr">
        <is>
          <t>NORRBOTTENS LÄN</t>
        </is>
      </c>
      <c r="E5946" t="inlineStr">
        <is>
          <t>BODEN</t>
        </is>
      </c>
      <c r="F5946" t="inlineStr">
        <is>
          <t>Sveaskog</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29876-2023</t>
        </is>
      </c>
      <c r="B5947" s="1" t="n">
        <v>45107</v>
      </c>
      <c r="C5947" s="1" t="n">
        <v>45662</v>
      </c>
      <c r="D5947" t="inlineStr">
        <is>
          <t>NORRBOTTENS LÄN</t>
        </is>
      </c>
      <c r="E5947" t="inlineStr">
        <is>
          <t>PAJALA</t>
        </is>
      </c>
      <c r="F5947" t="inlineStr">
        <is>
          <t>Sveaskog</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29919-2023</t>
        </is>
      </c>
      <c r="B5948" s="1" t="n">
        <v>45107</v>
      </c>
      <c r="C5948" s="1" t="n">
        <v>45662</v>
      </c>
      <c r="D5948" t="inlineStr">
        <is>
          <t>NORRBOTTENS LÄN</t>
        </is>
      </c>
      <c r="E5948" t="inlineStr">
        <is>
          <t>BODEN</t>
        </is>
      </c>
      <c r="F5948" t="inlineStr">
        <is>
          <t>Sveaskog</t>
        </is>
      </c>
      <c r="G5948" t="n">
        <v>11.7</v>
      </c>
      <c r="H5948" t="n">
        <v>0</v>
      </c>
      <c r="I5948" t="n">
        <v>0</v>
      </c>
      <c r="J5948" t="n">
        <v>0</v>
      </c>
      <c r="K5948" t="n">
        <v>0</v>
      </c>
      <c r="L5948" t="n">
        <v>0</v>
      </c>
      <c r="M5948" t="n">
        <v>0</v>
      </c>
      <c r="N5948" t="n">
        <v>0</v>
      </c>
      <c r="O5948" t="n">
        <v>0</v>
      </c>
      <c r="P5948" t="n">
        <v>0</v>
      </c>
      <c r="Q5948" t="n">
        <v>0</v>
      </c>
      <c r="R5948" s="2" t="inlineStr"/>
    </row>
    <row r="5949" ht="15" customHeight="1">
      <c r="A5949" t="inlineStr">
        <is>
          <t>A 29882-2023</t>
        </is>
      </c>
      <c r="B5949" s="1" t="n">
        <v>45107</v>
      </c>
      <c r="C5949" s="1" t="n">
        <v>45662</v>
      </c>
      <c r="D5949" t="inlineStr">
        <is>
          <t>NORRBOTTENS LÄN</t>
        </is>
      </c>
      <c r="E5949" t="inlineStr">
        <is>
          <t>ÄLVSBYN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29886-2023</t>
        </is>
      </c>
      <c r="B5950" s="1" t="n">
        <v>45107</v>
      </c>
      <c r="C5950" s="1" t="n">
        <v>45662</v>
      </c>
      <c r="D5950" t="inlineStr">
        <is>
          <t>NORRBOTTENS LÄN</t>
        </is>
      </c>
      <c r="E5950" t="inlineStr">
        <is>
          <t>ÄLVSBYN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29960-2023</t>
        </is>
      </c>
      <c r="B5951" s="1" t="n">
        <v>45108</v>
      </c>
      <c r="C5951" s="1" t="n">
        <v>45662</v>
      </c>
      <c r="D5951" t="inlineStr">
        <is>
          <t>NORRBOTTENS LÄN</t>
        </is>
      </c>
      <c r="E5951" t="inlineStr">
        <is>
          <t>ÖVERKALIX</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29961-2023</t>
        </is>
      </c>
      <c r="B5952" s="1" t="n">
        <v>45108</v>
      </c>
      <c r="C5952" s="1" t="n">
        <v>45662</v>
      </c>
      <c r="D5952" t="inlineStr">
        <is>
          <t>NORRBOTTENS LÄN</t>
        </is>
      </c>
      <c r="E5952" t="inlineStr">
        <is>
          <t>ÖVERKALIX</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32046-2023</t>
        </is>
      </c>
      <c r="B5953" s="1" t="n">
        <v>45107</v>
      </c>
      <c r="C5953" s="1" t="n">
        <v>45662</v>
      </c>
      <c r="D5953" t="inlineStr">
        <is>
          <t>NORRBOTTENS LÄN</t>
        </is>
      </c>
      <c r="E5953" t="inlineStr">
        <is>
          <t>PITEÅ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32034-2023</t>
        </is>
      </c>
      <c r="B5954" s="1" t="n">
        <v>45107</v>
      </c>
      <c r="C5954" s="1" t="n">
        <v>45662</v>
      </c>
      <c r="D5954" t="inlineStr">
        <is>
          <t>NORRBOTTENS LÄN</t>
        </is>
      </c>
      <c r="E5954" t="inlineStr">
        <is>
          <t>PITEÅ</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32144-2023</t>
        </is>
      </c>
      <c r="B5955" s="1" t="n">
        <v>45107</v>
      </c>
      <c r="C5955" s="1" t="n">
        <v>45662</v>
      </c>
      <c r="D5955" t="inlineStr">
        <is>
          <t>NORRBOTTENS LÄN</t>
        </is>
      </c>
      <c r="E5955" t="inlineStr">
        <is>
          <t>PITEÅ</t>
        </is>
      </c>
      <c r="G5955" t="n">
        <v>18.7</v>
      </c>
      <c r="H5955" t="n">
        <v>0</v>
      </c>
      <c r="I5955" t="n">
        <v>0</v>
      </c>
      <c r="J5955" t="n">
        <v>0</v>
      </c>
      <c r="K5955" t="n">
        <v>0</v>
      </c>
      <c r="L5955" t="n">
        <v>0</v>
      </c>
      <c r="M5955" t="n">
        <v>0</v>
      </c>
      <c r="N5955" t="n">
        <v>0</v>
      </c>
      <c r="O5955" t="n">
        <v>0</v>
      </c>
      <c r="P5955" t="n">
        <v>0</v>
      </c>
      <c r="Q5955" t="n">
        <v>0</v>
      </c>
      <c r="R5955" s="2" t="inlineStr"/>
    </row>
    <row r="5956" ht="15" customHeight="1">
      <c r="A5956" t="inlineStr">
        <is>
          <t>A 30020-2023</t>
        </is>
      </c>
      <c r="B5956" s="1" t="n">
        <v>45110</v>
      </c>
      <c r="C5956" s="1" t="n">
        <v>45662</v>
      </c>
      <c r="D5956" t="inlineStr">
        <is>
          <t>NORRBOTTENS LÄN</t>
        </is>
      </c>
      <c r="E5956" t="inlineStr">
        <is>
          <t>GÄLLIVARE</t>
        </is>
      </c>
      <c r="F5956" t="inlineStr">
        <is>
          <t>Sveaskog</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30198-2023</t>
        </is>
      </c>
      <c r="B5957" s="1" t="n">
        <v>45110</v>
      </c>
      <c r="C5957" s="1" t="n">
        <v>45662</v>
      </c>
      <c r="D5957" t="inlineStr">
        <is>
          <t>NORRBOTTENS LÄN</t>
        </is>
      </c>
      <c r="E5957" t="inlineStr">
        <is>
          <t>PITEÅ</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30290-2023</t>
        </is>
      </c>
      <c r="B5958" s="1" t="n">
        <v>45110</v>
      </c>
      <c r="C5958" s="1" t="n">
        <v>45662</v>
      </c>
      <c r="D5958" t="inlineStr">
        <is>
          <t>NORRBOTTENS LÄN</t>
        </is>
      </c>
      <c r="E5958" t="inlineStr">
        <is>
          <t>LULEÅ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30026-2023</t>
        </is>
      </c>
      <c r="B5959" s="1" t="n">
        <v>45110</v>
      </c>
      <c r="C5959" s="1" t="n">
        <v>45662</v>
      </c>
      <c r="D5959" t="inlineStr">
        <is>
          <t>NORRBOTTENS LÄN</t>
        </is>
      </c>
      <c r="E5959" t="inlineStr">
        <is>
          <t>GÄLLIVARE</t>
        </is>
      </c>
      <c r="F5959" t="inlineStr">
        <is>
          <t>Sveaskog</t>
        </is>
      </c>
      <c r="G5959" t="n">
        <v>13.1</v>
      </c>
      <c r="H5959" t="n">
        <v>0</v>
      </c>
      <c r="I5959" t="n">
        <v>0</v>
      </c>
      <c r="J5959" t="n">
        <v>0</v>
      </c>
      <c r="K5959" t="n">
        <v>0</v>
      </c>
      <c r="L5959" t="n">
        <v>0</v>
      </c>
      <c r="M5959" t="n">
        <v>0</v>
      </c>
      <c r="N5959" t="n">
        <v>0</v>
      </c>
      <c r="O5959" t="n">
        <v>0</v>
      </c>
      <c r="P5959" t="n">
        <v>0</v>
      </c>
      <c r="Q5959" t="n">
        <v>0</v>
      </c>
      <c r="R5959" s="2" t="inlineStr"/>
    </row>
    <row r="5960" ht="15" customHeight="1">
      <c r="A5960" t="inlineStr">
        <is>
          <t>A 30291-2023</t>
        </is>
      </c>
      <c r="B5960" s="1" t="n">
        <v>45111</v>
      </c>
      <c r="C5960" s="1" t="n">
        <v>45662</v>
      </c>
      <c r="D5960" t="inlineStr">
        <is>
          <t>NORRBOTTENS LÄN</t>
        </is>
      </c>
      <c r="E5960" t="inlineStr">
        <is>
          <t>JOKKMOKK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30300-2023</t>
        </is>
      </c>
      <c r="B5961" s="1" t="n">
        <v>45110</v>
      </c>
      <c r="C5961" s="1" t="n">
        <v>45662</v>
      </c>
      <c r="D5961" t="inlineStr">
        <is>
          <t>NORRBOTTENS LÄN</t>
        </is>
      </c>
      <c r="E5961" t="inlineStr">
        <is>
          <t>BODEN</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32360-2023</t>
        </is>
      </c>
      <c r="B5962" s="1" t="n">
        <v>45110</v>
      </c>
      <c r="C5962" s="1" t="n">
        <v>45662</v>
      </c>
      <c r="D5962" t="inlineStr">
        <is>
          <t>NORRBOTTENS LÄN</t>
        </is>
      </c>
      <c r="E5962" t="inlineStr">
        <is>
          <t>ARVIDSJAUR</t>
        </is>
      </c>
      <c r="F5962" t="inlineStr">
        <is>
          <t>Allmännings- och besparingsskogar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30288-2023</t>
        </is>
      </c>
      <c r="B5963" s="1" t="n">
        <v>45110</v>
      </c>
      <c r="C5963" s="1" t="n">
        <v>45662</v>
      </c>
      <c r="D5963" t="inlineStr">
        <is>
          <t>NORRBOTTENS LÄN</t>
        </is>
      </c>
      <c r="E5963" t="inlineStr">
        <is>
          <t>LULEÅ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30292-2023</t>
        </is>
      </c>
      <c r="B5964" s="1" t="n">
        <v>45110</v>
      </c>
      <c r="C5964" s="1" t="n">
        <v>45662</v>
      </c>
      <c r="D5964" t="inlineStr">
        <is>
          <t>NORRBOTTENS LÄN</t>
        </is>
      </c>
      <c r="E5964" t="inlineStr">
        <is>
          <t>JOKKMOKK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30299-2023</t>
        </is>
      </c>
      <c r="B5965" s="1" t="n">
        <v>45110</v>
      </c>
      <c r="C5965" s="1" t="n">
        <v>45662</v>
      </c>
      <c r="D5965" t="inlineStr">
        <is>
          <t>NORRBOTTENS LÄN</t>
        </is>
      </c>
      <c r="E5965" t="inlineStr">
        <is>
          <t>BODEN</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30301-2023</t>
        </is>
      </c>
      <c r="B5966" s="1" t="n">
        <v>45111</v>
      </c>
      <c r="C5966" s="1" t="n">
        <v>45662</v>
      </c>
      <c r="D5966" t="inlineStr">
        <is>
          <t>NORRBOTTENS LÄN</t>
        </is>
      </c>
      <c r="E5966" t="inlineStr">
        <is>
          <t>BODEN</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30246-2023</t>
        </is>
      </c>
      <c r="B5967" s="1" t="n">
        <v>45110</v>
      </c>
      <c r="C5967" s="1" t="n">
        <v>45662</v>
      </c>
      <c r="D5967" t="inlineStr">
        <is>
          <t>NORRBOTTENS LÄN</t>
        </is>
      </c>
      <c r="E5967" t="inlineStr">
        <is>
          <t>PAJALA</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30289-2023</t>
        </is>
      </c>
      <c r="B5968" s="1" t="n">
        <v>45110</v>
      </c>
      <c r="C5968" s="1" t="n">
        <v>45662</v>
      </c>
      <c r="D5968" t="inlineStr">
        <is>
          <t>NORRBOTTENS LÄN</t>
        </is>
      </c>
      <c r="E5968" t="inlineStr">
        <is>
          <t>LULEÅ</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30302-2023</t>
        </is>
      </c>
      <c r="B5969" s="1" t="n">
        <v>45111</v>
      </c>
      <c r="C5969" s="1" t="n">
        <v>45662</v>
      </c>
      <c r="D5969" t="inlineStr">
        <is>
          <t>NORRBOTTENS LÄN</t>
        </is>
      </c>
      <c r="E5969" t="inlineStr">
        <is>
          <t>BODEN</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32371-2023</t>
        </is>
      </c>
      <c r="B5970" s="1" t="n">
        <v>45110</v>
      </c>
      <c r="C5970" s="1" t="n">
        <v>45662</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32381-2023</t>
        </is>
      </c>
      <c r="B5971" s="1" t="n">
        <v>45110</v>
      </c>
      <c r="C5971" s="1" t="n">
        <v>45662</v>
      </c>
      <c r="D5971" t="inlineStr">
        <is>
          <t>NORRBOTTENS LÄN</t>
        </is>
      </c>
      <c r="E5971" t="inlineStr">
        <is>
          <t>JOKKMOKK</t>
        </is>
      </c>
      <c r="G5971" t="n">
        <v>14.7</v>
      </c>
      <c r="H5971" t="n">
        <v>0</v>
      </c>
      <c r="I5971" t="n">
        <v>0</v>
      </c>
      <c r="J5971" t="n">
        <v>0</v>
      </c>
      <c r="K5971" t="n">
        <v>0</v>
      </c>
      <c r="L5971" t="n">
        <v>0</v>
      </c>
      <c r="M5971" t="n">
        <v>0</v>
      </c>
      <c r="N5971" t="n">
        <v>0</v>
      </c>
      <c r="O5971" t="n">
        <v>0</v>
      </c>
      <c r="P5971" t="n">
        <v>0</v>
      </c>
      <c r="Q5971" t="n">
        <v>0</v>
      </c>
      <c r="R5971" s="2" t="inlineStr"/>
    </row>
    <row r="5972" ht="15" customHeight="1">
      <c r="A5972" t="inlineStr">
        <is>
          <t>A 32377-2023</t>
        </is>
      </c>
      <c r="B5972" s="1" t="n">
        <v>45110</v>
      </c>
      <c r="C5972" s="1" t="n">
        <v>45662</v>
      </c>
      <c r="D5972" t="inlineStr">
        <is>
          <t>NORRBOTTENS LÄN</t>
        </is>
      </c>
      <c r="E5972" t="inlineStr">
        <is>
          <t>PITEÅ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32363-2023</t>
        </is>
      </c>
      <c r="B5973" s="1" t="n">
        <v>45110</v>
      </c>
      <c r="C5973" s="1" t="n">
        <v>45662</v>
      </c>
      <c r="D5973" t="inlineStr">
        <is>
          <t>NORRBOTTENS LÄN</t>
        </is>
      </c>
      <c r="E5973" t="inlineStr">
        <is>
          <t>PITEÅ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32412-2023</t>
        </is>
      </c>
      <c r="B5974" s="1" t="n">
        <v>45110</v>
      </c>
      <c r="C5974" s="1" t="n">
        <v>45662</v>
      </c>
      <c r="D5974" t="inlineStr">
        <is>
          <t>NORRBOTTENS LÄN</t>
        </is>
      </c>
      <c r="E5974" t="inlineStr">
        <is>
          <t>BODEN</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30501-2023</t>
        </is>
      </c>
      <c r="B5975" s="1" t="n">
        <v>45111</v>
      </c>
      <c r="C5975" s="1" t="n">
        <v>45662</v>
      </c>
      <c r="D5975" t="inlineStr">
        <is>
          <t>NORRBOTTENS LÄN</t>
        </is>
      </c>
      <c r="E5975" t="inlineStr">
        <is>
          <t>ARVIDSJAUR</t>
        </is>
      </c>
      <c r="F5975" t="inlineStr">
        <is>
          <t>Sveaskog</t>
        </is>
      </c>
      <c r="G5975" t="n">
        <v>10.9</v>
      </c>
      <c r="H5975" t="n">
        <v>0</v>
      </c>
      <c r="I5975" t="n">
        <v>0</v>
      </c>
      <c r="J5975" t="n">
        <v>0</v>
      </c>
      <c r="K5975" t="n">
        <v>0</v>
      </c>
      <c r="L5975" t="n">
        <v>0</v>
      </c>
      <c r="M5975" t="n">
        <v>0</v>
      </c>
      <c r="N5975" t="n">
        <v>0</v>
      </c>
      <c r="O5975" t="n">
        <v>0</v>
      </c>
      <c r="P5975" t="n">
        <v>0</v>
      </c>
      <c r="Q5975" t="n">
        <v>0</v>
      </c>
      <c r="R5975" s="2" t="inlineStr"/>
    </row>
    <row r="5976" ht="15" customHeight="1">
      <c r="A5976" t="inlineStr">
        <is>
          <t>A 30511-2023</t>
        </is>
      </c>
      <c r="B5976" s="1" t="n">
        <v>45111</v>
      </c>
      <c r="C5976" s="1" t="n">
        <v>45662</v>
      </c>
      <c r="D5976" t="inlineStr">
        <is>
          <t>NORRBOTTENS LÄN</t>
        </is>
      </c>
      <c r="E5976" t="inlineStr">
        <is>
          <t>JOKKMOKK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30343-2023</t>
        </is>
      </c>
      <c r="B5977" s="1" t="n">
        <v>45111</v>
      </c>
      <c r="C5977" s="1" t="n">
        <v>45662</v>
      </c>
      <c r="D5977" t="inlineStr">
        <is>
          <t>NORRBOTTENS LÄN</t>
        </is>
      </c>
      <c r="E5977" t="inlineStr">
        <is>
          <t>ARVIDSJAUR</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30384-2023</t>
        </is>
      </c>
      <c r="B5978" s="1" t="n">
        <v>45111</v>
      </c>
      <c r="C5978" s="1" t="n">
        <v>45662</v>
      </c>
      <c r="D5978" t="inlineStr">
        <is>
          <t>NORRBOTTENS LÄN</t>
        </is>
      </c>
      <c r="E5978" t="inlineStr">
        <is>
          <t>GÄLLIVARE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30394-2023</t>
        </is>
      </c>
      <c r="B5979" s="1" t="n">
        <v>45111</v>
      </c>
      <c r="C5979" s="1" t="n">
        <v>45662</v>
      </c>
      <c r="D5979" t="inlineStr">
        <is>
          <t>NORRBOTTENS LÄN</t>
        </is>
      </c>
      <c r="E5979" t="inlineStr">
        <is>
          <t>ARVIDSJAUR</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30358-2023</t>
        </is>
      </c>
      <c r="B5980" s="1" t="n">
        <v>45111</v>
      </c>
      <c r="C5980" s="1" t="n">
        <v>45662</v>
      </c>
      <c r="D5980" t="inlineStr">
        <is>
          <t>NORRBOTTENS LÄN</t>
        </is>
      </c>
      <c r="E5980" t="inlineStr">
        <is>
          <t>LULEÅ</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30357-2023</t>
        </is>
      </c>
      <c r="B5981" s="1" t="n">
        <v>45111</v>
      </c>
      <c r="C5981" s="1" t="n">
        <v>45662</v>
      </c>
      <c r="D5981" t="inlineStr">
        <is>
          <t>NORRBOTTENS LÄN</t>
        </is>
      </c>
      <c r="E5981" t="inlineStr">
        <is>
          <t>LULEÅ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30383-2023</t>
        </is>
      </c>
      <c r="B5982" s="1" t="n">
        <v>45111</v>
      </c>
      <c r="C5982" s="1" t="n">
        <v>45662</v>
      </c>
      <c r="D5982" t="inlineStr">
        <is>
          <t>NORRBOTTENS LÄN</t>
        </is>
      </c>
      <c r="E5982" t="inlineStr">
        <is>
          <t>GÄLLIVARE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30419-2023</t>
        </is>
      </c>
      <c r="B5983" s="1" t="n">
        <v>45111</v>
      </c>
      <c r="C5983" s="1" t="n">
        <v>45662</v>
      </c>
      <c r="D5983" t="inlineStr">
        <is>
          <t>NORRBOTTENS LÄN</t>
        </is>
      </c>
      <c r="E5983" t="inlineStr">
        <is>
          <t>ARVIDSJAUR</t>
        </is>
      </c>
      <c r="F5983" t="inlineStr">
        <is>
          <t>Sveaskog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30440-2023</t>
        </is>
      </c>
      <c r="B5984" s="1" t="n">
        <v>45111</v>
      </c>
      <c r="C5984" s="1" t="n">
        <v>45662</v>
      </c>
      <c r="D5984" t="inlineStr">
        <is>
          <t>NORRBOTTENS LÄN</t>
        </is>
      </c>
      <c r="E5984" t="inlineStr">
        <is>
          <t>PITEÅ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32591-2023</t>
        </is>
      </c>
      <c r="B5985" s="1" t="n">
        <v>45111</v>
      </c>
      <c r="C5985" s="1" t="n">
        <v>45662</v>
      </c>
      <c r="D5985" t="inlineStr">
        <is>
          <t>NORRBOTTENS LÄN</t>
        </is>
      </c>
      <c r="E5985" t="inlineStr">
        <is>
          <t>PAJALA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30582-2023</t>
        </is>
      </c>
      <c r="B5986" s="1" t="n">
        <v>45112</v>
      </c>
      <c r="C5986" s="1" t="n">
        <v>45662</v>
      </c>
      <c r="D5986" t="inlineStr">
        <is>
          <t>NORRBOTTENS LÄN</t>
        </is>
      </c>
      <c r="E5986" t="inlineStr">
        <is>
          <t>KALIX</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30727-2023</t>
        </is>
      </c>
      <c r="B5987" s="1" t="n">
        <v>45112</v>
      </c>
      <c r="C5987" s="1" t="n">
        <v>45662</v>
      </c>
      <c r="D5987" t="inlineStr">
        <is>
          <t>NORRBOTTENS LÄN</t>
        </is>
      </c>
      <c r="E5987" t="inlineStr">
        <is>
          <t>LULEÅ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30739-2023</t>
        </is>
      </c>
      <c r="B5988" s="1" t="n">
        <v>45112</v>
      </c>
      <c r="C5988" s="1" t="n">
        <v>45662</v>
      </c>
      <c r="D5988" t="inlineStr">
        <is>
          <t>NORRBOTTENS LÄN</t>
        </is>
      </c>
      <c r="E5988" t="inlineStr">
        <is>
          <t>PAJALA</t>
        </is>
      </c>
      <c r="F5988" t="inlineStr">
        <is>
          <t>Sveaskog</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30600-2023</t>
        </is>
      </c>
      <c r="B5989" s="1" t="n">
        <v>45112</v>
      </c>
      <c r="C5989" s="1" t="n">
        <v>45662</v>
      </c>
      <c r="D5989" t="inlineStr">
        <is>
          <t>NORRBOTTENS LÄN</t>
        </is>
      </c>
      <c r="E5989" t="inlineStr">
        <is>
          <t>ÖVERKALIX</t>
        </is>
      </c>
      <c r="F5989" t="inlineStr">
        <is>
          <t>Sveaskog</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30647-2023</t>
        </is>
      </c>
      <c r="B5990" s="1" t="n">
        <v>45112</v>
      </c>
      <c r="C5990" s="1" t="n">
        <v>45662</v>
      </c>
      <c r="D5990" t="inlineStr">
        <is>
          <t>NORRBOTTENS LÄN</t>
        </is>
      </c>
      <c r="E5990" t="inlineStr">
        <is>
          <t>ÖVERTORNEÅ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30651-2023</t>
        </is>
      </c>
      <c r="B5991" s="1" t="n">
        <v>45112</v>
      </c>
      <c r="C5991" s="1" t="n">
        <v>45662</v>
      </c>
      <c r="D5991" t="inlineStr">
        <is>
          <t>NORRBOTTENS LÄN</t>
        </is>
      </c>
      <c r="E5991" t="inlineStr">
        <is>
          <t>ÖVERTORNEÅ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30676-2023</t>
        </is>
      </c>
      <c r="B5992" s="1" t="n">
        <v>45112</v>
      </c>
      <c r="C5992" s="1" t="n">
        <v>45662</v>
      </c>
      <c r="D5992" t="inlineStr">
        <is>
          <t>NORRBOTTENS LÄN</t>
        </is>
      </c>
      <c r="E5992" t="inlineStr">
        <is>
          <t>KALIX</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30814-2023</t>
        </is>
      </c>
      <c r="B5993" s="1" t="n">
        <v>45112</v>
      </c>
      <c r="C5993" s="1" t="n">
        <v>45662</v>
      </c>
      <c r="D5993" t="inlineStr">
        <is>
          <t>NORRBOTTENS LÄN</t>
        </is>
      </c>
      <c r="E5993" t="inlineStr">
        <is>
          <t>KALIX</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30681-2023</t>
        </is>
      </c>
      <c r="B5994" s="1" t="n">
        <v>45112</v>
      </c>
      <c r="C5994" s="1" t="n">
        <v>45662</v>
      </c>
      <c r="D5994" t="inlineStr">
        <is>
          <t>NORRBOTTENS LÄN</t>
        </is>
      </c>
      <c r="E5994" t="inlineStr">
        <is>
          <t>KALIX</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30726-2023</t>
        </is>
      </c>
      <c r="B5995" s="1" t="n">
        <v>45112</v>
      </c>
      <c r="C5995" s="1" t="n">
        <v>45662</v>
      </c>
      <c r="D5995" t="inlineStr">
        <is>
          <t>NORRBOTTENS LÄN</t>
        </is>
      </c>
      <c r="E5995" t="inlineStr">
        <is>
          <t>ARJEPLOG</t>
        </is>
      </c>
      <c r="F5995" t="inlineStr">
        <is>
          <t>Allmännings- och besparingsskogar</t>
        </is>
      </c>
      <c r="G5995" t="n">
        <v>17.3</v>
      </c>
      <c r="H5995" t="n">
        <v>0</v>
      </c>
      <c r="I5995" t="n">
        <v>0</v>
      </c>
      <c r="J5995" t="n">
        <v>0</v>
      </c>
      <c r="K5995" t="n">
        <v>0</v>
      </c>
      <c r="L5995" t="n">
        <v>0</v>
      </c>
      <c r="M5995" t="n">
        <v>0</v>
      </c>
      <c r="N5995" t="n">
        <v>0</v>
      </c>
      <c r="O5995" t="n">
        <v>0</v>
      </c>
      <c r="P5995" t="n">
        <v>0</v>
      </c>
      <c r="Q5995" t="n">
        <v>0</v>
      </c>
      <c r="R5995" s="2" t="inlineStr"/>
    </row>
    <row r="5996" ht="15" customHeight="1">
      <c r="A5996" t="inlineStr">
        <is>
          <t>A 30730-2023</t>
        </is>
      </c>
      <c r="B5996" s="1" t="n">
        <v>45112</v>
      </c>
      <c r="C5996" s="1" t="n">
        <v>45662</v>
      </c>
      <c r="D5996" t="inlineStr">
        <is>
          <t>NORRBOTTENS LÄN</t>
        </is>
      </c>
      <c r="E5996" t="inlineStr">
        <is>
          <t>ARJEPLOG</t>
        </is>
      </c>
      <c r="F5996" t="inlineStr">
        <is>
          <t>Allmännings- och besparingsskogar</t>
        </is>
      </c>
      <c r="G5996" t="n">
        <v>20.9</v>
      </c>
      <c r="H5996" t="n">
        <v>0</v>
      </c>
      <c r="I5996" t="n">
        <v>0</v>
      </c>
      <c r="J5996" t="n">
        <v>0</v>
      </c>
      <c r="K5996" t="n">
        <v>0</v>
      </c>
      <c r="L5996" t="n">
        <v>0</v>
      </c>
      <c r="M5996" t="n">
        <v>0</v>
      </c>
      <c r="N5996" t="n">
        <v>0</v>
      </c>
      <c r="O5996" t="n">
        <v>0</v>
      </c>
      <c r="P5996" t="n">
        <v>0</v>
      </c>
      <c r="Q5996" t="n">
        <v>0</v>
      </c>
      <c r="R5996" s="2" t="inlineStr"/>
    </row>
    <row r="5997" ht="15" customHeight="1">
      <c r="A5997" t="inlineStr">
        <is>
          <t>A 30734-2023</t>
        </is>
      </c>
      <c r="B5997" s="1" t="n">
        <v>45112</v>
      </c>
      <c r="C5997" s="1" t="n">
        <v>45662</v>
      </c>
      <c r="D5997" t="inlineStr">
        <is>
          <t>NORRBOTTENS LÄN</t>
        </is>
      </c>
      <c r="E5997" t="inlineStr">
        <is>
          <t>PAJALA</t>
        </is>
      </c>
      <c r="F5997" t="inlineStr">
        <is>
          <t>Sveaskog</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30781-2023</t>
        </is>
      </c>
      <c r="B5998" s="1" t="n">
        <v>45112</v>
      </c>
      <c r="C5998" s="1" t="n">
        <v>45662</v>
      </c>
      <c r="D5998" t="inlineStr">
        <is>
          <t>NORRBOTTENS LÄN</t>
        </is>
      </c>
      <c r="E5998" t="inlineStr">
        <is>
          <t>GÄLLIVARE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30851-2023</t>
        </is>
      </c>
      <c r="B5999" s="1" t="n">
        <v>45112</v>
      </c>
      <c r="C5999" s="1" t="n">
        <v>45662</v>
      </c>
      <c r="D5999" t="inlineStr">
        <is>
          <t>NORRBOTTENS LÄN</t>
        </is>
      </c>
      <c r="E5999" t="inlineStr">
        <is>
          <t>GÄLLIVARE</t>
        </is>
      </c>
      <c r="F5999" t="inlineStr">
        <is>
          <t>SCA</t>
        </is>
      </c>
      <c r="G5999" t="n">
        <v>28.4</v>
      </c>
      <c r="H5999" t="n">
        <v>0</v>
      </c>
      <c r="I5999" t="n">
        <v>0</v>
      </c>
      <c r="J5999" t="n">
        <v>0</v>
      </c>
      <c r="K5999" t="n">
        <v>0</v>
      </c>
      <c r="L5999" t="n">
        <v>0</v>
      </c>
      <c r="M5999" t="n">
        <v>0</v>
      </c>
      <c r="N5999" t="n">
        <v>0</v>
      </c>
      <c r="O5999" t="n">
        <v>0</v>
      </c>
      <c r="P5999" t="n">
        <v>0</v>
      </c>
      <c r="Q5999" t="n">
        <v>0</v>
      </c>
      <c r="R5999" s="2" t="inlineStr"/>
    </row>
    <row r="6000" ht="15" customHeight="1">
      <c r="A6000" t="inlineStr">
        <is>
          <t>A 32687-2023</t>
        </is>
      </c>
      <c r="B6000" s="1" t="n">
        <v>45112</v>
      </c>
      <c r="C6000" s="1" t="n">
        <v>45662</v>
      </c>
      <c r="D6000" t="inlineStr">
        <is>
          <t>NORRBOTTENS LÄN</t>
        </is>
      </c>
      <c r="E6000" t="inlineStr">
        <is>
          <t>PAJALA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30870-2023</t>
        </is>
      </c>
      <c r="B6001" s="1" t="n">
        <v>45113</v>
      </c>
      <c r="C6001" s="1" t="n">
        <v>45662</v>
      </c>
      <c r="D6001" t="inlineStr">
        <is>
          <t>NORRBOTTENS LÄN</t>
        </is>
      </c>
      <c r="E6001" t="inlineStr">
        <is>
          <t>ARJEPLOG</t>
        </is>
      </c>
      <c r="F6001" t="inlineStr">
        <is>
          <t>Allmännings- och besparingsskogar</t>
        </is>
      </c>
      <c r="G6001" t="n">
        <v>25.5</v>
      </c>
      <c r="H6001" t="n">
        <v>0</v>
      </c>
      <c r="I6001" t="n">
        <v>0</v>
      </c>
      <c r="J6001" t="n">
        <v>0</v>
      </c>
      <c r="K6001" t="n">
        <v>0</v>
      </c>
      <c r="L6001" t="n">
        <v>0</v>
      </c>
      <c r="M6001" t="n">
        <v>0</v>
      </c>
      <c r="N6001" t="n">
        <v>0</v>
      </c>
      <c r="O6001" t="n">
        <v>0</v>
      </c>
      <c r="P6001" t="n">
        <v>0</v>
      </c>
      <c r="Q6001" t="n">
        <v>0</v>
      </c>
      <c r="R6001" s="2" t="inlineStr"/>
    </row>
    <row r="6002" ht="15" customHeight="1">
      <c r="A6002" t="inlineStr">
        <is>
          <t>A 31056-2023</t>
        </is>
      </c>
      <c r="B6002" s="1" t="n">
        <v>45113</v>
      </c>
      <c r="C6002" s="1" t="n">
        <v>45662</v>
      </c>
      <c r="D6002" t="inlineStr">
        <is>
          <t>NORRBOTTENS LÄN</t>
        </is>
      </c>
      <c r="E6002" t="inlineStr">
        <is>
          <t>ÄLVSBYN</t>
        </is>
      </c>
      <c r="F6002" t="inlineStr">
        <is>
          <t>Övriga Aktiebolag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31066-2023</t>
        </is>
      </c>
      <c r="B6003" s="1" t="n">
        <v>45113</v>
      </c>
      <c r="C6003" s="1" t="n">
        <v>45662</v>
      </c>
      <c r="D6003" t="inlineStr">
        <is>
          <t>NORRBOTTENS LÄN</t>
        </is>
      </c>
      <c r="E6003" t="inlineStr">
        <is>
          <t>BODEN</t>
        </is>
      </c>
      <c r="G6003" t="n">
        <v>19.4</v>
      </c>
      <c r="H6003" t="n">
        <v>0</v>
      </c>
      <c r="I6003" t="n">
        <v>0</v>
      </c>
      <c r="J6003" t="n">
        <v>0</v>
      </c>
      <c r="K6003" t="n">
        <v>0</v>
      </c>
      <c r="L6003" t="n">
        <v>0</v>
      </c>
      <c r="M6003" t="n">
        <v>0</v>
      </c>
      <c r="N6003" t="n">
        <v>0</v>
      </c>
      <c r="O6003" t="n">
        <v>0</v>
      </c>
      <c r="P6003" t="n">
        <v>0</v>
      </c>
      <c r="Q6003" t="n">
        <v>0</v>
      </c>
      <c r="R6003" s="2" t="inlineStr"/>
    </row>
    <row r="6004" ht="15" customHeight="1">
      <c r="A6004" t="inlineStr">
        <is>
          <t>A 31102-2023</t>
        </is>
      </c>
      <c r="B6004" s="1" t="n">
        <v>45113</v>
      </c>
      <c r="C6004" s="1" t="n">
        <v>45662</v>
      </c>
      <c r="D6004" t="inlineStr">
        <is>
          <t>NORRBOTTENS LÄN</t>
        </is>
      </c>
      <c r="E6004" t="inlineStr">
        <is>
          <t>BODEN</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31051-2023</t>
        </is>
      </c>
      <c r="B6005" s="1" t="n">
        <v>45113</v>
      </c>
      <c r="C6005" s="1" t="n">
        <v>45662</v>
      </c>
      <c r="D6005" t="inlineStr">
        <is>
          <t>NORRBOTTENS LÄN</t>
        </is>
      </c>
      <c r="E6005" t="inlineStr">
        <is>
          <t>ÄLVSBYN</t>
        </is>
      </c>
      <c r="F6005" t="inlineStr">
        <is>
          <t>Övriga Aktiebolag</t>
        </is>
      </c>
      <c r="G6005" t="n">
        <v>24.7</v>
      </c>
      <c r="H6005" t="n">
        <v>0</v>
      </c>
      <c r="I6005" t="n">
        <v>0</v>
      </c>
      <c r="J6005" t="n">
        <v>0</v>
      </c>
      <c r="K6005" t="n">
        <v>0</v>
      </c>
      <c r="L6005" t="n">
        <v>0</v>
      </c>
      <c r="M6005" t="n">
        <v>0</v>
      </c>
      <c r="N6005" t="n">
        <v>0</v>
      </c>
      <c r="O6005" t="n">
        <v>0</v>
      </c>
      <c r="P6005" t="n">
        <v>0</v>
      </c>
      <c r="Q6005" t="n">
        <v>0</v>
      </c>
      <c r="R6005" s="2" t="inlineStr"/>
    </row>
    <row r="6006" ht="15" customHeight="1">
      <c r="A6006" t="inlineStr">
        <is>
          <t>A 31055-2023</t>
        </is>
      </c>
      <c r="B6006" s="1" t="n">
        <v>45113</v>
      </c>
      <c r="C6006" s="1" t="n">
        <v>45662</v>
      </c>
      <c r="D6006" t="inlineStr">
        <is>
          <t>NORRBOTTENS LÄN</t>
        </is>
      </c>
      <c r="E6006" t="inlineStr">
        <is>
          <t>PAJALA</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31067-2023</t>
        </is>
      </c>
      <c r="B6007" s="1" t="n">
        <v>45113</v>
      </c>
      <c r="C6007" s="1" t="n">
        <v>45662</v>
      </c>
      <c r="D6007" t="inlineStr">
        <is>
          <t>NORRBOTTENS LÄN</t>
        </is>
      </c>
      <c r="E6007" t="inlineStr">
        <is>
          <t>LULEÅ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31080-2023</t>
        </is>
      </c>
      <c r="B6008" s="1" t="n">
        <v>45113</v>
      </c>
      <c r="C6008" s="1" t="n">
        <v>45662</v>
      </c>
      <c r="D6008" t="inlineStr">
        <is>
          <t>NORRBOTTENS LÄN</t>
        </is>
      </c>
      <c r="E6008" t="inlineStr">
        <is>
          <t>PAJALA</t>
        </is>
      </c>
      <c r="F6008" t="inlineStr">
        <is>
          <t>Sveaskog</t>
        </is>
      </c>
      <c r="G6008" t="n">
        <v>17.4</v>
      </c>
      <c r="H6008" t="n">
        <v>0</v>
      </c>
      <c r="I6008" t="n">
        <v>0</v>
      </c>
      <c r="J6008" t="n">
        <v>0</v>
      </c>
      <c r="K6008" t="n">
        <v>0</v>
      </c>
      <c r="L6008" t="n">
        <v>0</v>
      </c>
      <c r="M6008" t="n">
        <v>0</v>
      </c>
      <c r="N6008" t="n">
        <v>0</v>
      </c>
      <c r="O6008" t="n">
        <v>0</v>
      </c>
      <c r="P6008" t="n">
        <v>0</v>
      </c>
      <c r="Q6008" t="n">
        <v>0</v>
      </c>
      <c r="R6008" s="2" t="inlineStr"/>
    </row>
    <row r="6009" ht="15" customHeight="1">
      <c r="A6009" t="inlineStr">
        <is>
          <t>A 31209-2023</t>
        </is>
      </c>
      <c r="B6009" s="1" t="n">
        <v>45114</v>
      </c>
      <c r="C6009" s="1" t="n">
        <v>45662</v>
      </c>
      <c r="D6009" t="inlineStr">
        <is>
          <t>NORRBOTTENS LÄN</t>
        </is>
      </c>
      <c r="E6009" t="inlineStr">
        <is>
          <t>JOKKMOKK</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31208-2023</t>
        </is>
      </c>
      <c r="B6010" s="1" t="n">
        <v>45114</v>
      </c>
      <c r="C6010" s="1" t="n">
        <v>45662</v>
      </c>
      <c r="D6010" t="inlineStr">
        <is>
          <t>NORRBOTTENS LÄN</t>
        </is>
      </c>
      <c r="E6010" t="inlineStr">
        <is>
          <t>JOKKMOKK</t>
        </is>
      </c>
      <c r="F6010" t="inlineStr">
        <is>
          <t>SCA</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32987-2023</t>
        </is>
      </c>
      <c r="B6011" s="1" t="n">
        <v>45113</v>
      </c>
      <c r="C6011" s="1" t="n">
        <v>45662</v>
      </c>
      <c r="D6011" t="inlineStr">
        <is>
          <t>NORRBOTTENS LÄN</t>
        </is>
      </c>
      <c r="E6011" t="inlineStr">
        <is>
          <t>JOKKMOKK</t>
        </is>
      </c>
      <c r="F6011" t="inlineStr">
        <is>
          <t>Övriga statliga verk och myndigheter</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33014-2023</t>
        </is>
      </c>
      <c r="B6012" s="1" t="n">
        <v>45113</v>
      </c>
      <c r="C6012" s="1" t="n">
        <v>45662</v>
      </c>
      <c r="D6012" t="inlineStr">
        <is>
          <t>NORRBOTTENS LÄN</t>
        </is>
      </c>
      <c r="E6012" t="inlineStr">
        <is>
          <t>JOKKMOKK</t>
        </is>
      </c>
      <c r="F6012" t="inlineStr">
        <is>
          <t>Övriga statliga verk och myndigheter</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33006-2023</t>
        </is>
      </c>
      <c r="B6013" s="1" t="n">
        <v>45113</v>
      </c>
      <c r="C6013" s="1" t="n">
        <v>45662</v>
      </c>
      <c r="D6013" t="inlineStr">
        <is>
          <t>NORRBOTTENS LÄN</t>
        </is>
      </c>
      <c r="E6013" t="inlineStr">
        <is>
          <t>JOKKMOKK</t>
        </is>
      </c>
      <c r="F6013" t="inlineStr">
        <is>
          <t>Övriga statliga verk och myndigheter</t>
        </is>
      </c>
      <c r="G6013" t="n">
        <v>19.1</v>
      </c>
      <c r="H6013" t="n">
        <v>0</v>
      </c>
      <c r="I6013" t="n">
        <v>0</v>
      </c>
      <c r="J6013" t="n">
        <v>0</v>
      </c>
      <c r="K6013" t="n">
        <v>0</v>
      </c>
      <c r="L6013" t="n">
        <v>0</v>
      </c>
      <c r="M6013" t="n">
        <v>0</v>
      </c>
      <c r="N6013" t="n">
        <v>0</v>
      </c>
      <c r="O6013" t="n">
        <v>0</v>
      </c>
      <c r="P6013" t="n">
        <v>0</v>
      </c>
      <c r="Q6013" t="n">
        <v>0</v>
      </c>
      <c r="R6013" s="2" t="inlineStr"/>
    </row>
    <row r="6014" ht="15" customHeight="1">
      <c r="A6014" t="inlineStr">
        <is>
          <t>A 31216-2023</t>
        </is>
      </c>
      <c r="B6014" s="1" t="n">
        <v>45114</v>
      </c>
      <c r="C6014" s="1" t="n">
        <v>45662</v>
      </c>
      <c r="D6014" t="inlineStr">
        <is>
          <t>NORRBOTTENS LÄN</t>
        </is>
      </c>
      <c r="E6014" t="inlineStr">
        <is>
          <t>ÄLVSBYN</t>
        </is>
      </c>
      <c r="F6014" t="inlineStr">
        <is>
          <t>Sveaskog</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31220-2023</t>
        </is>
      </c>
      <c r="B6015" s="1" t="n">
        <v>45114</v>
      </c>
      <c r="C6015" s="1" t="n">
        <v>45662</v>
      </c>
      <c r="D6015" t="inlineStr">
        <is>
          <t>NORRBOTTENS LÄN</t>
        </is>
      </c>
      <c r="E6015" t="inlineStr">
        <is>
          <t>ÄLVSBYN</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31219-2023</t>
        </is>
      </c>
      <c r="B6016" s="1" t="n">
        <v>45114</v>
      </c>
      <c r="C6016" s="1" t="n">
        <v>45662</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31226-2023</t>
        </is>
      </c>
      <c r="B6017" s="1" t="n">
        <v>45114</v>
      </c>
      <c r="C6017" s="1" t="n">
        <v>45662</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31297-2023</t>
        </is>
      </c>
      <c r="B6018" s="1" t="n">
        <v>45114</v>
      </c>
      <c r="C6018" s="1" t="n">
        <v>45662</v>
      </c>
      <c r="D6018" t="inlineStr">
        <is>
          <t>NORRBOTTENS LÄN</t>
        </is>
      </c>
      <c r="E6018" t="inlineStr">
        <is>
          <t>BODEN</t>
        </is>
      </c>
      <c r="G6018" t="n">
        <v>7.8</v>
      </c>
      <c r="H6018" t="n">
        <v>0</v>
      </c>
      <c r="I6018" t="n">
        <v>0</v>
      </c>
      <c r="J6018" t="n">
        <v>0</v>
      </c>
      <c r="K6018" t="n">
        <v>0</v>
      </c>
      <c r="L6018" t="n">
        <v>0</v>
      </c>
      <c r="M6018" t="n">
        <v>0</v>
      </c>
      <c r="N6018" t="n">
        <v>0</v>
      </c>
      <c r="O6018" t="n">
        <v>0</v>
      </c>
      <c r="P6018" t="n">
        <v>0</v>
      </c>
      <c r="Q6018" t="n">
        <v>0</v>
      </c>
      <c r="R6018" s="2" t="inlineStr"/>
    </row>
    <row r="6019" ht="15" customHeight="1">
      <c r="A6019" t="inlineStr">
        <is>
          <t>A 31439-2023</t>
        </is>
      </c>
      <c r="B6019" s="1" t="n">
        <v>45114</v>
      </c>
      <c r="C6019" s="1" t="n">
        <v>45662</v>
      </c>
      <c r="D6019" t="inlineStr">
        <is>
          <t>NORRBOTTENS LÄN</t>
        </is>
      </c>
      <c r="E6019" t="inlineStr">
        <is>
          <t>PAJALA</t>
        </is>
      </c>
      <c r="F6019" t="inlineStr">
        <is>
          <t>Sveaskog</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31488-2023</t>
        </is>
      </c>
      <c r="B6020" s="1" t="n">
        <v>45114</v>
      </c>
      <c r="C6020" s="1" t="n">
        <v>45662</v>
      </c>
      <c r="D6020" t="inlineStr">
        <is>
          <t>NORRBOTTENS LÄN</t>
        </is>
      </c>
      <c r="E6020" t="inlineStr">
        <is>
          <t>PITEÅ</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31487-2023</t>
        </is>
      </c>
      <c r="B6021" s="1" t="n">
        <v>45114</v>
      </c>
      <c r="C6021" s="1" t="n">
        <v>45662</v>
      </c>
      <c r="D6021" t="inlineStr">
        <is>
          <t>NORRBOTTENS LÄN</t>
        </is>
      </c>
      <c r="E6021" t="inlineStr">
        <is>
          <t>PITEÅ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33134-2023</t>
        </is>
      </c>
      <c r="B6022" s="1" t="n">
        <v>45114</v>
      </c>
      <c r="C6022" s="1" t="n">
        <v>45662</v>
      </c>
      <c r="D6022" t="inlineStr">
        <is>
          <t>NORRBOTTENS LÄN</t>
        </is>
      </c>
      <c r="E6022" t="inlineStr">
        <is>
          <t>ARVIDSJAUR</t>
        </is>
      </c>
      <c r="G6022" t="n">
        <v>16.3</v>
      </c>
      <c r="H6022" t="n">
        <v>0</v>
      </c>
      <c r="I6022" t="n">
        <v>0</v>
      </c>
      <c r="J6022" t="n">
        <v>0</v>
      </c>
      <c r="K6022" t="n">
        <v>0</v>
      </c>
      <c r="L6022" t="n">
        <v>0</v>
      </c>
      <c r="M6022" t="n">
        <v>0</v>
      </c>
      <c r="N6022" t="n">
        <v>0</v>
      </c>
      <c r="O6022" t="n">
        <v>0</v>
      </c>
      <c r="P6022" t="n">
        <v>0</v>
      </c>
      <c r="Q6022" t="n">
        <v>0</v>
      </c>
      <c r="R6022" s="2" t="inlineStr"/>
    </row>
    <row r="6023" ht="15" customHeight="1">
      <c r="A6023" t="inlineStr">
        <is>
          <t>A 31321-2023</t>
        </is>
      </c>
      <c r="B6023" s="1" t="n">
        <v>45114</v>
      </c>
      <c r="C6023" s="1" t="n">
        <v>45662</v>
      </c>
      <c r="D6023" t="inlineStr">
        <is>
          <t>NORRBOTTENS LÄN</t>
        </is>
      </c>
      <c r="E6023" t="inlineStr">
        <is>
          <t>LULEÅ</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31326-2023</t>
        </is>
      </c>
      <c r="B6024" s="1" t="n">
        <v>45114</v>
      </c>
      <c r="C6024" s="1" t="n">
        <v>45662</v>
      </c>
      <c r="D6024" t="inlineStr">
        <is>
          <t>NORRBOTTENS LÄN</t>
        </is>
      </c>
      <c r="E6024" t="inlineStr">
        <is>
          <t>PAJALA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31590-2023</t>
        </is>
      </c>
      <c r="B6025" s="1" t="n">
        <v>45117</v>
      </c>
      <c r="C6025" s="1" t="n">
        <v>45662</v>
      </c>
      <c r="D6025" t="inlineStr">
        <is>
          <t>NORRBOTTENS LÄN</t>
        </is>
      </c>
      <c r="E6025" t="inlineStr">
        <is>
          <t>BODEN</t>
        </is>
      </c>
      <c r="F6025" t="inlineStr">
        <is>
          <t>Sveaskog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31699-2023</t>
        </is>
      </c>
      <c r="B6026" s="1" t="n">
        <v>45117</v>
      </c>
      <c r="C6026" s="1" t="n">
        <v>45662</v>
      </c>
      <c r="D6026" t="inlineStr">
        <is>
          <t>NORRBOTTENS LÄN</t>
        </is>
      </c>
      <c r="E6026" t="inlineStr">
        <is>
          <t>ÖVERTORNEÅ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31660-2023</t>
        </is>
      </c>
      <c r="B6027" s="1" t="n">
        <v>45117</v>
      </c>
      <c r="C6027" s="1" t="n">
        <v>45662</v>
      </c>
      <c r="D6027" t="inlineStr">
        <is>
          <t>NORRBOTTENS LÄN</t>
        </is>
      </c>
      <c r="E6027" t="inlineStr">
        <is>
          <t>PAJALA</t>
        </is>
      </c>
      <c r="F6027" t="inlineStr">
        <is>
          <t>Sveaskog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31729-2023</t>
        </is>
      </c>
      <c r="B6028" s="1" t="n">
        <v>45118</v>
      </c>
      <c r="C6028" s="1" t="n">
        <v>45662</v>
      </c>
      <c r="D6028" t="inlineStr">
        <is>
          <t>NORRBOTTENS LÄN</t>
        </is>
      </c>
      <c r="E6028" t="inlineStr">
        <is>
          <t>PITEÅ</t>
        </is>
      </c>
      <c r="F6028" t="inlineStr">
        <is>
          <t>SCA</t>
        </is>
      </c>
      <c r="G6028" t="n">
        <v>33.7</v>
      </c>
      <c r="H6028" t="n">
        <v>0</v>
      </c>
      <c r="I6028" t="n">
        <v>0</v>
      </c>
      <c r="J6028" t="n">
        <v>0</v>
      </c>
      <c r="K6028" t="n">
        <v>0</v>
      </c>
      <c r="L6028" t="n">
        <v>0</v>
      </c>
      <c r="M6028" t="n">
        <v>0</v>
      </c>
      <c r="N6028" t="n">
        <v>0</v>
      </c>
      <c r="O6028" t="n">
        <v>0</v>
      </c>
      <c r="P6028" t="n">
        <v>0</v>
      </c>
      <c r="Q6028" t="n">
        <v>0</v>
      </c>
      <c r="R6028" s="2" t="inlineStr"/>
    </row>
    <row r="6029" ht="15" customHeight="1">
      <c r="A6029" t="inlineStr">
        <is>
          <t>A 31733-2023</t>
        </is>
      </c>
      <c r="B6029" s="1" t="n">
        <v>45118</v>
      </c>
      <c r="C6029" s="1" t="n">
        <v>45662</v>
      </c>
      <c r="D6029" t="inlineStr">
        <is>
          <t>NORRBOTTENS LÄN</t>
        </is>
      </c>
      <c r="E6029" t="inlineStr">
        <is>
          <t>PITEÅ</t>
        </is>
      </c>
      <c r="F6029" t="inlineStr">
        <is>
          <t>SCA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31732-2023</t>
        </is>
      </c>
      <c r="B6030" s="1" t="n">
        <v>45118</v>
      </c>
      <c r="C6030" s="1" t="n">
        <v>45662</v>
      </c>
      <c r="D6030" t="inlineStr">
        <is>
          <t>NORRBOTTENS LÄN</t>
        </is>
      </c>
      <c r="E6030" t="inlineStr">
        <is>
          <t>PITEÅ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33382-2023</t>
        </is>
      </c>
      <c r="B6031" s="1" t="n">
        <v>45117</v>
      </c>
      <c r="C6031" s="1" t="n">
        <v>45662</v>
      </c>
      <c r="D6031" t="inlineStr">
        <is>
          <t>NORRBOTTENS LÄN</t>
        </is>
      </c>
      <c r="E6031" t="inlineStr">
        <is>
          <t>GÄLLIVARE</t>
        </is>
      </c>
      <c r="F6031" t="inlineStr">
        <is>
          <t>Allmännings- och besparingsskogar</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31731-2023</t>
        </is>
      </c>
      <c r="B6032" s="1" t="n">
        <v>45118</v>
      </c>
      <c r="C6032" s="1" t="n">
        <v>45662</v>
      </c>
      <c r="D6032" t="inlineStr">
        <is>
          <t>NORRBOTTENS LÄN</t>
        </is>
      </c>
      <c r="E6032" t="inlineStr">
        <is>
          <t>PITEÅ</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31579-2023</t>
        </is>
      </c>
      <c r="B6033" s="1" t="n">
        <v>45117</v>
      </c>
      <c r="C6033" s="1" t="n">
        <v>45662</v>
      </c>
      <c r="D6033" t="inlineStr">
        <is>
          <t>NORRBOTTENS LÄN</t>
        </is>
      </c>
      <c r="E6033" t="inlineStr">
        <is>
          <t>KALIX</t>
        </is>
      </c>
      <c r="F6033" t="inlineStr">
        <is>
          <t>Sveaskog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31730-2023</t>
        </is>
      </c>
      <c r="B6034" s="1" t="n">
        <v>45118</v>
      </c>
      <c r="C6034" s="1" t="n">
        <v>45662</v>
      </c>
      <c r="D6034" t="inlineStr">
        <is>
          <t>NORRBOTTENS LÄN</t>
        </is>
      </c>
      <c r="E6034" t="inlineStr">
        <is>
          <t>PITEÅ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31734-2023</t>
        </is>
      </c>
      <c r="B6035" s="1" t="n">
        <v>45118</v>
      </c>
      <c r="C6035" s="1" t="n">
        <v>45662</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33373-2023</t>
        </is>
      </c>
      <c r="B6036" s="1" t="n">
        <v>45117</v>
      </c>
      <c r="C6036" s="1" t="n">
        <v>45662</v>
      </c>
      <c r="D6036" t="inlineStr">
        <is>
          <t>NORRBOTTENS LÄN</t>
        </is>
      </c>
      <c r="E6036" t="inlineStr">
        <is>
          <t>GÄLLIVARE</t>
        </is>
      </c>
      <c r="F6036" t="inlineStr">
        <is>
          <t>Allmännings- och besparingsskogar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33392-2023</t>
        </is>
      </c>
      <c r="B6037" s="1" t="n">
        <v>45117</v>
      </c>
      <c r="C6037" s="1" t="n">
        <v>45662</v>
      </c>
      <c r="D6037" t="inlineStr">
        <is>
          <t>NORRBOTTENS LÄN</t>
        </is>
      </c>
      <c r="E6037" t="inlineStr">
        <is>
          <t>GÄLLIVARE</t>
        </is>
      </c>
      <c r="F6037" t="inlineStr">
        <is>
          <t>Allmännings- och besparingsskogar</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33390-2023</t>
        </is>
      </c>
      <c r="B6038" s="1" t="n">
        <v>45117</v>
      </c>
      <c r="C6038" s="1" t="n">
        <v>45662</v>
      </c>
      <c r="D6038" t="inlineStr">
        <is>
          <t>NORRBOTTENS LÄN</t>
        </is>
      </c>
      <c r="E6038" t="inlineStr">
        <is>
          <t>GÄLLIVARE</t>
        </is>
      </c>
      <c r="F6038" t="inlineStr">
        <is>
          <t>Allmännings- och besparingsskogar</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33404-2023</t>
        </is>
      </c>
      <c r="B6039" s="1" t="n">
        <v>45117</v>
      </c>
      <c r="C6039" s="1" t="n">
        <v>45662</v>
      </c>
      <c r="D6039" t="inlineStr">
        <is>
          <t>NORRBOTTENS LÄN</t>
        </is>
      </c>
      <c r="E6039" t="inlineStr">
        <is>
          <t>LULEÅ</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31902-2023</t>
        </is>
      </c>
      <c r="B6040" s="1" t="n">
        <v>45118</v>
      </c>
      <c r="C6040" s="1" t="n">
        <v>45662</v>
      </c>
      <c r="D6040" t="inlineStr">
        <is>
          <t>NORRBOTTENS LÄN</t>
        </is>
      </c>
      <c r="E6040" t="inlineStr">
        <is>
          <t>PAJALA</t>
        </is>
      </c>
      <c r="G6040" t="n">
        <v>21.5</v>
      </c>
      <c r="H6040" t="n">
        <v>0</v>
      </c>
      <c r="I6040" t="n">
        <v>0</v>
      </c>
      <c r="J6040" t="n">
        <v>0</v>
      </c>
      <c r="K6040" t="n">
        <v>0</v>
      </c>
      <c r="L6040" t="n">
        <v>0</v>
      </c>
      <c r="M6040" t="n">
        <v>0</v>
      </c>
      <c r="N6040" t="n">
        <v>0</v>
      </c>
      <c r="O6040" t="n">
        <v>0</v>
      </c>
      <c r="P6040" t="n">
        <v>0</v>
      </c>
      <c r="Q6040" t="n">
        <v>0</v>
      </c>
      <c r="R6040" s="2" t="inlineStr"/>
    </row>
    <row r="6041" ht="15" customHeight="1">
      <c r="A6041" t="inlineStr">
        <is>
          <t>A 33518-2023</t>
        </is>
      </c>
      <c r="B6041" s="1" t="n">
        <v>45118</v>
      </c>
      <c r="C6041" s="1" t="n">
        <v>45662</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33523-2023</t>
        </is>
      </c>
      <c r="B6042" s="1" t="n">
        <v>45118</v>
      </c>
      <c r="C6042" s="1" t="n">
        <v>45662</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31941-2023</t>
        </is>
      </c>
      <c r="B6043" s="1" t="n">
        <v>45119</v>
      </c>
      <c r="C6043" s="1" t="n">
        <v>45662</v>
      </c>
      <c r="D6043" t="inlineStr">
        <is>
          <t>NORRBOTTENS LÄN</t>
        </is>
      </c>
      <c r="E6043" t="inlineStr">
        <is>
          <t>PAJALA</t>
        </is>
      </c>
      <c r="F6043" t="inlineStr">
        <is>
          <t>Sveaskog</t>
        </is>
      </c>
      <c r="G6043" t="n">
        <v>32.6</v>
      </c>
      <c r="H6043" t="n">
        <v>0</v>
      </c>
      <c r="I6043" t="n">
        <v>0</v>
      </c>
      <c r="J6043" t="n">
        <v>0</v>
      </c>
      <c r="K6043" t="n">
        <v>0</v>
      </c>
      <c r="L6043" t="n">
        <v>0</v>
      </c>
      <c r="M6043" t="n">
        <v>0</v>
      </c>
      <c r="N6043" t="n">
        <v>0</v>
      </c>
      <c r="O6043" t="n">
        <v>0</v>
      </c>
      <c r="P6043" t="n">
        <v>0</v>
      </c>
      <c r="Q6043" t="n">
        <v>0</v>
      </c>
      <c r="R6043" s="2" t="inlineStr"/>
    </row>
    <row r="6044" ht="15" customHeight="1">
      <c r="A6044" t="inlineStr">
        <is>
          <t>A 32153-2023</t>
        </is>
      </c>
      <c r="B6044" s="1" t="n">
        <v>45119</v>
      </c>
      <c r="C6044" s="1" t="n">
        <v>45662</v>
      </c>
      <c r="D6044" t="inlineStr">
        <is>
          <t>NORRBOTTENS LÄN</t>
        </is>
      </c>
      <c r="E6044" t="inlineStr">
        <is>
          <t>PITEÅ</t>
        </is>
      </c>
      <c r="F6044" t="inlineStr">
        <is>
          <t>Sveaskog</t>
        </is>
      </c>
      <c r="G6044" t="n">
        <v>18.5</v>
      </c>
      <c r="H6044" t="n">
        <v>0</v>
      </c>
      <c r="I6044" t="n">
        <v>0</v>
      </c>
      <c r="J6044" t="n">
        <v>0</v>
      </c>
      <c r="K6044" t="n">
        <v>0</v>
      </c>
      <c r="L6044" t="n">
        <v>0</v>
      </c>
      <c r="M6044" t="n">
        <v>0</v>
      </c>
      <c r="N6044" t="n">
        <v>0</v>
      </c>
      <c r="O6044" t="n">
        <v>0</v>
      </c>
      <c r="P6044" t="n">
        <v>0</v>
      </c>
      <c r="Q6044" t="n">
        <v>0</v>
      </c>
      <c r="R6044" s="2" t="inlineStr"/>
    </row>
    <row r="6045" ht="15" customHeight="1">
      <c r="A6045" t="inlineStr">
        <is>
          <t>A 33684-2023</t>
        </is>
      </c>
      <c r="B6045" s="1" t="n">
        <v>45119</v>
      </c>
      <c r="C6045" s="1" t="n">
        <v>45662</v>
      </c>
      <c r="D6045" t="inlineStr">
        <is>
          <t>NORRBOTTENS LÄN</t>
        </is>
      </c>
      <c r="E6045" t="inlineStr">
        <is>
          <t>PITEÅ</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32263-2023</t>
        </is>
      </c>
      <c r="B6046" s="1" t="n">
        <v>45120</v>
      </c>
      <c r="C6046" s="1" t="n">
        <v>45662</v>
      </c>
      <c r="D6046" t="inlineStr">
        <is>
          <t>NORRBOTTENS LÄN</t>
        </is>
      </c>
      <c r="E6046" t="inlineStr">
        <is>
          <t>ARVIDSJAUR</t>
        </is>
      </c>
      <c r="F6046" t="inlineStr">
        <is>
          <t>Sveaskog</t>
        </is>
      </c>
      <c r="G6046" t="n">
        <v>18.1</v>
      </c>
      <c r="H6046" t="n">
        <v>0</v>
      </c>
      <c r="I6046" t="n">
        <v>0</v>
      </c>
      <c r="J6046" t="n">
        <v>0</v>
      </c>
      <c r="K6046" t="n">
        <v>0</v>
      </c>
      <c r="L6046" t="n">
        <v>0</v>
      </c>
      <c r="M6046" t="n">
        <v>0</v>
      </c>
      <c r="N6046" t="n">
        <v>0</v>
      </c>
      <c r="O6046" t="n">
        <v>0</v>
      </c>
      <c r="P6046" t="n">
        <v>0</v>
      </c>
      <c r="Q6046" t="n">
        <v>0</v>
      </c>
      <c r="R6046" s="2" t="inlineStr"/>
    </row>
    <row r="6047" ht="15" customHeight="1">
      <c r="A6047" t="inlineStr">
        <is>
          <t>A 32268-2023</t>
        </is>
      </c>
      <c r="B6047" s="1" t="n">
        <v>45120</v>
      </c>
      <c r="C6047" s="1" t="n">
        <v>45662</v>
      </c>
      <c r="D6047" t="inlineStr">
        <is>
          <t>NORRBOTTENS LÄN</t>
        </is>
      </c>
      <c r="E6047" t="inlineStr">
        <is>
          <t>ARVIDSJAUR</t>
        </is>
      </c>
      <c r="F6047" t="inlineStr">
        <is>
          <t>Sveaskog</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32264-2023</t>
        </is>
      </c>
      <c r="B6048" s="1" t="n">
        <v>45120</v>
      </c>
      <c r="C6048" s="1" t="n">
        <v>45662</v>
      </c>
      <c r="D6048" t="inlineStr">
        <is>
          <t>NORRBOTTENS LÄN</t>
        </is>
      </c>
      <c r="E6048" t="inlineStr">
        <is>
          <t>ARVIDSJAUR</t>
        </is>
      </c>
      <c r="F6048" t="inlineStr">
        <is>
          <t>Sveaskog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32438-2023</t>
        </is>
      </c>
      <c r="B6049" s="1" t="n">
        <v>45120</v>
      </c>
      <c r="C6049" s="1" t="n">
        <v>45662</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32441-2023</t>
        </is>
      </c>
      <c r="B6050" s="1" t="n">
        <v>45120</v>
      </c>
      <c r="C6050" s="1" t="n">
        <v>45662</v>
      </c>
      <c r="D6050" t="inlineStr">
        <is>
          <t>NORRBOTTENS LÄN</t>
        </is>
      </c>
      <c r="E6050" t="inlineStr">
        <is>
          <t>PITEÅ</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32445-2023</t>
        </is>
      </c>
      <c r="B6051" s="1" t="n">
        <v>45120</v>
      </c>
      <c r="C6051" s="1" t="n">
        <v>45662</v>
      </c>
      <c r="D6051" t="inlineStr">
        <is>
          <t>NORRBOTTENS LÄN</t>
        </is>
      </c>
      <c r="E6051" t="inlineStr">
        <is>
          <t>ÄLVSBYN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32432-2023</t>
        </is>
      </c>
      <c r="B6052" s="1" t="n">
        <v>45120</v>
      </c>
      <c r="C6052" s="1" t="n">
        <v>45662</v>
      </c>
      <c r="D6052" t="inlineStr">
        <is>
          <t>NORRBOTTENS LÄN</t>
        </is>
      </c>
      <c r="E6052" t="inlineStr">
        <is>
          <t>PITEÅ</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32436-2023</t>
        </is>
      </c>
      <c r="B6053" s="1" t="n">
        <v>45120</v>
      </c>
      <c r="C6053" s="1" t="n">
        <v>45662</v>
      </c>
      <c r="D6053" t="inlineStr">
        <is>
          <t>NORRBOTTENS LÄN</t>
        </is>
      </c>
      <c r="E6053" t="inlineStr">
        <is>
          <t>PITEÅ</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32457-2023</t>
        </is>
      </c>
      <c r="B6054" s="1" t="n">
        <v>45120</v>
      </c>
      <c r="C6054" s="1" t="n">
        <v>45662</v>
      </c>
      <c r="D6054" t="inlineStr">
        <is>
          <t>NORRBOTTENS LÄN</t>
        </is>
      </c>
      <c r="E6054" t="inlineStr">
        <is>
          <t>PAJALA</t>
        </is>
      </c>
      <c r="G6054" t="n">
        <v>17.2</v>
      </c>
      <c r="H6054" t="n">
        <v>0</v>
      </c>
      <c r="I6054" t="n">
        <v>0</v>
      </c>
      <c r="J6054" t="n">
        <v>0</v>
      </c>
      <c r="K6054" t="n">
        <v>0</v>
      </c>
      <c r="L6054" t="n">
        <v>0</v>
      </c>
      <c r="M6054" t="n">
        <v>0</v>
      </c>
      <c r="N6054" t="n">
        <v>0</v>
      </c>
      <c r="O6054" t="n">
        <v>0</v>
      </c>
      <c r="P6054" t="n">
        <v>0</v>
      </c>
      <c r="Q6054" t="n">
        <v>0</v>
      </c>
      <c r="R6054" s="2" t="inlineStr"/>
    </row>
    <row r="6055" ht="15" customHeight="1">
      <c r="A6055" t="inlineStr">
        <is>
          <t>A 33751-2023</t>
        </is>
      </c>
      <c r="B6055" s="1" t="n">
        <v>45120</v>
      </c>
      <c r="C6055" s="1" t="n">
        <v>45662</v>
      </c>
      <c r="D6055" t="inlineStr">
        <is>
          <t>NORRBOTTENS LÄN</t>
        </is>
      </c>
      <c r="E6055" t="inlineStr">
        <is>
          <t>BODEN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32480-2023</t>
        </is>
      </c>
      <c r="B6056" s="1" t="n">
        <v>45121</v>
      </c>
      <c r="C6056" s="1" t="n">
        <v>45662</v>
      </c>
      <c r="D6056" t="inlineStr">
        <is>
          <t>NORRBOTTENS LÄN</t>
        </is>
      </c>
      <c r="E6056" t="inlineStr">
        <is>
          <t>ÖVERKALIX</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32519-2023</t>
        </is>
      </c>
      <c r="B6057" s="1" t="n">
        <v>45121</v>
      </c>
      <c r="C6057" s="1" t="n">
        <v>45662</v>
      </c>
      <c r="D6057" t="inlineStr">
        <is>
          <t>NORRBOTTENS LÄN</t>
        </is>
      </c>
      <c r="E6057" t="inlineStr">
        <is>
          <t>PAJALA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32578-2023</t>
        </is>
      </c>
      <c r="B6058" s="1" t="n">
        <v>45121</v>
      </c>
      <c r="C6058" s="1" t="n">
        <v>45662</v>
      </c>
      <c r="D6058" t="inlineStr">
        <is>
          <t>NORRBOTTENS LÄN</t>
        </is>
      </c>
      <c r="E6058" t="inlineStr">
        <is>
          <t>PAJALA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32608-2023</t>
        </is>
      </c>
      <c r="B6059" s="1" t="n">
        <v>45121</v>
      </c>
      <c r="C6059" s="1" t="n">
        <v>45662</v>
      </c>
      <c r="D6059" t="inlineStr">
        <is>
          <t>NORRBOTTENS LÄN</t>
        </is>
      </c>
      <c r="E6059" t="inlineStr">
        <is>
          <t>PAJALA</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33847-2023</t>
        </is>
      </c>
      <c r="B6060" s="1" t="n">
        <v>45121</v>
      </c>
      <c r="C6060" s="1" t="n">
        <v>45662</v>
      </c>
      <c r="D6060" t="inlineStr">
        <is>
          <t>NORRBOTTENS LÄN</t>
        </is>
      </c>
      <c r="E6060" t="inlineStr">
        <is>
          <t>GÄLLIVARE</t>
        </is>
      </c>
      <c r="F6060" t="inlineStr">
        <is>
          <t>Övriga statliga verk och myndigheter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32767-2023</t>
        </is>
      </c>
      <c r="B6061" s="1" t="n">
        <v>45123</v>
      </c>
      <c r="C6061" s="1" t="n">
        <v>45662</v>
      </c>
      <c r="D6061" t="inlineStr">
        <is>
          <t>NORRBOTTENS LÄN</t>
        </is>
      </c>
      <c r="E6061" t="inlineStr">
        <is>
          <t>PAJALA</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32782-2023</t>
        </is>
      </c>
      <c r="B6062" s="1" t="n">
        <v>45124</v>
      </c>
      <c r="C6062" s="1" t="n">
        <v>45662</v>
      </c>
      <c r="D6062" t="inlineStr">
        <is>
          <t>NORRBOTTENS LÄN</t>
        </is>
      </c>
      <c r="E6062" t="inlineStr">
        <is>
          <t>BODEN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32899-2023</t>
        </is>
      </c>
      <c r="B6063" s="1" t="n">
        <v>45124</v>
      </c>
      <c r="C6063" s="1" t="n">
        <v>45662</v>
      </c>
      <c r="D6063" t="inlineStr">
        <is>
          <t>NORRBOTTENS LÄN</t>
        </is>
      </c>
      <c r="E6063" t="inlineStr">
        <is>
          <t>JOKKMOKK</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32781-2023</t>
        </is>
      </c>
      <c r="B6064" s="1" t="n">
        <v>45124</v>
      </c>
      <c r="C6064" s="1" t="n">
        <v>45662</v>
      </c>
      <c r="D6064" t="inlineStr">
        <is>
          <t>NORRBOTTENS LÄN</t>
        </is>
      </c>
      <c r="E6064" t="inlineStr">
        <is>
          <t>BODEN</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32915-2023</t>
        </is>
      </c>
      <c r="B6065" s="1" t="n">
        <v>45125</v>
      </c>
      <c r="C6065" s="1" t="n">
        <v>45662</v>
      </c>
      <c r="D6065" t="inlineStr">
        <is>
          <t>NORRBOTTENS LÄN</t>
        </is>
      </c>
      <c r="E6065" t="inlineStr">
        <is>
          <t>JOKKMOKK</t>
        </is>
      </c>
      <c r="F6065" t="inlineStr">
        <is>
          <t>SCA</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32900-2023</t>
        </is>
      </c>
      <c r="B6066" s="1" t="n">
        <v>45124</v>
      </c>
      <c r="C6066" s="1" t="n">
        <v>45662</v>
      </c>
      <c r="D6066" t="inlineStr">
        <is>
          <t>NORRBOTTENS LÄN</t>
        </is>
      </c>
      <c r="E6066" t="inlineStr">
        <is>
          <t>JOKKMOKK</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32912-2023</t>
        </is>
      </c>
      <c r="B6067" s="1" t="n">
        <v>45125</v>
      </c>
      <c r="C6067" s="1" t="n">
        <v>45662</v>
      </c>
      <c r="D6067" t="inlineStr">
        <is>
          <t>NORRBOTTENS LÄN</t>
        </is>
      </c>
      <c r="E6067" t="inlineStr">
        <is>
          <t>JOKKMOKK</t>
        </is>
      </c>
      <c r="F6067" t="inlineStr">
        <is>
          <t>SCA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32784-2023</t>
        </is>
      </c>
      <c r="B6068" s="1" t="n">
        <v>45124</v>
      </c>
      <c r="C6068" s="1" t="n">
        <v>45662</v>
      </c>
      <c r="D6068" t="inlineStr">
        <is>
          <t>NORRBOTTENS LÄN</t>
        </is>
      </c>
      <c r="E6068" t="inlineStr">
        <is>
          <t>BODEN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32902-2023</t>
        </is>
      </c>
      <c r="B6069" s="1" t="n">
        <v>45125</v>
      </c>
      <c r="C6069" s="1" t="n">
        <v>45662</v>
      </c>
      <c r="D6069" t="inlineStr">
        <is>
          <t>NORRBOTTENS LÄN</t>
        </is>
      </c>
      <c r="E6069" t="inlineStr">
        <is>
          <t>BODEN</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32893-2023</t>
        </is>
      </c>
      <c r="B6070" s="1" t="n">
        <v>45124</v>
      </c>
      <c r="C6070" s="1" t="n">
        <v>45662</v>
      </c>
      <c r="D6070" t="inlineStr">
        <is>
          <t>NORRBOTTENS LÄN</t>
        </is>
      </c>
      <c r="E6070" t="inlineStr">
        <is>
          <t>KALIX</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32914-2023</t>
        </is>
      </c>
      <c r="B6071" s="1" t="n">
        <v>45124</v>
      </c>
      <c r="C6071" s="1" t="n">
        <v>45662</v>
      </c>
      <c r="D6071" t="inlineStr">
        <is>
          <t>NORRBOTTENS LÄN</t>
        </is>
      </c>
      <c r="E6071" t="inlineStr">
        <is>
          <t>JOKKMOKK</t>
        </is>
      </c>
      <c r="F6071" t="inlineStr">
        <is>
          <t>SCA</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33945-2023</t>
        </is>
      </c>
      <c r="B6072" s="1" t="n">
        <v>45124</v>
      </c>
      <c r="C6072" s="1" t="n">
        <v>45662</v>
      </c>
      <c r="D6072" t="inlineStr">
        <is>
          <t>NORRBOTTENS LÄN</t>
        </is>
      </c>
      <c r="E6072" t="inlineStr">
        <is>
          <t>BODEN</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32963-2023</t>
        </is>
      </c>
      <c r="B6073" s="1" t="n">
        <v>45125</v>
      </c>
      <c r="C6073" s="1" t="n">
        <v>45662</v>
      </c>
      <c r="D6073" t="inlineStr">
        <is>
          <t>NORRBOTTENS LÄN</t>
        </is>
      </c>
      <c r="E6073" t="inlineStr">
        <is>
          <t>ÄLVSBYN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32939-2023</t>
        </is>
      </c>
      <c r="B6074" s="1" t="n">
        <v>45125</v>
      </c>
      <c r="C6074" s="1" t="n">
        <v>45662</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32956-2023</t>
        </is>
      </c>
      <c r="B6075" s="1" t="n">
        <v>45125</v>
      </c>
      <c r="C6075" s="1" t="n">
        <v>45662</v>
      </c>
      <c r="D6075" t="inlineStr">
        <is>
          <t>NORRBOTTENS LÄN</t>
        </is>
      </c>
      <c r="E6075" t="inlineStr">
        <is>
          <t>ÄLVSBYN</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32936-2023</t>
        </is>
      </c>
      <c r="B6076" s="1" t="n">
        <v>45125</v>
      </c>
      <c r="C6076" s="1" t="n">
        <v>45662</v>
      </c>
      <c r="D6076" t="inlineStr">
        <is>
          <t>NORRBOTTENS LÄN</t>
        </is>
      </c>
      <c r="E6076" t="inlineStr">
        <is>
          <t>PITEÅ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32966-2023</t>
        </is>
      </c>
      <c r="B6077" s="1" t="n">
        <v>45125</v>
      </c>
      <c r="C6077" s="1" t="n">
        <v>45662</v>
      </c>
      <c r="D6077" t="inlineStr">
        <is>
          <t>NORRBOTTENS LÄN</t>
        </is>
      </c>
      <c r="E6077" t="inlineStr">
        <is>
          <t>ÄLVSBYN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33021-2023</t>
        </is>
      </c>
      <c r="B6078" s="1" t="n">
        <v>45125</v>
      </c>
      <c r="C6078" s="1" t="n">
        <v>45662</v>
      </c>
      <c r="D6078" t="inlineStr">
        <is>
          <t>NORRBOTTENS LÄN</t>
        </is>
      </c>
      <c r="E6078" t="inlineStr">
        <is>
          <t>PITEÅ</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33034-2023</t>
        </is>
      </c>
      <c r="B6079" s="1" t="n">
        <v>45126</v>
      </c>
      <c r="C6079" s="1" t="n">
        <v>45662</v>
      </c>
      <c r="D6079" t="inlineStr">
        <is>
          <t>NORRBOTTENS LÄN</t>
        </is>
      </c>
      <c r="E6079" t="inlineStr">
        <is>
          <t>BODEN</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33168-2023</t>
        </is>
      </c>
      <c r="B6080" s="1" t="n">
        <v>45127</v>
      </c>
      <c r="C6080" s="1" t="n">
        <v>45662</v>
      </c>
      <c r="D6080" t="inlineStr">
        <is>
          <t>NORRBOTTENS LÄN</t>
        </is>
      </c>
      <c r="E6080" t="inlineStr">
        <is>
          <t>BODEN</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33182-2023</t>
        </is>
      </c>
      <c r="B6081" s="1" t="n">
        <v>45127</v>
      </c>
      <c r="C6081" s="1" t="n">
        <v>45662</v>
      </c>
      <c r="D6081" t="inlineStr">
        <is>
          <t>NORRBOTTENS LÄN</t>
        </is>
      </c>
      <c r="E6081" t="inlineStr">
        <is>
          <t>GÄLLIVARE</t>
        </is>
      </c>
      <c r="F6081" t="inlineStr">
        <is>
          <t>Sveaskog</t>
        </is>
      </c>
      <c r="G6081" t="n">
        <v>40.3</v>
      </c>
      <c r="H6081" t="n">
        <v>0</v>
      </c>
      <c r="I6081" t="n">
        <v>0</v>
      </c>
      <c r="J6081" t="n">
        <v>0</v>
      </c>
      <c r="K6081" t="n">
        <v>0</v>
      </c>
      <c r="L6081" t="n">
        <v>0</v>
      </c>
      <c r="M6081" t="n">
        <v>0</v>
      </c>
      <c r="N6081" t="n">
        <v>0</v>
      </c>
      <c r="O6081" t="n">
        <v>0</v>
      </c>
      <c r="P6081" t="n">
        <v>0</v>
      </c>
      <c r="Q6081" t="n">
        <v>0</v>
      </c>
      <c r="R6081" s="2" t="inlineStr"/>
    </row>
    <row r="6082" ht="15" customHeight="1">
      <c r="A6082" t="inlineStr">
        <is>
          <t>A 33323-2023</t>
        </is>
      </c>
      <c r="B6082" s="1" t="n">
        <v>45128</v>
      </c>
      <c r="C6082" s="1" t="n">
        <v>45662</v>
      </c>
      <c r="D6082" t="inlineStr">
        <is>
          <t>NORRBOTTENS LÄN</t>
        </is>
      </c>
      <c r="E6082" t="inlineStr">
        <is>
          <t>ÖVERTORNEÅ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33322-2023</t>
        </is>
      </c>
      <c r="B6083" s="1" t="n">
        <v>45128</v>
      </c>
      <c r="C6083" s="1" t="n">
        <v>45662</v>
      </c>
      <c r="D6083" t="inlineStr">
        <is>
          <t>NORRBOTTENS LÄN</t>
        </is>
      </c>
      <c r="E6083" t="inlineStr">
        <is>
          <t>ÖVERTORNEÅ</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33325-2023</t>
        </is>
      </c>
      <c r="B6084" s="1" t="n">
        <v>45128</v>
      </c>
      <c r="C6084" s="1" t="n">
        <v>45662</v>
      </c>
      <c r="D6084" t="inlineStr">
        <is>
          <t>NORRBOTTENS LÄN</t>
        </is>
      </c>
      <c r="E6084" t="inlineStr">
        <is>
          <t>ÖVERTORNEÅ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33333-2023</t>
        </is>
      </c>
      <c r="B6085" s="1" t="n">
        <v>45128</v>
      </c>
      <c r="C6085" s="1" t="n">
        <v>45662</v>
      </c>
      <c r="D6085" t="inlineStr">
        <is>
          <t>NORRBOTTENS LÄN</t>
        </is>
      </c>
      <c r="E6085" t="inlineStr">
        <is>
          <t>BODEN</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33386-2023</t>
        </is>
      </c>
      <c r="B6086" s="1" t="n">
        <v>45128</v>
      </c>
      <c r="C6086" s="1" t="n">
        <v>45662</v>
      </c>
      <c r="D6086" t="inlineStr">
        <is>
          <t>NORRBOTTENS LÄN</t>
        </is>
      </c>
      <c r="E6086" t="inlineStr">
        <is>
          <t>PAJALA</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33387-2023</t>
        </is>
      </c>
      <c r="B6087" s="1" t="n">
        <v>45128</v>
      </c>
      <c r="C6087" s="1" t="n">
        <v>45662</v>
      </c>
      <c r="D6087" t="inlineStr">
        <is>
          <t>NORRBOTTENS LÄN</t>
        </is>
      </c>
      <c r="E6087" t="inlineStr">
        <is>
          <t>PAJALA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34276-2023</t>
        </is>
      </c>
      <c r="B6088" s="1" t="n">
        <v>45128</v>
      </c>
      <c r="C6088" s="1" t="n">
        <v>45662</v>
      </c>
      <c r="D6088" t="inlineStr">
        <is>
          <t>NORRBOTTENS LÄN</t>
        </is>
      </c>
      <c r="E6088" t="inlineStr">
        <is>
          <t>ÖVERTORNEÅ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34277-2023</t>
        </is>
      </c>
      <c r="B6089" s="1" t="n">
        <v>45128</v>
      </c>
      <c r="C6089" s="1" t="n">
        <v>45662</v>
      </c>
      <c r="D6089" t="inlineStr">
        <is>
          <t>NORRBOTTENS LÄN</t>
        </is>
      </c>
      <c r="E6089" t="inlineStr">
        <is>
          <t>ARVIDSJAUR</t>
        </is>
      </c>
      <c r="F6089" t="inlineStr">
        <is>
          <t>Sveaskog</t>
        </is>
      </c>
      <c r="G6089" t="n">
        <v>31.7</v>
      </c>
      <c r="H6089" t="n">
        <v>0</v>
      </c>
      <c r="I6089" t="n">
        <v>0</v>
      </c>
      <c r="J6089" t="n">
        <v>0</v>
      </c>
      <c r="K6089" t="n">
        <v>0</v>
      </c>
      <c r="L6089" t="n">
        <v>0</v>
      </c>
      <c r="M6089" t="n">
        <v>0</v>
      </c>
      <c r="N6089" t="n">
        <v>0</v>
      </c>
      <c r="O6089" t="n">
        <v>0</v>
      </c>
      <c r="P6089" t="n">
        <v>0</v>
      </c>
      <c r="Q6089" t="n">
        <v>0</v>
      </c>
      <c r="R6089" s="2" t="inlineStr"/>
    </row>
    <row r="6090" ht="15" customHeight="1">
      <c r="A6090" t="inlineStr">
        <is>
          <t>A 33435-2023</t>
        </is>
      </c>
      <c r="B6090" s="1" t="n">
        <v>45129</v>
      </c>
      <c r="C6090" s="1" t="n">
        <v>45662</v>
      </c>
      <c r="D6090" t="inlineStr">
        <is>
          <t>NORRBOTTENS LÄN</t>
        </is>
      </c>
      <c r="E6090" t="inlineStr">
        <is>
          <t>PITEÅ</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33439-2023</t>
        </is>
      </c>
      <c r="B6091" s="1" t="n">
        <v>45129</v>
      </c>
      <c r="C6091" s="1" t="n">
        <v>45662</v>
      </c>
      <c r="D6091" t="inlineStr">
        <is>
          <t>NORRBOTTENS LÄN</t>
        </is>
      </c>
      <c r="E6091" t="inlineStr">
        <is>
          <t>HAPARANDA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33436-2023</t>
        </is>
      </c>
      <c r="B6092" s="1" t="n">
        <v>45129</v>
      </c>
      <c r="C6092" s="1" t="n">
        <v>45662</v>
      </c>
      <c r="D6092" t="inlineStr">
        <is>
          <t>NORRBOTTENS LÄN</t>
        </is>
      </c>
      <c r="E6092" t="inlineStr">
        <is>
          <t>PITEÅ</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33445-2023</t>
        </is>
      </c>
      <c r="B6093" s="1" t="n">
        <v>45130</v>
      </c>
      <c r="C6093" s="1" t="n">
        <v>45662</v>
      </c>
      <c r="D6093" t="inlineStr">
        <is>
          <t>NORRBOTTENS LÄN</t>
        </is>
      </c>
      <c r="E6093" t="inlineStr">
        <is>
          <t>BODEN</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34333-2023</t>
        </is>
      </c>
      <c r="B6094" s="1" t="n">
        <v>45131</v>
      </c>
      <c r="C6094" s="1" t="n">
        <v>45662</v>
      </c>
      <c r="D6094" t="inlineStr">
        <is>
          <t>NORRBOTTENS LÄN</t>
        </is>
      </c>
      <c r="E6094" t="inlineStr">
        <is>
          <t>PAJALA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33637-2023</t>
        </is>
      </c>
      <c r="B6095" s="1" t="n">
        <v>45132</v>
      </c>
      <c r="C6095" s="1" t="n">
        <v>45662</v>
      </c>
      <c r="D6095" t="inlineStr">
        <is>
          <t>NORRBOTTENS LÄN</t>
        </is>
      </c>
      <c r="E6095" t="inlineStr">
        <is>
          <t>ÖVERTORNEÅ</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33697-2023</t>
        </is>
      </c>
      <c r="B6096" s="1" t="n">
        <v>45132</v>
      </c>
      <c r="C6096" s="1" t="n">
        <v>45662</v>
      </c>
      <c r="D6096" t="inlineStr">
        <is>
          <t>NORRBOTTENS LÄN</t>
        </is>
      </c>
      <c r="E6096" t="inlineStr">
        <is>
          <t>BODEN</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34390-2023</t>
        </is>
      </c>
      <c r="B6097" s="1" t="n">
        <v>45132</v>
      </c>
      <c r="C6097" s="1" t="n">
        <v>45662</v>
      </c>
      <c r="D6097" t="inlineStr">
        <is>
          <t>NORRBOTTENS LÄN</t>
        </is>
      </c>
      <c r="E6097" t="inlineStr">
        <is>
          <t>LULEÅ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33865-2023</t>
        </is>
      </c>
      <c r="B6098" s="1" t="n">
        <v>45134</v>
      </c>
      <c r="C6098" s="1" t="n">
        <v>45662</v>
      </c>
      <c r="D6098" t="inlineStr">
        <is>
          <t>NORRBOTTENS LÄN</t>
        </is>
      </c>
      <c r="E6098" t="inlineStr">
        <is>
          <t>ÖVERKALIX</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33995-2023</t>
        </is>
      </c>
      <c r="B6099" s="1" t="n">
        <v>45135</v>
      </c>
      <c r="C6099" s="1" t="n">
        <v>45662</v>
      </c>
      <c r="D6099" t="inlineStr">
        <is>
          <t>NORRBOTTENS LÄN</t>
        </is>
      </c>
      <c r="E6099" t="inlineStr">
        <is>
          <t>LULEÅ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34093-2023</t>
        </is>
      </c>
      <c r="B6100" s="1" t="n">
        <v>45135</v>
      </c>
      <c r="C6100" s="1" t="n">
        <v>45662</v>
      </c>
      <c r="D6100" t="inlineStr">
        <is>
          <t>NORRBOTTENS LÄN</t>
        </is>
      </c>
      <c r="E6100" t="inlineStr">
        <is>
          <t>ÖVERKALIX</t>
        </is>
      </c>
      <c r="F6100" t="inlineStr">
        <is>
          <t>Sveaskog</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34582-2023</t>
        </is>
      </c>
      <c r="B6101" s="1" t="n">
        <v>45135</v>
      </c>
      <c r="C6101" s="1" t="n">
        <v>45662</v>
      </c>
      <c r="D6101" t="inlineStr">
        <is>
          <t>NORRBOTTENS LÄN</t>
        </is>
      </c>
      <c r="E6101" t="inlineStr">
        <is>
          <t>PITEÅ</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34134-2023</t>
        </is>
      </c>
      <c r="B6102" s="1" t="n">
        <v>45136</v>
      </c>
      <c r="C6102" s="1" t="n">
        <v>45662</v>
      </c>
      <c r="D6102" t="inlineStr">
        <is>
          <t>NORRBOTTENS LÄN</t>
        </is>
      </c>
      <c r="E6102" t="inlineStr">
        <is>
          <t>BODEN</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34578-2023</t>
        </is>
      </c>
      <c r="B6103" s="1" t="n">
        <v>45135</v>
      </c>
      <c r="C6103" s="1" t="n">
        <v>45662</v>
      </c>
      <c r="D6103" t="inlineStr">
        <is>
          <t>NORRBOTTENS LÄN</t>
        </is>
      </c>
      <c r="E6103" t="inlineStr">
        <is>
          <t>PITEÅ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34139-2023</t>
        </is>
      </c>
      <c r="B6104" s="1" t="n">
        <v>45136</v>
      </c>
      <c r="C6104" s="1" t="n">
        <v>45662</v>
      </c>
      <c r="D6104" t="inlineStr">
        <is>
          <t>NORRBOTTENS LÄN</t>
        </is>
      </c>
      <c r="E6104" t="inlineStr">
        <is>
          <t>GÄLLIVARE</t>
        </is>
      </c>
      <c r="F6104" t="inlineStr">
        <is>
          <t>SCA</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34144-2023</t>
        </is>
      </c>
      <c r="B6105" s="1" t="n">
        <v>45136</v>
      </c>
      <c r="C6105" s="1" t="n">
        <v>45662</v>
      </c>
      <c r="D6105" t="inlineStr">
        <is>
          <t>NORRBOTTENS LÄN</t>
        </is>
      </c>
      <c r="E6105" t="inlineStr">
        <is>
          <t>ÖVERTORNEÅ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34152-2023</t>
        </is>
      </c>
      <c r="B6106" s="1" t="n">
        <v>45136</v>
      </c>
      <c r="C6106" s="1" t="n">
        <v>45662</v>
      </c>
      <c r="D6106" t="inlineStr">
        <is>
          <t>NORRBOTTENS LÄN</t>
        </is>
      </c>
      <c r="E6106" t="inlineStr">
        <is>
          <t>PAJALA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34142-2023</t>
        </is>
      </c>
      <c r="B6107" s="1" t="n">
        <v>45136</v>
      </c>
      <c r="C6107" s="1" t="n">
        <v>45662</v>
      </c>
      <c r="D6107" t="inlineStr">
        <is>
          <t>NORRBOTTENS LÄN</t>
        </is>
      </c>
      <c r="E6107" t="inlineStr">
        <is>
          <t>ÖVERTORNEÅ</t>
        </is>
      </c>
      <c r="G6107" t="n">
        <v>22.5</v>
      </c>
      <c r="H6107" t="n">
        <v>0</v>
      </c>
      <c r="I6107" t="n">
        <v>0</v>
      </c>
      <c r="J6107" t="n">
        <v>0</v>
      </c>
      <c r="K6107" t="n">
        <v>0</v>
      </c>
      <c r="L6107" t="n">
        <v>0</v>
      </c>
      <c r="M6107" t="n">
        <v>0</v>
      </c>
      <c r="N6107" t="n">
        <v>0</v>
      </c>
      <c r="O6107" t="n">
        <v>0</v>
      </c>
      <c r="P6107" t="n">
        <v>0</v>
      </c>
      <c r="Q6107" t="n">
        <v>0</v>
      </c>
      <c r="R6107" s="2" t="inlineStr"/>
    </row>
    <row r="6108" ht="15" customHeight="1">
      <c r="A6108" t="inlineStr">
        <is>
          <t>A 34150-2023</t>
        </is>
      </c>
      <c r="B6108" s="1" t="n">
        <v>45136</v>
      </c>
      <c r="C6108" s="1" t="n">
        <v>45662</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34143-2023</t>
        </is>
      </c>
      <c r="B6109" s="1" t="n">
        <v>45136</v>
      </c>
      <c r="C6109" s="1" t="n">
        <v>45662</v>
      </c>
      <c r="D6109" t="inlineStr">
        <is>
          <t>NORRBOTTENS LÄN</t>
        </is>
      </c>
      <c r="E6109" t="inlineStr">
        <is>
          <t>ÖVERTORNEÅ</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34151-2023</t>
        </is>
      </c>
      <c r="B6110" s="1" t="n">
        <v>45136</v>
      </c>
      <c r="C6110" s="1" t="n">
        <v>45662</v>
      </c>
      <c r="D6110" t="inlineStr">
        <is>
          <t>NORRBOTTENS LÄN</t>
        </is>
      </c>
      <c r="E6110" t="inlineStr">
        <is>
          <t>PAJALA</t>
        </is>
      </c>
      <c r="G6110" t="n">
        <v>21.7</v>
      </c>
      <c r="H6110" t="n">
        <v>0</v>
      </c>
      <c r="I6110" t="n">
        <v>0</v>
      </c>
      <c r="J6110" t="n">
        <v>0</v>
      </c>
      <c r="K6110" t="n">
        <v>0</v>
      </c>
      <c r="L6110" t="n">
        <v>0</v>
      </c>
      <c r="M6110" t="n">
        <v>0</v>
      </c>
      <c r="N6110" t="n">
        <v>0</v>
      </c>
      <c r="O6110" t="n">
        <v>0</v>
      </c>
      <c r="P6110" t="n">
        <v>0</v>
      </c>
      <c r="Q6110" t="n">
        <v>0</v>
      </c>
      <c r="R6110" s="2" t="inlineStr"/>
    </row>
    <row r="6111" ht="15" customHeight="1">
      <c r="A6111" t="inlineStr">
        <is>
          <t>A 34145-2023</t>
        </is>
      </c>
      <c r="B6111" s="1" t="n">
        <v>45136</v>
      </c>
      <c r="C6111" s="1" t="n">
        <v>45662</v>
      </c>
      <c r="D6111" t="inlineStr">
        <is>
          <t>NORRBOTTENS LÄN</t>
        </is>
      </c>
      <c r="E6111" t="inlineStr">
        <is>
          <t>ÖVERTORNEÅ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34165-2023</t>
        </is>
      </c>
      <c r="B6112" s="1" t="n">
        <v>45138</v>
      </c>
      <c r="C6112" s="1" t="n">
        <v>45662</v>
      </c>
      <c r="D6112" t="inlineStr">
        <is>
          <t>NORRBOTTENS LÄN</t>
        </is>
      </c>
      <c r="E6112" t="inlineStr">
        <is>
          <t>BODEN</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34154-2023</t>
        </is>
      </c>
      <c r="B6113" s="1" t="n">
        <v>45137</v>
      </c>
      <c r="C6113" s="1" t="n">
        <v>45662</v>
      </c>
      <c r="D6113" t="inlineStr">
        <is>
          <t>NORRBOTTENS LÄN</t>
        </is>
      </c>
      <c r="E6113" t="inlineStr">
        <is>
          <t>ÖVERTORNEÅ</t>
        </is>
      </c>
      <c r="G6113" t="n">
        <v>37.1</v>
      </c>
      <c r="H6113" t="n">
        <v>0</v>
      </c>
      <c r="I6113" t="n">
        <v>0</v>
      </c>
      <c r="J6113" t="n">
        <v>0</v>
      </c>
      <c r="K6113" t="n">
        <v>0</v>
      </c>
      <c r="L6113" t="n">
        <v>0</v>
      </c>
      <c r="M6113" t="n">
        <v>0</v>
      </c>
      <c r="N6113" t="n">
        <v>0</v>
      </c>
      <c r="O6113" t="n">
        <v>0</v>
      </c>
      <c r="P6113" t="n">
        <v>0</v>
      </c>
      <c r="Q6113" t="n">
        <v>0</v>
      </c>
      <c r="R6113" s="2" t="inlineStr"/>
    </row>
    <row r="6114" ht="15" customHeight="1">
      <c r="A6114" t="inlineStr">
        <is>
          <t>A 34173-2023</t>
        </is>
      </c>
      <c r="B6114" s="1" t="n">
        <v>45138</v>
      </c>
      <c r="C6114" s="1" t="n">
        <v>45662</v>
      </c>
      <c r="D6114" t="inlineStr">
        <is>
          <t>NORRBOTTENS LÄN</t>
        </is>
      </c>
      <c r="E6114" t="inlineStr">
        <is>
          <t>GÄLLIVARE</t>
        </is>
      </c>
      <c r="F6114" t="inlineStr">
        <is>
          <t>Sveaskog</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34270-2023</t>
        </is>
      </c>
      <c r="B6115" s="1" t="n">
        <v>45138</v>
      </c>
      <c r="C6115" s="1" t="n">
        <v>45662</v>
      </c>
      <c r="D6115" t="inlineStr">
        <is>
          <t>NORRBOTTENS LÄN</t>
        </is>
      </c>
      <c r="E6115" t="inlineStr">
        <is>
          <t>BODEN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34614-2023</t>
        </is>
      </c>
      <c r="B6116" s="1" t="n">
        <v>45138</v>
      </c>
      <c r="C6116" s="1" t="n">
        <v>45662</v>
      </c>
      <c r="D6116" t="inlineStr">
        <is>
          <t>NORRBOTTENS LÄN</t>
        </is>
      </c>
      <c r="E6116" t="inlineStr">
        <is>
          <t>PITEÅ</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34295-2023</t>
        </is>
      </c>
      <c r="B6117" s="1" t="n">
        <v>45138</v>
      </c>
      <c r="C6117" s="1" t="n">
        <v>45662</v>
      </c>
      <c r="D6117" t="inlineStr">
        <is>
          <t>NORRBOTTENS LÄN</t>
        </is>
      </c>
      <c r="E6117" t="inlineStr">
        <is>
          <t>PAJALA</t>
        </is>
      </c>
      <c r="F6117" t="inlineStr">
        <is>
          <t>Sveaskog</t>
        </is>
      </c>
      <c r="G6117" t="n">
        <v>14.5</v>
      </c>
      <c r="H6117" t="n">
        <v>0</v>
      </c>
      <c r="I6117" t="n">
        <v>0</v>
      </c>
      <c r="J6117" t="n">
        <v>0</v>
      </c>
      <c r="K6117" t="n">
        <v>0</v>
      </c>
      <c r="L6117" t="n">
        <v>0</v>
      </c>
      <c r="M6117" t="n">
        <v>0</v>
      </c>
      <c r="N6117" t="n">
        <v>0</v>
      </c>
      <c r="O6117" t="n">
        <v>0</v>
      </c>
      <c r="P6117" t="n">
        <v>0</v>
      </c>
      <c r="Q6117" t="n">
        <v>0</v>
      </c>
      <c r="R6117" s="2" t="inlineStr"/>
    </row>
    <row r="6118" ht="15" customHeight="1">
      <c r="A6118" t="inlineStr">
        <is>
          <t>A 34617-2023</t>
        </is>
      </c>
      <c r="B6118" s="1" t="n">
        <v>45138</v>
      </c>
      <c r="C6118" s="1" t="n">
        <v>45662</v>
      </c>
      <c r="D6118" t="inlineStr">
        <is>
          <t>NORRBOTTENS LÄN</t>
        </is>
      </c>
      <c r="E6118" t="inlineStr">
        <is>
          <t>PITEÅ</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34424-2023</t>
        </is>
      </c>
      <c r="B6119" s="1" t="n">
        <v>45139</v>
      </c>
      <c r="C6119" s="1" t="n">
        <v>45662</v>
      </c>
      <c r="D6119" t="inlineStr">
        <is>
          <t>NORRBOTTENS LÄN</t>
        </is>
      </c>
      <c r="E6119" t="inlineStr">
        <is>
          <t>PITEÅ</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34398-2023</t>
        </is>
      </c>
      <c r="B6120" s="1" t="n">
        <v>45139</v>
      </c>
      <c r="C6120" s="1" t="n">
        <v>45662</v>
      </c>
      <c r="D6120" t="inlineStr">
        <is>
          <t>NORRBOTTENS LÄN</t>
        </is>
      </c>
      <c r="E6120" t="inlineStr">
        <is>
          <t>ÖVERTORNEÅ</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34403-2023</t>
        </is>
      </c>
      <c r="B6121" s="1" t="n">
        <v>45139</v>
      </c>
      <c r="C6121" s="1" t="n">
        <v>45662</v>
      </c>
      <c r="D6121" t="inlineStr">
        <is>
          <t>NORRBOTTENS LÄN</t>
        </is>
      </c>
      <c r="E6121" t="inlineStr">
        <is>
          <t>ÖVERTORNEÅ</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34353-2023</t>
        </is>
      </c>
      <c r="B6122" s="1" t="n">
        <v>45139</v>
      </c>
      <c r="C6122" s="1" t="n">
        <v>45662</v>
      </c>
      <c r="D6122" t="inlineStr">
        <is>
          <t>NORRBOTTENS LÄN</t>
        </is>
      </c>
      <c r="E6122" t="inlineStr">
        <is>
          <t>BODEN</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34402-2023</t>
        </is>
      </c>
      <c r="B6123" s="1" t="n">
        <v>45139</v>
      </c>
      <c r="C6123" s="1" t="n">
        <v>45662</v>
      </c>
      <c r="D6123" t="inlineStr">
        <is>
          <t>NORRBOTTENS LÄN</t>
        </is>
      </c>
      <c r="E6123" t="inlineStr">
        <is>
          <t>ÖVERTORNEÅ</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34477-2023</t>
        </is>
      </c>
      <c r="B6124" s="1" t="n">
        <v>45139</v>
      </c>
      <c r="C6124" s="1" t="n">
        <v>45662</v>
      </c>
      <c r="D6124" t="inlineStr">
        <is>
          <t>NORRBOTTENS LÄN</t>
        </is>
      </c>
      <c r="E6124" t="inlineStr">
        <is>
          <t>PITEÅ</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34753-2023</t>
        </is>
      </c>
      <c r="B6125" s="1" t="n">
        <v>45139</v>
      </c>
      <c r="C6125" s="1" t="n">
        <v>45662</v>
      </c>
      <c r="D6125" t="inlineStr">
        <is>
          <t>NORRBOTTENS LÄN</t>
        </is>
      </c>
      <c r="E6125" t="inlineStr">
        <is>
          <t>ÖVERTORNEÅ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34749-2023</t>
        </is>
      </c>
      <c r="B6126" s="1" t="n">
        <v>45139</v>
      </c>
      <c r="C6126" s="1" t="n">
        <v>45662</v>
      </c>
      <c r="D6126" t="inlineStr">
        <is>
          <t>NORRBOTTENS LÄN</t>
        </is>
      </c>
      <c r="E6126" t="inlineStr">
        <is>
          <t>BODEN</t>
        </is>
      </c>
      <c r="F6126" t="inlineStr">
        <is>
          <t>Kommuner</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34478-2023</t>
        </is>
      </c>
      <c r="B6127" s="1" t="n">
        <v>45139</v>
      </c>
      <c r="C6127" s="1" t="n">
        <v>45662</v>
      </c>
      <c r="D6127" t="inlineStr">
        <is>
          <t>NORRBOTTENS LÄN</t>
        </is>
      </c>
      <c r="E6127" t="inlineStr">
        <is>
          <t>PITEÅ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34476-2023</t>
        </is>
      </c>
      <c r="B6128" s="1" t="n">
        <v>45140</v>
      </c>
      <c r="C6128" s="1" t="n">
        <v>45662</v>
      </c>
      <c r="D6128" t="inlineStr">
        <is>
          <t>NORRBOTTENS LÄN</t>
        </is>
      </c>
      <c r="E6128" t="inlineStr">
        <is>
          <t>BODEN</t>
        </is>
      </c>
      <c r="G6128" t="n">
        <v>10.6</v>
      </c>
      <c r="H6128" t="n">
        <v>0</v>
      </c>
      <c r="I6128" t="n">
        <v>0</v>
      </c>
      <c r="J6128" t="n">
        <v>0</v>
      </c>
      <c r="K6128" t="n">
        <v>0</v>
      </c>
      <c r="L6128" t="n">
        <v>0</v>
      </c>
      <c r="M6128" t="n">
        <v>0</v>
      </c>
      <c r="N6128" t="n">
        <v>0</v>
      </c>
      <c r="O6128" t="n">
        <v>0</v>
      </c>
      <c r="P6128" t="n">
        <v>0</v>
      </c>
      <c r="Q6128" t="n">
        <v>0</v>
      </c>
      <c r="R6128" s="2" t="inlineStr"/>
    </row>
    <row r="6129" ht="15" customHeight="1">
      <c r="A6129" t="inlineStr">
        <is>
          <t>A 34511-2023</t>
        </is>
      </c>
      <c r="B6129" s="1" t="n">
        <v>45140</v>
      </c>
      <c r="C6129" s="1" t="n">
        <v>45662</v>
      </c>
      <c r="D6129" t="inlineStr">
        <is>
          <t>NORRBOTTENS LÄN</t>
        </is>
      </c>
      <c r="E6129" t="inlineStr">
        <is>
          <t>ARVIDSJAUR</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34625-2023</t>
        </is>
      </c>
      <c r="B6130" s="1" t="n">
        <v>45140</v>
      </c>
      <c r="C6130" s="1" t="n">
        <v>45662</v>
      </c>
      <c r="D6130" t="inlineStr">
        <is>
          <t>NORRBOTTENS LÄN</t>
        </is>
      </c>
      <c r="E6130" t="inlineStr">
        <is>
          <t>GÄLLIVARE</t>
        </is>
      </c>
      <c r="F6130" t="inlineStr">
        <is>
          <t>Sveaskog</t>
        </is>
      </c>
      <c r="G6130" t="n">
        <v>22.6</v>
      </c>
      <c r="H6130" t="n">
        <v>0</v>
      </c>
      <c r="I6130" t="n">
        <v>0</v>
      </c>
      <c r="J6130" t="n">
        <v>0</v>
      </c>
      <c r="K6130" t="n">
        <v>0</v>
      </c>
      <c r="L6130" t="n">
        <v>0</v>
      </c>
      <c r="M6130" t="n">
        <v>0</v>
      </c>
      <c r="N6130" t="n">
        <v>0</v>
      </c>
      <c r="O6130" t="n">
        <v>0</v>
      </c>
      <c r="P6130" t="n">
        <v>0</v>
      </c>
      <c r="Q6130" t="n">
        <v>0</v>
      </c>
      <c r="R6130" s="2" t="inlineStr"/>
    </row>
    <row r="6131" ht="15" customHeight="1">
      <c r="A6131" t="inlineStr">
        <is>
          <t>A 34628-2023</t>
        </is>
      </c>
      <c r="B6131" s="1" t="n">
        <v>45140</v>
      </c>
      <c r="C6131" s="1" t="n">
        <v>45662</v>
      </c>
      <c r="D6131" t="inlineStr">
        <is>
          <t>NORRBOTTENS LÄN</t>
        </is>
      </c>
      <c r="E6131" t="inlineStr">
        <is>
          <t>PITEÅ</t>
        </is>
      </c>
      <c r="F6131" t="inlineStr">
        <is>
          <t>Sveaskog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34679-2023</t>
        </is>
      </c>
      <c r="B6132" s="1" t="n">
        <v>45140</v>
      </c>
      <c r="C6132" s="1" t="n">
        <v>45662</v>
      </c>
      <c r="D6132" t="inlineStr">
        <is>
          <t>NORRBOTTENS LÄN</t>
        </is>
      </c>
      <c r="E6132" t="inlineStr">
        <is>
          <t>PITEÅ</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34678-2023</t>
        </is>
      </c>
      <c r="B6133" s="1" t="n">
        <v>45141</v>
      </c>
      <c r="C6133" s="1" t="n">
        <v>45662</v>
      </c>
      <c r="D6133" t="inlineStr">
        <is>
          <t>NORRBOTTENS LÄN</t>
        </is>
      </c>
      <c r="E6133" t="inlineStr">
        <is>
          <t>LULEÅ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34622-2023</t>
        </is>
      </c>
      <c r="B6134" s="1" t="n">
        <v>45140</v>
      </c>
      <c r="C6134" s="1" t="n">
        <v>45662</v>
      </c>
      <c r="D6134" t="inlineStr">
        <is>
          <t>NORRBOTTENS LÄN</t>
        </is>
      </c>
      <c r="E6134" t="inlineStr">
        <is>
          <t>GÄLLIVARE</t>
        </is>
      </c>
      <c r="F6134" t="inlineStr">
        <is>
          <t>Sveaskog</t>
        </is>
      </c>
      <c r="G6134" t="n">
        <v>31.4</v>
      </c>
      <c r="H6134" t="n">
        <v>0</v>
      </c>
      <c r="I6134" t="n">
        <v>0</v>
      </c>
      <c r="J6134" t="n">
        <v>0</v>
      </c>
      <c r="K6134" t="n">
        <v>0</v>
      </c>
      <c r="L6134" t="n">
        <v>0</v>
      </c>
      <c r="M6134" t="n">
        <v>0</v>
      </c>
      <c r="N6134" t="n">
        <v>0</v>
      </c>
      <c r="O6134" t="n">
        <v>0</v>
      </c>
      <c r="P6134" t="n">
        <v>0</v>
      </c>
      <c r="Q6134" t="n">
        <v>0</v>
      </c>
      <c r="R6134" s="2" t="inlineStr"/>
    </row>
    <row r="6135" ht="15" customHeight="1">
      <c r="A6135" t="inlineStr">
        <is>
          <t>A 34629-2023</t>
        </is>
      </c>
      <c r="B6135" s="1" t="n">
        <v>45140</v>
      </c>
      <c r="C6135" s="1" t="n">
        <v>45662</v>
      </c>
      <c r="D6135" t="inlineStr">
        <is>
          <t>NORRBOTTENS LÄN</t>
        </is>
      </c>
      <c r="E6135" t="inlineStr">
        <is>
          <t>PITEÅ</t>
        </is>
      </c>
      <c r="F6135" t="inlineStr">
        <is>
          <t>Sveaskog</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34680-2023</t>
        </is>
      </c>
      <c r="B6136" s="1" t="n">
        <v>45140</v>
      </c>
      <c r="C6136" s="1" t="n">
        <v>45662</v>
      </c>
      <c r="D6136" t="inlineStr">
        <is>
          <t>NORRBOTTENS LÄN</t>
        </is>
      </c>
      <c r="E6136" t="inlineStr">
        <is>
          <t>LULEÅ</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34843-2023</t>
        </is>
      </c>
      <c r="B6137" s="1" t="n">
        <v>45142</v>
      </c>
      <c r="C6137" s="1" t="n">
        <v>45662</v>
      </c>
      <c r="D6137" t="inlineStr">
        <is>
          <t>NORRBOTTENS LÄN</t>
        </is>
      </c>
      <c r="E6137" t="inlineStr">
        <is>
          <t>ÖVERTORNEÅ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34878-2023</t>
        </is>
      </c>
      <c r="B6138" s="1" t="n">
        <v>45141</v>
      </c>
      <c r="C6138" s="1" t="n">
        <v>45662</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34911-2023</t>
        </is>
      </c>
      <c r="B6139" s="1" t="n">
        <v>45141</v>
      </c>
      <c r="C6139" s="1" t="n">
        <v>45662</v>
      </c>
      <c r="D6139" t="inlineStr">
        <is>
          <t>NORRBOTTENS LÄN</t>
        </is>
      </c>
      <c r="E6139" t="inlineStr">
        <is>
          <t>ÖVERKALIX</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34804-2023</t>
        </is>
      </c>
      <c r="B6140" s="1" t="n">
        <v>45141</v>
      </c>
      <c r="C6140" s="1" t="n">
        <v>45662</v>
      </c>
      <c r="D6140" t="inlineStr">
        <is>
          <t>NORRBOTTENS LÄN</t>
        </is>
      </c>
      <c r="E6140" t="inlineStr">
        <is>
          <t>KIRUNA</t>
        </is>
      </c>
      <c r="G6140" t="n">
        <v>25.8</v>
      </c>
      <c r="H6140" t="n">
        <v>0</v>
      </c>
      <c r="I6140" t="n">
        <v>0</v>
      </c>
      <c r="J6140" t="n">
        <v>0</v>
      </c>
      <c r="K6140" t="n">
        <v>0</v>
      </c>
      <c r="L6140" t="n">
        <v>0</v>
      </c>
      <c r="M6140" t="n">
        <v>0</v>
      </c>
      <c r="N6140" t="n">
        <v>0</v>
      </c>
      <c r="O6140" t="n">
        <v>0</v>
      </c>
      <c r="P6140" t="n">
        <v>0</v>
      </c>
      <c r="Q6140" t="n">
        <v>0</v>
      </c>
      <c r="R6140" s="2" t="inlineStr"/>
    </row>
    <row r="6141" ht="15" customHeight="1">
      <c r="A6141" t="inlineStr">
        <is>
          <t>A 34900-2023</t>
        </is>
      </c>
      <c r="B6141" s="1" t="n">
        <v>45142</v>
      </c>
      <c r="C6141" s="1" t="n">
        <v>45662</v>
      </c>
      <c r="D6141" t="inlineStr">
        <is>
          <t>NORRBOTTENS LÄN</t>
        </is>
      </c>
      <c r="E6141" t="inlineStr">
        <is>
          <t>GÄLLIVARE</t>
        </is>
      </c>
      <c r="F6141" t="inlineStr">
        <is>
          <t>Sveaskog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34910-2023</t>
        </is>
      </c>
      <c r="B6142" s="1" t="n">
        <v>45142</v>
      </c>
      <c r="C6142" s="1" t="n">
        <v>45662</v>
      </c>
      <c r="D6142" t="inlineStr">
        <is>
          <t>NORRBOTTENS LÄN</t>
        </is>
      </c>
      <c r="E6142" t="inlineStr">
        <is>
          <t>LULEÅ</t>
        </is>
      </c>
      <c r="G6142" t="n">
        <v>18.9</v>
      </c>
      <c r="H6142" t="n">
        <v>0</v>
      </c>
      <c r="I6142" t="n">
        <v>0</v>
      </c>
      <c r="J6142" t="n">
        <v>0</v>
      </c>
      <c r="K6142" t="n">
        <v>0</v>
      </c>
      <c r="L6142" t="n">
        <v>0</v>
      </c>
      <c r="M6142" t="n">
        <v>0</v>
      </c>
      <c r="N6142" t="n">
        <v>0</v>
      </c>
      <c r="O6142" t="n">
        <v>0</v>
      </c>
      <c r="P6142" t="n">
        <v>0</v>
      </c>
      <c r="Q6142" t="n">
        <v>0</v>
      </c>
      <c r="R6142" s="2" t="inlineStr"/>
    </row>
    <row r="6143" ht="15" customHeight="1">
      <c r="A6143" t="inlineStr">
        <is>
          <t>A 34937-2023</t>
        </is>
      </c>
      <c r="B6143" s="1" t="n">
        <v>45142</v>
      </c>
      <c r="C6143" s="1" t="n">
        <v>45662</v>
      </c>
      <c r="D6143" t="inlineStr">
        <is>
          <t>NORRBOTTENS LÄN</t>
        </is>
      </c>
      <c r="E6143" t="inlineStr">
        <is>
          <t>BODEN</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34946-2023</t>
        </is>
      </c>
      <c r="B6144" s="1" t="n">
        <v>45142</v>
      </c>
      <c r="C6144" s="1" t="n">
        <v>45662</v>
      </c>
      <c r="D6144" t="inlineStr">
        <is>
          <t>NORRBOTTENS LÄN</t>
        </is>
      </c>
      <c r="E6144" t="inlineStr">
        <is>
          <t>LULEÅ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34938-2023</t>
        </is>
      </c>
      <c r="B6145" s="1" t="n">
        <v>45142</v>
      </c>
      <c r="C6145" s="1" t="n">
        <v>45662</v>
      </c>
      <c r="D6145" t="inlineStr">
        <is>
          <t>NORRBOTTENS LÄN</t>
        </is>
      </c>
      <c r="E6145" t="inlineStr">
        <is>
          <t>ÖVERKALIX</t>
        </is>
      </c>
      <c r="F6145" t="inlineStr">
        <is>
          <t>Sveaskog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34943-2023</t>
        </is>
      </c>
      <c r="B6146" s="1" t="n">
        <v>45142</v>
      </c>
      <c r="C6146" s="1" t="n">
        <v>45662</v>
      </c>
      <c r="D6146" t="inlineStr">
        <is>
          <t>NORRBOTTENS LÄN</t>
        </is>
      </c>
      <c r="E6146" t="inlineStr">
        <is>
          <t>LULEÅ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34980-2023</t>
        </is>
      </c>
      <c r="B6147" s="1" t="n">
        <v>45142</v>
      </c>
      <c r="C6147" s="1" t="n">
        <v>45662</v>
      </c>
      <c r="D6147" t="inlineStr">
        <is>
          <t>NORRBOTTENS LÄN</t>
        </is>
      </c>
      <c r="E6147" t="inlineStr">
        <is>
          <t>HAPARANDA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34993-2023</t>
        </is>
      </c>
      <c r="B6148" s="1" t="n">
        <v>45143</v>
      </c>
      <c r="C6148" s="1" t="n">
        <v>45662</v>
      </c>
      <c r="D6148" t="inlineStr">
        <is>
          <t>NORRBOTTENS LÄN</t>
        </is>
      </c>
      <c r="E6148" t="inlineStr">
        <is>
          <t>ÖVERTORNEÅ</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34997-2023</t>
        </is>
      </c>
      <c r="B6149" s="1" t="n">
        <v>45142</v>
      </c>
      <c r="C6149" s="1" t="n">
        <v>45662</v>
      </c>
      <c r="D6149" t="inlineStr">
        <is>
          <t>NORRBOTTENS LÄN</t>
        </is>
      </c>
      <c r="E6149" t="inlineStr">
        <is>
          <t>ARVIDSJAUR</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34992-2023</t>
        </is>
      </c>
      <c r="B6150" s="1" t="n">
        <v>45143</v>
      </c>
      <c r="C6150" s="1" t="n">
        <v>45662</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34994-2023</t>
        </is>
      </c>
      <c r="B6151" s="1" t="n">
        <v>45143</v>
      </c>
      <c r="C6151" s="1" t="n">
        <v>45662</v>
      </c>
      <c r="D6151" t="inlineStr">
        <is>
          <t>NORRBOTTENS LÄN</t>
        </is>
      </c>
      <c r="E6151" t="inlineStr">
        <is>
          <t>ÖVERTORNEÅ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34998-2023</t>
        </is>
      </c>
      <c r="B6152" s="1" t="n">
        <v>45142</v>
      </c>
      <c r="C6152" s="1" t="n">
        <v>45662</v>
      </c>
      <c r="D6152" t="inlineStr">
        <is>
          <t>NORRBOTTENS LÄN</t>
        </is>
      </c>
      <c r="E6152" t="inlineStr">
        <is>
          <t>ARVIDSJAUR</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34999-2023</t>
        </is>
      </c>
      <c r="B6153" s="1" t="n">
        <v>45142</v>
      </c>
      <c r="C6153" s="1" t="n">
        <v>45662</v>
      </c>
      <c r="D6153" t="inlineStr">
        <is>
          <t>NORRBOTTENS LÄN</t>
        </is>
      </c>
      <c r="E6153" t="inlineStr">
        <is>
          <t>ARVIDSJAUR</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35077-2023</t>
        </is>
      </c>
      <c r="B6154" s="1" t="n">
        <v>45142</v>
      </c>
      <c r="C6154" s="1" t="n">
        <v>45662</v>
      </c>
      <c r="D6154" t="inlineStr">
        <is>
          <t>NORRBOTTENS LÄN</t>
        </is>
      </c>
      <c r="E6154" t="inlineStr">
        <is>
          <t>ÖVERTORNEÅ</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35051-2023</t>
        </is>
      </c>
      <c r="B6155" s="1" t="n">
        <v>45145</v>
      </c>
      <c r="C6155" s="1" t="n">
        <v>45662</v>
      </c>
      <c r="D6155" t="inlineStr">
        <is>
          <t>NORRBOTTENS LÄN</t>
        </is>
      </c>
      <c r="E6155" t="inlineStr">
        <is>
          <t>KALIX</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35090-2023</t>
        </is>
      </c>
      <c r="B6156" s="1" t="n">
        <v>45145</v>
      </c>
      <c r="C6156" s="1" t="n">
        <v>45662</v>
      </c>
      <c r="D6156" t="inlineStr">
        <is>
          <t>NORRBOTTENS LÄN</t>
        </is>
      </c>
      <c r="E6156" t="inlineStr">
        <is>
          <t>LULEÅ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35323-2023</t>
        </is>
      </c>
      <c r="B6157" s="1" t="n">
        <v>45145</v>
      </c>
      <c r="C6157" s="1" t="n">
        <v>45662</v>
      </c>
      <c r="D6157" t="inlineStr">
        <is>
          <t>NORRBOTTENS LÄN</t>
        </is>
      </c>
      <c r="E6157" t="inlineStr">
        <is>
          <t>BODEN</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35153-2023</t>
        </is>
      </c>
      <c r="B6158" s="1" t="n">
        <v>45145</v>
      </c>
      <c r="C6158" s="1" t="n">
        <v>45662</v>
      </c>
      <c r="D6158" t="inlineStr">
        <is>
          <t>NORRBOTTENS LÄN</t>
        </is>
      </c>
      <c r="E6158" t="inlineStr">
        <is>
          <t>JOKKMOKK</t>
        </is>
      </c>
      <c r="F6158" t="inlineStr">
        <is>
          <t>Sveaskog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35197-2023</t>
        </is>
      </c>
      <c r="B6159" s="1" t="n">
        <v>45145</v>
      </c>
      <c r="C6159" s="1" t="n">
        <v>45662</v>
      </c>
      <c r="D6159" t="inlineStr">
        <is>
          <t>NORRBOTTENS LÄN</t>
        </is>
      </c>
      <c r="E6159" t="inlineStr">
        <is>
          <t>PITEÅ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35362-2023</t>
        </is>
      </c>
      <c r="B6160" s="1" t="n">
        <v>45146</v>
      </c>
      <c r="C6160" s="1" t="n">
        <v>45662</v>
      </c>
      <c r="D6160" t="inlineStr">
        <is>
          <t>NORRBOTTENS LÄN</t>
        </is>
      </c>
      <c r="E6160" t="inlineStr">
        <is>
          <t>GÄLLIVARE</t>
        </is>
      </c>
      <c r="F6160" t="inlineStr">
        <is>
          <t>Sveaskog</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35508-2023</t>
        </is>
      </c>
      <c r="B6161" s="1" t="n">
        <v>45147</v>
      </c>
      <c r="C6161" s="1" t="n">
        <v>45662</v>
      </c>
      <c r="D6161" t="inlineStr">
        <is>
          <t>NORRBOTTENS LÄN</t>
        </is>
      </c>
      <c r="E6161" t="inlineStr">
        <is>
          <t>ÄLVSBYN</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37431-2023</t>
        </is>
      </c>
      <c r="B6162" s="1" t="n">
        <v>45146</v>
      </c>
      <c r="C6162" s="1" t="n">
        <v>45662</v>
      </c>
      <c r="D6162" t="inlineStr">
        <is>
          <t>NORRBOTTENS LÄN</t>
        </is>
      </c>
      <c r="E6162" t="inlineStr">
        <is>
          <t>BODEN</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37439-2023</t>
        </is>
      </c>
      <c r="B6163" s="1" t="n">
        <v>45146</v>
      </c>
      <c r="C6163" s="1" t="n">
        <v>45662</v>
      </c>
      <c r="D6163" t="inlineStr">
        <is>
          <t>NORRBOTTENS LÄN</t>
        </is>
      </c>
      <c r="E6163" t="inlineStr">
        <is>
          <t>BODEN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37436-2023</t>
        </is>
      </c>
      <c r="B6164" s="1" t="n">
        <v>45146</v>
      </c>
      <c r="C6164" s="1" t="n">
        <v>45662</v>
      </c>
      <c r="D6164" t="inlineStr">
        <is>
          <t>NORRBOTTENS LÄN</t>
        </is>
      </c>
      <c r="E6164" t="inlineStr">
        <is>
          <t>BODEN</t>
        </is>
      </c>
      <c r="G6164" t="n">
        <v>18.3</v>
      </c>
      <c r="H6164" t="n">
        <v>0</v>
      </c>
      <c r="I6164" t="n">
        <v>0</v>
      </c>
      <c r="J6164" t="n">
        <v>0</v>
      </c>
      <c r="K6164" t="n">
        <v>0</v>
      </c>
      <c r="L6164" t="n">
        <v>0</v>
      </c>
      <c r="M6164" t="n">
        <v>0</v>
      </c>
      <c r="N6164" t="n">
        <v>0</v>
      </c>
      <c r="O6164" t="n">
        <v>0</v>
      </c>
      <c r="P6164" t="n">
        <v>0</v>
      </c>
      <c r="Q6164" t="n">
        <v>0</v>
      </c>
      <c r="R6164" s="2" t="inlineStr"/>
    </row>
    <row r="6165" ht="15" customHeight="1">
      <c r="A6165" t="inlineStr">
        <is>
          <t>A 35730-2023</t>
        </is>
      </c>
      <c r="B6165" s="1" t="n">
        <v>45147</v>
      </c>
      <c r="C6165" s="1" t="n">
        <v>45662</v>
      </c>
      <c r="D6165" t="inlineStr">
        <is>
          <t>NORRBOTTENS LÄN</t>
        </is>
      </c>
      <c r="E6165" t="inlineStr">
        <is>
          <t>GÄLLIVARE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35806-2023</t>
        </is>
      </c>
      <c r="B6166" s="1" t="n">
        <v>45147</v>
      </c>
      <c r="C6166" s="1" t="n">
        <v>45662</v>
      </c>
      <c r="D6166" t="inlineStr">
        <is>
          <t>NORRBOTTENS LÄN</t>
        </is>
      </c>
      <c r="E6166" t="inlineStr">
        <is>
          <t>ARJEPLOG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35687-2023</t>
        </is>
      </c>
      <c r="B6167" s="1" t="n">
        <v>45147</v>
      </c>
      <c r="C6167" s="1" t="n">
        <v>45662</v>
      </c>
      <c r="D6167" t="inlineStr">
        <is>
          <t>NORRBOTTENS LÄN</t>
        </is>
      </c>
      <c r="E6167" t="inlineStr">
        <is>
          <t>PAJALA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35767-2023</t>
        </is>
      </c>
      <c r="B6168" s="1" t="n">
        <v>45148</v>
      </c>
      <c r="C6168" s="1" t="n">
        <v>45662</v>
      </c>
      <c r="D6168" t="inlineStr">
        <is>
          <t>NORRBOTTENS LÄN</t>
        </is>
      </c>
      <c r="E6168" t="inlineStr">
        <is>
          <t>BODEN</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35768-2023</t>
        </is>
      </c>
      <c r="B6169" s="1" t="n">
        <v>45148</v>
      </c>
      <c r="C6169" s="1" t="n">
        <v>45662</v>
      </c>
      <c r="D6169" t="inlineStr">
        <is>
          <t>NORRBOTTENS LÄN</t>
        </is>
      </c>
      <c r="E6169" t="inlineStr">
        <is>
          <t>BODEN</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35840-2023</t>
        </is>
      </c>
      <c r="B6170" s="1" t="n">
        <v>45147</v>
      </c>
      <c r="C6170" s="1" t="n">
        <v>45662</v>
      </c>
      <c r="D6170" t="inlineStr">
        <is>
          <t>NORRBOTTENS LÄN</t>
        </is>
      </c>
      <c r="E6170" t="inlineStr">
        <is>
          <t>KALIX</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35627-2023</t>
        </is>
      </c>
      <c r="B6171" s="1" t="n">
        <v>45147</v>
      </c>
      <c r="C6171" s="1" t="n">
        <v>45662</v>
      </c>
      <c r="D6171" t="inlineStr">
        <is>
          <t>NORRBOTTENS LÄN</t>
        </is>
      </c>
      <c r="E6171" t="inlineStr">
        <is>
          <t>PAJALA</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35769-2023</t>
        </is>
      </c>
      <c r="B6172" s="1" t="n">
        <v>45147</v>
      </c>
      <c r="C6172" s="1" t="n">
        <v>45662</v>
      </c>
      <c r="D6172" t="inlineStr">
        <is>
          <t>NORRBOTTENS LÄN</t>
        </is>
      </c>
      <c r="E6172" t="inlineStr">
        <is>
          <t>BODEN</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35858-2023</t>
        </is>
      </c>
      <c r="B6173" s="1" t="n">
        <v>45147</v>
      </c>
      <c r="C6173" s="1" t="n">
        <v>45662</v>
      </c>
      <c r="D6173" t="inlineStr">
        <is>
          <t>NORRBOTTENS LÄN</t>
        </is>
      </c>
      <c r="E6173" t="inlineStr">
        <is>
          <t>KALIX</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35827-2023</t>
        </is>
      </c>
      <c r="B6174" s="1" t="n">
        <v>45148</v>
      </c>
      <c r="C6174" s="1" t="n">
        <v>45662</v>
      </c>
      <c r="D6174" t="inlineStr">
        <is>
          <t>NORRBOTTENS LÄN</t>
        </is>
      </c>
      <c r="E6174" t="inlineStr">
        <is>
          <t>BODEN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35866-2023</t>
        </is>
      </c>
      <c r="B6175" s="1" t="n">
        <v>45148</v>
      </c>
      <c r="C6175" s="1" t="n">
        <v>45662</v>
      </c>
      <c r="D6175" t="inlineStr">
        <is>
          <t>NORRBOTTENS LÄN</t>
        </is>
      </c>
      <c r="E6175" t="inlineStr">
        <is>
          <t>ÖVERTORNEÅ</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36014-2023</t>
        </is>
      </c>
      <c r="B6176" s="1" t="n">
        <v>45148</v>
      </c>
      <c r="C6176" s="1" t="n">
        <v>45662</v>
      </c>
      <c r="D6176" t="inlineStr">
        <is>
          <t>NORRBOTTENS LÄN</t>
        </is>
      </c>
      <c r="E6176" t="inlineStr">
        <is>
          <t>GÄLLIVARE</t>
        </is>
      </c>
      <c r="F6176" t="inlineStr">
        <is>
          <t>Allmännings- och besparingsskogar</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36039-2023</t>
        </is>
      </c>
      <c r="B6177" s="1" t="n">
        <v>45148</v>
      </c>
      <c r="C6177" s="1" t="n">
        <v>45662</v>
      </c>
      <c r="D6177" t="inlineStr">
        <is>
          <t>NORRBOTTENS LÄN</t>
        </is>
      </c>
      <c r="E6177" t="inlineStr">
        <is>
          <t>GÄLLIVARE</t>
        </is>
      </c>
      <c r="F6177" t="inlineStr">
        <is>
          <t>Allmännings- och besparingsskogar</t>
        </is>
      </c>
      <c r="G6177" t="n">
        <v>24.3</v>
      </c>
      <c r="H6177" t="n">
        <v>0</v>
      </c>
      <c r="I6177" t="n">
        <v>0</v>
      </c>
      <c r="J6177" t="n">
        <v>0</v>
      </c>
      <c r="K6177" t="n">
        <v>0</v>
      </c>
      <c r="L6177" t="n">
        <v>0</v>
      </c>
      <c r="M6177" t="n">
        <v>0</v>
      </c>
      <c r="N6177" t="n">
        <v>0</v>
      </c>
      <c r="O6177" t="n">
        <v>0</v>
      </c>
      <c r="P6177" t="n">
        <v>0</v>
      </c>
      <c r="Q6177" t="n">
        <v>0</v>
      </c>
      <c r="R6177" s="2" t="inlineStr"/>
    </row>
    <row r="6178" ht="15" customHeight="1">
      <c r="A6178" t="inlineStr">
        <is>
          <t>A 36112-2023</t>
        </is>
      </c>
      <c r="B6178" s="1" t="n">
        <v>45149</v>
      </c>
      <c r="C6178" s="1" t="n">
        <v>45662</v>
      </c>
      <c r="D6178" t="inlineStr">
        <is>
          <t>NORRBOTTENS LÄN</t>
        </is>
      </c>
      <c r="E6178" t="inlineStr">
        <is>
          <t>BODEN</t>
        </is>
      </c>
      <c r="G6178" t="n">
        <v>16.1</v>
      </c>
      <c r="H6178" t="n">
        <v>0</v>
      </c>
      <c r="I6178" t="n">
        <v>0</v>
      </c>
      <c r="J6178" t="n">
        <v>0</v>
      </c>
      <c r="K6178" t="n">
        <v>0</v>
      </c>
      <c r="L6178" t="n">
        <v>0</v>
      </c>
      <c r="M6178" t="n">
        <v>0</v>
      </c>
      <c r="N6178" t="n">
        <v>0</v>
      </c>
      <c r="O6178" t="n">
        <v>0</v>
      </c>
      <c r="P6178" t="n">
        <v>0</v>
      </c>
      <c r="Q6178" t="n">
        <v>0</v>
      </c>
      <c r="R6178" s="2" t="inlineStr"/>
    </row>
    <row r="6179" ht="15" customHeight="1">
      <c r="A6179" t="inlineStr">
        <is>
          <t>A 36129-2023</t>
        </is>
      </c>
      <c r="B6179" s="1" t="n">
        <v>45149</v>
      </c>
      <c r="C6179" s="1" t="n">
        <v>45662</v>
      </c>
      <c r="D6179" t="inlineStr">
        <is>
          <t>NORRBOTTENS LÄN</t>
        </is>
      </c>
      <c r="E6179" t="inlineStr">
        <is>
          <t>ARVIDSJAUR</t>
        </is>
      </c>
      <c r="F6179" t="inlineStr">
        <is>
          <t>Sveaskog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35995-2023</t>
        </is>
      </c>
      <c r="B6180" s="1" t="n">
        <v>45149</v>
      </c>
      <c r="C6180" s="1" t="n">
        <v>45662</v>
      </c>
      <c r="D6180" t="inlineStr">
        <is>
          <t>NORRBOTTENS LÄN</t>
        </is>
      </c>
      <c r="E6180" t="inlineStr">
        <is>
          <t>ÖVERTORNEÅ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36076-2023</t>
        </is>
      </c>
      <c r="B6181" s="1" t="n">
        <v>45149</v>
      </c>
      <c r="C6181" s="1" t="n">
        <v>45662</v>
      </c>
      <c r="D6181" t="inlineStr">
        <is>
          <t>NORRBOTTENS LÄN</t>
        </is>
      </c>
      <c r="E6181" t="inlineStr">
        <is>
          <t>ARVIDSJAUR</t>
        </is>
      </c>
      <c r="F6181" t="inlineStr">
        <is>
          <t>Sveaskog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36109-2023</t>
        </is>
      </c>
      <c r="B6182" s="1" t="n">
        <v>45149</v>
      </c>
      <c r="C6182" s="1" t="n">
        <v>45662</v>
      </c>
      <c r="D6182" t="inlineStr">
        <is>
          <t>NORRBOTTENS LÄN</t>
        </is>
      </c>
      <c r="E6182" t="inlineStr">
        <is>
          <t>ARVIDSJAUR</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36115-2023</t>
        </is>
      </c>
      <c r="B6183" s="1" t="n">
        <v>45149</v>
      </c>
      <c r="C6183" s="1" t="n">
        <v>45662</v>
      </c>
      <c r="D6183" t="inlineStr">
        <is>
          <t>NORRBOTTENS LÄN</t>
        </is>
      </c>
      <c r="E6183" t="inlineStr">
        <is>
          <t>BODEN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36154-2023</t>
        </is>
      </c>
      <c r="B6184" s="1" t="n">
        <v>45149</v>
      </c>
      <c r="C6184" s="1" t="n">
        <v>45662</v>
      </c>
      <c r="D6184" t="inlineStr">
        <is>
          <t>NORRBOTTENS LÄN</t>
        </is>
      </c>
      <c r="E6184" t="inlineStr">
        <is>
          <t>ARVIDSJAUR</t>
        </is>
      </c>
      <c r="F6184" t="inlineStr">
        <is>
          <t>Sveaskog</t>
        </is>
      </c>
      <c r="G6184" t="n">
        <v>38.8</v>
      </c>
      <c r="H6184" t="n">
        <v>0</v>
      </c>
      <c r="I6184" t="n">
        <v>0</v>
      </c>
      <c r="J6184" t="n">
        <v>0</v>
      </c>
      <c r="K6184" t="n">
        <v>0</v>
      </c>
      <c r="L6184" t="n">
        <v>0</v>
      </c>
      <c r="M6184" t="n">
        <v>0</v>
      </c>
      <c r="N6184" t="n">
        <v>0</v>
      </c>
      <c r="O6184" t="n">
        <v>0</v>
      </c>
      <c r="P6184" t="n">
        <v>0</v>
      </c>
      <c r="Q6184" t="n">
        <v>0</v>
      </c>
      <c r="R6184" s="2" t="inlineStr"/>
    </row>
    <row r="6185" ht="15" customHeight="1">
      <c r="A6185" t="inlineStr">
        <is>
          <t>A 36057-2023</t>
        </is>
      </c>
      <c r="B6185" s="1" t="n">
        <v>45149</v>
      </c>
      <c r="C6185" s="1" t="n">
        <v>45662</v>
      </c>
      <c r="D6185" t="inlineStr">
        <is>
          <t>NORRBOTTENS LÄN</t>
        </is>
      </c>
      <c r="E6185" t="inlineStr">
        <is>
          <t>ÖVERTORNEÅ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36090-2023</t>
        </is>
      </c>
      <c r="B6186" s="1" t="n">
        <v>45149</v>
      </c>
      <c r="C6186" s="1" t="n">
        <v>45662</v>
      </c>
      <c r="D6186" t="inlineStr">
        <is>
          <t>NORRBOTTENS LÄN</t>
        </is>
      </c>
      <c r="E6186" t="inlineStr">
        <is>
          <t>ARVIDSJAUR</t>
        </is>
      </c>
      <c r="F6186" t="inlineStr">
        <is>
          <t>Sveaskog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36094-2023</t>
        </is>
      </c>
      <c r="B6187" s="1" t="n">
        <v>45149</v>
      </c>
      <c r="C6187" s="1" t="n">
        <v>45662</v>
      </c>
      <c r="D6187" t="inlineStr">
        <is>
          <t>NORRBOTTENS LÄN</t>
        </is>
      </c>
      <c r="E6187" t="inlineStr">
        <is>
          <t>ARVIDSJAUR</t>
        </is>
      </c>
      <c r="F6187" t="inlineStr">
        <is>
          <t>Sveaskog</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36245-2023</t>
        </is>
      </c>
      <c r="B6188" s="1" t="n">
        <v>45150</v>
      </c>
      <c r="C6188" s="1" t="n">
        <v>45662</v>
      </c>
      <c r="D6188" t="inlineStr">
        <is>
          <t>NORRBOTTENS LÄN</t>
        </is>
      </c>
      <c r="E6188" t="inlineStr">
        <is>
          <t>GÄLLIVARE</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36249-2023</t>
        </is>
      </c>
      <c r="B6189" s="1" t="n">
        <v>45151</v>
      </c>
      <c r="C6189" s="1" t="n">
        <v>45662</v>
      </c>
      <c r="D6189" t="inlineStr">
        <is>
          <t>NORRBOTTENS LÄN</t>
        </is>
      </c>
      <c r="E6189" t="inlineStr">
        <is>
          <t>GÄLLIVARE</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36242-2023</t>
        </is>
      </c>
      <c r="B6190" s="1" t="n">
        <v>45150</v>
      </c>
      <c r="C6190" s="1" t="n">
        <v>45662</v>
      </c>
      <c r="D6190" t="inlineStr">
        <is>
          <t>NORRBOTTENS LÄN</t>
        </is>
      </c>
      <c r="E6190" t="inlineStr">
        <is>
          <t>GÄLLIVARE</t>
        </is>
      </c>
      <c r="F6190" t="inlineStr">
        <is>
          <t>SCA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36247-2023</t>
        </is>
      </c>
      <c r="B6191" s="1" t="n">
        <v>45151</v>
      </c>
      <c r="C6191" s="1" t="n">
        <v>45662</v>
      </c>
      <c r="D6191" t="inlineStr">
        <is>
          <t>NORRBOTTENS LÄN</t>
        </is>
      </c>
      <c r="E6191" t="inlineStr">
        <is>
          <t>GÄLLIVARE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36251-2023</t>
        </is>
      </c>
      <c r="B6192" s="1" t="n">
        <v>45151</v>
      </c>
      <c r="C6192" s="1" t="n">
        <v>45662</v>
      </c>
      <c r="D6192" t="inlineStr">
        <is>
          <t>NORRBOTTENS LÄN</t>
        </is>
      </c>
      <c r="E6192" t="inlineStr">
        <is>
          <t>GÄLLIVARE</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36244-2023</t>
        </is>
      </c>
      <c r="B6193" s="1" t="n">
        <v>45150</v>
      </c>
      <c r="C6193" s="1" t="n">
        <v>45662</v>
      </c>
      <c r="D6193" t="inlineStr">
        <is>
          <t>NORRBOTTENS LÄN</t>
        </is>
      </c>
      <c r="E6193" t="inlineStr">
        <is>
          <t>GÄLLIVARE</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36246-2023</t>
        </is>
      </c>
      <c r="B6194" s="1" t="n">
        <v>45150</v>
      </c>
      <c r="C6194" s="1" t="n">
        <v>45662</v>
      </c>
      <c r="D6194" t="inlineStr">
        <is>
          <t>NORRBOTTENS LÄN</t>
        </is>
      </c>
      <c r="E6194" t="inlineStr">
        <is>
          <t>GÄLLIVARE</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36250-2023</t>
        </is>
      </c>
      <c r="B6195" s="1" t="n">
        <v>45151</v>
      </c>
      <c r="C6195" s="1" t="n">
        <v>45662</v>
      </c>
      <c r="D6195" t="inlineStr">
        <is>
          <t>NORRBOTTENS LÄN</t>
        </is>
      </c>
      <c r="E6195" t="inlineStr">
        <is>
          <t>GÄLLIVARE</t>
        </is>
      </c>
      <c r="F6195" t="inlineStr">
        <is>
          <t>SCA</t>
        </is>
      </c>
      <c r="G6195" t="n">
        <v>14.6</v>
      </c>
      <c r="H6195" t="n">
        <v>0</v>
      </c>
      <c r="I6195" t="n">
        <v>0</v>
      </c>
      <c r="J6195" t="n">
        <v>0</v>
      </c>
      <c r="K6195" t="n">
        <v>0</v>
      </c>
      <c r="L6195" t="n">
        <v>0</v>
      </c>
      <c r="M6195" t="n">
        <v>0</v>
      </c>
      <c r="N6195" t="n">
        <v>0</v>
      </c>
      <c r="O6195" t="n">
        <v>0</v>
      </c>
      <c r="P6195" t="n">
        <v>0</v>
      </c>
      <c r="Q6195" t="n">
        <v>0</v>
      </c>
      <c r="R6195" s="2" t="inlineStr"/>
    </row>
    <row r="6196" ht="15" customHeight="1">
      <c r="A6196" t="inlineStr">
        <is>
          <t>A 36398-2023</t>
        </is>
      </c>
      <c r="B6196" s="1" t="n">
        <v>45152</v>
      </c>
      <c r="C6196" s="1" t="n">
        <v>45662</v>
      </c>
      <c r="D6196" t="inlineStr">
        <is>
          <t>NORRBOTTENS LÄN</t>
        </is>
      </c>
      <c r="E6196" t="inlineStr">
        <is>
          <t>ARVIDSJAUR</t>
        </is>
      </c>
      <c r="F6196" t="inlineStr">
        <is>
          <t>Sveaskog</t>
        </is>
      </c>
      <c r="G6196" t="n">
        <v>21.4</v>
      </c>
      <c r="H6196" t="n">
        <v>0</v>
      </c>
      <c r="I6196" t="n">
        <v>0</v>
      </c>
      <c r="J6196" t="n">
        <v>0</v>
      </c>
      <c r="K6196" t="n">
        <v>0</v>
      </c>
      <c r="L6196" t="n">
        <v>0</v>
      </c>
      <c r="M6196" t="n">
        <v>0</v>
      </c>
      <c r="N6196" t="n">
        <v>0</v>
      </c>
      <c r="O6196" t="n">
        <v>0</v>
      </c>
      <c r="P6196" t="n">
        <v>0</v>
      </c>
      <c r="Q6196" t="n">
        <v>0</v>
      </c>
      <c r="R6196" s="2" t="inlineStr"/>
    </row>
    <row r="6197" ht="15" customHeight="1">
      <c r="A6197" t="inlineStr">
        <is>
          <t>A 36403-2023</t>
        </is>
      </c>
      <c r="B6197" s="1" t="n">
        <v>45152</v>
      </c>
      <c r="C6197" s="1" t="n">
        <v>45662</v>
      </c>
      <c r="D6197" t="inlineStr">
        <is>
          <t>NORRBOTTENS LÄN</t>
        </is>
      </c>
      <c r="E6197" t="inlineStr">
        <is>
          <t>ARVIDSJAUR</t>
        </is>
      </c>
      <c r="F6197" t="inlineStr">
        <is>
          <t>Sveaskog</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36433-2023</t>
        </is>
      </c>
      <c r="B6198" s="1" t="n">
        <v>45152</v>
      </c>
      <c r="C6198" s="1" t="n">
        <v>45662</v>
      </c>
      <c r="D6198" t="inlineStr">
        <is>
          <t>NORRBOTTENS LÄN</t>
        </is>
      </c>
      <c r="E6198" t="inlineStr">
        <is>
          <t>BODEN</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36303-2023</t>
        </is>
      </c>
      <c r="B6199" s="1" t="n">
        <v>45152</v>
      </c>
      <c r="C6199" s="1" t="n">
        <v>45662</v>
      </c>
      <c r="D6199" t="inlineStr">
        <is>
          <t>NORRBOTTENS LÄN</t>
        </is>
      </c>
      <c r="E6199" t="inlineStr">
        <is>
          <t>PITEÅ</t>
        </is>
      </c>
      <c r="F6199" t="inlineStr">
        <is>
          <t>Sveaskog</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36357-2023</t>
        </is>
      </c>
      <c r="B6200" s="1" t="n">
        <v>45152</v>
      </c>
      <c r="C6200" s="1" t="n">
        <v>45662</v>
      </c>
      <c r="D6200" t="inlineStr">
        <is>
          <t>NORRBOTTENS LÄN</t>
        </is>
      </c>
      <c r="E6200" t="inlineStr">
        <is>
          <t>KALIX</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36370-2023</t>
        </is>
      </c>
      <c r="B6201" s="1" t="n">
        <v>45152</v>
      </c>
      <c r="C6201" s="1" t="n">
        <v>45662</v>
      </c>
      <c r="D6201" t="inlineStr">
        <is>
          <t>NORRBOTTENS LÄN</t>
        </is>
      </c>
      <c r="E6201" t="inlineStr">
        <is>
          <t>KALIX</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36391-2023</t>
        </is>
      </c>
      <c r="B6202" s="1" t="n">
        <v>45152</v>
      </c>
      <c r="C6202" s="1" t="n">
        <v>45662</v>
      </c>
      <c r="D6202" t="inlineStr">
        <is>
          <t>NORRBOTTENS LÄN</t>
        </is>
      </c>
      <c r="E6202" t="inlineStr">
        <is>
          <t>PAJALA</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36322-2023</t>
        </is>
      </c>
      <c r="B6203" s="1" t="n">
        <v>45152</v>
      </c>
      <c r="C6203" s="1" t="n">
        <v>45662</v>
      </c>
      <c r="D6203" t="inlineStr">
        <is>
          <t>NORRBOTTENS LÄN</t>
        </is>
      </c>
      <c r="E6203" t="inlineStr">
        <is>
          <t>GÄLLIVARE</t>
        </is>
      </c>
      <c r="F6203" t="inlineStr">
        <is>
          <t>Allmännings- och besparingsskogar</t>
        </is>
      </c>
      <c r="G6203" t="n">
        <v>36.8</v>
      </c>
      <c r="H6203" t="n">
        <v>0</v>
      </c>
      <c r="I6203" t="n">
        <v>0</v>
      </c>
      <c r="J6203" t="n">
        <v>0</v>
      </c>
      <c r="K6203" t="n">
        <v>0</v>
      </c>
      <c r="L6203" t="n">
        <v>0</v>
      </c>
      <c r="M6203" t="n">
        <v>0</v>
      </c>
      <c r="N6203" t="n">
        <v>0</v>
      </c>
      <c r="O6203" t="n">
        <v>0</v>
      </c>
      <c r="P6203" t="n">
        <v>0</v>
      </c>
      <c r="Q6203" t="n">
        <v>0</v>
      </c>
      <c r="R6203" s="2" t="inlineStr"/>
    </row>
    <row r="6204" ht="15" customHeight="1">
      <c r="A6204" t="inlineStr">
        <is>
          <t>A 36499-2023</t>
        </is>
      </c>
      <c r="B6204" s="1" t="n">
        <v>45153</v>
      </c>
      <c r="C6204" s="1" t="n">
        <v>45662</v>
      </c>
      <c r="D6204" t="inlineStr">
        <is>
          <t>NORRBOTTENS LÄN</t>
        </is>
      </c>
      <c r="E6204" t="inlineStr">
        <is>
          <t>ÄLVSBYN</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36498-2023</t>
        </is>
      </c>
      <c r="B6205" s="1" t="n">
        <v>45153</v>
      </c>
      <c r="C6205" s="1" t="n">
        <v>45662</v>
      </c>
      <c r="D6205" t="inlineStr">
        <is>
          <t>NORRBOTTENS LÄN</t>
        </is>
      </c>
      <c r="E6205" t="inlineStr">
        <is>
          <t>PAJALA</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36459-2023</t>
        </is>
      </c>
      <c r="B6206" s="1" t="n">
        <v>45152</v>
      </c>
      <c r="C6206" s="1" t="n">
        <v>45662</v>
      </c>
      <c r="D6206" t="inlineStr">
        <is>
          <t>NORRBOTTENS LÄN</t>
        </is>
      </c>
      <c r="E6206" t="inlineStr">
        <is>
          <t>PAJALA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36443-2023</t>
        </is>
      </c>
      <c r="B6207" s="1" t="n">
        <v>45152</v>
      </c>
      <c r="C6207" s="1" t="n">
        <v>45662</v>
      </c>
      <c r="D6207" t="inlineStr">
        <is>
          <t>NORRBOTTENS LÄN</t>
        </is>
      </c>
      <c r="E6207" t="inlineStr">
        <is>
          <t>ARVIDSJAUR</t>
        </is>
      </c>
      <c r="F6207" t="inlineStr">
        <is>
          <t>Sveaskog</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36500-2023</t>
        </is>
      </c>
      <c r="B6208" s="1" t="n">
        <v>45153</v>
      </c>
      <c r="C6208" s="1" t="n">
        <v>45662</v>
      </c>
      <c r="D6208" t="inlineStr">
        <is>
          <t>NORRBOTTENS LÄN</t>
        </is>
      </c>
      <c r="E6208" t="inlineStr">
        <is>
          <t>ÄLVSBYN</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36599-2023</t>
        </is>
      </c>
      <c r="B6209" s="1" t="n">
        <v>45152</v>
      </c>
      <c r="C6209" s="1" t="n">
        <v>45662</v>
      </c>
      <c r="D6209" t="inlineStr">
        <is>
          <t>NORRBOTTENS LÄN</t>
        </is>
      </c>
      <c r="E6209" t="inlineStr">
        <is>
          <t>BODEN</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36610-2023</t>
        </is>
      </c>
      <c r="B6210" s="1" t="n">
        <v>45152</v>
      </c>
      <c r="C6210" s="1" t="n">
        <v>45662</v>
      </c>
      <c r="D6210" t="inlineStr">
        <is>
          <t>NORRBOTTENS LÄN</t>
        </is>
      </c>
      <c r="E6210" t="inlineStr">
        <is>
          <t>BODEN</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36485-2023</t>
        </is>
      </c>
      <c r="B6211" s="1" t="n">
        <v>45152</v>
      </c>
      <c r="C6211" s="1" t="n">
        <v>45662</v>
      </c>
      <c r="D6211" t="inlineStr">
        <is>
          <t>NORRBOTTENS LÄN</t>
        </is>
      </c>
      <c r="E6211" t="inlineStr">
        <is>
          <t>ÄLVSBYN</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36501-2023</t>
        </is>
      </c>
      <c r="B6212" s="1" t="n">
        <v>45153</v>
      </c>
      <c r="C6212" s="1" t="n">
        <v>45662</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36589-2023</t>
        </is>
      </c>
      <c r="B6213" s="1" t="n">
        <v>45152</v>
      </c>
      <c r="C6213" s="1" t="n">
        <v>45662</v>
      </c>
      <c r="D6213" t="inlineStr">
        <is>
          <t>NORRBOTTENS LÄN</t>
        </is>
      </c>
      <c r="E6213" t="inlineStr">
        <is>
          <t>BODEN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36618-2023</t>
        </is>
      </c>
      <c r="B6214" s="1" t="n">
        <v>45152</v>
      </c>
      <c r="C6214" s="1" t="n">
        <v>45662</v>
      </c>
      <c r="D6214" t="inlineStr">
        <is>
          <t>NORRBOTTENS LÄN</t>
        </is>
      </c>
      <c r="E6214" t="inlineStr">
        <is>
          <t>BODEN</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36587-2023</t>
        </is>
      </c>
      <c r="B6215" s="1" t="n">
        <v>45153</v>
      </c>
      <c r="C6215" s="1" t="n">
        <v>45662</v>
      </c>
      <c r="D6215" t="inlineStr">
        <is>
          <t>NORRBOTTENS LÄN</t>
        </is>
      </c>
      <c r="E6215" t="inlineStr">
        <is>
          <t>GÄLLIVARE</t>
        </is>
      </c>
      <c r="F6215" t="inlineStr">
        <is>
          <t>Sveaskog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36612-2023</t>
        </is>
      </c>
      <c r="B6216" s="1" t="n">
        <v>45153</v>
      </c>
      <c r="C6216" s="1" t="n">
        <v>45662</v>
      </c>
      <c r="D6216" t="inlineStr">
        <is>
          <t>NORRBOTTENS LÄN</t>
        </is>
      </c>
      <c r="E6216" t="inlineStr">
        <is>
          <t>GÄLLIVARE</t>
        </is>
      </c>
      <c r="F6216" t="inlineStr">
        <is>
          <t>Sveaskog</t>
        </is>
      </c>
      <c r="G6216" t="n">
        <v>27.5</v>
      </c>
      <c r="H6216" t="n">
        <v>0</v>
      </c>
      <c r="I6216" t="n">
        <v>0</v>
      </c>
      <c r="J6216" t="n">
        <v>0</v>
      </c>
      <c r="K6216" t="n">
        <v>0</v>
      </c>
      <c r="L6216" t="n">
        <v>0</v>
      </c>
      <c r="M6216" t="n">
        <v>0</v>
      </c>
      <c r="N6216" t="n">
        <v>0</v>
      </c>
      <c r="O6216" t="n">
        <v>0</v>
      </c>
      <c r="P6216" t="n">
        <v>0</v>
      </c>
      <c r="Q6216" t="n">
        <v>0</v>
      </c>
      <c r="R6216" s="2" t="inlineStr"/>
    </row>
    <row r="6217" ht="15" customHeight="1">
      <c r="A6217" t="inlineStr">
        <is>
          <t>A 36525-2023</t>
        </is>
      </c>
      <c r="B6217" s="1" t="n">
        <v>45153</v>
      </c>
      <c r="C6217" s="1" t="n">
        <v>45662</v>
      </c>
      <c r="D6217" t="inlineStr">
        <is>
          <t>NORRBOTTENS LÄN</t>
        </is>
      </c>
      <c r="E6217" t="inlineStr">
        <is>
          <t>LULEÅ</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36591-2023</t>
        </is>
      </c>
      <c r="B6218" s="1" t="n">
        <v>45153</v>
      </c>
      <c r="C6218" s="1" t="n">
        <v>45662</v>
      </c>
      <c r="D6218" t="inlineStr">
        <is>
          <t>NORRBOTTENS LÄN</t>
        </is>
      </c>
      <c r="E6218" t="inlineStr">
        <is>
          <t>GÄLLIVARE</t>
        </is>
      </c>
      <c r="F6218" t="inlineStr">
        <is>
          <t>Sveaskog</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36602-2023</t>
        </is>
      </c>
      <c r="B6219" s="1" t="n">
        <v>45153</v>
      </c>
      <c r="C6219" s="1" t="n">
        <v>45662</v>
      </c>
      <c r="D6219" t="inlineStr">
        <is>
          <t>NORRBOTTENS LÄN</t>
        </is>
      </c>
      <c r="E6219" t="inlineStr">
        <is>
          <t>GÄLLIVARE</t>
        </is>
      </c>
      <c r="F6219" t="inlineStr">
        <is>
          <t>Sveaskog</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36623-2023</t>
        </is>
      </c>
      <c r="B6220" s="1" t="n">
        <v>45153</v>
      </c>
      <c r="C6220" s="1" t="n">
        <v>45662</v>
      </c>
      <c r="D6220" t="inlineStr">
        <is>
          <t>NORRBOTTENS LÄN</t>
        </is>
      </c>
      <c r="E6220" t="inlineStr">
        <is>
          <t>ARJEPLOG</t>
        </is>
      </c>
      <c r="F6220" t="inlineStr">
        <is>
          <t>Sveaskog</t>
        </is>
      </c>
      <c r="G6220" t="n">
        <v>16.9</v>
      </c>
      <c r="H6220" t="n">
        <v>0</v>
      </c>
      <c r="I6220" t="n">
        <v>0</v>
      </c>
      <c r="J6220" t="n">
        <v>0</v>
      </c>
      <c r="K6220" t="n">
        <v>0</v>
      </c>
      <c r="L6220" t="n">
        <v>0</v>
      </c>
      <c r="M6220" t="n">
        <v>0</v>
      </c>
      <c r="N6220" t="n">
        <v>0</v>
      </c>
      <c r="O6220" t="n">
        <v>0</v>
      </c>
      <c r="P6220" t="n">
        <v>0</v>
      </c>
      <c r="Q6220" t="n">
        <v>0</v>
      </c>
      <c r="R6220" s="2" t="inlineStr"/>
    </row>
    <row r="6221" ht="15" customHeight="1">
      <c r="A6221" t="inlineStr">
        <is>
          <t>A 36784-2023</t>
        </is>
      </c>
      <c r="B6221" s="1" t="n">
        <v>45153</v>
      </c>
      <c r="C6221" s="1" t="n">
        <v>45662</v>
      </c>
      <c r="D6221" t="inlineStr">
        <is>
          <t>NORRBOTTENS LÄN</t>
        </is>
      </c>
      <c r="E6221" t="inlineStr">
        <is>
          <t>LULEÅ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36664-2023</t>
        </is>
      </c>
      <c r="B6222" s="1" t="n">
        <v>45153</v>
      </c>
      <c r="C6222" s="1" t="n">
        <v>45662</v>
      </c>
      <c r="D6222" t="inlineStr">
        <is>
          <t>NORRBOTTENS LÄN</t>
        </is>
      </c>
      <c r="E6222" t="inlineStr">
        <is>
          <t>ARVIDSJAUR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36737-2023</t>
        </is>
      </c>
      <c r="B6223" s="1" t="n">
        <v>45153</v>
      </c>
      <c r="C6223" s="1" t="n">
        <v>45662</v>
      </c>
      <c r="D6223" t="inlineStr">
        <is>
          <t>NORRBOTTENS LÄN</t>
        </is>
      </c>
      <c r="E6223" t="inlineStr">
        <is>
          <t>ÖVERTORNEÅ</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36895-2023</t>
        </is>
      </c>
      <c r="B6224" s="1" t="n">
        <v>45153</v>
      </c>
      <c r="C6224" s="1" t="n">
        <v>45662</v>
      </c>
      <c r="D6224" t="inlineStr">
        <is>
          <t>NORRBOTTENS LÄN</t>
        </is>
      </c>
      <c r="E6224" t="inlineStr">
        <is>
          <t>BODEN</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36915-2023</t>
        </is>
      </c>
      <c r="B6225" s="1" t="n">
        <v>45153</v>
      </c>
      <c r="C6225" s="1" t="n">
        <v>45662</v>
      </c>
      <c r="D6225" t="inlineStr">
        <is>
          <t>NORRBOTTENS LÄN</t>
        </is>
      </c>
      <c r="E6225" t="inlineStr">
        <is>
          <t>BODEN</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36928-2023</t>
        </is>
      </c>
      <c r="B6226" s="1" t="n">
        <v>45153</v>
      </c>
      <c r="C6226" s="1" t="n">
        <v>45662</v>
      </c>
      <c r="D6226" t="inlineStr">
        <is>
          <t>NORRBOTTENS LÄN</t>
        </is>
      </c>
      <c r="E6226" t="inlineStr">
        <is>
          <t>PAJALA</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36791-2023</t>
        </is>
      </c>
      <c r="B6227" s="1" t="n">
        <v>45153</v>
      </c>
      <c r="C6227" s="1" t="n">
        <v>45662</v>
      </c>
      <c r="D6227" t="inlineStr">
        <is>
          <t>NORRBOTTENS LÄN</t>
        </is>
      </c>
      <c r="E6227" t="inlineStr">
        <is>
          <t>LULEÅ</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36839-2023</t>
        </is>
      </c>
      <c r="B6228" s="1" t="n">
        <v>45153</v>
      </c>
      <c r="C6228" s="1" t="n">
        <v>45662</v>
      </c>
      <c r="D6228" t="inlineStr">
        <is>
          <t>NORRBOTTENS LÄN</t>
        </is>
      </c>
      <c r="E6228" t="inlineStr">
        <is>
          <t>ÖVERKALIX</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36889-2023</t>
        </is>
      </c>
      <c r="B6229" s="1" t="n">
        <v>45153</v>
      </c>
      <c r="C6229" s="1" t="n">
        <v>45662</v>
      </c>
      <c r="D6229" t="inlineStr">
        <is>
          <t>NORRBOTTENS LÄN</t>
        </is>
      </c>
      <c r="E6229" t="inlineStr">
        <is>
          <t>JOKKMOKK</t>
        </is>
      </c>
      <c r="F6229" t="inlineStr">
        <is>
          <t>Övriga statliga verk och myndigheter</t>
        </is>
      </c>
      <c r="G6229" t="n">
        <v>16.7</v>
      </c>
      <c r="H6229" t="n">
        <v>0</v>
      </c>
      <c r="I6229" t="n">
        <v>0</v>
      </c>
      <c r="J6229" t="n">
        <v>0</v>
      </c>
      <c r="K6229" t="n">
        <v>0</v>
      </c>
      <c r="L6229" t="n">
        <v>0</v>
      </c>
      <c r="M6229" t="n">
        <v>0</v>
      </c>
      <c r="N6229" t="n">
        <v>0</v>
      </c>
      <c r="O6229" t="n">
        <v>0</v>
      </c>
      <c r="P6229" t="n">
        <v>0</v>
      </c>
      <c r="Q6229" t="n">
        <v>0</v>
      </c>
      <c r="R6229" s="2" t="inlineStr"/>
    </row>
    <row r="6230" ht="15" customHeight="1">
      <c r="A6230" t="inlineStr">
        <is>
          <t>A 36800-2023</t>
        </is>
      </c>
      <c r="B6230" s="1" t="n">
        <v>45154</v>
      </c>
      <c r="C6230" s="1" t="n">
        <v>45662</v>
      </c>
      <c r="D6230" t="inlineStr">
        <is>
          <t>NORRBOTTENS LÄN</t>
        </is>
      </c>
      <c r="E6230" t="inlineStr">
        <is>
          <t>ÖVERKALIX</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36797-2023</t>
        </is>
      </c>
      <c r="B6231" s="1" t="n">
        <v>45154</v>
      </c>
      <c r="C6231" s="1" t="n">
        <v>45662</v>
      </c>
      <c r="D6231" t="inlineStr">
        <is>
          <t>NORRBOTTENS LÄN</t>
        </is>
      </c>
      <c r="E6231" t="inlineStr">
        <is>
          <t>ÖVERKALIX</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36803-2023</t>
        </is>
      </c>
      <c r="B6232" s="1" t="n">
        <v>45154</v>
      </c>
      <c r="C6232" s="1" t="n">
        <v>45662</v>
      </c>
      <c r="D6232" t="inlineStr">
        <is>
          <t>NORRBOTTENS LÄN</t>
        </is>
      </c>
      <c r="E6232" t="inlineStr">
        <is>
          <t>ÖVERKALIX</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36881-2023</t>
        </is>
      </c>
      <c r="B6233" s="1" t="n">
        <v>45154</v>
      </c>
      <c r="C6233" s="1" t="n">
        <v>45662</v>
      </c>
      <c r="D6233" t="inlineStr">
        <is>
          <t>NORRBOTTENS LÄN</t>
        </is>
      </c>
      <c r="E6233" t="inlineStr">
        <is>
          <t>GÄLLIVARE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36894-2023</t>
        </is>
      </c>
      <c r="B6234" s="1" t="n">
        <v>45154</v>
      </c>
      <c r="C6234" s="1" t="n">
        <v>45662</v>
      </c>
      <c r="D6234" t="inlineStr">
        <is>
          <t>NORRBOTTENS LÄN</t>
        </is>
      </c>
      <c r="E6234" t="inlineStr">
        <is>
          <t>PAJALA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36820-2023</t>
        </is>
      </c>
      <c r="B6235" s="1" t="n">
        <v>45154</v>
      </c>
      <c r="C6235" s="1" t="n">
        <v>45662</v>
      </c>
      <c r="D6235" t="inlineStr">
        <is>
          <t>NORRBOTTENS LÄN</t>
        </is>
      </c>
      <c r="E6235" t="inlineStr">
        <is>
          <t>ÄLVSBYN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36933-2023</t>
        </is>
      </c>
      <c r="B6236" s="1" t="n">
        <v>45154</v>
      </c>
      <c r="C6236" s="1" t="n">
        <v>45662</v>
      </c>
      <c r="D6236" t="inlineStr">
        <is>
          <t>NORRBOTTENS LÄN</t>
        </is>
      </c>
      <c r="E6236" t="inlineStr">
        <is>
          <t>PAJALA</t>
        </is>
      </c>
      <c r="F6236" t="inlineStr">
        <is>
          <t>Sveaskog</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36856-2023</t>
        </is>
      </c>
      <c r="B6237" s="1" t="n">
        <v>45154</v>
      </c>
      <c r="C6237" s="1" t="n">
        <v>45662</v>
      </c>
      <c r="D6237" t="inlineStr">
        <is>
          <t>NORRBOTTENS LÄN</t>
        </is>
      </c>
      <c r="E6237" t="inlineStr">
        <is>
          <t>PAJALA</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36961-2023</t>
        </is>
      </c>
      <c r="B6238" s="1" t="n">
        <v>45154</v>
      </c>
      <c r="C6238" s="1" t="n">
        <v>45662</v>
      </c>
      <c r="D6238" t="inlineStr">
        <is>
          <t>NORRBOTTENS LÄN</t>
        </is>
      </c>
      <c r="E6238" t="inlineStr">
        <is>
          <t>PAJALA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36969-2023</t>
        </is>
      </c>
      <c r="B6239" s="1" t="n">
        <v>45155</v>
      </c>
      <c r="C6239" s="1" t="n">
        <v>45662</v>
      </c>
      <c r="D6239" t="inlineStr">
        <is>
          <t>NORRBOTTENS LÄN</t>
        </is>
      </c>
      <c r="E6239" t="inlineStr">
        <is>
          <t>GÄLLIVARE</t>
        </is>
      </c>
      <c r="F6239" t="inlineStr">
        <is>
          <t>SCA</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36980-2023</t>
        </is>
      </c>
      <c r="B6240" s="1" t="n">
        <v>45155</v>
      </c>
      <c r="C6240" s="1" t="n">
        <v>45662</v>
      </c>
      <c r="D6240" t="inlineStr">
        <is>
          <t>NORRBOTTENS LÄN</t>
        </is>
      </c>
      <c r="E6240" t="inlineStr">
        <is>
          <t>GÄLLIVARE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36984-2023</t>
        </is>
      </c>
      <c r="B6241" s="1" t="n">
        <v>45155</v>
      </c>
      <c r="C6241" s="1" t="n">
        <v>45662</v>
      </c>
      <c r="D6241" t="inlineStr">
        <is>
          <t>NORRBOTTENS LÄN</t>
        </is>
      </c>
      <c r="E6241" t="inlineStr">
        <is>
          <t>GÄLLIVARE</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36954-2023</t>
        </is>
      </c>
      <c r="B6242" s="1" t="n">
        <v>45154</v>
      </c>
      <c r="C6242" s="1" t="n">
        <v>45662</v>
      </c>
      <c r="D6242" t="inlineStr">
        <is>
          <t>NORRBOTTENS LÄN</t>
        </is>
      </c>
      <c r="E6242" t="inlineStr">
        <is>
          <t>ARVIDSJAUR</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36962-2023</t>
        </is>
      </c>
      <c r="B6243" s="1" t="n">
        <v>45155</v>
      </c>
      <c r="C6243" s="1" t="n">
        <v>45662</v>
      </c>
      <c r="D6243" t="inlineStr">
        <is>
          <t>NORRBOTTENS LÄN</t>
        </is>
      </c>
      <c r="E6243" t="inlineStr">
        <is>
          <t>PAJALA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36978-2023</t>
        </is>
      </c>
      <c r="B6244" s="1" t="n">
        <v>45155</v>
      </c>
      <c r="C6244" s="1" t="n">
        <v>45662</v>
      </c>
      <c r="D6244" t="inlineStr">
        <is>
          <t>NORRBOTTENS LÄN</t>
        </is>
      </c>
      <c r="E6244" t="inlineStr">
        <is>
          <t>GÄLLIVARE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36963-2023</t>
        </is>
      </c>
      <c r="B6245" s="1" t="n">
        <v>45155</v>
      </c>
      <c r="C6245" s="1" t="n">
        <v>45662</v>
      </c>
      <c r="D6245" t="inlineStr">
        <is>
          <t>NORRBOTTENS LÄN</t>
        </is>
      </c>
      <c r="E6245" t="inlineStr">
        <is>
          <t>PAJALA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36979-2023</t>
        </is>
      </c>
      <c r="B6246" s="1" t="n">
        <v>45155</v>
      </c>
      <c r="C6246" s="1" t="n">
        <v>45662</v>
      </c>
      <c r="D6246" t="inlineStr">
        <is>
          <t>NORRBOTTENS LÄN</t>
        </is>
      </c>
      <c r="E6246" t="inlineStr">
        <is>
          <t>GÄLLIVARE</t>
        </is>
      </c>
      <c r="F6246" t="inlineStr">
        <is>
          <t>SCA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36983-2023</t>
        </is>
      </c>
      <c r="B6247" s="1" t="n">
        <v>45155</v>
      </c>
      <c r="C6247" s="1" t="n">
        <v>45662</v>
      </c>
      <c r="D6247" t="inlineStr">
        <is>
          <t>NORRBOTTENS LÄN</t>
        </is>
      </c>
      <c r="E6247" t="inlineStr">
        <is>
          <t>GÄLLIVARE</t>
        </is>
      </c>
      <c r="F6247" t="inlineStr">
        <is>
          <t>SCA</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37072-2023</t>
        </is>
      </c>
      <c r="B6248" s="1" t="n">
        <v>45155</v>
      </c>
      <c r="C6248" s="1" t="n">
        <v>45662</v>
      </c>
      <c r="D6248" t="inlineStr">
        <is>
          <t>NORRBOTTENS LÄN</t>
        </is>
      </c>
      <c r="E6248" t="inlineStr">
        <is>
          <t>BODEN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37041-2023</t>
        </is>
      </c>
      <c r="B6249" s="1" t="n">
        <v>45155</v>
      </c>
      <c r="C6249" s="1" t="n">
        <v>45662</v>
      </c>
      <c r="D6249" t="inlineStr">
        <is>
          <t>NORRBOTTENS LÄN</t>
        </is>
      </c>
      <c r="E6249" t="inlineStr">
        <is>
          <t>ARVIDSJAUR</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37070-2023</t>
        </is>
      </c>
      <c r="B6250" s="1" t="n">
        <v>45155</v>
      </c>
      <c r="C6250" s="1" t="n">
        <v>45662</v>
      </c>
      <c r="D6250" t="inlineStr">
        <is>
          <t>NORRBOTTENS LÄN</t>
        </is>
      </c>
      <c r="E6250" t="inlineStr">
        <is>
          <t>LULEÅ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37014-2023</t>
        </is>
      </c>
      <c r="B6251" s="1" t="n">
        <v>45155</v>
      </c>
      <c r="C6251" s="1" t="n">
        <v>45662</v>
      </c>
      <c r="D6251" t="inlineStr">
        <is>
          <t>NORRBOTTENS LÄN</t>
        </is>
      </c>
      <c r="E6251" t="inlineStr">
        <is>
          <t>BODEN</t>
        </is>
      </c>
      <c r="F6251" t="inlineStr">
        <is>
          <t>Sveaskog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37039-2023</t>
        </is>
      </c>
      <c r="B6252" s="1" t="n">
        <v>45155</v>
      </c>
      <c r="C6252" s="1" t="n">
        <v>45662</v>
      </c>
      <c r="D6252" t="inlineStr">
        <is>
          <t>NORRBOTTENS LÄN</t>
        </is>
      </c>
      <c r="E6252" t="inlineStr">
        <is>
          <t>ARVIDSJAUR</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37062-2023</t>
        </is>
      </c>
      <c r="B6253" s="1" t="n">
        <v>45155</v>
      </c>
      <c r="C6253" s="1" t="n">
        <v>45662</v>
      </c>
      <c r="D6253" t="inlineStr">
        <is>
          <t>NORRBOTTENS LÄN</t>
        </is>
      </c>
      <c r="E6253" t="inlineStr">
        <is>
          <t>KALIX</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37245-2023</t>
        </is>
      </c>
      <c r="B6254" s="1" t="n">
        <v>45156</v>
      </c>
      <c r="C6254" s="1" t="n">
        <v>45662</v>
      </c>
      <c r="D6254" t="inlineStr">
        <is>
          <t>NORRBOTTENS LÄN</t>
        </is>
      </c>
      <c r="E6254" t="inlineStr">
        <is>
          <t>PAJALA</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37162-2023</t>
        </is>
      </c>
      <c r="B6255" s="1" t="n">
        <v>45155</v>
      </c>
      <c r="C6255" s="1" t="n">
        <v>45662</v>
      </c>
      <c r="D6255" t="inlineStr">
        <is>
          <t>NORRBOTTENS LÄN</t>
        </is>
      </c>
      <c r="E6255" t="inlineStr">
        <is>
          <t>JOKKMOKK</t>
        </is>
      </c>
      <c r="F6255" t="inlineStr">
        <is>
          <t>Sveaskog</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37244-2023</t>
        </is>
      </c>
      <c r="B6256" s="1" t="n">
        <v>45156</v>
      </c>
      <c r="C6256" s="1" t="n">
        <v>45662</v>
      </c>
      <c r="D6256" t="inlineStr">
        <is>
          <t>NORRBOTTENS LÄN</t>
        </is>
      </c>
      <c r="E6256" t="inlineStr">
        <is>
          <t>PAJALA</t>
        </is>
      </c>
      <c r="F6256" t="inlineStr">
        <is>
          <t>SCA</t>
        </is>
      </c>
      <c r="G6256" t="n">
        <v>11.8</v>
      </c>
      <c r="H6256" t="n">
        <v>0</v>
      </c>
      <c r="I6256" t="n">
        <v>0</v>
      </c>
      <c r="J6256" t="n">
        <v>0</v>
      </c>
      <c r="K6256" t="n">
        <v>0</v>
      </c>
      <c r="L6256" t="n">
        <v>0</v>
      </c>
      <c r="M6256" t="n">
        <v>0</v>
      </c>
      <c r="N6256" t="n">
        <v>0</v>
      </c>
      <c r="O6256" t="n">
        <v>0</v>
      </c>
      <c r="P6256" t="n">
        <v>0</v>
      </c>
      <c r="Q6256" t="n">
        <v>0</v>
      </c>
      <c r="R6256" s="2" t="inlineStr"/>
    </row>
    <row r="6257" ht="15" customHeight="1">
      <c r="A6257" t="inlineStr">
        <is>
          <t>A 37424-2023</t>
        </is>
      </c>
      <c r="B6257" s="1" t="n">
        <v>45155</v>
      </c>
      <c r="C6257" s="1" t="n">
        <v>45662</v>
      </c>
      <c r="D6257" t="inlineStr">
        <is>
          <t>NORRBOTTENS LÄN</t>
        </is>
      </c>
      <c r="E6257" t="inlineStr">
        <is>
          <t>KALIX</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37384-2023</t>
        </is>
      </c>
      <c r="B6258" s="1" t="n">
        <v>45156</v>
      </c>
      <c r="C6258" s="1" t="n">
        <v>45662</v>
      </c>
      <c r="D6258" t="inlineStr">
        <is>
          <t>NORRBOTTENS LÄN</t>
        </is>
      </c>
      <c r="E6258" t="inlineStr">
        <is>
          <t>BODEN</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37309-2023</t>
        </is>
      </c>
      <c r="B6259" s="1" t="n">
        <v>45156</v>
      </c>
      <c r="C6259" s="1" t="n">
        <v>45662</v>
      </c>
      <c r="D6259" t="inlineStr">
        <is>
          <t>NORRBOTTENS LÄN</t>
        </is>
      </c>
      <c r="E6259" t="inlineStr">
        <is>
          <t>PITEÅ</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37575-2023</t>
        </is>
      </c>
      <c r="B6260" s="1" t="n">
        <v>45159</v>
      </c>
      <c r="C6260" s="1" t="n">
        <v>45662</v>
      </c>
      <c r="D6260" t="inlineStr">
        <is>
          <t>NORRBOTTENS LÄN</t>
        </is>
      </c>
      <c r="E6260" t="inlineStr">
        <is>
          <t>PITEÅ</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37609-2023</t>
        </is>
      </c>
      <c r="B6261" s="1" t="n">
        <v>45159</v>
      </c>
      <c r="C6261" s="1" t="n">
        <v>45662</v>
      </c>
      <c r="D6261" t="inlineStr">
        <is>
          <t>NORRBOTTENS LÄN</t>
        </is>
      </c>
      <c r="E6261" t="inlineStr">
        <is>
          <t>PITEÅ</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37792-2023</t>
        </is>
      </c>
      <c r="B6262" s="1" t="n">
        <v>45160</v>
      </c>
      <c r="C6262" s="1" t="n">
        <v>45662</v>
      </c>
      <c r="D6262" t="inlineStr">
        <is>
          <t>NORRBOTTENS LÄN</t>
        </is>
      </c>
      <c r="E6262" t="inlineStr">
        <is>
          <t>PAJALA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37657-2023</t>
        </is>
      </c>
      <c r="B6263" s="1" t="n">
        <v>45159</v>
      </c>
      <c r="C6263" s="1" t="n">
        <v>45662</v>
      </c>
      <c r="D6263" t="inlineStr">
        <is>
          <t>NORRBOTTENS LÄN</t>
        </is>
      </c>
      <c r="E6263" t="inlineStr">
        <is>
          <t>KALIX</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37720-2023</t>
        </is>
      </c>
      <c r="B6264" s="1" t="n">
        <v>45159</v>
      </c>
      <c r="C6264" s="1" t="n">
        <v>45662</v>
      </c>
      <c r="D6264" t="inlineStr">
        <is>
          <t>NORRBOTTENS LÄN</t>
        </is>
      </c>
      <c r="E6264" t="inlineStr">
        <is>
          <t>ÄLVSBYN</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37793-2023</t>
        </is>
      </c>
      <c r="B6265" s="1" t="n">
        <v>45160</v>
      </c>
      <c r="C6265" s="1" t="n">
        <v>45662</v>
      </c>
      <c r="D6265" t="inlineStr">
        <is>
          <t>NORRBOTTENS LÄN</t>
        </is>
      </c>
      <c r="E6265" t="inlineStr">
        <is>
          <t>PAJALA</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38003-2023</t>
        </is>
      </c>
      <c r="B6266" s="1" t="n">
        <v>45159</v>
      </c>
      <c r="C6266" s="1" t="n">
        <v>45662</v>
      </c>
      <c r="D6266" t="inlineStr">
        <is>
          <t>NORRBOTTENS LÄN</t>
        </is>
      </c>
      <c r="E6266" t="inlineStr">
        <is>
          <t>ÄLVSBYN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38033-2023</t>
        </is>
      </c>
      <c r="B6267" s="1" t="n">
        <v>45159</v>
      </c>
      <c r="C6267" s="1" t="n">
        <v>45662</v>
      </c>
      <c r="D6267" t="inlineStr">
        <is>
          <t>NORRBOTTENS LÄN</t>
        </is>
      </c>
      <c r="E6267" t="inlineStr">
        <is>
          <t>PAJALA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37961-2023</t>
        </is>
      </c>
      <c r="B6268" s="1" t="n">
        <v>45159</v>
      </c>
      <c r="C6268" s="1" t="n">
        <v>45662</v>
      </c>
      <c r="D6268" t="inlineStr">
        <is>
          <t>NORRBOTTENS LÄN</t>
        </is>
      </c>
      <c r="E6268" t="inlineStr">
        <is>
          <t>ÄLVSBYN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37984-2023</t>
        </is>
      </c>
      <c r="B6269" s="1" t="n">
        <v>45159</v>
      </c>
      <c r="C6269" s="1" t="n">
        <v>45662</v>
      </c>
      <c r="D6269" t="inlineStr">
        <is>
          <t>NORRBOTTENS LÄN</t>
        </is>
      </c>
      <c r="E6269" t="inlineStr">
        <is>
          <t>ÄLVSBYN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37817-2023</t>
        </is>
      </c>
      <c r="B6270" s="1" t="n">
        <v>45160</v>
      </c>
      <c r="C6270" s="1" t="n">
        <v>45662</v>
      </c>
      <c r="D6270" t="inlineStr">
        <is>
          <t>NORRBOTTENS LÄN</t>
        </is>
      </c>
      <c r="E6270" t="inlineStr">
        <is>
          <t>BODEN</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37977-2023</t>
        </is>
      </c>
      <c r="B6271" s="1" t="n">
        <v>45159</v>
      </c>
      <c r="C6271" s="1" t="n">
        <v>45662</v>
      </c>
      <c r="D6271" t="inlineStr">
        <is>
          <t>NORRBOTTENS LÄN</t>
        </is>
      </c>
      <c r="E6271" t="inlineStr">
        <is>
          <t>ÄLVSBYN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37820-2023</t>
        </is>
      </c>
      <c r="B6272" s="1" t="n">
        <v>45160</v>
      </c>
      <c r="C6272" s="1" t="n">
        <v>45662</v>
      </c>
      <c r="D6272" t="inlineStr">
        <is>
          <t>NORRBOTTENS LÄN</t>
        </is>
      </c>
      <c r="E6272" t="inlineStr">
        <is>
          <t>PITEÅ</t>
        </is>
      </c>
      <c r="F6272" t="inlineStr">
        <is>
          <t>Sveaskog</t>
        </is>
      </c>
      <c r="G6272" t="n">
        <v>25.3</v>
      </c>
      <c r="H6272" t="n">
        <v>0</v>
      </c>
      <c r="I6272" t="n">
        <v>0</v>
      </c>
      <c r="J6272" t="n">
        <v>0</v>
      </c>
      <c r="K6272" t="n">
        <v>0</v>
      </c>
      <c r="L6272" t="n">
        <v>0</v>
      </c>
      <c r="M6272" t="n">
        <v>0</v>
      </c>
      <c r="N6272" t="n">
        <v>0</v>
      </c>
      <c r="O6272" t="n">
        <v>0</v>
      </c>
      <c r="P6272" t="n">
        <v>0</v>
      </c>
      <c r="Q6272" t="n">
        <v>0</v>
      </c>
      <c r="R6272" s="2" t="inlineStr"/>
    </row>
    <row r="6273" ht="15" customHeight="1">
      <c r="A6273" t="inlineStr">
        <is>
          <t>A 37821-2023</t>
        </is>
      </c>
      <c r="B6273" s="1" t="n">
        <v>45160</v>
      </c>
      <c r="C6273" s="1" t="n">
        <v>45662</v>
      </c>
      <c r="D6273" t="inlineStr">
        <is>
          <t>NORRBOTTENS LÄN</t>
        </is>
      </c>
      <c r="E6273" t="inlineStr">
        <is>
          <t>PITEÅ</t>
        </is>
      </c>
      <c r="F6273" t="inlineStr">
        <is>
          <t>Sveaskog</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37819-2023</t>
        </is>
      </c>
      <c r="B6274" s="1" t="n">
        <v>45160</v>
      </c>
      <c r="C6274" s="1" t="n">
        <v>45662</v>
      </c>
      <c r="D6274" t="inlineStr">
        <is>
          <t>NORRBOTTENS LÄN</t>
        </is>
      </c>
      <c r="E6274" t="inlineStr">
        <is>
          <t>GÄLLIVARE</t>
        </is>
      </c>
      <c r="F6274" t="inlineStr">
        <is>
          <t>Sveaskog</t>
        </is>
      </c>
      <c r="G6274" t="n">
        <v>30.4</v>
      </c>
      <c r="H6274" t="n">
        <v>0</v>
      </c>
      <c r="I6274" t="n">
        <v>0</v>
      </c>
      <c r="J6274" t="n">
        <v>0</v>
      </c>
      <c r="K6274" t="n">
        <v>0</v>
      </c>
      <c r="L6274" t="n">
        <v>0</v>
      </c>
      <c r="M6274" t="n">
        <v>0</v>
      </c>
      <c r="N6274" t="n">
        <v>0</v>
      </c>
      <c r="O6274" t="n">
        <v>0</v>
      </c>
      <c r="P6274" t="n">
        <v>0</v>
      </c>
      <c r="Q6274" t="n">
        <v>0</v>
      </c>
      <c r="R6274" s="2" t="inlineStr"/>
    </row>
    <row r="6275" ht="15" customHeight="1">
      <c r="A6275" t="inlineStr">
        <is>
          <t>A 37873-2023</t>
        </is>
      </c>
      <c r="B6275" s="1" t="n">
        <v>45160</v>
      </c>
      <c r="C6275" s="1" t="n">
        <v>45662</v>
      </c>
      <c r="D6275" t="inlineStr">
        <is>
          <t>NORRBOTTENS LÄN</t>
        </is>
      </c>
      <c r="E6275" t="inlineStr">
        <is>
          <t>BODEN</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37898-2023</t>
        </is>
      </c>
      <c r="B6276" s="1" t="n">
        <v>45160</v>
      </c>
      <c r="C6276" s="1" t="n">
        <v>45662</v>
      </c>
      <c r="D6276" t="inlineStr">
        <is>
          <t>NORRBOTTENS LÄN</t>
        </is>
      </c>
      <c r="E6276" t="inlineStr">
        <is>
          <t>PITEÅ</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37971-2023</t>
        </is>
      </c>
      <c r="B6277" s="1" t="n">
        <v>45160</v>
      </c>
      <c r="C6277" s="1" t="n">
        <v>45662</v>
      </c>
      <c r="D6277" t="inlineStr">
        <is>
          <t>NORRBOTTENS LÄN</t>
        </is>
      </c>
      <c r="E6277" t="inlineStr">
        <is>
          <t>ÖVERTORNEÅ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37818-2023</t>
        </is>
      </c>
      <c r="B6278" s="1" t="n">
        <v>45160</v>
      </c>
      <c r="C6278" s="1" t="n">
        <v>45662</v>
      </c>
      <c r="D6278" t="inlineStr">
        <is>
          <t>NORRBOTTENS LÄN</t>
        </is>
      </c>
      <c r="E6278" t="inlineStr">
        <is>
          <t>GÄLLIVARE</t>
        </is>
      </c>
      <c r="F6278" t="inlineStr">
        <is>
          <t>Sveaskog</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37864-2023</t>
        </is>
      </c>
      <c r="B6279" s="1" t="n">
        <v>45160</v>
      </c>
      <c r="C6279" s="1" t="n">
        <v>45662</v>
      </c>
      <c r="D6279" t="inlineStr">
        <is>
          <t>NORRBOTTENS LÄN</t>
        </is>
      </c>
      <c r="E6279" t="inlineStr">
        <is>
          <t>BODEN</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37868-2023</t>
        </is>
      </c>
      <c r="B6280" s="1" t="n">
        <v>45160</v>
      </c>
      <c r="C6280" s="1" t="n">
        <v>45662</v>
      </c>
      <c r="D6280" t="inlineStr">
        <is>
          <t>NORRBOTTENS LÄN</t>
        </is>
      </c>
      <c r="E6280" t="inlineStr">
        <is>
          <t>BODEN</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38005-2023</t>
        </is>
      </c>
      <c r="B6281" s="1" t="n">
        <v>45160</v>
      </c>
      <c r="C6281" s="1" t="n">
        <v>45662</v>
      </c>
      <c r="D6281" t="inlineStr">
        <is>
          <t>NORRBOTTENS LÄN</t>
        </is>
      </c>
      <c r="E6281" t="inlineStr">
        <is>
          <t>ÖVERTORNEÅ</t>
        </is>
      </c>
      <c r="F6281" t="inlineStr">
        <is>
          <t>Sveaskog</t>
        </is>
      </c>
      <c r="G6281" t="n">
        <v>33.9</v>
      </c>
      <c r="H6281" t="n">
        <v>0</v>
      </c>
      <c r="I6281" t="n">
        <v>0</v>
      </c>
      <c r="J6281" t="n">
        <v>0</v>
      </c>
      <c r="K6281" t="n">
        <v>0</v>
      </c>
      <c r="L6281" t="n">
        <v>0</v>
      </c>
      <c r="M6281" t="n">
        <v>0</v>
      </c>
      <c r="N6281" t="n">
        <v>0</v>
      </c>
      <c r="O6281" t="n">
        <v>0</v>
      </c>
      <c r="P6281" t="n">
        <v>0</v>
      </c>
      <c r="Q6281" t="n">
        <v>0</v>
      </c>
      <c r="R6281" s="2" t="inlineStr"/>
    </row>
    <row r="6282" ht="15" customHeight="1">
      <c r="A6282" t="inlineStr">
        <is>
          <t>A 38547-2023</t>
        </is>
      </c>
      <c r="B6282" s="1" t="n">
        <v>45160</v>
      </c>
      <c r="C6282" s="1" t="n">
        <v>45662</v>
      </c>
      <c r="D6282" t="inlineStr">
        <is>
          <t>NORRBOTTENS LÄN</t>
        </is>
      </c>
      <c r="E6282" t="inlineStr">
        <is>
          <t>LULEÅ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38540-2023</t>
        </is>
      </c>
      <c r="B6283" s="1" t="n">
        <v>45160</v>
      </c>
      <c r="C6283" s="1" t="n">
        <v>45662</v>
      </c>
      <c r="D6283" t="inlineStr">
        <is>
          <t>NORRBOTTENS LÄN</t>
        </is>
      </c>
      <c r="E6283" t="inlineStr">
        <is>
          <t>PAJALA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38551-2023</t>
        </is>
      </c>
      <c r="B6284" s="1" t="n">
        <v>45160</v>
      </c>
      <c r="C6284" s="1" t="n">
        <v>45662</v>
      </c>
      <c r="D6284" t="inlineStr">
        <is>
          <t>NORRBOTTENS LÄN</t>
        </is>
      </c>
      <c r="E6284" t="inlineStr">
        <is>
          <t>LULEÅ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38088-2023</t>
        </is>
      </c>
      <c r="B6285" s="1" t="n">
        <v>45161</v>
      </c>
      <c r="C6285" s="1" t="n">
        <v>45662</v>
      </c>
      <c r="D6285" t="inlineStr">
        <is>
          <t>NORRBOTTENS LÄN</t>
        </is>
      </c>
      <c r="E6285" t="inlineStr">
        <is>
          <t>ÖVERKALIX</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38545-2023</t>
        </is>
      </c>
      <c r="B6286" s="1" t="n">
        <v>45160</v>
      </c>
      <c r="C6286" s="1" t="n">
        <v>45662</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38556-2023</t>
        </is>
      </c>
      <c r="B6287" s="1" t="n">
        <v>45160</v>
      </c>
      <c r="C6287" s="1" t="n">
        <v>45662</v>
      </c>
      <c r="D6287" t="inlineStr">
        <is>
          <t>NORRBOTTENS LÄN</t>
        </is>
      </c>
      <c r="E6287" t="inlineStr">
        <is>
          <t>PAJALA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38529-2023</t>
        </is>
      </c>
      <c r="B6288" s="1" t="n">
        <v>45160</v>
      </c>
      <c r="C6288" s="1" t="n">
        <v>45662</v>
      </c>
      <c r="D6288" t="inlineStr">
        <is>
          <t>NORRBOTTENS LÄN</t>
        </is>
      </c>
      <c r="E6288" t="inlineStr">
        <is>
          <t>PAJALA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38550-2023</t>
        </is>
      </c>
      <c r="B6289" s="1" t="n">
        <v>45160</v>
      </c>
      <c r="C6289" s="1" t="n">
        <v>45662</v>
      </c>
      <c r="D6289" t="inlineStr">
        <is>
          <t>NORRBOTTENS LÄN</t>
        </is>
      </c>
      <c r="E6289" t="inlineStr">
        <is>
          <t>PAJALA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38137-2023</t>
        </is>
      </c>
      <c r="B6290" s="1" t="n">
        <v>45161</v>
      </c>
      <c r="C6290" s="1" t="n">
        <v>45662</v>
      </c>
      <c r="D6290" t="inlineStr">
        <is>
          <t>NORRBOTTENS LÄN</t>
        </is>
      </c>
      <c r="E6290" t="inlineStr">
        <is>
          <t>ÖVERTORNEÅ</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38874-2023</t>
        </is>
      </c>
      <c r="B6291" s="1" t="n">
        <v>45161</v>
      </c>
      <c r="C6291" s="1" t="n">
        <v>45662</v>
      </c>
      <c r="D6291" t="inlineStr">
        <is>
          <t>NORRBOTTENS LÄN</t>
        </is>
      </c>
      <c r="E6291" t="inlineStr">
        <is>
          <t>BODEN</t>
        </is>
      </c>
      <c r="G6291" t="n">
        <v>15.5</v>
      </c>
      <c r="H6291" t="n">
        <v>0</v>
      </c>
      <c r="I6291" t="n">
        <v>0</v>
      </c>
      <c r="J6291" t="n">
        <v>0</v>
      </c>
      <c r="K6291" t="n">
        <v>0</v>
      </c>
      <c r="L6291" t="n">
        <v>0</v>
      </c>
      <c r="M6291" t="n">
        <v>0</v>
      </c>
      <c r="N6291" t="n">
        <v>0</v>
      </c>
      <c r="O6291" t="n">
        <v>0</v>
      </c>
      <c r="P6291" t="n">
        <v>0</v>
      </c>
      <c r="Q6291" t="n">
        <v>0</v>
      </c>
      <c r="R6291" s="2" t="inlineStr"/>
    </row>
    <row r="6292" ht="15" customHeight="1">
      <c r="A6292" t="inlineStr">
        <is>
          <t>A 38882-2023</t>
        </is>
      </c>
      <c r="B6292" s="1" t="n">
        <v>45161</v>
      </c>
      <c r="C6292" s="1" t="n">
        <v>45662</v>
      </c>
      <c r="D6292" t="inlineStr">
        <is>
          <t>NORRBOTTENS LÄN</t>
        </is>
      </c>
      <c r="E6292" t="inlineStr">
        <is>
          <t>LULEÅ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38204-2023</t>
        </is>
      </c>
      <c r="B6293" s="1" t="n">
        <v>45161</v>
      </c>
      <c r="C6293" s="1" t="n">
        <v>45662</v>
      </c>
      <c r="D6293" t="inlineStr">
        <is>
          <t>NORRBOTTENS LÄN</t>
        </is>
      </c>
      <c r="E6293" t="inlineStr">
        <is>
          <t>ÖVERTORNEÅ</t>
        </is>
      </c>
      <c r="G6293" t="n">
        <v>15.6</v>
      </c>
      <c r="H6293" t="n">
        <v>0</v>
      </c>
      <c r="I6293" t="n">
        <v>0</v>
      </c>
      <c r="J6293" t="n">
        <v>0</v>
      </c>
      <c r="K6293" t="n">
        <v>0</v>
      </c>
      <c r="L6293" t="n">
        <v>0</v>
      </c>
      <c r="M6293" t="n">
        <v>0</v>
      </c>
      <c r="N6293" t="n">
        <v>0</v>
      </c>
      <c r="O6293" t="n">
        <v>0</v>
      </c>
      <c r="P6293" t="n">
        <v>0</v>
      </c>
      <c r="Q6293" t="n">
        <v>0</v>
      </c>
      <c r="R6293" s="2" t="inlineStr"/>
    </row>
    <row r="6294" ht="15" customHeight="1">
      <c r="A6294" t="inlineStr">
        <is>
          <t>A 38216-2023</t>
        </is>
      </c>
      <c r="B6294" s="1" t="n">
        <v>45161</v>
      </c>
      <c r="C6294" s="1" t="n">
        <v>45662</v>
      </c>
      <c r="D6294" t="inlineStr">
        <is>
          <t>NORRBOTTENS LÄN</t>
        </is>
      </c>
      <c r="E6294" t="inlineStr">
        <is>
          <t>BODEN</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38220-2023</t>
        </is>
      </c>
      <c r="B6295" s="1" t="n">
        <v>45161</v>
      </c>
      <c r="C6295" s="1" t="n">
        <v>45662</v>
      </c>
      <c r="D6295" t="inlineStr">
        <is>
          <t>NORRBOTTENS LÄN</t>
        </is>
      </c>
      <c r="E6295" t="inlineStr">
        <is>
          <t>LULEÅ</t>
        </is>
      </c>
      <c r="G6295" t="n">
        <v>20.2</v>
      </c>
      <c r="H6295" t="n">
        <v>0</v>
      </c>
      <c r="I6295" t="n">
        <v>0</v>
      </c>
      <c r="J6295" t="n">
        <v>0</v>
      </c>
      <c r="K6295" t="n">
        <v>0</v>
      </c>
      <c r="L6295" t="n">
        <v>0</v>
      </c>
      <c r="M6295" t="n">
        <v>0</v>
      </c>
      <c r="N6295" t="n">
        <v>0</v>
      </c>
      <c r="O6295" t="n">
        <v>0</v>
      </c>
      <c r="P6295" t="n">
        <v>0</v>
      </c>
      <c r="Q6295" t="n">
        <v>0</v>
      </c>
      <c r="R6295" s="2" t="inlineStr"/>
    </row>
    <row r="6296" ht="15" customHeight="1">
      <c r="A6296" t="inlineStr">
        <is>
          <t>A 38219-2023</t>
        </is>
      </c>
      <c r="B6296" s="1" t="n">
        <v>45161</v>
      </c>
      <c r="C6296" s="1" t="n">
        <v>45662</v>
      </c>
      <c r="D6296" t="inlineStr">
        <is>
          <t>NORRBOTTENS LÄN</t>
        </is>
      </c>
      <c r="E6296" t="inlineStr">
        <is>
          <t>BODEN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38358-2023</t>
        </is>
      </c>
      <c r="B6297" s="1" t="n">
        <v>45162</v>
      </c>
      <c r="C6297" s="1" t="n">
        <v>45662</v>
      </c>
      <c r="D6297" t="inlineStr">
        <is>
          <t>NORRBOTTENS LÄN</t>
        </is>
      </c>
      <c r="E6297" t="inlineStr">
        <is>
          <t>LULEÅ</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38372-2023</t>
        </is>
      </c>
      <c r="B6298" s="1" t="n">
        <v>45161</v>
      </c>
      <c r="C6298" s="1" t="n">
        <v>45662</v>
      </c>
      <c r="D6298" t="inlineStr">
        <is>
          <t>NORRBOTTENS LÄN</t>
        </is>
      </c>
      <c r="E6298" t="inlineStr">
        <is>
          <t>BODEN</t>
        </is>
      </c>
      <c r="F6298" t="inlineStr">
        <is>
          <t>SCA</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38370-2023</t>
        </is>
      </c>
      <c r="B6299" s="1" t="n">
        <v>45161</v>
      </c>
      <c r="C6299" s="1" t="n">
        <v>45662</v>
      </c>
      <c r="D6299" t="inlineStr">
        <is>
          <t>NORRBOTTENS LÄN</t>
        </is>
      </c>
      <c r="E6299" t="inlineStr">
        <is>
          <t>BODEN</t>
        </is>
      </c>
      <c r="F6299" t="inlineStr">
        <is>
          <t>SCA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38885-2023</t>
        </is>
      </c>
      <c r="B6300" s="1" t="n">
        <v>45161</v>
      </c>
      <c r="C6300" s="1" t="n">
        <v>45662</v>
      </c>
      <c r="D6300" t="inlineStr">
        <is>
          <t>NORRBOTTENS LÄN</t>
        </is>
      </c>
      <c r="E6300" t="inlineStr">
        <is>
          <t>LULEÅ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38369-2023</t>
        </is>
      </c>
      <c r="B6301" s="1" t="n">
        <v>45162</v>
      </c>
      <c r="C6301" s="1" t="n">
        <v>45662</v>
      </c>
      <c r="D6301" t="inlineStr">
        <is>
          <t>NORRBOTTENS LÄN</t>
        </is>
      </c>
      <c r="E6301" t="inlineStr">
        <is>
          <t>JOKKMOKK</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38373-2023</t>
        </is>
      </c>
      <c r="B6302" s="1" t="n">
        <v>45161</v>
      </c>
      <c r="C6302" s="1" t="n">
        <v>45662</v>
      </c>
      <c r="D6302" t="inlineStr">
        <is>
          <t>NORRBOTTENS LÄN</t>
        </is>
      </c>
      <c r="E6302" t="inlineStr">
        <is>
          <t>JOKKMOKK</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38371-2023</t>
        </is>
      </c>
      <c r="B6303" s="1" t="n">
        <v>45161</v>
      </c>
      <c r="C6303" s="1" t="n">
        <v>45662</v>
      </c>
      <c r="D6303" t="inlineStr">
        <is>
          <t>NORRBOTTENS LÄN</t>
        </is>
      </c>
      <c r="E6303" t="inlineStr">
        <is>
          <t>BODEN</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38426-2023</t>
        </is>
      </c>
      <c r="B6304" s="1" t="n">
        <v>45162</v>
      </c>
      <c r="C6304" s="1" t="n">
        <v>45662</v>
      </c>
      <c r="D6304" t="inlineStr">
        <is>
          <t>NORRBOTTENS LÄN</t>
        </is>
      </c>
      <c r="E6304" t="inlineStr">
        <is>
          <t>GÄLLIVARE</t>
        </is>
      </c>
      <c r="F6304" t="inlineStr">
        <is>
          <t>Sveaskog</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38528-2023</t>
        </is>
      </c>
      <c r="B6305" s="1" t="n">
        <v>45162</v>
      </c>
      <c r="C6305" s="1" t="n">
        <v>45662</v>
      </c>
      <c r="D6305" t="inlineStr">
        <is>
          <t>NORRBOTTENS LÄN</t>
        </is>
      </c>
      <c r="E6305" t="inlineStr">
        <is>
          <t>JOKKMOKK</t>
        </is>
      </c>
      <c r="F6305" t="inlineStr">
        <is>
          <t>Sveaskog</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38406-2023</t>
        </is>
      </c>
      <c r="B6306" s="1" t="n">
        <v>45162</v>
      </c>
      <c r="C6306" s="1" t="n">
        <v>45662</v>
      </c>
      <c r="D6306" t="inlineStr">
        <is>
          <t>NORRBOTTENS LÄN</t>
        </is>
      </c>
      <c r="E6306" t="inlineStr">
        <is>
          <t>GÄLLIVARE</t>
        </is>
      </c>
      <c r="F6306" t="inlineStr">
        <is>
          <t>Sveaskog</t>
        </is>
      </c>
      <c r="G6306" t="n">
        <v>24.6</v>
      </c>
      <c r="H6306" t="n">
        <v>0</v>
      </c>
      <c r="I6306" t="n">
        <v>0</v>
      </c>
      <c r="J6306" t="n">
        <v>0</v>
      </c>
      <c r="K6306" t="n">
        <v>0</v>
      </c>
      <c r="L6306" t="n">
        <v>0</v>
      </c>
      <c r="M6306" t="n">
        <v>0</v>
      </c>
      <c r="N6306" t="n">
        <v>0</v>
      </c>
      <c r="O6306" t="n">
        <v>0</v>
      </c>
      <c r="P6306" t="n">
        <v>0</v>
      </c>
      <c r="Q6306" t="n">
        <v>0</v>
      </c>
      <c r="R6306" s="2" t="inlineStr"/>
    </row>
    <row r="6307" ht="15" customHeight="1">
      <c r="A6307" t="inlineStr">
        <is>
          <t>A 38970-2023</t>
        </is>
      </c>
      <c r="B6307" s="1" t="n">
        <v>45162</v>
      </c>
      <c r="C6307" s="1" t="n">
        <v>45662</v>
      </c>
      <c r="D6307" t="inlineStr">
        <is>
          <t>NORRBOTTENS LÄN</t>
        </is>
      </c>
      <c r="E6307" t="inlineStr">
        <is>
          <t>BODEN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39264-2023</t>
        </is>
      </c>
      <c r="B6308" s="1" t="n">
        <v>45162</v>
      </c>
      <c r="C6308" s="1" t="n">
        <v>45662</v>
      </c>
      <c r="D6308" t="inlineStr">
        <is>
          <t>NORRBOTTENS LÄN</t>
        </is>
      </c>
      <c r="E6308" t="inlineStr">
        <is>
          <t>PITEÅ</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39006-2023</t>
        </is>
      </c>
      <c r="B6309" s="1" t="n">
        <v>45162</v>
      </c>
      <c r="C6309" s="1" t="n">
        <v>45662</v>
      </c>
      <c r="D6309" t="inlineStr">
        <is>
          <t>NORRBOTTENS LÄN</t>
        </is>
      </c>
      <c r="E6309" t="inlineStr">
        <is>
          <t>KIRUNA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38981-2023</t>
        </is>
      </c>
      <c r="B6310" s="1" t="n">
        <v>45162</v>
      </c>
      <c r="C6310" s="1" t="n">
        <v>45662</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39005-2023</t>
        </is>
      </c>
      <c r="B6311" s="1" t="n">
        <v>45162</v>
      </c>
      <c r="C6311" s="1" t="n">
        <v>45662</v>
      </c>
      <c r="D6311" t="inlineStr">
        <is>
          <t>NORRBOTTENS LÄN</t>
        </is>
      </c>
      <c r="E6311" t="inlineStr">
        <is>
          <t>ÄLVSBYN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39305-2023</t>
        </is>
      </c>
      <c r="B6312" s="1" t="n">
        <v>45162</v>
      </c>
      <c r="C6312" s="1" t="n">
        <v>45662</v>
      </c>
      <c r="D6312" t="inlineStr">
        <is>
          <t>NORRBOTTENS LÄN</t>
        </is>
      </c>
      <c r="E6312" t="inlineStr">
        <is>
          <t>PITEÅ</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39315-2023</t>
        </is>
      </c>
      <c r="B6313" s="1" t="n">
        <v>45162</v>
      </c>
      <c r="C6313" s="1" t="n">
        <v>45662</v>
      </c>
      <c r="D6313" t="inlineStr">
        <is>
          <t>NORRBOTTENS LÄN</t>
        </is>
      </c>
      <c r="E6313" t="inlineStr">
        <is>
          <t>LULEÅ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38603-2023</t>
        </is>
      </c>
      <c r="B6314" s="1" t="n">
        <v>45162</v>
      </c>
      <c r="C6314" s="1" t="n">
        <v>45662</v>
      </c>
      <c r="D6314" t="inlineStr">
        <is>
          <t>NORRBOTTENS LÄN</t>
        </is>
      </c>
      <c r="E6314" t="inlineStr">
        <is>
          <t>KALIX</t>
        </is>
      </c>
      <c r="F6314" t="inlineStr">
        <is>
          <t>Sveaskog</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38660-2023</t>
        </is>
      </c>
      <c r="B6315" s="1" t="n">
        <v>45162</v>
      </c>
      <c r="C6315" s="1" t="n">
        <v>45662</v>
      </c>
      <c r="D6315" t="inlineStr">
        <is>
          <t>NORRBOTTENS LÄN</t>
        </is>
      </c>
      <c r="E6315" t="inlineStr">
        <is>
          <t>PAJALA</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38680-2023</t>
        </is>
      </c>
      <c r="B6316" s="1" t="n">
        <v>45163</v>
      </c>
      <c r="C6316" s="1" t="n">
        <v>45662</v>
      </c>
      <c r="D6316" t="inlineStr">
        <is>
          <t>NORRBOTTENS LÄN</t>
        </is>
      </c>
      <c r="E6316" t="inlineStr">
        <is>
          <t>JOKKMOKK</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38576-2023</t>
        </is>
      </c>
      <c r="B6317" s="1" t="n">
        <v>45162</v>
      </c>
      <c r="C6317" s="1" t="n">
        <v>45662</v>
      </c>
      <c r="D6317" t="inlineStr">
        <is>
          <t>NORRBOTTENS LÄN</t>
        </is>
      </c>
      <c r="E6317" t="inlineStr">
        <is>
          <t>PAJALA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38590-2023</t>
        </is>
      </c>
      <c r="B6318" s="1" t="n">
        <v>45162</v>
      </c>
      <c r="C6318" s="1" t="n">
        <v>45662</v>
      </c>
      <c r="D6318" t="inlineStr">
        <is>
          <t>NORRBOTTENS LÄN</t>
        </is>
      </c>
      <c r="E6318" t="inlineStr">
        <is>
          <t>PAJALA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38598-2023</t>
        </is>
      </c>
      <c r="B6319" s="1" t="n">
        <v>45162</v>
      </c>
      <c r="C6319" s="1" t="n">
        <v>45662</v>
      </c>
      <c r="D6319" t="inlineStr">
        <is>
          <t>NORRBOTTENS LÄN</t>
        </is>
      </c>
      <c r="E6319" t="inlineStr">
        <is>
          <t>GÄLLIVARE</t>
        </is>
      </c>
      <c r="F6319" t="inlineStr">
        <is>
          <t>Sveaskog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38681-2023</t>
        </is>
      </c>
      <c r="B6320" s="1" t="n">
        <v>45162</v>
      </c>
      <c r="C6320" s="1" t="n">
        <v>45662</v>
      </c>
      <c r="D6320" t="inlineStr">
        <is>
          <t>NORRBOTTENS LÄN</t>
        </is>
      </c>
      <c r="E6320" t="inlineStr">
        <is>
          <t>JOKKMOKK</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39017-2023</t>
        </is>
      </c>
      <c r="B6321" s="1" t="n">
        <v>45163</v>
      </c>
      <c r="C6321" s="1" t="n">
        <v>45662</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39057-2023</t>
        </is>
      </c>
      <c r="B6322" s="1" t="n">
        <v>45163</v>
      </c>
      <c r="C6322" s="1" t="n">
        <v>45662</v>
      </c>
      <c r="D6322" t="inlineStr">
        <is>
          <t>NORRBOTTENS LÄN</t>
        </is>
      </c>
      <c r="E6322" t="inlineStr">
        <is>
          <t>GÄLLIVARE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39061-2023</t>
        </is>
      </c>
      <c r="B6323" s="1" t="n">
        <v>45164</v>
      </c>
      <c r="C6323" s="1" t="n">
        <v>45662</v>
      </c>
      <c r="D6323" t="inlineStr">
        <is>
          <t>NORRBOTTENS LÄN</t>
        </is>
      </c>
      <c r="E6323" t="inlineStr">
        <is>
          <t>JOKKMOKK</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38865-2023</t>
        </is>
      </c>
      <c r="B6324" s="1" t="n">
        <v>45163</v>
      </c>
      <c r="C6324" s="1" t="n">
        <v>45662</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38860-2023</t>
        </is>
      </c>
      <c r="B6325" s="1" t="n">
        <v>45163</v>
      </c>
      <c r="C6325" s="1" t="n">
        <v>45662</v>
      </c>
      <c r="D6325" t="inlineStr">
        <is>
          <t>NORRBOTTENS LÄN</t>
        </is>
      </c>
      <c r="E6325" t="inlineStr">
        <is>
          <t>PAJALA</t>
        </is>
      </c>
      <c r="F6325" t="inlineStr">
        <is>
          <t>Sveaskog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39062-2023</t>
        </is>
      </c>
      <c r="B6326" s="1" t="n">
        <v>45164</v>
      </c>
      <c r="C6326" s="1" t="n">
        <v>45662</v>
      </c>
      <c r="D6326" t="inlineStr">
        <is>
          <t>NORRBOTTENS LÄN</t>
        </is>
      </c>
      <c r="E6326" t="inlineStr">
        <is>
          <t>JOKKMOKK</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39440-2023</t>
        </is>
      </c>
      <c r="B6327" s="1" t="n">
        <v>45163</v>
      </c>
      <c r="C6327" s="1" t="n">
        <v>45662</v>
      </c>
      <c r="D6327" t="inlineStr">
        <is>
          <t>NORRBOTTENS LÄN</t>
        </is>
      </c>
      <c r="E6327" t="inlineStr">
        <is>
          <t>BODEN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38879-2023</t>
        </is>
      </c>
      <c r="B6328" s="1" t="n">
        <v>45163</v>
      </c>
      <c r="C6328" s="1" t="n">
        <v>45662</v>
      </c>
      <c r="D6328" t="inlineStr">
        <is>
          <t>NORRBOTTENS LÄN</t>
        </is>
      </c>
      <c r="E6328" t="inlineStr">
        <is>
          <t>KALIX</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38939-2023</t>
        </is>
      </c>
      <c r="B6329" s="1" t="n">
        <v>45163</v>
      </c>
      <c r="C6329" s="1" t="n">
        <v>45662</v>
      </c>
      <c r="D6329" t="inlineStr">
        <is>
          <t>NORRBOTTENS LÄN</t>
        </is>
      </c>
      <c r="E6329" t="inlineStr">
        <is>
          <t>PAJALA</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39003-2023</t>
        </is>
      </c>
      <c r="B6330" s="1" t="n">
        <v>45163</v>
      </c>
      <c r="C6330" s="1" t="n">
        <v>45662</v>
      </c>
      <c r="D6330" t="inlineStr">
        <is>
          <t>NORRBOTTENS LÄN</t>
        </is>
      </c>
      <c r="E6330" t="inlineStr">
        <is>
          <t>KALIX</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39056-2023</t>
        </is>
      </c>
      <c r="B6331" s="1" t="n">
        <v>45163</v>
      </c>
      <c r="C6331" s="1" t="n">
        <v>45662</v>
      </c>
      <c r="D6331" t="inlineStr">
        <is>
          <t>NORRBOTTENS LÄN</t>
        </is>
      </c>
      <c r="E6331" t="inlineStr">
        <is>
          <t>GÄLLIVARE</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39060-2023</t>
        </is>
      </c>
      <c r="B6332" s="1" t="n">
        <v>45163</v>
      </c>
      <c r="C6332" s="1" t="n">
        <v>45662</v>
      </c>
      <c r="D6332" t="inlineStr">
        <is>
          <t>NORRBOTTENS LÄN</t>
        </is>
      </c>
      <c r="E6332" t="inlineStr">
        <is>
          <t>GÄLLIVARE</t>
        </is>
      </c>
      <c r="F6332" t="inlineStr">
        <is>
          <t>SCA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38783-2023</t>
        </is>
      </c>
      <c r="B6333" s="1" t="n">
        <v>45163</v>
      </c>
      <c r="C6333" s="1" t="n">
        <v>45662</v>
      </c>
      <c r="D6333" t="inlineStr">
        <is>
          <t>NORRBOTTENS LÄN</t>
        </is>
      </c>
      <c r="E6333" t="inlineStr">
        <is>
          <t>PITEÅ</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39572-2023</t>
        </is>
      </c>
      <c r="B6334" s="1" t="n">
        <v>45163</v>
      </c>
      <c r="C6334" s="1" t="n">
        <v>45662</v>
      </c>
      <c r="D6334" t="inlineStr">
        <is>
          <t>NORRBOTTENS LÄN</t>
        </is>
      </c>
      <c r="E6334" t="inlineStr">
        <is>
          <t>BODEN</t>
        </is>
      </c>
      <c r="G6334" t="n">
        <v>13.1</v>
      </c>
      <c r="H6334" t="n">
        <v>0</v>
      </c>
      <c r="I6334" t="n">
        <v>0</v>
      </c>
      <c r="J6334" t="n">
        <v>0</v>
      </c>
      <c r="K6334" t="n">
        <v>0</v>
      </c>
      <c r="L6334" t="n">
        <v>0</v>
      </c>
      <c r="M6334" t="n">
        <v>0</v>
      </c>
      <c r="N6334" t="n">
        <v>0</v>
      </c>
      <c r="O6334" t="n">
        <v>0</v>
      </c>
      <c r="P6334" t="n">
        <v>0</v>
      </c>
      <c r="Q6334" t="n">
        <v>0</v>
      </c>
      <c r="R6334" s="2" t="inlineStr"/>
    </row>
    <row r="6335" ht="15" customHeight="1">
      <c r="A6335" t="inlineStr">
        <is>
          <t>A 39275-2023</t>
        </is>
      </c>
      <c r="B6335" s="1" t="n">
        <v>45166</v>
      </c>
      <c r="C6335" s="1" t="n">
        <v>45662</v>
      </c>
      <c r="D6335" t="inlineStr">
        <is>
          <t>NORRBOTTENS LÄN</t>
        </is>
      </c>
      <c r="E6335" t="inlineStr">
        <is>
          <t>PAJALA</t>
        </is>
      </c>
      <c r="F6335" t="inlineStr">
        <is>
          <t>Sveaskog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39196-2023</t>
        </is>
      </c>
      <c r="B6336" s="1" t="n">
        <v>45166</v>
      </c>
      <c r="C6336" s="1" t="n">
        <v>45662</v>
      </c>
      <c r="D6336" t="inlineStr">
        <is>
          <t>NORRBOTTENS LÄN</t>
        </is>
      </c>
      <c r="E6336" t="inlineStr">
        <is>
          <t>LULEÅ</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39378-2023</t>
        </is>
      </c>
      <c r="B6337" s="1" t="n">
        <v>45166</v>
      </c>
      <c r="C6337" s="1" t="n">
        <v>45662</v>
      </c>
      <c r="D6337" t="inlineStr">
        <is>
          <t>NORRBOTTENS LÄN</t>
        </is>
      </c>
      <c r="E6337" t="inlineStr">
        <is>
          <t>ÄLVSBYN</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39328-2023</t>
        </is>
      </c>
      <c r="B6338" s="1" t="n">
        <v>45166</v>
      </c>
      <c r="C6338" s="1" t="n">
        <v>45662</v>
      </c>
      <c r="D6338" t="inlineStr">
        <is>
          <t>NORRBOTTENS LÄN</t>
        </is>
      </c>
      <c r="E6338" t="inlineStr">
        <is>
          <t>ARVIDSJAUR</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39463-2023</t>
        </is>
      </c>
      <c r="B6339" s="1" t="n">
        <v>45166</v>
      </c>
      <c r="C6339" s="1" t="n">
        <v>45662</v>
      </c>
      <c r="D6339" t="inlineStr">
        <is>
          <t>NORRBOTTENS LÄN</t>
        </is>
      </c>
      <c r="E6339" t="inlineStr">
        <is>
          <t>BODEN</t>
        </is>
      </c>
      <c r="F6339" t="inlineStr">
        <is>
          <t>Sveaskog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39504-2023</t>
        </is>
      </c>
      <c r="B6340" s="1" t="n">
        <v>45166</v>
      </c>
      <c r="C6340" s="1" t="n">
        <v>45662</v>
      </c>
      <c r="D6340" t="inlineStr">
        <is>
          <t>NORRBOTTENS LÄN</t>
        </is>
      </c>
      <c r="E6340" t="inlineStr">
        <is>
          <t>JOKKMOKK</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39501-2023</t>
        </is>
      </c>
      <c r="B6341" s="1" t="n">
        <v>45166</v>
      </c>
      <c r="C6341" s="1" t="n">
        <v>45662</v>
      </c>
      <c r="D6341" t="inlineStr">
        <is>
          <t>NORRBOTTENS LÄN</t>
        </is>
      </c>
      <c r="E6341" t="inlineStr">
        <is>
          <t>BODEN</t>
        </is>
      </c>
      <c r="F6341" t="inlineStr">
        <is>
          <t>SCA</t>
        </is>
      </c>
      <c r="G6341" t="n">
        <v>16.7</v>
      </c>
      <c r="H6341" t="n">
        <v>0</v>
      </c>
      <c r="I6341" t="n">
        <v>0</v>
      </c>
      <c r="J6341" t="n">
        <v>0</v>
      </c>
      <c r="K6341" t="n">
        <v>0</v>
      </c>
      <c r="L6341" t="n">
        <v>0</v>
      </c>
      <c r="M6341" t="n">
        <v>0</v>
      </c>
      <c r="N6341" t="n">
        <v>0</v>
      </c>
      <c r="O6341" t="n">
        <v>0</v>
      </c>
      <c r="P6341" t="n">
        <v>0</v>
      </c>
      <c r="Q6341" t="n">
        <v>0</v>
      </c>
      <c r="R6341" s="2" t="inlineStr"/>
    </row>
    <row r="6342" ht="15" customHeight="1">
      <c r="A6342" t="inlineStr">
        <is>
          <t>A 39502-2023</t>
        </is>
      </c>
      <c r="B6342" s="1" t="n">
        <v>45167</v>
      </c>
      <c r="C6342" s="1" t="n">
        <v>45662</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39684-2023</t>
        </is>
      </c>
      <c r="B6343" s="1" t="n">
        <v>45166</v>
      </c>
      <c r="C6343" s="1" t="n">
        <v>45662</v>
      </c>
      <c r="D6343" t="inlineStr">
        <is>
          <t>NORRBOTTENS LÄN</t>
        </is>
      </c>
      <c r="E6343" t="inlineStr">
        <is>
          <t>JOKKMOKK</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39505-2023</t>
        </is>
      </c>
      <c r="B6344" s="1" t="n">
        <v>45167</v>
      </c>
      <c r="C6344" s="1" t="n">
        <v>45662</v>
      </c>
      <c r="D6344" t="inlineStr">
        <is>
          <t>NORRBOTTENS LÄN</t>
        </is>
      </c>
      <c r="E6344" t="inlineStr">
        <is>
          <t>JOKKMOKK</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39503-2023</t>
        </is>
      </c>
      <c r="B6345" s="1" t="n">
        <v>45167</v>
      </c>
      <c r="C6345" s="1" t="n">
        <v>45662</v>
      </c>
      <c r="D6345" t="inlineStr">
        <is>
          <t>NORRBOTTENS LÄN</t>
        </is>
      </c>
      <c r="E6345" t="inlineStr">
        <is>
          <t>JOKKMOKK</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39845-2023</t>
        </is>
      </c>
      <c r="B6346" s="1" t="n">
        <v>45166</v>
      </c>
      <c r="C6346" s="1" t="n">
        <v>45662</v>
      </c>
      <c r="D6346" t="inlineStr">
        <is>
          <t>NORRBOTTENS LÄN</t>
        </is>
      </c>
      <c r="E6346" t="inlineStr">
        <is>
          <t>ARVIDSJAUR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39556-2023</t>
        </is>
      </c>
      <c r="B6347" s="1" t="n">
        <v>45167</v>
      </c>
      <c r="C6347" s="1" t="n">
        <v>45662</v>
      </c>
      <c r="D6347" t="inlineStr">
        <is>
          <t>NORRBOTTENS LÄN</t>
        </is>
      </c>
      <c r="E6347" t="inlineStr">
        <is>
          <t>PITEÅ</t>
        </is>
      </c>
      <c r="F6347" t="inlineStr">
        <is>
          <t>Sveaskog</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39560-2023</t>
        </is>
      </c>
      <c r="B6348" s="1" t="n">
        <v>45167</v>
      </c>
      <c r="C6348" s="1" t="n">
        <v>45662</v>
      </c>
      <c r="D6348" t="inlineStr">
        <is>
          <t>NORRBOTTENS LÄN</t>
        </is>
      </c>
      <c r="E6348" t="inlineStr">
        <is>
          <t>PITEÅ</t>
        </is>
      </c>
      <c r="F6348" t="inlineStr">
        <is>
          <t>Sveaskog</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39579-2023</t>
        </is>
      </c>
      <c r="B6349" s="1" t="n">
        <v>45167</v>
      </c>
      <c r="C6349" s="1" t="n">
        <v>45662</v>
      </c>
      <c r="D6349" t="inlineStr">
        <is>
          <t>NORRBOTTENS LÄN</t>
        </is>
      </c>
      <c r="E6349" t="inlineStr">
        <is>
          <t>PITEÅ</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39775-2023</t>
        </is>
      </c>
      <c r="B6350" s="1" t="n">
        <v>45167</v>
      </c>
      <c r="C6350" s="1" t="n">
        <v>45662</v>
      </c>
      <c r="D6350" t="inlineStr">
        <is>
          <t>NORRBOTTENS LÄN</t>
        </is>
      </c>
      <c r="E6350" t="inlineStr">
        <is>
          <t>ÖVERTORNEÅ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39551-2023</t>
        </is>
      </c>
      <c r="B6351" s="1" t="n">
        <v>45167</v>
      </c>
      <c r="C6351" s="1" t="n">
        <v>45662</v>
      </c>
      <c r="D6351" t="inlineStr">
        <is>
          <t>NORRBOTTENS LÄN</t>
        </is>
      </c>
      <c r="E6351" t="inlineStr">
        <is>
          <t>ÄLVSBYN</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39561-2023</t>
        </is>
      </c>
      <c r="B6352" s="1" t="n">
        <v>45167</v>
      </c>
      <c r="C6352" s="1" t="n">
        <v>45662</v>
      </c>
      <c r="D6352" t="inlineStr">
        <is>
          <t>NORRBOTTENS LÄN</t>
        </is>
      </c>
      <c r="E6352" t="inlineStr">
        <is>
          <t>KALIX</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39562-2023</t>
        </is>
      </c>
      <c r="B6353" s="1" t="n">
        <v>45167</v>
      </c>
      <c r="C6353" s="1" t="n">
        <v>45662</v>
      </c>
      <c r="D6353" t="inlineStr">
        <is>
          <t>NORRBOTTENS LÄN</t>
        </is>
      </c>
      <c r="E6353" t="inlineStr">
        <is>
          <t>PITEÅ</t>
        </is>
      </c>
      <c r="F6353" t="inlineStr">
        <is>
          <t>Sveaskog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39591-2023</t>
        </is>
      </c>
      <c r="B6354" s="1" t="n">
        <v>45167</v>
      </c>
      <c r="C6354" s="1" t="n">
        <v>45662</v>
      </c>
      <c r="D6354" t="inlineStr">
        <is>
          <t>NORRBOTTENS LÄN</t>
        </is>
      </c>
      <c r="E6354" t="inlineStr">
        <is>
          <t>ARVIDSJAUR</t>
        </is>
      </c>
      <c r="F6354" t="inlineStr">
        <is>
          <t>Sveaskog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39653-2023</t>
        </is>
      </c>
      <c r="B6355" s="1" t="n">
        <v>45167</v>
      </c>
      <c r="C6355" s="1" t="n">
        <v>45662</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39823-2023</t>
        </is>
      </c>
      <c r="B6356" s="1" t="n">
        <v>45168</v>
      </c>
      <c r="C6356" s="1" t="n">
        <v>45662</v>
      </c>
      <c r="D6356" t="inlineStr">
        <is>
          <t>NORRBOTTENS LÄN</t>
        </is>
      </c>
      <c r="E6356" t="inlineStr">
        <is>
          <t>PITEÅ</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39764-2023</t>
        </is>
      </c>
      <c r="B6357" s="1" t="n">
        <v>45167</v>
      </c>
      <c r="C6357" s="1" t="n">
        <v>45662</v>
      </c>
      <c r="D6357" t="inlineStr">
        <is>
          <t>NORRBOTTENS LÄN</t>
        </is>
      </c>
      <c r="E6357" t="inlineStr">
        <is>
          <t>PITEÅ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39824-2023</t>
        </is>
      </c>
      <c r="B6358" s="1" t="n">
        <v>45168</v>
      </c>
      <c r="C6358" s="1" t="n">
        <v>45662</v>
      </c>
      <c r="D6358" t="inlineStr">
        <is>
          <t>NORRBOTTENS LÄN</t>
        </is>
      </c>
      <c r="E6358" t="inlineStr">
        <is>
          <t>PITEÅ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39822-2023</t>
        </is>
      </c>
      <c r="B6359" s="1" t="n">
        <v>45168</v>
      </c>
      <c r="C6359" s="1" t="n">
        <v>45662</v>
      </c>
      <c r="D6359" t="inlineStr">
        <is>
          <t>NORRBOTTENS LÄN</t>
        </is>
      </c>
      <c r="E6359" t="inlineStr">
        <is>
          <t>PITEÅ</t>
        </is>
      </c>
      <c r="F6359" t="inlineStr">
        <is>
          <t>SCA</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39966-2023</t>
        </is>
      </c>
      <c r="B6360" s="1" t="n">
        <v>45168</v>
      </c>
      <c r="C6360" s="1" t="n">
        <v>45662</v>
      </c>
      <c r="D6360" t="inlineStr">
        <is>
          <t>NORRBOTTENS LÄN</t>
        </is>
      </c>
      <c r="E6360" t="inlineStr">
        <is>
          <t>BODEN</t>
        </is>
      </c>
      <c r="F6360" t="inlineStr">
        <is>
          <t>Sveaskog</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39970-2023</t>
        </is>
      </c>
      <c r="B6361" s="1" t="n">
        <v>45168</v>
      </c>
      <c r="C6361" s="1" t="n">
        <v>45662</v>
      </c>
      <c r="D6361" t="inlineStr">
        <is>
          <t>NORRBOTTENS LÄN</t>
        </is>
      </c>
      <c r="E6361" t="inlineStr">
        <is>
          <t>BODEN</t>
        </is>
      </c>
      <c r="F6361" t="inlineStr">
        <is>
          <t>Sveaskog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40010-2023</t>
        </is>
      </c>
      <c r="B6362" s="1" t="n">
        <v>45168</v>
      </c>
      <c r="C6362" s="1" t="n">
        <v>45662</v>
      </c>
      <c r="D6362" t="inlineStr">
        <is>
          <t>NORRBOTTENS LÄN</t>
        </is>
      </c>
      <c r="E6362" t="inlineStr">
        <is>
          <t>BODEN</t>
        </is>
      </c>
      <c r="F6362" t="inlineStr">
        <is>
          <t>Sveaskog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40093-2023</t>
        </is>
      </c>
      <c r="B6363" s="1" t="n">
        <v>45168</v>
      </c>
      <c r="C6363" s="1" t="n">
        <v>45662</v>
      </c>
      <c r="D6363" t="inlineStr">
        <is>
          <t>NORRBOTTENS LÄN</t>
        </is>
      </c>
      <c r="E6363" t="inlineStr">
        <is>
          <t>JOKKMOKK</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39972-2023</t>
        </is>
      </c>
      <c r="B6364" s="1" t="n">
        <v>45168</v>
      </c>
      <c r="C6364" s="1" t="n">
        <v>45662</v>
      </c>
      <c r="D6364" t="inlineStr">
        <is>
          <t>NORRBOTTENS LÄN</t>
        </is>
      </c>
      <c r="E6364" t="inlineStr">
        <is>
          <t>BODEN</t>
        </is>
      </c>
      <c r="F6364" t="inlineStr">
        <is>
          <t>Sveaskog</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40106-2023</t>
        </is>
      </c>
      <c r="B6365" s="1" t="n">
        <v>45169</v>
      </c>
      <c r="C6365" s="1" t="n">
        <v>45662</v>
      </c>
      <c r="D6365" t="inlineStr">
        <is>
          <t>NORRBOTTENS LÄN</t>
        </is>
      </c>
      <c r="E6365" t="inlineStr">
        <is>
          <t>JOKKMOKK</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40252-2023</t>
        </is>
      </c>
      <c r="B6366" s="1" t="n">
        <v>45169</v>
      </c>
      <c r="C6366" s="1" t="n">
        <v>45662</v>
      </c>
      <c r="D6366" t="inlineStr">
        <is>
          <t>NORRBOTTENS LÄN</t>
        </is>
      </c>
      <c r="E6366" t="inlineStr">
        <is>
          <t>PAJALA</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40240-2023</t>
        </is>
      </c>
      <c r="B6367" s="1" t="n">
        <v>45169</v>
      </c>
      <c r="C6367" s="1" t="n">
        <v>45662</v>
      </c>
      <c r="D6367" t="inlineStr">
        <is>
          <t>NORRBOTTENS LÄN</t>
        </is>
      </c>
      <c r="E6367" t="inlineStr">
        <is>
          <t>PAJALA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40411-2023</t>
        </is>
      </c>
      <c r="B6368" s="1" t="n">
        <v>45169</v>
      </c>
      <c r="C6368" s="1" t="n">
        <v>45662</v>
      </c>
      <c r="D6368" t="inlineStr">
        <is>
          <t>NORRBOTTENS LÄN</t>
        </is>
      </c>
      <c r="E6368" t="inlineStr">
        <is>
          <t>PAJALA</t>
        </is>
      </c>
      <c r="F6368" t="inlineStr">
        <is>
          <t>SCA</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40934-2023</t>
        </is>
      </c>
      <c r="B6369" s="1" t="n">
        <v>45169</v>
      </c>
      <c r="C6369" s="1" t="n">
        <v>45662</v>
      </c>
      <c r="D6369" t="inlineStr">
        <is>
          <t>NORRBOTTENS LÄN</t>
        </is>
      </c>
      <c r="E6369" t="inlineStr">
        <is>
          <t>BODEN</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40392-2023</t>
        </is>
      </c>
      <c r="B6370" s="1" t="n">
        <v>45170</v>
      </c>
      <c r="C6370" s="1" t="n">
        <v>45662</v>
      </c>
      <c r="D6370" t="inlineStr">
        <is>
          <t>NORRBOTTENS LÄN</t>
        </is>
      </c>
      <c r="E6370" t="inlineStr">
        <is>
          <t>PITEÅ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40412-2023</t>
        </is>
      </c>
      <c r="B6371" s="1" t="n">
        <v>45170</v>
      </c>
      <c r="C6371" s="1" t="n">
        <v>45662</v>
      </c>
      <c r="D6371" t="inlineStr">
        <is>
          <t>NORRBOTTENS LÄN</t>
        </is>
      </c>
      <c r="E6371" t="inlineStr">
        <is>
          <t>PAJALA</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40329-2023</t>
        </is>
      </c>
      <c r="B6372" s="1" t="n">
        <v>45169</v>
      </c>
      <c r="C6372" s="1" t="n">
        <v>45662</v>
      </c>
      <c r="D6372" t="inlineStr">
        <is>
          <t>NORRBOTTENS LÄN</t>
        </is>
      </c>
      <c r="E6372" t="inlineStr">
        <is>
          <t>ÖVERKALIX</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40673-2023</t>
        </is>
      </c>
      <c r="B6373" s="1" t="n">
        <v>45169</v>
      </c>
      <c r="C6373" s="1" t="n">
        <v>45662</v>
      </c>
      <c r="D6373" t="inlineStr">
        <is>
          <t>NORRBOTTENS LÄN</t>
        </is>
      </c>
      <c r="E6373" t="inlineStr">
        <is>
          <t>LULEÅ</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40911-2023</t>
        </is>
      </c>
      <c r="B6374" s="1" t="n">
        <v>45169</v>
      </c>
      <c r="C6374" s="1" t="n">
        <v>45662</v>
      </c>
      <c r="D6374" t="inlineStr">
        <is>
          <t>NORRBOTTENS LÄN</t>
        </is>
      </c>
      <c r="E6374" t="inlineStr">
        <is>
          <t>BODEN</t>
        </is>
      </c>
      <c r="G6374" t="n">
        <v>21.3</v>
      </c>
      <c r="H6374" t="n">
        <v>0</v>
      </c>
      <c r="I6374" t="n">
        <v>0</v>
      </c>
      <c r="J6374" t="n">
        <v>0</v>
      </c>
      <c r="K6374" t="n">
        <v>0</v>
      </c>
      <c r="L6374" t="n">
        <v>0</v>
      </c>
      <c r="M6374" t="n">
        <v>0</v>
      </c>
      <c r="N6374" t="n">
        <v>0</v>
      </c>
      <c r="O6374" t="n">
        <v>0</v>
      </c>
      <c r="P6374" t="n">
        <v>0</v>
      </c>
      <c r="Q6374" t="n">
        <v>0</v>
      </c>
      <c r="R6374" s="2" t="inlineStr"/>
    </row>
    <row r="6375" ht="15" customHeight="1">
      <c r="A6375" t="inlineStr">
        <is>
          <t>A 41011-2023</t>
        </is>
      </c>
      <c r="B6375" s="1" t="n">
        <v>45169</v>
      </c>
      <c r="C6375" s="1" t="n">
        <v>45662</v>
      </c>
      <c r="D6375" t="inlineStr">
        <is>
          <t>NORRBOTTENS LÄN</t>
        </is>
      </c>
      <c r="E6375" t="inlineStr">
        <is>
          <t>JOKKMOKK</t>
        </is>
      </c>
      <c r="F6375" t="inlineStr">
        <is>
          <t>Allmännings- och besparingsskogar</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40460-2023</t>
        </is>
      </c>
      <c r="B6376" s="1" t="n">
        <v>45170</v>
      </c>
      <c r="C6376" s="1" t="n">
        <v>45662</v>
      </c>
      <c r="D6376" t="inlineStr">
        <is>
          <t>NORRBOTTENS LÄN</t>
        </is>
      </c>
      <c r="E6376" t="inlineStr">
        <is>
          <t>PITEÅ</t>
        </is>
      </c>
      <c r="G6376" t="n">
        <v>13.8</v>
      </c>
      <c r="H6376" t="n">
        <v>0</v>
      </c>
      <c r="I6376" t="n">
        <v>0</v>
      </c>
      <c r="J6376" t="n">
        <v>0</v>
      </c>
      <c r="K6376" t="n">
        <v>0</v>
      </c>
      <c r="L6376" t="n">
        <v>0</v>
      </c>
      <c r="M6376" t="n">
        <v>0</v>
      </c>
      <c r="N6376" t="n">
        <v>0</v>
      </c>
      <c r="O6376" t="n">
        <v>0</v>
      </c>
      <c r="P6376" t="n">
        <v>0</v>
      </c>
      <c r="Q6376" t="n">
        <v>0</v>
      </c>
      <c r="R6376" s="2" t="inlineStr"/>
    </row>
    <row r="6377" ht="15" customHeight="1">
      <c r="A6377" t="inlineStr">
        <is>
          <t>A 40496-2023</t>
        </is>
      </c>
      <c r="B6377" s="1" t="n">
        <v>45170</v>
      </c>
      <c r="C6377" s="1" t="n">
        <v>45662</v>
      </c>
      <c r="D6377" t="inlineStr">
        <is>
          <t>NORRBOTTENS LÄN</t>
        </is>
      </c>
      <c r="E6377" t="inlineStr">
        <is>
          <t>LULEÅ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40504-2023</t>
        </is>
      </c>
      <c r="B6378" s="1" t="n">
        <v>45170</v>
      </c>
      <c r="C6378" s="1" t="n">
        <v>45662</v>
      </c>
      <c r="D6378" t="inlineStr">
        <is>
          <t>NORRBOTTENS LÄN</t>
        </is>
      </c>
      <c r="E6378" t="inlineStr">
        <is>
          <t>LULEÅ</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40565-2023</t>
        </is>
      </c>
      <c r="B6379" s="1" t="n">
        <v>45170</v>
      </c>
      <c r="C6379" s="1" t="n">
        <v>45662</v>
      </c>
      <c r="D6379" t="inlineStr">
        <is>
          <t>NORRBOTTENS LÄN</t>
        </is>
      </c>
      <c r="E6379" t="inlineStr">
        <is>
          <t>KALIX</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40498-2023</t>
        </is>
      </c>
      <c r="B6380" s="1" t="n">
        <v>45170</v>
      </c>
      <c r="C6380" s="1" t="n">
        <v>45662</v>
      </c>
      <c r="D6380" t="inlineStr">
        <is>
          <t>NORRBOTTENS LÄN</t>
        </is>
      </c>
      <c r="E6380" t="inlineStr">
        <is>
          <t>GÄLLIVARE</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40503-2023</t>
        </is>
      </c>
      <c r="B6381" s="1" t="n">
        <v>45170</v>
      </c>
      <c r="C6381" s="1" t="n">
        <v>45662</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40515-2023</t>
        </is>
      </c>
      <c r="B6382" s="1" t="n">
        <v>45170</v>
      </c>
      <c r="C6382" s="1" t="n">
        <v>45662</v>
      </c>
      <c r="D6382" t="inlineStr">
        <is>
          <t>NORRBOTTENS LÄN</t>
        </is>
      </c>
      <c r="E6382" t="inlineStr">
        <is>
          <t>KALIX</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40614-2023</t>
        </is>
      </c>
      <c r="B6383" s="1" t="n">
        <v>45170</v>
      </c>
      <c r="C6383" s="1" t="n">
        <v>45662</v>
      </c>
      <c r="D6383" t="inlineStr">
        <is>
          <t>NORRBOTTENS LÄN</t>
        </is>
      </c>
      <c r="E6383" t="inlineStr">
        <is>
          <t>BODEN</t>
        </is>
      </c>
      <c r="F6383" t="inlineStr">
        <is>
          <t>Sveaskog</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40492-2023</t>
        </is>
      </c>
      <c r="B6384" s="1" t="n">
        <v>45170</v>
      </c>
      <c r="C6384" s="1" t="n">
        <v>45662</v>
      </c>
      <c r="D6384" t="inlineStr">
        <is>
          <t>NORRBOTTENS LÄN</t>
        </is>
      </c>
      <c r="E6384" t="inlineStr">
        <is>
          <t>GÄLLIVARE</t>
        </is>
      </c>
      <c r="F6384" t="inlineStr">
        <is>
          <t>Sveaskog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40501-2023</t>
        </is>
      </c>
      <c r="B6385" s="1" t="n">
        <v>45170</v>
      </c>
      <c r="C6385" s="1" t="n">
        <v>45662</v>
      </c>
      <c r="D6385" t="inlineStr">
        <is>
          <t>NORRBOTTENS LÄN</t>
        </is>
      </c>
      <c r="E6385" t="inlineStr">
        <is>
          <t>LULEÅ</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40750-2023</t>
        </is>
      </c>
      <c r="B6386" s="1" t="n">
        <v>45171</v>
      </c>
      <c r="C6386" s="1" t="n">
        <v>45662</v>
      </c>
      <c r="D6386" t="inlineStr">
        <is>
          <t>NORRBOTTENS LÄN</t>
        </is>
      </c>
      <c r="E6386" t="inlineStr">
        <is>
          <t>JOKKMOKK</t>
        </is>
      </c>
      <c r="F6386" t="inlineStr">
        <is>
          <t>Allmännings- och besparingsskogar</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40770-2023</t>
        </is>
      </c>
      <c r="B6387" s="1" t="n">
        <v>45170</v>
      </c>
      <c r="C6387" s="1" t="n">
        <v>45662</v>
      </c>
      <c r="D6387" t="inlineStr">
        <is>
          <t>NORRBOTTENS LÄN</t>
        </is>
      </c>
      <c r="E6387" t="inlineStr">
        <is>
          <t>JOKKMOKK</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40771-2023</t>
        </is>
      </c>
      <c r="B6388" s="1" t="n">
        <v>45171</v>
      </c>
      <c r="C6388" s="1" t="n">
        <v>45662</v>
      </c>
      <c r="D6388" t="inlineStr">
        <is>
          <t>NORRBOTTENS LÄN</t>
        </is>
      </c>
      <c r="E6388" t="inlineStr">
        <is>
          <t>JOKKMOKK</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40816-2023</t>
        </is>
      </c>
      <c r="B6389" s="1" t="n">
        <v>45171</v>
      </c>
      <c r="C6389" s="1" t="n">
        <v>45662</v>
      </c>
      <c r="D6389" t="inlineStr">
        <is>
          <t>NORRBOTTENS LÄN</t>
        </is>
      </c>
      <c r="E6389" t="inlineStr">
        <is>
          <t>GÄLLIVARE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40819-2023</t>
        </is>
      </c>
      <c r="B6390" s="1" t="n">
        <v>45171</v>
      </c>
      <c r="C6390" s="1" t="n">
        <v>45662</v>
      </c>
      <c r="D6390" t="inlineStr">
        <is>
          <t>NORRBOTTENS LÄN</t>
        </is>
      </c>
      <c r="E6390" t="inlineStr">
        <is>
          <t>GÄLLIVARE</t>
        </is>
      </c>
      <c r="F6390" t="inlineStr">
        <is>
          <t>Sveaskog</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40818-2023</t>
        </is>
      </c>
      <c r="B6391" s="1" t="n">
        <v>45171</v>
      </c>
      <c r="C6391" s="1" t="n">
        <v>45662</v>
      </c>
      <c r="D6391" t="inlineStr">
        <is>
          <t>NORRBOTTENS LÄN</t>
        </is>
      </c>
      <c r="E6391" t="inlineStr">
        <is>
          <t>GÄLLIVARE</t>
        </is>
      </c>
      <c r="F6391" t="inlineStr">
        <is>
          <t>Sveaskog</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40817-2023</t>
        </is>
      </c>
      <c r="B6392" s="1" t="n">
        <v>45171</v>
      </c>
      <c r="C6392" s="1" t="n">
        <v>45662</v>
      </c>
      <c r="D6392" t="inlineStr">
        <is>
          <t>NORRBOTTENS LÄN</t>
        </is>
      </c>
      <c r="E6392" t="inlineStr">
        <is>
          <t>GÄLLIVARE</t>
        </is>
      </c>
      <c r="F6392" t="inlineStr">
        <is>
          <t>Sveaskog</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40839-2023</t>
        </is>
      </c>
      <c r="B6393" s="1" t="n">
        <v>45172</v>
      </c>
      <c r="C6393" s="1" t="n">
        <v>45662</v>
      </c>
      <c r="D6393" t="inlineStr">
        <is>
          <t>NORRBOTTENS LÄN</t>
        </is>
      </c>
      <c r="E6393" t="inlineStr">
        <is>
          <t>BODEN</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40937-2023</t>
        </is>
      </c>
      <c r="B6394" s="1" t="n">
        <v>45173</v>
      </c>
      <c r="C6394" s="1" t="n">
        <v>45662</v>
      </c>
      <c r="D6394" t="inlineStr">
        <is>
          <t>NORRBOTTENS LÄN</t>
        </is>
      </c>
      <c r="E6394" t="inlineStr">
        <is>
          <t>ARVIDSJAUR</t>
        </is>
      </c>
      <c r="F6394" t="inlineStr">
        <is>
          <t>Övriga Aktiebolag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40974-2023</t>
        </is>
      </c>
      <c r="B6395" s="1" t="n">
        <v>45173</v>
      </c>
      <c r="C6395" s="1" t="n">
        <v>45662</v>
      </c>
      <c r="D6395" t="inlineStr">
        <is>
          <t>NORRBOTTENS LÄN</t>
        </is>
      </c>
      <c r="E6395" t="inlineStr">
        <is>
          <t>GÄLLIVARE</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41061-2023</t>
        </is>
      </c>
      <c r="B6396" s="1" t="n">
        <v>45173</v>
      </c>
      <c r="C6396" s="1" t="n">
        <v>45662</v>
      </c>
      <c r="D6396" t="inlineStr">
        <is>
          <t>NORRBOTTENS LÄN</t>
        </is>
      </c>
      <c r="E6396" t="inlineStr">
        <is>
          <t>JOKKMOKK</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40885-2023</t>
        </is>
      </c>
      <c r="B6397" s="1" t="n">
        <v>45173</v>
      </c>
      <c r="C6397" s="1" t="n">
        <v>45662</v>
      </c>
      <c r="D6397" t="inlineStr">
        <is>
          <t>NORRBOTTENS LÄN</t>
        </is>
      </c>
      <c r="E6397" t="inlineStr">
        <is>
          <t>BODEN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41127-2023</t>
        </is>
      </c>
      <c r="B6398" s="1" t="n">
        <v>45173</v>
      </c>
      <c r="C6398" s="1" t="n">
        <v>45662</v>
      </c>
      <c r="D6398" t="inlineStr">
        <is>
          <t>NORRBOTTENS LÄN</t>
        </is>
      </c>
      <c r="E6398" t="inlineStr">
        <is>
          <t>KIRUNA</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41129-2023</t>
        </is>
      </c>
      <c r="B6399" s="1" t="n">
        <v>45174</v>
      </c>
      <c r="C6399" s="1" t="n">
        <v>45662</v>
      </c>
      <c r="D6399" t="inlineStr">
        <is>
          <t>NORRBOTTENS LÄN</t>
        </is>
      </c>
      <c r="E6399" t="inlineStr">
        <is>
          <t>LULEÅ</t>
        </is>
      </c>
      <c r="G6399" t="n">
        <v>14.1</v>
      </c>
      <c r="H6399" t="n">
        <v>0</v>
      </c>
      <c r="I6399" t="n">
        <v>0</v>
      </c>
      <c r="J6399" t="n">
        <v>0</v>
      </c>
      <c r="K6399" t="n">
        <v>0</v>
      </c>
      <c r="L6399" t="n">
        <v>0</v>
      </c>
      <c r="M6399" t="n">
        <v>0</v>
      </c>
      <c r="N6399" t="n">
        <v>0</v>
      </c>
      <c r="O6399" t="n">
        <v>0</v>
      </c>
      <c r="P6399" t="n">
        <v>0</v>
      </c>
      <c r="Q6399" t="n">
        <v>0</v>
      </c>
      <c r="R6399" s="2" t="inlineStr"/>
    </row>
    <row r="6400" ht="15" customHeight="1">
      <c r="A6400" t="inlineStr">
        <is>
          <t>A 41128-2023</t>
        </is>
      </c>
      <c r="B6400" s="1" t="n">
        <v>45174</v>
      </c>
      <c r="C6400" s="1" t="n">
        <v>45662</v>
      </c>
      <c r="D6400" t="inlineStr">
        <is>
          <t>NORRBOTTENS LÄN</t>
        </is>
      </c>
      <c r="E6400" t="inlineStr">
        <is>
          <t>LULEÅ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41132-2023</t>
        </is>
      </c>
      <c r="B6401" s="1" t="n">
        <v>45173</v>
      </c>
      <c r="C6401" s="1" t="n">
        <v>45662</v>
      </c>
      <c r="D6401" t="inlineStr">
        <is>
          <t>NORRBOTTENS LÄN</t>
        </is>
      </c>
      <c r="E6401" t="inlineStr">
        <is>
          <t>KALIX</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41134-2023</t>
        </is>
      </c>
      <c r="B6402" s="1" t="n">
        <v>45174</v>
      </c>
      <c r="C6402" s="1" t="n">
        <v>45662</v>
      </c>
      <c r="D6402" t="inlineStr">
        <is>
          <t>NORRBOTTENS LÄN</t>
        </is>
      </c>
      <c r="E6402" t="inlineStr">
        <is>
          <t>HAPARANDA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41131-2023</t>
        </is>
      </c>
      <c r="B6403" s="1" t="n">
        <v>45173</v>
      </c>
      <c r="C6403" s="1" t="n">
        <v>45662</v>
      </c>
      <c r="D6403" t="inlineStr">
        <is>
          <t>NORRBOTTENS LÄN</t>
        </is>
      </c>
      <c r="E6403" t="inlineStr">
        <is>
          <t>KALIX</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41136-2023</t>
        </is>
      </c>
      <c r="B6404" s="1" t="n">
        <v>45173</v>
      </c>
      <c r="C6404" s="1" t="n">
        <v>45662</v>
      </c>
      <c r="D6404" t="inlineStr">
        <is>
          <t>NORRBOTTENS LÄN</t>
        </is>
      </c>
      <c r="E6404" t="inlineStr">
        <is>
          <t>HAPARANDA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41140-2023</t>
        </is>
      </c>
      <c r="B6405" s="1" t="n">
        <v>45173</v>
      </c>
      <c r="C6405" s="1" t="n">
        <v>45662</v>
      </c>
      <c r="D6405" t="inlineStr">
        <is>
          <t>NORRBOTTENS LÄN</t>
        </is>
      </c>
      <c r="E6405" t="inlineStr">
        <is>
          <t>LULEÅ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41547-2023</t>
        </is>
      </c>
      <c r="B6406" s="1" t="n">
        <v>45173</v>
      </c>
      <c r="C6406" s="1" t="n">
        <v>45662</v>
      </c>
      <c r="D6406" t="inlineStr">
        <is>
          <t>NORRBOTTENS LÄN</t>
        </is>
      </c>
      <c r="E6406" t="inlineStr">
        <is>
          <t>GÄLLIVARE</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41130-2023</t>
        </is>
      </c>
      <c r="B6407" s="1" t="n">
        <v>45173</v>
      </c>
      <c r="C6407" s="1" t="n">
        <v>45662</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41135-2023</t>
        </is>
      </c>
      <c r="B6408" s="1" t="n">
        <v>45173</v>
      </c>
      <c r="C6408" s="1" t="n">
        <v>45662</v>
      </c>
      <c r="D6408" t="inlineStr">
        <is>
          <t>NORRBOTTENS LÄN</t>
        </is>
      </c>
      <c r="E6408" t="inlineStr">
        <is>
          <t>HAPARANDA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41151-2023</t>
        </is>
      </c>
      <c r="B6409" s="1" t="n">
        <v>45174</v>
      </c>
      <c r="C6409" s="1" t="n">
        <v>45662</v>
      </c>
      <c r="D6409" t="inlineStr">
        <is>
          <t>NORRBOTTENS LÄN</t>
        </is>
      </c>
      <c r="E6409" t="inlineStr">
        <is>
          <t>PAJALA</t>
        </is>
      </c>
      <c r="F6409" t="inlineStr">
        <is>
          <t>SCA</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41560-2023</t>
        </is>
      </c>
      <c r="B6410" s="1" t="n">
        <v>45173</v>
      </c>
      <c r="C6410" s="1" t="n">
        <v>45662</v>
      </c>
      <c r="D6410" t="inlineStr">
        <is>
          <t>NORRBOTTENS LÄN</t>
        </is>
      </c>
      <c r="E6410" t="inlineStr">
        <is>
          <t>GÄLLIVARE</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41212-2023</t>
        </is>
      </c>
      <c r="B6411" s="1" t="n">
        <v>45174</v>
      </c>
      <c r="C6411" s="1" t="n">
        <v>45662</v>
      </c>
      <c r="D6411" t="inlineStr">
        <is>
          <t>NORRBOTTENS LÄN</t>
        </is>
      </c>
      <c r="E6411" t="inlineStr">
        <is>
          <t>BODEN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41464-2023</t>
        </is>
      </c>
      <c r="B6412" s="1" t="n">
        <v>45175</v>
      </c>
      <c r="C6412" s="1" t="n">
        <v>45662</v>
      </c>
      <c r="D6412" t="inlineStr">
        <is>
          <t>NORRBOTTENS LÄN</t>
        </is>
      </c>
      <c r="E6412" t="inlineStr">
        <is>
          <t>PITEÅ</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41662-2023</t>
        </is>
      </c>
      <c r="B6413" s="1" t="n">
        <v>45176</v>
      </c>
      <c r="C6413" s="1" t="n">
        <v>45662</v>
      </c>
      <c r="D6413" t="inlineStr">
        <is>
          <t>NORRBOTTENS LÄN</t>
        </is>
      </c>
      <c r="E6413" t="inlineStr">
        <is>
          <t>KALIX</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41467-2023</t>
        </is>
      </c>
      <c r="B6414" s="1" t="n">
        <v>45175</v>
      </c>
      <c r="C6414" s="1" t="n">
        <v>45662</v>
      </c>
      <c r="D6414" t="inlineStr">
        <is>
          <t>NORRBOTTENS LÄN</t>
        </is>
      </c>
      <c r="E6414" t="inlineStr">
        <is>
          <t>ÄLVSBYN</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41666-2023</t>
        </is>
      </c>
      <c r="B6415" s="1" t="n">
        <v>45176</v>
      </c>
      <c r="C6415" s="1" t="n">
        <v>45662</v>
      </c>
      <c r="D6415" t="inlineStr">
        <is>
          <t>NORRBOTTENS LÄN</t>
        </is>
      </c>
      <c r="E6415" t="inlineStr">
        <is>
          <t>PITEÅ</t>
        </is>
      </c>
      <c r="F6415" t="inlineStr">
        <is>
          <t>SCA</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41653-2023</t>
        </is>
      </c>
      <c r="B6416" s="1" t="n">
        <v>45176</v>
      </c>
      <c r="C6416" s="1" t="n">
        <v>45662</v>
      </c>
      <c r="D6416" t="inlineStr">
        <is>
          <t>NORRBOTTENS LÄN</t>
        </is>
      </c>
      <c r="E6416" t="inlineStr">
        <is>
          <t>GÄLLIVARE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41661-2023</t>
        </is>
      </c>
      <c r="B6417" s="1" t="n">
        <v>45176</v>
      </c>
      <c r="C6417" s="1" t="n">
        <v>45662</v>
      </c>
      <c r="D6417" t="inlineStr">
        <is>
          <t>NORRBOTTENS LÄN</t>
        </is>
      </c>
      <c r="E6417" t="inlineStr">
        <is>
          <t>KALIX</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41665-2023</t>
        </is>
      </c>
      <c r="B6418" s="1" t="n">
        <v>45176</v>
      </c>
      <c r="C6418" s="1" t="n">
        <v>45662</v>
      </c>
      <c r="D6418" t="inlineStr">
        <is>
          <t>NORRBOTTENS LÄN</t>
        </is>
      </c>
      <c r="E6418" t="inlineStr">
        <is>
          <t>PITEÅ</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41813-2023</t>
        </is>
      </c>
      <c r="B6419" s="1" t="n">
        <v>45176</v>
      </c>
      <c r="C6419" s="1" t="n">
        <v>45662</v>
      </c>
      <c r="D6419" t="inlineStr">
        <is>
          <t>NORRBOTTENS LÄN</t>
        </is>
      </c>
      <c r="E6419" t="inlineStr">
        <is>
          <t>ÄLVSBYN</t>
        </is>
      </c>
      <c r="F6419" t="inlineStr">
        <is>
          <t>Övriga Aktiebolag</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41713-2023</t>
        </is>
      </c>
      <c r="B6420" s="1" t="n">
        <v>45176</v>
      </c>
      <c r="C6420" s="1" t="n">
        <v>45662</v>
      </c>
      <c r="D6420" t="inlineStr">
        <is>
          <t>NORRBOTTENS LÄN</t>
        </is>
      </c>
      <c r="E6420" t="inlineStr">
        <is>
          <t>KALIX</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41760-2023</t>
        </is>
      </c>
      <c r="B6421" s="1" t="n">
        <v>45176</v>
      </c>
      <c r="C6421" s="1" t="n">
        <v>45662</v>
      </c>
      <c r="D6421" t="inlineStr">
        <is>
          <t>NORRBOTTENS LÄN</t>
        </is>
      </c>
      <c r="E6421" t="inlineStr">
        <is>
          <t>PITEÅ</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43048-2023</t>
        </is>
      </c>
      <c r="B6422" s="1" t="n">
        <v>45176</v>
      </c>
      <c r="C6422" s="1" t="n">
        <v>45662</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41937-2023</t>
        </is>
      </c>
      <c r="B6423" s="1" t="n">
        <v>45177</v>
      </c>
      <c r="C6423" s="1" t="n">
        <v>45662</v>
      </c>
      <c r="D6423" t="inlineStr">
        <is>
          <t>NORRBOTTENS LÄN</t>
        </is>
      </c>
      <c r="E6423" t="inlineStr">
        <is>
          <t>BODEN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41938-2023</t>
        </is>
      </c>
      <c r="B6424" s="1" t="n">
        <v>45176</v>
      </c>
      <c r="C6424" s="1" t="n">
        <v>45662</v>
      </c>
      <c r="D6424" t="inlineStr">
        <is>
          <t>NORRBOTTENS LÄN</t>
        </is>
      </c>
      <c r="E6424" t="inlineStr">
        <is>
          <t>BODEN</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42687-2023</t>
        </is>
      </c>
      <c r="B6425" s="1" t="n">
        <v>45176</v>
      </c>
      <c r="C6425" s="1" t="n">
        <v>45662</v>
      </c>
      <c r="D6425" t="inlineStr">
        <is>
          <t>NORRBOTTENS LÄN</t>
        </is>
      </c>
      <c r="E6425" t="inlineStr">
        <is>
          <t>ARVIDSJAUR</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42701-2023</t>
        </is>
      </c>
      <c r="B6426" s="1" t="n">
        <v>45176</v>
      </c>
      <c r="C6426" s="1" t="n">
        <v>45662</v>
      </c>
      <c r="D6426" t="inlineStr">
        <is>
          <t>NORRBOTTENS LÄN</t>
        </is>
      </c>
      <c r="E6426" t="inlineStr">
        <is>
          <t>BODEN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42612-2023</t>
        </is>
      </c>
      <c r="B6427" s="1" t="n">
        <v>45176</v>
      </c>
      <c r="C6427" s="1" t="n">
        <v>45662</v>
      </c>
      <c r="D6427" t="inlineStr">
        <is>
          <t>NORRBOTTENS LÄN</t>
        </is>
      </c>
      <c r="E6427" t="inlineStr">
        <is>
          <t>GÄLLIVARE</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42633-2023</t>
        </is>
      </c>
      <c r="B6428" s="1" t="n">
        <v>45176</v>
      </c>
      <c r="C6428" s="1" t="n">
        <v>45662</v>
      </c>
      <c r="D6428" t="inlineStr">
        <is>
          <t>NORRBOTTENS LÄN</t>
        </is>
      </c>
      <c r="E6428" t="inlineStr">
        <is>
          <t>ARVIDSJAUR</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42683-2023</t>
        </is>
      </c>
      <c r="B6429" s="1" t="n">
        <v>45176</v>
      </c>
      <c r="C6429" s="1" t="n">
        <v>45662</v>
      </c>
      <c r="D6429" t="inlineStr">
        <is>
          <t>NORRBOTTENS LÄN</t>
        </is>
      </c>
      <c r="E6429" t="inlineStr">
        <is>
          <t>ARVIDSJAUR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42604-2023</t>
        </is>
      </c>
      <c r="B6430" s="1" t="n">
        <v>45176</v>
      </c>
      <c r="C6430" s="1" t="n">
        <v>45662</v>
      </c>
      <c r="D6430" t="inlineStr">
        <is>
          <t>NORRBOTTENS LÄN</t>
        </is>
      </c>
      <c r="E6430" t="inlineStr">
        <is>
          <t>PAJALA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42695-2023</t>
        </is>
      </c>
      <c r="B6431" s="1" t="n">
        <v>45176</v>
      </c>
      <c r="C6431" s="1" t="n">
        <v>45662</v>
      </c>
      <c r="D6431" t="inlineStr">
        <is>
          <t>NORRBOTTENS LÄN</t>
        </is>
      </c>
      <c r="E6431" t="inlineStr">
        <is>
          <t>ARVIDSJAUR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42041-2023</t>
        </is>
      </c>
      <c r="B6432" s="1" t="n">
        <v>45177</v>
      </c>
      <c r="C6432" s="1" t="n">
        <v>45662</v>
      </c>
      <c r="D6432" t="inlineStr">
        <is>
          <t>NORRBOTTENS LÄN</t>
        </is>
      </c>
      <c r="E6432" t="inlineStr">
        <is>
          <t>KALIX</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42001-2023</t>
        </is>
      </c>
      <c r="B6433" s="1" t="n">
        <v>45177</v>
      </c>
      <c r="C6433" s="1" t="n">
        <v>45662</v>
      </c>
      <c r="D6433" t="inlineStr">
        <is>
          <t>NORRBOTTENS LÄN</t>
        </is>
      </c>
      <c r="E6433" t="inlineStr">
        <is>
          <t>KALIX</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42142-2023</t>
        </is>
      </c>
      <c r="B6434" s="1" t="n">
        <v>45177</v>
      </c>
      <c r="C6434" s="1" t="n">
        <v>45662</v>
      </c>
      <c r="D6434" t="inlineStr">
        <is>
          <t>NORRBOTTENS LÄN</t>
        </is>
      </c>
      <c r="E6434" t="inlineStr">
        <is>
          <t>PITEÅ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42158-2023</t>
        </is>
      </c>
      <c r="B6435" s="1" t="n">
        <v>45178</v>
      </c>
      <c r="C6435" s="1" t="n">
        <v>45662</v>
      </c>
      <c r="D6435" t="inlineStr">
        <is>
          <t>NORRBOTTENS LÄN</t>
        </is>
      </c>
      <c r="E6435" t="inlineStr">
        <is>
          <t>GÄLLIVARE</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41982-2023</t>
        </is>
      </c>
      <c r="B6436" s="1" t="n">
        <v>45177</v>
      </c>
      <c r="C6436" s="1" t="n">
        <v>45662</v>
      </c>
      <c r="D6436" t="inlineStr">
        <is>
          <t>NORRBOTTENS LÄN</t>
        </is>
      </c>
      <c r="E6436" t="inlineStr">
        <is>
          <t>PITEÅ</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42152-2023</t>
        </is>
      </c>
      <c r="B6437" s="1" t="n">
        <v>45177</v>
      </c>
      <c r="C6437" s="1" t="n">
        <v>45662</v>
      </c>
      <c r="D6437" t="inlineStr">
        <is>
          <t>NORRBOTTENS LÄN</t>
        </is>
      </c>
      <c r="E6437" t="inlineStr">
        <is>
          <t>BODEN</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42835-2023</t>
        </is>
      </c>
      <c r="B6438" s="1" t="n">
        <v>45177</v>
      </c>
      <c r="C6438" s="1" t="n">
        <v>45662</v>
      </c>
      <c r="D6438" t="inlineStr">
        <is>
          <t>NORRBOTTENS LÄN</t>
        </is>
      </c>
      <c r="E6438" t="inlineStr">
        <is>
          <t>PAJALA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42849-2023</t>
        </is>
      </c>
      <c r="B6439" s="1" t="n">
        <v>45177</v>
      </c>
      <c r="C6439" s="1" t="n">
        <v>45662</v>
      </c>
      <c r="D6439" t="inlineStr">
        <is>
          <t>NORRBOTTENS LÄN</t>
        </is>
      </c>
      <c r="E6439" t="inlineStr">
        <is>
          <t>PAJALA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42112-2023</t>
        </is>
      </c>
      <c r="B6440" s="1" t="n">
        <v>45177</v>
      </c>
      <c r="C6440" s="1" t="n">
        <v>45662</v>
      </c>
      <c r="D6440" t="inlineStr">
        <is>
          <t>NORRBOTTENS LÄN</t>
        </is>
      </c>
      <c r="E6440" t="inlineStr">
        <is>
          <t>PITEÅ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42157-2023</t>
        </is>
      </c>
      <c r="B6441" s="1" t="n">
        <v>45178</v>
      </c>
      <c r="C6441" s="1" t="n">
        <v>45662</v>
      </c>
      <c r="D6441" t="inlineStr">
        <is>
          <t>NORRBOTTENS LÄN</t>
        </is>
      </c>
      <c r="E6441" t="inlineStr">
        <is>
          <t>GÄLLIVARE</t>
        </is>
      </c>
      <c r="F6441" t="inlineStr">
        <is>
          <t>SCA</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42845-2023</t>
        </is>
      </c>
      <c r="B6442" s="1" t="n">
        <v>45177</v>
      </c>
      <c r="C6442" s="1" t="n">
        <v>45662</v>
      </c>
      <c r="D6442" t="inlineStr">
        <is>
          <t>NORRBOTTENS LÄN</t>
        </is>
      </c>
      <c r="E6442" t="inlineStr">
        <is>
          <t>PAJALA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42946-2023</t>
        </is>
      </c>
      <c r="B6443" s="1" t="n">
        <v>45177</v>
      </c>
      <c r="C6443" s="1" t="n">
        <v>45662</v>
      </c>
      <c r="D6443" t="inlineStr">
        <is>
          <t>NORRBOTTENS LÄN</t>
        </is>
      </c>
      <c r="E6443" t="inlineStr">
        <is>
          <t>LULEÅ</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42249-2023</t>
        </is>
      </c>
      <c r="B6444" s="1" t="n">
        <v>45180</v>
      </c>
      <c r="C6444" s="1" t="n">
        <v>45662</v>
      </c>
      <c r="D6444" t="inlineStr">
        <is>
          <t>NORRBOTTENS LÄN</t>
        </is>
      </c>
      <c r="E6444" t="inlineStr">
        <is>
          <t>PAJALA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42450-2023</t>
        </is>
      </c>
      <c r="B6445" s="1" t="n">
        <v>45180</v>
      </c>
      <c r="C6445" s="1" t="n">
        <v>45662</v>
      </c>
      <c r="D6445" t="inlineStr">
        <is>
          <t>NORRBOTTENS LÄN</t>
        </is>
      </c>
      <c r="E6445" t="inlineStr">
        <is>
          <t>PITEÅ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42470-2023</t>
        </is>
      </c>
      <c r="B6446" s="1" t="n">
        <v>45180</v>
      </c>
      <c r="C6446" s="1" t="n">
        <v>45662</v>
      </c>
      <c r="D6446" t="inlineStr">
        <is>
          <t>NORRBOTTENS LÄN</t>
        </is>
      </c>
      <c r="E6446" t="inlineStr">
        <is>
          <t>PAJALA</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42479-2023</t>
        </is>
      </c>
      <c r="B6447" s="1" t="n">
        <v>45180</v>
      </c>
      <c r="C6447" s="1" t="n">
        <v>45662</v>
      </c>
      <c r="D6447" t="inlineStr">
        <is>
          <t>NORRBOTTENS LÄN</t>
        </is>
      </c>
      <c r="E6447" t="inlineStr">
        <is>
          <t>PAJALA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42499-2023</t>
        </is>
      </c>
      <c r="B6448" s="1" t="n">
        <v>45181</v>
      </c>
      <c r="C6448" s="1" t="n">
        <v>45662</v>
      </c>
      <c r="D6448" t="inlineStr">
        <is>
          <t>NORRBOTTENS LÄN</t>
        </is>
      </c>
      <c r="E6448" t="inlineStr">
        <is>
          <t>PAJALA</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42497-2023</t>
        </is>
      </c>
      <c r="B6449" s="1" t="n">
        <v>45181</v>
      </c>
      <c r="C6449" s="1" t="n">
        <v>45662</v>
      </c>
      <c r="D6449" t="inlineStr">
        <is>
          <t>NORRBOTTENS LÄN</t>
        </is>
      </c>
      <c r="E6449" t="inlineStr">
        <is>
          <t>KALIX</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42519-2023</t>
        </is>
      </c>
      <c r="B6450" s="1" t="n">
        <v>45181</v>
      </c>
      <c r="C6450" s="1" t="n">
        <v>45662</v>
      </c>
      <c r="D6450" t="inlineStr">
        <is>
          <t>NORRBOTTENS LÄN</t>
        </is>
      </c>
      <c r="E6450" t="inlineStr">
        <is>
          <t>PITEÅ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43003-2023</t>
        </is>
      </c>
      <c r="B6451" s="1" t="n">
        <v>45180</v>
      </c>
      <c r="C6451" s="1" t="n">
        <v>45662</v>
      </c>
      <c r="D6451" t="inlineStr">
        <is>
          <t>NORRBOTTENS LÄN</t>
        </is>
      </c>
      <c r="E6451" t="inlineStr">
        <is>
          <t>HAPARANDA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42505-2023</t>
        </is>
      </c>
      <c r="B6452" s="1" t="n">
        <v>45180</v>
      </c>
      <c r="C6452" s="1" t="n">
        <v>45662</v>
      </c>
      <c r="D6452" t="inlineStr">
        <is>
          <t>NORRBOTTENS LÄN</t>
        </is>
      </c>
      <c r="E6452" t="inlineStr">
        <is>
          <t>BODEN</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43173-2023</t>
        </is>
      </c>
      <c r="B6453" s="1" t="n">
        <v>45180</v>
      </c>
      <c r="C6453" s="1" t="n">
        <v>45662</v>
      </c>
      <c r="D6453" t="inlineStr">
        <is>
          <t>NORRBOTTENS LÄN</t>
        </is>
      </c>
      <c r="E6453" t="inlineStr">
        <is>
          <t>ÖVERKALIX</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42496-2023</t>
        </is>
      </c>
      <c r="B6454" s="1" t="n">
        <v>45180</v>
      </c>
      <c r="C6454" s="1" t="n">
        <v>45662</v>
      </c>
      <c r="D6454" t="inlineStr">
        <is>
          <t>NORRBOTTENS LÄN</t>
        </is>
      </c>
      <c r="E6454" t="inlineStr">
        <is>
          <t>KIRUNA</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42520-2023</t>
        </is>
      </c>
      <c r="B6455" s="1" t="n">
        <v>45181</v>
      </c>
      <c r="C6455" s="1" t="n">
        <v>45662</v>
      </c>
      <c r="D6455" t="inlineStr">
        <is>
          <t>NORRBOTTENS LÄN</t>
        </is>
      </c>
      <c r="E6455" t="inlineStr">
        <is>
          <t>PITEÅ</t>
        </is>
      </c>
      <c r="F6455" t="inlineStr">
        <is>
          <t>Naturvårdsverket</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43493-2023</t>
        </is>
      </c>
      <c r="B6456" s="1" t="n">
        <v>45181</v>
      </c>
      <c r="C6456" s="1" t="n">
        <v>45662</v>
      </c>
      <c r="D6456" t="inlineStr">
        <is>
          <t>NORRBOTTENS LÄN</t>
        </is>
      </c>
      <c r="E6456" t="inlineStr">
        <is>
          <t>PITEÅ</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42546-2023</t>
        </is>
      </c>
      <c r="B6457" s="1" t="n">
        <v>45181</v>
      </c>
      <c r="C6457" s="1" t="n">
        <v>45662</v>
      </c>
      <c r="D6457" t="inlineStr">
        <is>
          <t>NORRBOTTENS LÄN</t>
        </is>
      </c>
      <c r="E6457" t="inlineStr">
        <is>
          <t>GÄLLIVARE</t>
        </is>
      </c>
      <c r="F6457" t="inlineStr">
        <is>
          <t>Sveaskog</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42542-2023</t>
        </is>
      </c>
      <c r="B6458" s="1" t="n">
        <v>45181</v>
      </c>
      <c r="C6458" s="1" t="n">
        <v>45662</v>
      </c>
      <c r="D6458" t="inlineStr">
        <is>
          <t>NORRBOTTENS LÄN</t>
        </is>
      </c>
      <c r="E6458" t="inlineStr">
        <is>
          <t>ÄLVSBYN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42553-2023</t>
        </is>
      </c>
      <c r="B6459" s="1" t="n">
        <v>45181</v>
      </c>
      <c r="C6459" s="1" t="n">
        <v>45662</v>
      </c>
      <c r="D6459" t="inlineStr">
        <is>
          <t>NORRBOTTENS LÄN</t>
        </is>
      </c>
      <c r="E6459" t="inlineStr">
        <is>
          <t>ÄLVSBYN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42562-2023</t>
        </is>
      </c>
      <c r="B6460" s="1" t="n">
        <v>45181</v>
      </c>
      <c r="C6460" s="1" t="n">
        <v>45662</v>
      </c>
      <c r="D6460" t="inlineStr">
        <is>
          <t>NORRBOTTENS LÄN</t>
        </is>
      </c>
      <c r="E6460" t="inlineStr">
        <is>
          <t>GÄLLIVARE</t>
        </is>
      </c>
      <c r="F6460" t="inlineStr">
        <is>
          <t>Sveaskog</t>
        </is>
      </c>
      <c r="G6460" t="n">
        <v>32.4</v>
      </c>
      <c r="H6460" t="n">
        <v>0</v>
      </c>
      <c r="I6460" t="n">
        <v>0</v>
      </c>
      <c r="J6460" t="n">
        <v>0</v>
      </c>
      <c r="K6460" t="n">
        <v>0</v>
      </c>
      <c r="L6460" t="n">
        <v>0</v>
      </c>
      <c r="M6460" t="n">
        <v>0</v>
      </c>
      <c r="N6460" t="n">
        <v>0</v>
      </c>
      <c r="O6460" t="n">
        <v>0</v>
      </c>
      <c r="P6460" t="n">
        <v>0</v>
      </c>
      <c r="Q6460" t="n">
        <v>0</v>
      </c>
      <c r="R6460" s="2" t="inlineStr"/>
    </row>
    <row r="6461" ht="15" customHeight="1">
      <c r="A6461" t="inlineStr">
        <is>
          <t>A 42571-2023</t>
        </is>
      </c>
      <c r="B6461" s="1" t="n">
        <v>45181</v>
      </c>
      <c r="C6461" s="1" t="n">
        <v>45662</v>
      </c>
      <c r="D6461" t="inlineStr">
        <is>
          <t>NORRBOTTENS LÄN</t>
        </is>
      </c>
      <c r="E6461" t="inlineStr">
        <is>
          <t>LULEÅ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42591-2023</t>
        </is>
      </c>
      <c r="B6462" s="1" t="n">
        <v>45181</v>
      </c>
      <c r="C6462" s="1" t="n">
        <v>45662</v>
      </c>
      <c r="D6462" t="inlineStr">
        <is>
          <t>NORRBOTTENS LÄN</t>
        </is>
      </c>
      <c r="E6462" t="inlineStr">
        <is>
          <t>HAPARANDA</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42602-2023</t>
        </is>
      </c>
      <c r="B6463" s="1" t="n">
        <v>45181</v>
      </c>
      <c r="C6463" s="1" t="n">
        <v>45662</v>
      </c>
      <c r="D6463" t="inlineStr">
        <is>
          <t>NORRBOTTENS LÄN</t>
        </is>
      </c>
      <c r="E6463" t="inlineStr">
        <is>
          <t>HAPARANDA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42662-2023</t>
        </is>
      </c>
      <c r="B6464" s="1" t="n">
        <v>45181</v>
      </c>
      <c r="C6464" s="1" t="n">
        <v>45662</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42666-2023</t>
        </is>
      </c>
      <c r="B6465" s="1" t="n">
        <v>45181</v>
      </c>
      <c r="C6465" s="1" t="n">
        <v>45662</v>
      </c>
      <c r="D6465" t="inlineStr">
        <is>
          <t>NORRBOTTENS LÄN</t>
        </is>
      </c>
      <c r="E6465" t="inlineStr">
        <is>
          <t>HAPARANDA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42554-2023</t>
        </is>
      </c>
      <c r="B6466" s="1" t="n">
        <v>45181</v>
      </c>
      <c r="C6466" s="1" t="n">
        <v>45662</v>
      </c>
      <c r="D6466" t="inlineStr">
        <is>
          <t>NORRBOTTENS LÄN</t>
        </is>
      </c>
      <c r="E6466" t="inlineStr">
        <is>
          <t>HAPARANDA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42568-2023</t>
        </is>
      </c>
      <c r="B6467" s="1" t="n">
        <v>45181</v>
      </c>
      <c r="C6467" s="1" t="n">
        <v>45662</v>
      </c>
      <c r="D6467" t="inlineStr">
        <is>
          <t>NORRBOTTENS LÄN</t>
        </is>
      </c>
      <c r="E6467" t="inlineStr">
        <is>
          <t>GÄLLIVARE</t>
        </is>
      </c>
      <c r="F6467" t="inlineStr">
        <is>
          <t>Sveaskog</t>
        </is>
      </c>
      <c r="G6467" t="n">
        <v>24.6</v>
      </c>
      <c r="H6467" t="n">
        <v>0</v>
      </c>
      <c r="I6467" t="n">
        <v>0</v>
      </c>
      <c r="J6467" t="n">
        <v>0</v>
      </c>
      <c r="K6467" t="n">
        <v>0</v>
      </c>
      <c r="L6467" t="n">
        <v>0</v>
      </c>
      <c r="M6467" t="n">
        <v>0</v>
      </c>
      <c r="N6467" t="n">
        <v>0</v>
      </c>
      <c r="O6467" t="n">
        <v>0</v>
      </c>
      <c r="P6467" t="n">
        <v>0</v>
      </c>
      <c r="Q6467" t="n">
        <v>0</v>
      </c>
      <c r="R6467" s="2" t="inlineStr"/>
    </row>
    <row r="6468" ht="15" customHeight="1">
      <c r="A6468" t="inlineStr">
        <is>
          <t>A 42541-2023</t>
        </is>
      </c>
      <c r="B6468" s="1" t="n">
        <v>45181</v>
      </c>
      <c r="C6468" s="1" t="n">
        <v>45662</v>
      </c>
      <c r="D6468" t="inlineStr">
        <is>
          <t>NORRBOTTENS LÄN</t>
        </is>
      </c>
      <c r="E6468" t="inlineStr">
        <is>
          <t>HAPARANDA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42547-2023</t>
        </is>
      </c>
      <c r="B6469" s="1" t="n">
        <v>45181</v>
      </c>
      <c r="C6469" s="1" t="n">
        <v>45662</v>
      </c>
      <c r="D6469" t="inlineStr">
        <is>
          <t>NORRBOTTENS LÄN</t>
        </is>
      </c>
      <c r="E6469" t="inlineStr">
        <is>
          <t>HAPARANDA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42721-2023</t>
        </is>
      </c>
      <c r="B6470" s="1" t="n">
        <v>45181</v>
      </c>
      <c r="C6470" s="1" t="n">
        <v>45662</v>
      </c>
      <c r="D6470" t="inlineStr">
        <is>
          <t>NORRBOTTENS LÄN</t>
        </is>
      </c>
      <c r="E6470" t="inlineStr">
        <is>
          <t>ÖVERKALIX</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42598-2023</t>
        </is>
      </c>
      <c r="B6471" s="1" t="n">
        <v>45181</v>
      </c>
      <c r="C6471" s="1" t="n">
        <v>45662</v>
      </c>
      <c r="D6471" t="inlineStr">
        <is>
          <t>NORRBOTTENS LÄN</t>
        </is>
      </c>
      <c r="E6471" t="inlineStr">
        <is>
          <t>HAPARANDA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42663-2023</t>
        </is>
      </c>
      <c r="B6472" s="1" t="n">
        <v>45181</v>
      </c>
      <c r="C6472" s="1" t="n">
        <v>45662</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42788-2023</t>
        </is>
      </c>
      <c r="B6473" s="1" t="n">
        <v>45181</v>
      </c>
      <c r="C6473" s="1" t="n">
        <v>45662</v>
      </c>
      <c r="D6473" t="inlineStr">
        <is>
          <t>NORRBOTTENS LÄN</t>
        </is>
      </c>
      <c r="E6473" t="inlineStr">
        <is>
          <t>KIRUNA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42575-2023</t>
        </is>
      </c>
      <c r="B6474" s="1" t="n">
        <v>45181</v>
      </c>
      <c r="C6474" s="1" t="n">
        <v>45662</v>
      </c>
      <c r="D6474" t="inlineStr">
        <is>
          <t>NORRBOTTENS LÄN</t>
        </is>
      </c>
      <c r="E6474" t="inlineStr">
        <is>
          <t>LULEÅ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42773-2023</t>
        </is>
      </c>
      <c r="B6475" s="1" t="n">
        <v>45181</v>
      </c>
      <c r="C6475" s="1" t="n">
        <v>45662</v>
      </c>
      <c r="D6475" t="inlineStr">
        <is>
          <t>NORRBOTTENS LÄN</t>
        </is>
      </c>
      <c r="E6475" t="inlineStr">
        <is>
          <t>PAJALA</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42785-2023</t>
        </is>
      </c>
      <c r="B6476" s="1" t="n">
        <v>45181</v>
      </c>
      <c r="C6476" s="1" t="n">
        <v>45662</v>
      </c>
      <c r="D6476" t="inlineStr">
        <is>
          <t>NORRBOTTENS LÄN</t>
        </is>
      </c>
      <c r="E6476" t="inlineStr">
        <is>
          <t>KIRUNA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42794-2023</t>
        </is>
      </c>
      <c r="B6477" s="1" t="n">
        <v>45182</v>
      </c>
      <c r="C6477" s="1" t="n">
        <v>45662</v>
      </c>
      <c r="D6477" t="inlineStr">
        <is>
          <t>NORRBOTTENS LÄN</t>
        </is>
      </c>
      <c r="E6477" t="inlineStr">
        <is>
          <t>BODEN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42798-2023</t>
        </is>
      </c>
      <c r="B6478" s="1" t="n">
        <v>45182</v>
      </c>
      <c r="C6478" s="1" t="n">
        <v>45662</v>
      </c>
      <c r="D6478" t="inlineStr">
        <is>
          <t>NORRBOTTENS LÄN</t>
        </is>
      </c>
      <c r="E6478" t="inlineStr">
        <is>
          <t>ARVIDSJAUR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43099-2023</t>
        </is>
      </c>
      <c r="B6479" s="1" t="n">
        <v>45182</v>
      </c>
      <c r="C6479" s="1" t="n">
        <v>45662</v>
      </c>
      <c r="D6479" t="inlineStr">
        <is>
          <t>NORRBOTTENS LÄN</t>
        </is>
      </c>
      <c r="E6479" t="inlineStr">
        <is>
          <t>ÖVERKALIX</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43110-2023</t>
        </is>
      </c>
      <c r="B6480" s="1" t="n">
        <v>45183</v>
      </c>
      <c r="C6480" s="1" t="n">
        <v>45662</v>
      </c>
      <c r="D6480" t="inlineStr">
        <is>
          <t>NORRBOTTENS LÄN</t>
        </is>
      </c>
      <c r="E6480" t="inlineStr">
        <is>
          <t>ÖVERKALIX</t>
        </is>
      </c>
      <c r="F6480" t="inlineStr">
        <is>
          <t>SCA</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43114-2023</t>
        </is>
      </c>
      <c r="B6481" s="1" t="n">
        <v>45182</v>
      </c>
      <c r="C6481" s="1" t="n">
        <v>45662</v>
      </c>
      <c r="D6481" t="inlineStr">
        <is>
          <t>NORRBOTTENS LÄN</t>
        </is>
      </c>
      <c r="E6481" t="inlineStr">
        <is>
          <t>ÄLVSBYN</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43118-2023</t>
        </is>
      </c>
      <c r="B6482" s="1" t="n">
        <v>45183</v>
      </c>
      <c r="C6482" s="1" t="n">
        <v>45662</v>
      </c>
      <c r="D6482" t="inlineStr">
        <is>
          <t>NORRBOTTENS LÄN</t>
        </is>
      </c>
      <c r="E6482" t="inlineStr">
        <is>
          <t>ÄLVSBYN</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43111-2023</t>
        </is>
      </c>
      <c r="B6483" s="1" t="n">
        <v>45183</v>
      </c>
      <c r="C6483" s="1" t="n">
        <v>45662</v>
      </c>
      <c r="D6483" t="inlineStr">
        <is>
          <t>NORRBOTTENS LÄN</t>
        </is>
      </c>
      <c r="E6483" t="inlineStr">
        <is>
          <t>ÖVERKALIX</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43115-2023</t>
        </is>
      </c>
      <c r="B6484" s="1" t="n">
        <v>45182</v>
      </c>
      <c r="C6484" s="1" t="n">
        <v>45662</v>
      </c>
      <c r="D6484" t="inlineStr">
        <is>
          <t>NORRBOTTENS LÄN</t>
        </is>
      </c>
      <c r="E6484" t="inlineStr">
        <is>
          <t>ÄLVSBYN</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43119-2023</t>
        </is>
      </c>
      <c r="B6485" s="1" t="n">
        <v>45183</v>
      </c>
      <c r="C6485" s="1" t="n">
        <v>45662</v>
      </c>
      <c r="D6485" t="inlineStr">
        <is>
          <t>NORRBOTTENS LÄN</t>
        </is>
      </c>
      <c r="E6485" t="inlineStr">
        <is>
          <t>BODEN</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42839-2023</t>
        </is>
      </c>
      <c r="B6486" s="1" t="n">
        <v>45182</v>
      </c>
      <c r="C6486" s="1" t="n">
        <v>45662</v>
      </c>
      <c r="D6486" t="inlineStr">
        <is>
          <t>NORRBOTTENS LÄN</t>
        </is>
      </c>
      <c r="E6486" t="inlineStr">
        <is>
          <t>PAJALA</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43116-2023</t>
        </is>
      </c>
      <c r="B6487" s="1" t="n">
        <v>45183</v>
      </c>
      <c r="C6487" s="1" t="n">
        <v>45662</v>
      </c>
      <c r="D6487" t="inlineStr">
        <is>
          <t>NORRBOTTENS LÄN</t>
        </is>
      </c>
      <c r="E6487" t="inlineStr">
        <is>
          <t>ÄLVSBYN</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43120-2023</t>
        </is>
      </c>
      <c r="B6488" s="1" t="n">
        <v>45182</v>
      </c>
      <c r="C6488" s="1" t="n">
        <v>45662</v>
      </c>
      <c r="D6488" t="inlineStr">
        <is>
          <t>NORRBOTTENS LÄN</t>
        </is>
      </c>
      <c r="E6488" t="inlineStr">
        <is>
          <t>KALIX</t>
        </is>
      </c>
      <c r="F6488" t="inlineStr">
        <is>
          <t>SCA</t>
        </is>
      </c>
      <c r="G6488" t="n">
        <v>17.7</v>
      </c>
      <c r="H6488" t="n">
        <v>0</v>
      </c>
      <c r="I6488" t="n">
        <v>0</v>
      </c>
      <c r="J6488" t="n">
        <v>0</v>
      </c>
      <c r="K6488" t="n">
        <v>0</v>
      </c>
      <c r="L6488" t="n">
        <v>0</v>
      </c>
      <c r="M6488" t="n">
        <v>0</v>
      </c>
      <c r="N6488" t="n">
        <v>0</v>
      </c>
      <c r="O6488" t="n">
        <v>0</v>
      </c>
      <c r="P6488" t="n">
        <v>0</v>
      </c>
      <c r="Q6488" t="n">
        <v>0</v>
      </c>
      <c r="R6488" s="2" t="inlineStr"/>
    </row>
    <row r="6489" ht="15" customHeight="1">
      <c r="A6489" t="inlineStr">
        <is>
          <t>A 43001-2023</t>
        </is>
      </c>
      <c r="B6489" s="1" t="n">
        <v>45182</v>
      </c>
      <c r="C6489" s="1" t="n">
        <v>45662</v>
      </c>
      <c r="D6489" t="inlineStr">
        <is>
          <t>NORRBOTTENS LÄN</t>
        </is>
      </c>
      <c r="E6489" t="inlineStr">
        <is>
          <t>PITEÅ</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43010-2023</t>
        </is>
      </c>
      <c r="B6490" s="1" t="n">
        <v>45182</v>
      </c>
      <c r="C6490" s="1" t="n">
        <v>45662</v>
      </c>
      <c r="D6490" t="inlineStr">
        <is>
          <t>NORRBOTTENS LÄN</t>
        </is>
      </c>
      <c r="E6490" t="inlineStr">
        <is>
          <t>PAJALA</t>
        </is>
      </c>
      <c r="F6490" t="inlineStr">
        <is>
          <t>Sveaskog</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43847-2023</t>
        </is>
      </c>
      <c r="B6491" s="1" t="n">
        <v>45182</v>
      </c>
      <c r="C6491" s="1" t="n">
        <v>45662</v>
      </c>
      <c r="D6491" t="inlineStr">
        <is>
          <t>NORRBOTTENS LÄN</t>
        </is>
      </c>
      <c r="E6491" t="inlineStr">
        <is>
          <t>ARVIDSJAUR</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43850-2023</t>
        </is>
      </c>
      <c r="B6492" s="1" t="n">
        <v>45182</v>
      </c>
      <c r="C6492" s="1" t="n">
        <v>45662</v>
      </c>
      <c r="D6492" t="inlineStr">
        <is>
          <t>NORRBOTTENS LÄN</t>
        </is>
      </c>
      <c r="E6492" t="inlineStr">
        <is>
          <t>ARVIDSJAUR</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43085-2023</t>
        </is>
      </c>
      <c r="B6493" s="1" t="n">
        <v>45182</v>
      </c>
      <c r="C6493" s="1" t="n">
        <v>45662</v>
      </c>
      <c r="D6493" t="inlineStr">
        <is>
          <t>NORRBOTTENS LÄN</t>
        </is>
      </c>
      <c r="E6493" t="inlineStr">
        <is>
          <t>BODEN</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43109-2023</t>
        </is>
      </c>
      <c r="B6494" s="1" t="n">
        <v>45183</v>
      </c>
      <c r="C6494" s="1" t="n">
        <v>45662</v>
      </c>
      <c r="D6494" t="inlineStr">
        <is>
          <t>NORRBOTTENS LÄN</t>
        </is>
      </c>
      <c r="E6494" t="inlineStr">
        <is>
          <t>GÄLLIVARE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43117-2023</t>
        </is>
      </c>
      <c r="B6495" s="1" t="n">
        <v>45183</v>
      </c>
      <c r="C6495" s="1" t="n">
        <v>45662</v>
      </c>
      <c r="D6495" t="inlineStr">
        <is>
          <t>NORRBOTTENS LÄN</t>
        </is>
      </c>
      <c r="E6495" t="inlineStr">
        <is>
          <t>ÄLVSBYN</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43842-2023</t>
        </is>
      </c>
      <c r="B6496" s="1" t="n">
        <v>45182</v>
      </c>
      <c r="C6496" s="1" t="n">
        <v>45662</v>
      </c>
      <c r="D6496" t="inlineStr">
        <is>
          <t>NORRBOTTENS LÄN</t>
        </is>
      </c>
      <c r="E6496" t="inlineStr">
        <is>
          <t>ARVIDSJAUR</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44092-2023</t>
        </is>
      </c>
      <c r="B6497" s="1" t="n">
        <v>45182</v>
      </c>
      <c r="C6497" s="1" t="n">
        <v>45662</v>
      </c>
      <c r="D6497" t="inlineStr">
        <is>
          <t>NORRBOTTENS LÄN</t>
        </is>
      </c>
      <c r="E6497" t="inlineStr">
        <is>
          <t>BODEN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44061-2023</t>
        </is>
      </c>
      <c r="B6498" s="1" t="n">
        <v>45182</v>
      </c>
      <c r="C6498" s="1" t="n">
        <v>45662</v>
      </c>
      <c r="D6498" t="inlineStr">
        <is>
          <t>NORRBOTTENS LÄN</t>
        </is>
      </c>
      <c r="E6498" t="inlineStr">
        <is>
          <t>BODEN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43407-2023</t>
        </is>
      </c>
      <c r="B6499" s="1" t="n">
        <v>45184</v>
      </c>
      <c r="C6499" s="1" t="n">
        <v>45662</v>
      </c>
      <c r="D6499" t="inlineStr">
        <is>
          <t>NORRBOTTENS LÄN</t>
        </is>
      </c>
      <c r="E6499" t="inlineStr">
        <is>
          <t>GÄLLIVARE</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43408-2023</t>
        </is>
      </c>
      <c r="B6500" s="1" t="n">
        <v>45183</v>
      </c>
      <c r="C6500" s="1" t="n">
        <v>45662</v>
      </c>
      <c r="D6500" t="inlineStr">
        <is>
          <t>NORRBOTTENS LÄN</t>
        </is>
      </c>
      <c r="E6500" t="inlineStr">
        <is>
          <t>GÄLLIVARE</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43416-2023</t>
        </is>
      </c>
      <c r="B6501" s="1" t="n">
        <v>45184</v>
      </c>
      <c r="C6501" s="1" t="n">
        <v>45662</v>
      </c>
      <c r="D6501" t="inlineStr">
        <is>
          <t>NORRBOTTENS LÄN</t>
        </is>
      </c>
      <c r="E6501" t="inlineStr">
        <is>
          <t>BODEN</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43270-2023</t>
        </is>
      </c>
      <c r="B6502" s="1" t="n">
        <v>45183</v>
      </c>
      <c r="C6502" s="1" t="n">
        <v>45662</v>
      </c>
      <c r="D6502" t="inlineStr">
        <is>
          <t>NORRBOTTENS LÄN</t>
        </is>
      </c>
      <c r="E6502" t="inlineStr">
        <is>
          <t>LULEÅ</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44218-2023</t>
        </is>
      </c>
      <c r="B6503" s="1" t="n">
        <v>45183</v>
      </c>
      <c r="C6503" s="1" t="n">
        <v>45662</v>
      </c>
      <c r="D6503" t="inlineStr">
        <is>
          <t>NORRBOTTENS LÄN</t>
        </is>
      </c>
      <c r="E6503" t="inlineStr">
        <is>
          <t>ARJEPLOG</t>
        </is>
      </c>
      <c r="F6503" t="inlineStr">
        <is>
          <t>Allmännings- och besparingsskogar</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44526-2023</t>
        </is>
      </c>
      <c r="B6504" s="1" t="n">
        <v>45183</v>
      </c>
      <c r="C6504" s="1" t="n">
        <v>45662</v>
      </c>
      <c r="D6504" t="inlineStr">
        <is>
          <t>NORRBOTTENS LÄN</t>
        </is>
      </c>
      <c r="E6504" t="inlineStr">
        <is>
          <t>LULEÅ</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44461-2023</t>
        </is>
      </c>
      <c r="B6505" s="1" t="n">
        <v>45183</v>
      </c>
      <c r="C6505" s="1" t="n">
        <v>45662</v>
      </c>
      <c r="D6505" t="inlineStr">
        <is>
          <t>NORRBOTTENS LÄN</t>
        </is>
      </c>
      <c r="E6505" t="inlineStr">
        <is>
          <t>PITEÅ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44531-2023</t>
        </is>
      </c>
      <c r="B6506" s="1" t="n">
        <v>45183</v>
      </c>
      <c r="C6506" s="1" t="n">
        <v>45662</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44516-2023</t>
        </is>
      </c>
      <c r="B6507" s="1" t="n">
        <v>45183</v>
      </c>
      <c r="C6507" s="1" t="n">
        <v>45662</v>
      </c>
      <c r="D6507" t="inlineStr">
        <is>
          <t>NORRBOTTENS LÄN</t>
        </is>
      </c>
      <c r="E6507" t="inlineStr">
        <is>
          <t>LULEÅ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43443-2023</t>
        </is>
      </c>
      <c r="B6508" s="1" t="n">
        <v>45184</v>
      </c>
      <c r="C6508" s="1" t="n">
        <v>45662</v>
      </c>
      <c r="D6508" t="inlineStr">
        <is>
          <t>NORRBOTTENS LÄN</t>
        </is>
      </c>
      <c r="E6508" t="inlineStr">
        <is>
          <t>BODEN</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43477-2023</t>
        </is>
      </c>
      <c r="B6509" s="1" t="n">
        <v>45184</v>
      </c>
      <c r="C6509" s="1" t="n">
        <v>45662</v>
      </c>
      <c r="D6509" t="inlineStr">
        <is>
          <t>NORRBOTTENS LÄN</t>
        </is>
      </c>
      <c r="E6509" t="inlineStr">
        <is>
          <t>GÄLLIVARE</t>
        </is>
      </c>
      <c r="F6509" t="inlineStr">
        <is>
          <t>Sveaskog</t>
        </is>
      </c>
      <c r="G6509" t="n">
        <v>29.1</v>
      </c>
      <c r="H6509" t="n">
        <v>0</v>
      </c>
      <c r="I6509" t="n">
        <v>0</v>
      </c>
      <c r="J6509" t="n">
        <v>0</v>
      </c>
      <c r="K6509" t="n">
        <v>0</v>
      </c>
      <c r="L6509" t="n">
        <v>0</v>
      </c>
      <c r="M6509" t="n">
        <v>0</v>
      </c>
      <c r="N6509" t="n">
        <v>0</v>
      </c>
      <c r="O6509" t="n">
        <v>0</v>
      </c>
      <c r="P6509" t="n">
        <v>0</v>
      </c>
      <c r="Q6509" t="n">
        <v>0</v>
      </c>
      <c r="R6509" s="2" t="inlineStr"/>
    </row>
    <row r="6510" ht="15" customHeight="1">
      <c r="A6510" t="inlineStr">
        <is>
          <t>A 43608-2023</t>
        </is>
      </c>
      <c r="B6510" s="1" t="n">
        <v>45184</v>
      </c>
      <c r="C6510" s="1" t="n">
        <v>45662</v>
      </c>
      <c r="D6510" t="inlineStr">
        <is>
          <t>NORRBOTTENS LÄN</t>
        </is>
      </c>
      <c r="E6510" t="inlineStr">
        <is>
          <t>PITEÅ</t>
        </is>
      </c>
      <c r="F6510" t="inlineStr">
        <is>
          <t>Sveaskog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43639-2023</t>
        </is>
      </c>
      <c r="B6511" s="1" t="n">
        <v>45186</v>
      </c>
      <c r="C6511" s="1" t="n">
        <v>45662</v>
      </c>
      <c r="D6511" t="inlineStr">
        <is>
          <t>NORRBOTTENS LÄN</t>
        </is>
      </c>
      <c r="E6511" t="inlineStr">
        <is>
          <t>BODEN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43640-2023</t>
        </is>
      </c>
      <c r="B6512" s="1" t="n">
        <v>45186</v>
      </c>
      <c r="C6512" s="1" t="n">
        <v>45662</v>
      </c>
      <c r="D6512" t="inlineStr">
        <is>
          <t>NORRBOTTENS LÄN</t>
        </is>
      </c>
      <c r="E6512" t="inlineStr">
        <is>
          <t>BODEN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43648-2023</t>
        </is>
      </c>
      <c r="B6513" s="1" t="n">
        <v>45187</v>
      </c>
      <c r="C6513" s="1" t="n">
        <v>45662</v>
      </c>
      <c r="D6513" t="inlineStr">
        <is>
          <t>NORRBOTTENS LÄN</t>
        </is>
      </c>
      <c r="E6513" t="inlineStr">
        <is>
          <t>BODEN</t>
        </is>
      </c>
      <c r="F6513" t="inlineStr">
        <is>
          <t>Sveaskog</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43765-2023</t>
        </is>
      </c>
      <c r="B6514" s="1" t="n">
        <v>45187</v>
      </c>
      <c r="C6514" s="1" t="n">
        <v>45662</v>
      </c>
      <c r="D6514" t="inlineStr">
        <is>
          <t>NORRBOTTENS LÄN</t>
        </is>
      </c>
      <c r="E6514" t="inlineStr">
        <is>
          <t>LULEÅ</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43646-2023</t>
        </is>
      </c>
      <c r="B6515" s="1" t="n">
        <v>45187</v>
      </c>
      <c r="C6515" s="1" t="n">
        <v>45662</v>
      </c>
      <c r="D6515" t="inlineStr">
        <is>
          <t>NORRBOTTENS LÄN</t>
        </is>
      </c>
      <c r="E6515" t="inlineStr">
        <is>
          <t>PAJALA</t>
        </is>
      </c>
      <c r="F6515" t="inlineStr">
        <is>
          <t>Sveaskog</t>
        </is>
      </c>
      <c r="G6515" t="n">
        <v>18.3</v>
      </c>
      <c r="H6515" t="n">
        <v>0</v>
      </c>
      <c r="I6515" t="n">
        <v>0</v>
      </c>
      <c r="J6515" t="n">
        <v>0</v>
      </c>
      <c r="K6515" t="n">
        <v>0</v>
      </c>
      <c r="L6515" t="n">
        <v>0</v>
      </c>
      <c r="M6515" t="n">
        <v>0</v>
      </c>
      <c r="N6515" t="n">
        <v>0</v>
      </c>
      <c r="O6515" t="n">
        <v>0</v>
      </c>
      <c r="P6515" t="n">
        <v>0</v>
      </c>
      <c r="Q6515" t="n">
        <v>0</v>
      </c>
      <c r="R6515" s="2" t="inlineStr"/>
    </row>
    <row r="6516" ht="15" customHeight="1">
      <c r="A6516" t="inlineStr">
        <is>
          <t>A 43819-2023</t>
        </is>
      </c>
      <c r="B6516" s="1" t="n">
        <v>45187</v>
      </c>
      <c r="C6516" s="1" t="n">
        <v>45662</v>
      </c>
      <c r="D6516" t="inlineStr">
        <is>
          <t>NORRBOTTENS LÄN</t>
        </is>
      </c>
      <c r="E6516" t="inlineStr">
        <is>
          <t>PAJALA</t>
        </is>
      </c>
      <c r="G6516" t="n">
        <v>25.8</v>
      </c>
      <c r="H6516" t="n">
        <v>0</v>
      </c>
      <c r="I6516" t="n">
        <v>0</v>
      </c>
      <c r="J6516" t="n">
        <v>0</v>
      </c>
      <c r="K6516" t="n">
        <v>0</v>
      </c>
      <c r="L6516" t="n">
        <v>0</v>
      </c>
      <c r="M6516" t="n">
        <v>0</v>
      </c>
      <c r="N6516" t="n">
        <v>0</v>
      </c>
      <c r="O6516" t="n">
        <v>0</v>
      </c>
      <c r="P6516" t="n">
        <v>0</v>
      </c>
      <c r="Q6516" t="n">
        <v>0</v>
      </c>
      <c r="R6516" s="2" t="inlineStr"/>
    </row>
    <row r="6517" ht="15" customHeight="1">
      <c r="A6517" t="inlineStr">
        <is>
          <t>A 43861-2023</t>
        </is>
      </c>
      <c r="B6517" s="1" t="n">
        <v>45187</v>
      </c>
      <c r="C6517" s="1" t="n">
        <v>45662</v>
      </c>
      <c r="D6517" t="inlineStr">
        <is>
          <t>NORRBOTTENS LÄN</t>
        </is>
      </c>
      <c r="E6517" t="inlineStr">
        <is>
          <t>LULEÅ</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43886-2023</t>
        </is>
      </c>
      <c r="B6518" s="1" t="n">
        <v>45187</v>
      </c>
      <c r="C6518" s="1" t="n">
        <v>45662</v>
      </c>
      <c r="D6518" t="inlineStr">
        <is>
          <t>NORRBOTTENS LÄN</t>
        </is>
      </c>
      <c r="E6518" t="inlineStr">
        <is>
          <t>PITEÅ</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43902-2023</t>
        </is>
      </c>
      <c r="B6519" s="1" t="n">
        <v>45187</v>
      </c>
      <c r="C6519" s="1" t="n">
        <v>45662</v>
      </c>
      <c r="D6519" t="inlineStr">
        <is>
          <t>NORRBOTTENS LÄN</t>
        </is>
      </c>
      <c r="E6519" t="inlineStr">
        <is>
          <t>PITEÅ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43907-2023</t>
        </is>
      </c>
      <c r="B6520" s="1" t="n">
        <v>45187</v>
      </c>
      <c r="C6520" s="1" t="n">
        <v>45662</v>
      </c>
      <c r="D6520" t="inlineStr">
        <is>
          <t>NORRBOTTENS LÄN</t>
        </is>
      </c>
      <c r="E6520" t="inlineStr">
        <is>
          <t>PITEÅ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43912-2023</t>
        </is>
      </c>
      <c r="B6521" s="1" t="n">
        <v>45187</v>
      </c>
      <c r="C6521" s="1" t="n">
        <v>45662</v>
      </c>
      <c r="D6521" t="inlineStr">
        <is>
          <t>NORRBOTTENS LÄN</t>
        </is>
      </c>
      <c r="E6521" t="inlineStr">
        <is>
          <t>PITEÅ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43936-2023</t>
        </is>
      </c>
      <c r="B6522" s="1" t="n">
        <v>45187</v>
      </c>
      <c r="C6522" s="1" t="n">
        <v>45662</v>
      </c>
      <c r="D6522" t="inlineStr">
        <is>
          <t>NORRBOTTENS LÄN</t>
        </is>
      </c>
      <c r="E6522" t="inlineStr">
        <is>
          <t>PAJALA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43860-2023</t>
        </is>
      </c>
      <c r="B6523" s="1" t="n">
        <v>45187</v>
      </c>
      <c r="C6523" s="1" t="n">
        <v>45662</v>
      </c>
      <c r="D6523" t="inlineStr">
        <is>
          <t>NORRBOTTENS LÄN</t>
        </is>
      </c>
      <c r="E6523" t="inlineStr">
        <is>
          <t>PAJALA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43885-2023</t>
        </is>
      </c>
      <c r="B6524" s="1" t="n">
        <v>45187</v>
      </c>
      <c r="C6524" s="1" t="n">
        <v>45662</v>
      </c>
      <c r="D6524" t="inlineStr">
        <is>
          <t>NORRBOTTENS LÄN</t>
        </is>
      </c>
      <c r="E6524" t="inlineStr">
        <is>
          <t>PITEÅ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43911-2023</t>
        </is>
      </c>
      <c r="B6525" s="1" t="n">
        <v>45187</v>
      </c>
      <c r="C6525" s="1" t="n">
        <v>45662</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43895-2023</t>
        </is>
      </c>
      <c r="B6526" s="1" t="n">
        <v>45187</v>
      </c>
      <c r="C6526" s="1" t="n">
        <v>45662</v>
      </c>
      <c r="D6526" t="inlineStr">
        <is>
          <t>NORRBOTTENS LÄN</t>
        </is>
      </c>
      <c r="E6526" t="inlineStr">
        <is>
          <t>PITEÅ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43899-2023</t>
        </is>
      </c>
      <c r="B6527" s="1" t="n">
        <v>45187</v>
      </c>
      <c r="C6527" s="1" t="n">
        <v>45662</v>
      </c>
      <c r="D6527" t="inlineStr">
        <is>
          <t>NORRBOTTENS LÄN</t>
        </is>
      </c>
      <c r="E6527" t="inlineStr">
        <is>
          <t>ÖVERKALIX</t>
        </is>
      </c>
      <c r="F6527" t="inlineStr">
        <is>
          <t>Sveaskog</t>
        </is>
      </c>
      <c r="G6527" t="n">
        <v>31.9</v>
      </c>
      <c r="H6527" t="n">
        <v>0</v>
      </c>
      <c r="I6527" t="n">
        <v>0</v>
      </c>
      <c r="J6527" t="n">
        <v>0</v>
      </c>
      <c r="K6527" t="n">
        <v>0</v>
      </c>
      <c r="L6527" t="n">
        <v>0</v>
      </c>
      <c r="M6527" t="n">
        <v>0</v>
      </c>
      <c r="N6527" t="n">
        <v>0</v>
      </c>
      <c r="O6527" t="n">
        <v>0</v>
      </c>
      <c r="P6527" t="n">
        <v>0</v>
      </c>
      <c r="Q6527" t="n">
        <v>0</v>
      </c>
      <c r="R6527" s="2" t="inlineStr"/>
    </row>
    <row r="6528" ht="15" customHeight="1">
      <c r="A6528" t="inlineStr">
        <is>
          <t>A 43933-2023</t>
        </is>
      </c>
      <c r="B6528" s="1" t="n">
        <v>45187</v>
      </c>
      <c r="C6528" s="1" t="n">
        <v>45662</v>
      </c>
      <c r="D6528" t="inlineStr">
        <is>
          <t>NORRBOTTENS LÄN</t>
        </is>
      </c>
      <c r="E6528" t="inlineStr">
        <is>
          <t>PAJALA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43988-2023</t>
        </is>
      </c>
      <c r="B6529" s="1" t="n">
        <v>45187</v>
      </c>
      <c r="C6529" s="1" t="n">
        <v>45662</v>
      </c>
      <c r="D6529" t="inlineStr">
        <is>
          <t>NORRBOTTENS LÄN</t>
        </is>
      </c>
      <c r="E6529" t="inlineStr">
        <is>
          <t>GÄLLIVARE</t>
        </is>
      </c>
      <c r="F6529" t="inlineStr">
        <is>
          <t>SCA</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45072-2023</t>
        </is>
      </c>
      <c r="B6530" s="1" t="n">
        <v>45187</v>
      </c>
      <c r="C6530" s="1" t="n">
        <v>45662</v>
      </c>
      <c r="D6530" t="inlineStr">
        <is>
          <t>NORRBOTTENS LÄN</t>
        </is>
      </c>
      <c r="E6530" t="inlineStr">
        <is>
          <t>ARJEPLOG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45185-2023</t>
        </is>
      </c>
      <c r="B6531" s="1" t="n">
        <v>45187</v>
      </c>
      <c r="C6531" s="1" t="n">
        <v>45662</v>
      </c>
      <c r="D6531" t="inlineStr">
        <is>
          <t>NORRBOTTENS LÄN</t>
        </is>
      </c>
      <c r="E6531" t="inlineStr">
        <is>
          <t>PAJALA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45064-2023</t>
        </is>
      </c>
      <c r="B6532" s="1" t="n">
        <v>45187</v>
      </c>
      <c r="C6532" s="1" t="n">
        <v>45662</v>
      </c>
      <c r="D6532" t="inlineStr">
        <is>
          <t>NORRBOTTENS LÄN</t>
        </is>
      </c>
      <c r="E6532" t="inlineStr">
        <is>
          <t>ARJEPLOG</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44076-2023</t>
        </is>
      </c>
      <c r="B6533" s="1" t="n">
        <v>45188</v>
      </c>
      <c r="C6533" s="1" t="n">
        <v>45662</v>
      </c>
      <c r="D6533" t="inlineStr">
        <is>
          <t>NORRBOTTENS LÄN</t>
        </is>
      </c>
      <c r="E6533" t="inlineStr">
        <is>
          <t>PITEÅ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44096-2023</t>
        </is>
      </c>
      <c r="B6534" s="1" t="n">
        <v>45188</v>
      </c>
      <c r="C6534" s="1" t="n">
        <v>45662</v>
      </c>
      <c r="D6534" t="inlineStr">
        <is>
          <t>NORRBOTTENS LÄN</t>
        </is>
      </c>
      <c r="E6534" t="inlineStr">
        <is>
          <t>ÖVERTORNEÅ</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44121-2023</t>
        </is>
      </c>
      <c r="B6535" s="1" t="n">
        <v>45188</v>
      </c>
      <c r="C6535" s="1" t="n">
        <v>45662</v>
      </c>
      <c r="D6535" t="inlineStr">
        <is>
          <t>NORRBOTTENS LÄN</t>
        </is>
      </c>
      <c r="E6535" t="inlineStr">
        <is>
          <t>PITEÅ</t>
        </is>
      </c>
      <c r="F6535" t="inlineStr">
        <is>
          <t>Sveaskog</t>
        </is>
      </c>
      <c r="G6535" t="n">
        <v>12.2</v>
      </c>
      <c r="H6535" t="n">
        <v>0</v>
      </c>
      <c r="I6535" t="n">
        <v>0</v>
      </c>
      <c r="J6535" t="n">
        <v>0</v>
      </c>
      <c r="K6535" t="n">
        <v>0</v>
      </c>
      <c r="L6535" t="n">
        <v>0</v>
      </c>
      <c r="M6535" t="n">
        <v>0</v>
      </c>
      <c r="N6535" t="n">
        <v>0</v>
      </c>
      <c r="O6535" t="n">
        <v>0</v>
      </c>
      <c r="P6535" t="n">
        <v>0</v>
      </c>
      <c r="Q6535" t="n">
        <v>0</v>
      </c>
      <c r="R6535" s="2" t="inlineStr"/>
    </row>
    <row r="6536" ht="15" customHeight="1">
      <c r="A6536" t="inlineStr">
        <is>
          <t>A 44079-2023</t>
        </is>
      </c>
      <c r="B6536" s="1" t="n">
        <v>45188</v>
      </c>
      <c r="C6536" s="1" t="n">
        <v>45662</v>
      </c>
      <c r="D6536" t="inlineStr">
        <is>
          <t>NORRBOTTENS LÄN</t>
        </is>
      </c>
      <c r="E6536" t="inlineStr">
        <is>
          <t>ÖVERTORNEÅ</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44186-2023</t>
        </is>
      </c>
      <c r="B6537" s="1" t="n">
        <v>45188</v>
      </c>
      <c r="C6537" s="1" t="n">
        <v>45662</v>
      </c>
      <c r="D6537" t="inlineStr">
        <is>
          <t>NORRBOTTENS LÄN</t>
        </is>
      </c>
      <c r="E6537" t="inlineStr">
        <is>
          <t>BODEN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44206-2023</t>
        </is>
      </c>
      <c r="B6538" s="1" t="n">
        <v>45188</v>
      </c>
      <c r="C6538" s="1" t="n">
        <v>45662</v>
      </c>
      <c r="D6538" t="inlineStr">
        <is>
          <t>NORRBOTTENS LÄN</t>
        </is>
      </c>
      <c r="E6538" t="inlineStr">
        <is>
          <t>PITEÅ</t>
        </is>
      </c>
      <c r="F6538" t="inlineStr">
        <is>
          <t>Sveaskog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44265-2023</t>
        </is>
      </c>
      <c r="B6539" s="1" t="n">
        <v>45188</v>
      </c>
      <c r="C6539" s="1" t="n">
        <v>45662</v>
      </c>
      <c r="D6539" t="inlineStr">
        <is>
          <t>NORRBOTTENS LÄN</t>
        </is>
      </c>
      <c r="E6539" t="inlineStr">
        <is>
          <t>ÖVERKALIX</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44273-2023</t>
        </is>
      </c>
      <c r="B6540" s="1" t="n">
        <v>45188</v>
      </c>
      <c r="C6540" s="1" t="n">
        <v>45662</v>
      </c>
      <c r="D6540" t="inlineStr">
        <is>
          <t>NORRBOTTENS LÄN</t>
        </is>
      </c>
      <c r="E6540" t="inlineStr">
        <is>
          <t>ÖVERKALIX</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44277-2023</t>
        </is>
      </c>
      <c r="B6541" s="1" t="n">
        <v>45188</v>
      </c>
      <c r="C6541" s="1" t="n">
        <v>45662</v>
      </c>
      <c r="D6541" t="inlineStr">
        <is>
          <t>NORRBOTTENS LÄN</t>
        </is>
      </c>
      <c r="E6541" t="inlineStr">
        <is>
          <t>KALIX</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44082-2023</t>
        </is>
      </c>
      <c r="B6542" s="1" t="n">
        <v>45188</v>
      </c>
      <c r="C6542" s="1" t="n">
        <v>45662</v>
      </c>
      <c r="D6542" t="inlineStr">
        <is>
          <t>NORRBOTTENS LÄN</t>
        </is>
      </c>
      <c r="E6542" t="inlineStr">
        <is>
          <t>PITEÅ</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44245-2023</t>
        </is>
      </c>
      <c r="B6543" s="1" t="n">
        <v>45188</v>
      </c>
      <c r="C6543" s="1" t="n">
        <v>45662</v>
      </c>
      <c r="D6543" t="inlineStr">
        <is>
          <t>NORRBOTTENS LÄN</t>
        </is>
      </c>
      <c r="E6543" t="inlineStr">
        <is>
          <t>PITEÅ</t>
        </is>
      </c>
      <c r="F6543" t="inlineStr">
        <is>
          <t>Sveaskog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44179-2023</t>
        </is>
      </c>
      <c r="B6544" s="1" t="n">
        <v>45188</v>
      </c>
      <c r="C6544" s="1" t="n">
        <v>45662</v>
      </c>
      <c r="D6544" t="inlineStr">
        <is>
          <t>NORRBOTTENS LÄN</t>
        </is>
      </c>
      <c r="E6544" t="inlineStr">
        <is>
          <t>ARVIDSJAUR</t>
        </is>
      </c>
      <c r="F6544" t="inlineStr">
        <is>
          <t>Sveaskog</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44199-2023</t>
        </is>
      </c>
      <c r="B6545" s="1" t="n">
        <v>45188</v>
      </c>
      <c r="C6545" s="1" t="n">
        <v>45662</v>
      </c>
      <c r="D6545" t="inlineStr">
        <is>
          <t>NORRBOTTENS LÄN</t>
        </is>
      </c>
      <c r="E6545" t="inlineStr">
        <is>
          <t>PITEÅ</t>
        </is>
      </c>
      <c r="F6545" t="inlineStr">
        <is>
          <t>Sveaskog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44283-2023</t>
        </is>
      </c>
      <c r="B6546" s="1" t="n">
        <v>45188</v>
      </c>
      <c r="C6546" s="1" t="n">
        <v>45662</v>
      </c>
      <c r="D6546" t="inlineStr">
        <is>
          <t>NORRBOTTENS LÄN</t>
        </is>
      </c>
      <c r="E6546" t="inlineStr">
        <is>
          <t>KALIX</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44183-2023</t>
        </is>
      </c>
      <c r="B6547" s="1" t="n">
        <v>45188</v>
      </c>
      <c r="C6547" s="1" t="n">
        <v>45662</v>
      </c>
      <c r="D6547" t="inlineStr">
        <is>
          <t>NORRBOTTENS LÄN</t>
        </is>
      </c>
      <c r="E6547" t="inlineStr">
        <is>
          <t>BODEN</t>
        </is>
      </c>
      <c r="F6547" t="inlineStr">
        <is>
          <t>Sveaskog</t>
        </is>
      </c>
      <c r="G6547" t="n">
        <v>20.6</v>
      </c>
      <c r="H6547" t="n">
        <v>0</v>
      </c>
      <c r="I6547" t="n">
        <v>0</v>
      </c>
      <c r="J6547" t="n">
        <v>0</v>
      </c>
      <c r="K6547" t="n">
        <v>0</v>
      </c>
      <c r="L6547" t="n">
        <v>0</v>
      </c>
      <c r="M6547" t="n">
        <v>0</v>
      </c>
      <c r="N6547" t="n">
        <v>0</v>
      </c>
      <c r="O6547" t="n">
        <v>0</v>
      </c>
      <c r="P6547" t="n">
        <v>0</v>
      </c>
      <c r="Q6547" t="n">
        <v>0</v>
      </c>
      <c r="R6547" s="2" t="inlineStr"/>
    </row>
    <row r="6548" ht="15" customHeight="1">
      <c r="A6548" t="inlineStr">
        <is>
          <t>A 44377-2023</t>
        </is>
      </c>
      <c r="B6548" s="1" t="n">
        <v>45188</v>
      </c>
      <c r="C6548" s="1" t="n">
        <v>45662</v>
      </c>
      <c r="D6548" t="inlineStr">
        <is>
          <t>NORRBOTTENS LÄN</t>
        </is>
      </c>
      <c r="E6548" t="inlineStr">
        <is>
          <t>LULEÅ</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44412-2023</t>
        </is>
      </c>
      <c r="B6549" s="1" t="n">
        <v>45188</v>
      </c>
      <c r="C6549" s="1" t="n">
        <v>45662</v>
      </c>
      <c r="D6549" t="inlineStr">
        <is>
          <t>NORRBOTTENS LÄN</t>
        </is>
      </c>
      <c r="E6549" t="inlineStr">
        <is>
          <t>PITEÅ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44294-2023</t>
        </is>
      </c>
      <c r="B6550" s="1" t="n">
        <v>45188</v>
      </c>
      <c r="C6550" s="1" t="n">
        <v>45662</v>
      </c>
      <c r="D6550" t="inlineStr">
        <is>
          <t>NORRBOTTENS LÄN</t>
        </is>
      </c>
      <c r="E6550" t="inlineStr">
        <is>
          <t>PITEÅ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45630-2023</t>
        </is>
      </c>
      <c r="B6551" s="1" t="n">
        <v>45188</v>
      </c>
      <c r="C6551" s="1" t="n">
        <v>45662</v>
      </c>
      <c r="D6551" t="inlineStr">
        <is>
          <t>NORRBOTTENS LÄN</t>
        </is>
      </c>
      <c r="E6551" t="inlineStr">
        <is>
          <t>PAJALA</t>
        </is>
      </c>
      <c r="F6551" t="inlineStr">
        <is>
          <t>Allmännings- och besparingsskogar</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44398-2023</t>
        </is>
      </c>
      <c r="B6552" s="1" t="n">
        <v>45188</v>
      </c>
      <c r="C6552" s="1" t="n">
        <v>45662</v>
      </c>
      <c r="D6552" t="inlineStr">
        <is>
          <t>NORRBOTTENS LÄN</t>
        </is>
      </c>
      <c r="E6552" t="inlineStr">
        <is>
          <t>GÄLLIVARE</t>
        </is>
      </c>
      <c r="F6552" t="inlineStr">
        <is>
          <t>SCA</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44557-2023</t>
        </is>
      </c>
      <c r="B6553" s="1" t="n">
        <v>45189</v>
      </c>
      <c r="C6553" s="1" t="n">
        <v>45662</v>
      </c>
      <c r="D6553" t="inlineStr">
        <is>
          <t>NORRBOTTENS LÄN</t>
        </is>
      </c>
      <c r="E6553" t="inlineStr">
        <is>
          <t>ARVIDSJAUR</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44554-2023</t>
        </is>
      </c>
      <c r="B6554" s="1" t="n">
        <v>45189</v>
      </c>
      <c r="C6554" s="1" t="n">
        <v>45662</v>
      </c>
      <c r="D6554" t="inlineStr">
        <is>
          <t>NORRBOTTENS LÄN</t>
        </is>
      </c>
      <c r="E6554" t="inlineStr">
        <is>
          <t>ÖVERKALIX</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44634-2023</t>
        </is>
      </c>
      <c r="B6555" s="1" t="n">
        <v>45189</v>
      </c>
      <c r="C6555" s="1" t="n">
        <v>45662</v>
      </c>
      <c r="D6555" t="inlineStr">
        <is>
          <t>NORRBOTTENS LÄN</t>
        </is>
      </c>
      <c r="E6555" t="inlineStr">
        <is>
          <t>PITEÅ</t>
        </is>
      </c>
      <c r="F6555" t="inlineStr">
        <is>
          <t>Sveaskog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44689-2023</t>
        </is>
      </c>
      <c r="B6556" s="1" t="n">
        <v>45189</v>
      </c>
      <c r="C6556" s="1" t="n">
        <v>45662</v>
      </c>
      <c r="D6556" t="inlineStr">
        <is>
          <t>NORRBOTTENS LÄN</t>
        </is>
      </c>
      <c r="E6556" t="inlineStr">
        <is>
          <t>GÄLLIVARE</t>
        </is>
      </c>
      <c r="G6556" t="n">
        <v>26.1</v>
      </c>
      <c r="H6556" t="n">
        <v>0</v>
      </c>
      <c r="I6556" t="n">
        <v>0</v>
      </c>
      <c r="J6556" t="n">
        <v>0</v>
      </c>
      <c r="K6556" t="n">
        <v>0</v>
      </c>
      <c r="L6556" t="n">
        <v>0</v>
      </c>
      <c r="M6556" t="n">
        <v>0</v>
      </c>
      <c r="N6556" t="n">
        <v>0</v>
      </c>
      <c r="O6556" t="n">
        <v>0</v>
      </c>
      <c r="P6556" t="n">
        <v>0</v>
      </c>
      <c r="Q6556" t="n">
        <v>0</v>
      </c>
      <c r="R6556" s="2" t="inlineStr"/>
    </row>
    <row r="6557" ht="15" customHeight="1">
      <c r="A6557" t="inlineStr">
        <is>
          <t>A 45778-2023</t>
        </is>
      </c>
      <c r="B6557" s="1" t="n">
        <v>45189</v>
      </c>
      <c r="C6557" s="1" t="n">
        <v>45662</v>
      </c>
      <c r="D6557" t="inlineStr">
        <is>
          <t>NORRBOTTENS LÄN</t>
        </is>
      </c>
      <c r="E6557" t="inlineStr">
        <is>
          <t>ARVIDSJAUR</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44686-2023</t>
        </is>
      </c>
      <c r="B6558" s="1" t="n">
        <v>45189</v>
      </c>
      <c r="C6558" s="1" t="n">
        <v>45662</v>
      </c>
      <c r="D6558" t="inlineStr">
        <is>
          <t>NORRBOTTENS LÄN</t>
        </is>
      </c>
      <c r="E6558" t="inlineStr">
        <is>
          <t>GÄLLIVARE</t>
        </is>
      </c>
      <c r="G6558" t="n">
        <v>19.4</v>
      </c>
      <c r="H6558" t="n">
        <v>0</v>
      </c>
      <c r="I6558" t="n">
        <v>0</v>
      </c>
      <c r="J6558" t="n">
        <v>0</v>
      </c>
      <c r="K6558" t="n">
        <v>0</v>
      </c>
      <c r="L6558" t="n">
        <v>0</v>
      </c>
      <c r="M6558" t="n">
        <v>0</v>
      </c>
      <c r="N6558" t="n">
        <v>0</v>
      </c>
      <c r="O6558" t="n">
        <v>0</v>
      </c>
      <c r="P6558" t="n">
        <v>0</v>
      </c>
      <c r="Q6558" t="n">
        <v>0</v>
      </c>
      <c r="R6558" s="2" t="inlineStr"/>
    </row>
    <row r="6559" ht="15" customHeight="1">
      <c r="A6559" t="inlineStr">
        <is>
          <t>A 44690-2023</t>
        </is>
      </c>
      <c r="B6559" s="1" t="n">
        <v>45189</v>
      </c>
      <c r="C6559" s="1" t="n">
        <v>45662</v>
      </c>
      <c r="D6559" t="inlineStr">
        <is>
          <t>NORRBOTTENS LÄN</t>
        </is>
      </c>
      <c r="E6559" t="inlineStr">
        <is>
          <t>GÄLLIVARE</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45767-2023</t>
        </is>
      </c>
      <c r="B6560" s="1" t="n">
        <v>45189</v>
      </c>
      <c r="C6560" s="1" t="n">
        <v>45662</v>
      </c>
      <c r="D6560" t="inlineStr">
        <is>
          <t>NORRBOTTENS LÄN</t>
        </is>
      </c>
      <c r="E6560" t="inlineStr">
        <is>
          <t>ÖVERKALIX</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44568-2023</t>
        </is>
      </c>
      <c r="B6561" s="1" t="n">
        <v>45189</v>
      </c>
      <c r="C6561" s="1" t="n">
        <v>45662</v>
      </c>
      <c r="D6561" t="inlineStr">
        <is>
          <t>NORRBOTTENS LÄN</t>
        </is>
      </c>
      <c r="E6561" t="inlineStr">
        <is>
          <t>BODEN</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44572-2023</t>
        </is>
      </c>
      <c r="B6562" s="1" t="n">
        <v>45189</v>
      </c>
      <c r="C6562" s="1" t="n">
        <v>45662</v>
      </c>
      <c r="D6562" t="inlineStr">
        <is>
          <t>NORRBOTTENS LÄN</t>
        </is>
      </c>
      <c r="E6562" t="inlineStr">
        <is>
          <t>PAJALA</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45757-2023</t>
        </is>
      </c>
      <c r="B6563" s="1" t="n">
        <v>45189</v>
      </c>
      <c r="C6563" s="1" t="n">
        <v>45662</v>
      </c>
      <c r="D6563" t="inlineStr">
        <is>
          <t>NORRBOTTENS LÄN</t>
        </is>
      </c>
      <c r="E6563" t="inlineStr">
        <is>
          <t>ARVIDSJAUR</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44691-2023</t>
        </is>
      </c>
      <c r="B6564" s="1" t="n">
        <v>45189</v>
      </c>
      <c r="C6564" s="1" t="n">
        <v>45662</v>
      </c>
      <c r="D6564" t="inlineStr">
        <is>
          <t>NORRBOTTENS LÄN</t>
        </is>
      </c>
      <c r="E6564" t="inlineStr">
        <is>
          <t>GÄLLIVARE</t>
        </is>
      </c>
      <c r="G6564" t="n">
        <v>18.8</v>
      </c>
      <c r="H6564" t="n">
        <v>0</v>
      </c>
      <c r="I6564" t="n">
        <v>0</v>
      </c>
      <c r="J6564" t="n">
        <v>0</v>
      </c>
      <c r="K6564" t="n">
        <v>0</v>
      </c>
      <c r="L6564" t="n">
        <v>0</v>
      </c>
      <c r="M6564" t="n">
        <v>0</v>
      </c>
      <c r="N6564" t="n">
        <v>0</v>
      </c>
      <c r="O6564" t="n">
        <v>0</v>
      </c>
      <c r="P6564" t="n">
        <v>0</v>
      </c>
      <c r="Q6564" t="n">
        <v>0</v>
      </c>
      <c r="R6564" s="2" t="inlineStr"/>
    </row>
    <row r="6565" ht="15" customHeight="1">
      <c r="A6565" t="inlineStr">
        <is>
          <t>A 45748-2023</t>
        </is>
      </c>
      <c r="B6565" s="1" t="n">
        <v>45189</v>
      </c>
      <c r="C6565" s="1" t="n">
        <v>45662</v>
      </c>
      <c r="D6565" t="inlineStr">
        <is>
          <t>NORRBOTTENS LÄN</t>
        </is>
      </c>
      <c r="E6565" t="inlineStr">
        <is>
          <t>ÖVERKALIX</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46009-2023</t>
        </is>
      </c>
      <c r="B6566" s="1" t="n">
        <v>45189</v>
      </c>
      <c r="C6566" s="1" t="n">
        <v>45662</v>
      </c>
      <c r="D6566" t="inlineStr">
        <is>
          <t>NORRBOTTENS LÄN</t>
        </is>
      </c>
      <c r="E6566" t="inlineStr">
        <is>
          <t>KALIX</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45924-2023</t>
        </is>
      </c>
      <c r="B6567" s="1" t="n">
        <v>45189</v>
      </c>
      <c r="C6567" s="1" t="n">
        <v>45662</v>
      </c>
      <c r="D6567" t="inlineStr">
        <is>
          <t>NORRBOTTENS LÄN</t>
        </is>
      </c>
      <c r="E6567" t="inlineStr">
        <is>
          <t>ARJEPLOG</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44758-2023</t>
        </is>
      </c>
      <c r="B6568" s="1" t="n">
        <v>45190</v>
      </c>
      <c r="C6568" s="1" t="n">
        <v>45662</v>
      </c>
      <c r="D6568" t="inlineStr">
        <is>
          <t>NORRBOTTENS LÄN</t>
        </is>
      </c>
      <c r="E6568" t="inlineStr">
        <is>
          <t>LULEÅ</t>
        </is>
      </c>
      <c r="G6568" t="n">
        <v>10.9</v>
      </c>
      <c r="H6568" t="n">
        <v>0</v>
      </c>
      <c r="I6568" t="n">
        <v>0</v>
      </c>
      <c r="J6568" t="n">
        <v>0</v>
      </c>
      <c r="K6568" t="n">
        <v>0</v>
      </c>
      <c r="L6568" t="n">
        <v>0</v>
      </c>
      <c r="M6568" t="n">
        <v>0</v>
      </c>
      <c r="N6568" t="n">
        <v>0</v>
      </c>
      <c r="O6568" t="n">
        <v>0</v>
      </c>
      <c r="P6568" t="n">
        <v>0</v>
      </c>
      <c r="Q6568" t="n">
        <v>0</v>
      </c>
      <c r="R6568" s="2" t="inlineStr"/>
    </row>
    <row r="6569" ht="15" customHeight="1">
      <c r="A6569" t="inlineStr">
        <is>
          <t>A 44983-2023</t>
        </is>
      </c>
      <c r="B6569" s="1" t="n">
        <v>45190</v>
      </c>
      <c r="C6569" s="1" t="n">
        <v>45662</v>
      </c>
      <c r="D6569" t="inlineStr">
        <is>
          <t>NORRBOTTENS LÄN</t>
        </is>
      </c>
      <c r="E6569" t="inlineStr">
        <is>
          <t>GÄLLIVARE</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45003-2023</t>
        </is>
      </c>
      <c r="B6570" s="1" t="n">
        <v>45191</v>
      </c>
      <c r="C6570" s="1" t="n">
        <v>45662</v>
      </c>
      <c r="D6570" t="inlineStr">
        <is>
          <t>NORRBOTTENS LÄN</t>
        </is>
      </c>
      <c r="E6570" t="inlineStr">
        <is>
          <t>BODEN</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44982-2023</t>
        </is>
      </c>
      <c r="B6571" s="1" t="n">
        <v>45191</v>
      </c>
      <c r="C6571" s="1" t="n">
        <v>45662</v>
      </c>
      <c r="D6571" t="inlineStr">
        <is>
          <t>NORRBOTTENS LÄN</t>
        </is>
      </c>
      <c r="E6571" t="inlineStr">
        <is>
          <t>GÄLLIVARE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45026-2023</t>
        </is>
      </c>
      <c r="B6572" s="1" t="n">
        <v>45191</v>
      </c>
      <c r="C6572" s="1" t="n">
        <v>45662</v>
      </c>
      <c r="D6572" t="inlineStr">
        <is>
          <t>NORRBOTTENS LÄN</t>
        </is>
      </c>
      <c r="E6572" t="inlineStr">
        <is>
          <t>GÄLLIVARE</t>
        </is>
      </c>
      <c r="F6572" t="inlineStr">
        <is>
          <t>SCA</t>
        </is>
      </c>
      <c r="G6572" t="n">
        <v>12.6</v>
      </c>
      <c r="H6572" t="n">
        <v>0</v>
      </c>
      <c r="I6572" t="n">
        <v>0</v>
      </c>
      <c r="J6572" t="n">
        <v>0</v>
      </c>
      <c r="K6572" t="n">
        <v>0</v>
      </c>
      <c r="L6572" t="n">
        <v>0</v>
      </c>
      <c r="M6572" t="n">
        <v>0</v>
      </c>
      <c r="N6572" t="n">
        <v>0</v>
      </c>
      <c r="O6572" t="n">
        <v>0</v>
      </c>
      <c r="P6572" t="n">
        <v>0</v>
      </c>
      <c r="Q6572" t="n">
        <v>0</v>
      </c>
      <c r="R6572" s="2" t="inlineStr"/>
    </row>
    <row r="6573" ht="15" customHeight="1">
      <c r="A6573" t="inlineStr">
        <is>
          <t>A 44964-2023</t>
        </is>
      </c>
      <c r="B6573" s="1" t="n">
        <v>45190</v>
      </c>
      <c r="C6573" s="1" t="n">
        <v>45662</v>
      </c>
      <c r="D6573" t="inlineStr">
        <is>
          <t>NORRBOTTENS LÄN</t>
        </is>
      </c>
      <c r="E6573" t="inlineStr">
        <is>
          <t>ÄLVSBYN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44981-2023</t>
        </is>
      </c>
      <c r="B6574" s="1" t="n">
        <v>45191</v>
      </c>
      <c r="C6574" s="1" t="n">
        <v>45662</v>
      </c>
      <c r="D6574" t="inlineStr">
        <is>
          <t>NORRBOTTENS LÄN</t>
        </is>
      </c>
      <c r="E6574" t="inlineStr">
        <is>
          <t>GÄLLIVARE</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44985-2023</t>
        </is>
      </c>
      <c r="B6575" s="1" t="n">
        <v>45191</v>
      </c>
      <c r="C6575" s="1" t="n">
        <v>45662</v>
      </c>
      <c r="D6575" t="inlineStr">
        <is>
          <t>NORRBOTTENS LÄN</t>
        </is>
      </c>
      <c r="E6575" t="inlineStr">
        <is>
          <t>GÄLLIVARE</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46085-2023</t>
        </is>
      </c>
      <c r="B6576" s="1" t="n">
        <v>45190</v>
      </c>
      <c r="C6576" s="1" t="n">
        <v>45662</v>
      </c>
      <c r="D6576" t="inlineStr">
        <is>
          <t>NORRBOTTENS LÄN</t>
        </is>
      </c>
      <c r="E6576" t="inlineStr">
        <is>
          <t>PITEÅ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46196-2023</t>
        </is>
      </c>
      <c r="B6577" s="1" t="n">
        <v>45190</v>
      </c>
      <c r="C6577" s="1" t="n">
        <v>45662</v>
      </c>
      <c r="D6577" t="inlineStr">
        <is>
          <t>NORRBOTTENS LÄN</t>
        </is>
      </c>
      <c r="E6577" t="inlineStr">
        <is>
          <t>KALIX</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46123-2023</t>
        </is>
      </c>
      <c r="B6578" s="1" t="n">
        <v>45190</v>
      </c>
      <c r="C6578" s="1" t="n">
        <v>45662</v>
      </c>
      <c r="D6578" t="inlineStr">
        <is>
          <t>NORRBOTTENS LÄN</t>
        </is>
      </c>
      <c r="E6578" t="inlineStr">
        <is>
          <t>PITEÅ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46086-2023</t>
        </is>
      </c>
      <c r="B6579" s="1" t="n">
        <v>45190</v>
      </c>
      <c r="C6579" s="1" t="n">
        <v>45662</v>
      </c>
      <c r="D6579" t="inlineStr">
        <is>
          <t>NORRBOTTENS LÄN</t>
        </is>
      </c>
      <c r="E6579" t="inlineStr">
        <is>
          <t>PITEÅ</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46117-2023</t>
        </is>
      </c>
      <c r="B6580" s="1" t="n">
        <v>45190</v>
      </c>
      <c r="C6580" s="1" t="n">
        <v>45662</v>
      </c>
      <c r="D6580" t="inlineStr">
        <is>
          <t>NORRBOTTENS LÄN</t>
        </is>
      </c>
      <c r="E6580" t="inlineStr">
        <is>
          <t>PITEÅ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46128-2023</t>
        </is>
      </c>
      <c r="B6581" s="1" t="n">
        <v>45190</v>
      </c>
      <c r="C6581" s="1" t="n">
        <v>45662</v>
      </c>
      <c r="D6581" t="inlineStr">
        <is>
          <t>NORRBOTTENS LÄN</t>
        </is>
      </c>
      <c r="E6581" t="inlineStr">
        <is>
          <t>ÖVERTORNEÅ</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45100-2023</t>
        </is>
      </c>
      <c r="B6582" s="1" t="n">
        <v>45191</v>
      </c>
      <c r="C6582" s="1" t="n">
        <v>45662</v>
      </c>
      <c r="D6582" t="inlineStr">
        <is>
          <t>NORRBOTTENS LÄN</t>
        </is>
      </c>
      <c r="E6582" t="inlineStr">
        <is>
          <t>ARVIDSJAUR</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45034-2023</t>
        </is>
      </c>
      <c r="B6583" s="1" t="n">
        <v>45191</v>
      </c>
      <c r="C6583" s="1" t="n">
        <v>45662</v>
      </c>
      <c r="D6583" t="inlineStr">
        <is>
          <t>NORRBOTTENS LÄN</t>
        </is>
      </c>
      <c r="E6583" t="inlineStr">
        <is>
          <t>ARVIDSJAUR</t>
        </is>
      </c>
      <c r="F6583" t="inlineStr">
        <is>
          <t>Sveaskog</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45136-2023</t>
        </is>
      </c>
      <c r="B6584" s="1" t="n">
        <v>45191</v>
      </c>
      <c r="C6584" s="1" t="n">
        <v>45662</v>
      </c>
      <c r="D6584" t="inlineStr">
        <is>
          <t>NORRBOTTENS LÄN</t>
        </is>
      </c>
      <c r="E6584" t="inlineStr">
        <is>
          <t>ÄLVSBYN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45135-2023</t>
        </is>
      </c>
      <c r="B6585" s="1" t="n">
        <v>45191</v>
      </c>
      <c r="C6585" s="1" t="n">
        <v>45662</v>
      </c>
      <c r="D6585" t="inlineStr">
        <is>
          <t>NORRBOTTENS LÄN</t>
        </is>
      </c>
      <c r="E6585" t="inlineStr">
        <is>
          <t>ÄLVSBYN</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45156-2023</t>
        </is>
      </c>
      <c r="B6586" s="1" t="n">
        <v>45191</v>
      </c>
      <c r="C6586" s="1" t="n">
        <v>45662</v>
      </c>
      <c r="D6586" t="inlineStr">
        <is>
          <t>NORRBOTTENS LÄN</t>
        </is>
      </c>
      <c r="E6586" t="inlineStr">
        <is>
          <t>PAJALA</t>
        </is>
      </c>
      <c r="F6586" t="inlineStr">
        <is>
          <t>Sveaskog</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45276-2023</t>
        </is>
      </c>
      <c r="B6587" s="1" t="n">
        <v>45191</v>
      </c>
      <c r="C6587" s="1" t="n">
        <v>45662</v>
      </c>
      <c r="D6587" t="inlineStr">
        <is>
          <t>NORRBOTTENS LÄN</t>
        </is>
      </c>
      <c r="E6587" t="inlineStr">
        <is>
          <t>PAJALA</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45290-2023</t>
        </is>
      </c>
      <c r="B6588" s="1" t="n">
        <v>45191</v>
      </c>
      <c r="C6588" s="1" t="n">
        <v>45662</v>
      </c>
      <c r="D6588" t="inlineStr">
        <is>
          <t>NORRBOTTENS LÄN</t>
        </is>
      </c>
      <c r="E6588" t="inlineStr">
        <is>
          <t>PAJALA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45238-2023</t>
        </is>
      </c>
      <c r="B6589" s="1" t="n">
        <v>45191</v>
      </c>
      <c r="C6589" s="1" t="n">
        <v>45662</v>
      </c>
      <c r="D6589" t="inlineStr">
        <is>
          <t>NORRBOTTENS LÄN</t>
        </is>
      </c>
      <c r="E6589" t="inlineStr">
        <is>
          <t>PAJALA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46232-2023</t>
        </is>
      </c>
      <c r="B6590" s="1" t="n">
        <v>45191</v>
      </c>
      <c r="C6590" s="1" t="n">
        <v>45662</v>
      </c>
      <c r="D6590" t="inlineStr">
        <is>
          <t>NORRBOTTENS LÄN</t>
        </is>
      </c>
      <c r="E6590" t="inlineStr">
        <is>
          <t>BODEN</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46305-2023</t>
        </is>
      </c>
      <c r="B6591" s="1" t="n">
        <v>45191</v>
      </c>
      <c r="C6591" s="1" t="n">
        <v>45662</v>
      </c>
      <c r="D6591" t="inlineStr">
        <is>
          <t>NORRBOTTENS LÄN</t>
        </is>
      </c>
      <c r="E6591" t="inlineStr">
        <is>
          <t>HAPARANDA</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45218-2023</t>
        </is>
      </c>
      <c r="B6592" s="1" t="n">
        <v>45191</v>
      </c>
      <c r="C6592" s="1" t="n">
        <v>45662</v>
      </c>
      <c r="D6592" t="inlineStr">
        <is>
          <t>NORRBOTTENS LÄN</t>
        </is>
      </c>
      <c r="E6592" t="inlineStr">
        <is>
          <t>KALIX</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45283-2023</t>
        </is>
      </c>
      <c r="B6593" s="1" t="n">
        <v>45191</v>
      </c>
      <c r="C6593" s="1" t="n">
        <v>45662</v>
      </c>
      <c r="D6593" t="inlineStr">
        <is>
          <t>NORRBOTTENS LÄN</t>
        </is>
      </c>
      <c r="E6593" t="inlineStr">
        <is>
          <t>PAJALA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45424-2023</t>
        </is>
      </c>
      <c r="B6594" s="1" t="n">
        <v>45194</v>
      </c>
      <c r="C6594" s="1" t="n">
        <v>45662</v>
      </c>
      <c r="D6594" t="inlineStr">
        <is>
          <t>NORRBOTTENS LÄN</t>
        </is>
      </c>
      <c r="E6594" t="inlineStr">
        <is>
          <t>ÄLVSBYN</t>
        </is>
      </c>
      <c r="F6594" t="inlineStr">
        <is>
          <t>Övriga Aktiebolag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46404-2023</t>
        </is>
      </c>
      <c r="B6595" s="1" t="n">
        <v>45194</v>
      </c>
      <c r="C6595" s="1" t="n">
        <v>45662</v>
      </c>
      <c r="D6595" t="inlineStr">
        <is>
          <t>NORRBOTTENS LÄN</t>
        </is>
      </c>
      <c r="E6595" t="inlineStr">
        <is>
          <t>ÄLVSBYN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45417-2023</t>
        </is>
      </c>
      <c r="B6596" s="1" t="n">
        <v>45194</v>
      </c>
      <c r="C6596" s="1" t="n">
        <v>45662</v>
      </c>
      <c r="D6596" t="inlineStr">
        <is>
          <t>NORRBOTTENS LÄN</t>
        </is>
      </c>
      <c r="E6596" t="inlineStr">
        <is>
          <t>ÄLVSBYN</t>
        </is>
      </c>
      <c r="F6596" t="inlineStr">
        <is>
          <t>Övriga Aktiebolag</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45446-2023</t>
        </is>
      </c>
      <c r="B6597" s="1" t="n">
        <v>45194</v>
      </c>
      <c r="C6597" s="1" t="n">
        <v>45662</v>
      </c>
      <c r="D6597" t="inlineStr">
        <is>
          <t>NORRBOTTENS LÄN</t>
        </is>
      </c>
      <c r="E6597" t="inlineStr">
        <is>
          <t>BODEN</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45454-2023</t>
        </is>
      </c>
      <c r="B6598" s="1" t="n">
        <v>45194</v>
      </c>
      <c r="C6598" s="1" t="n">
        <v>45662</v>
      </c>
      <c r="D6598" t="inlineStr">
        <is>
          <t>NORRBOTTENS LÄN</t>
        </is>
      </c>
      <c r="E6598" t="inlineStr">
        <is>
          <t>BODEN</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45543-2023</t>
        </is>
      </c>
      <c r="B6599" s="1" t="n">
        <v>45194</v>
      </c>
      <c r="C6599" s="1" t="n">
        <v>45662</v>
      </c>
      <c r="D6599" t="inlineStr">
        <is>
          <t>NORRBOTTENS LÄN</t>
        </is>
      </c>
      <c r="E6599" t="inlineStr">
        <is>
          <t>KIRUNA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46406-2023</t>
        </is>
      </c>
      <c r="B6600" s="1" t="n">
        <v>45194</v>
      </c>
      <c r="C6600" s="1" t="n">
        <v>45662</v>
      </c>
      <c r="D6600" t="inlineStr">
        <is>
          <t>NORRBOTTENS LÄN</t>
        </is>
      </c>
      <c r="E6600" t="inlineStr">
        <is>
          <t>ÄLVSBYN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45448-2023</t>
        </is>
      </c>
      <c r="B6601" s="1" t="n">
        <v>45194</v>
      </c>
      <c r="C6601" s="1" t="n">
        <v>45662</v>
      </c>
      <c r="D6601" t="inlineStr">
        <is>
          <t>NORRBOTTENS LÄN</t>
        </is>
      </c>
      <c r="E6601" t="inlineStr">
        <is>
          <t>BODEN</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46651-2023</t>
        </is>
      </c>
      <c r="B6602" s="1" t="n">
        <v>45194</v>
      </c>
      <c r="C6602" s="1" t="n">
        <v>45662</v>
      </c>
      <c r="D6602" t="inlineStr">
        <is>
          <t>NORRBOTTENS LÄN</t>
        </is>
      </c>
      <c r="E6602" t="inlineStr">
        <is>
          <t>ÖVERTORNEÅ</t>
        </is>
      </c>
      <c r="G6602" t="n">
        <v>10.1</v>
      </c>
      <c r="H6602" t="n">
        <v>0</v>
      </c>
      <c r="I6602" t="n">
        <v>0</v>
      </c>
      <c r="J6602" t="n">
        <v>0</v>
      </c>
      <c r="K6602" t="n">
        <v>0</v>
      </c>
      <c r="L6602" t="n">
        <v>0</v>
      </c>
      <c r="M6602" t="n">
        <v>0</v>
      </c>
      <c r="N6602" t="n">
        <v>0</v>
      </c>
      <c r="O6602" t="n">
        <v>0</v>
      </c>
      <c r="P6602" t="n">
        <v>0</v>
      </c>
      <c r="Q6602" t="n">
        <v>0</v>
      </c>
      <c r="R6602" s="2" t="inlineStr"/>
    </row>
    <row r="6603" ht="15" customHeight="1">
      <c r="A6603" t="inlineStr">
        <is>
          <t>A 45537-2023</t>
        </is>
      </c>
      <c r="B6603" s="1" t="n">
        <v>45194</v>
      </c>
      <c r="C6603" s="1" t="n">
        <v>45662</v>
      </c>
      <c r="D6603" t="inlineStr">
        <is>
          <t>NORRBOTTENS LÄN</t>
        </is>
      </c>
      <c r="E6603" t="inlineStr">
        <is>
          <t>KIRUNA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46711-2023</t>
        </is>
      </c>
      <c r="B6604" s="1" t="n">
        <v>45194</v>
      </c>
      <c r="C6604" s="1" t="n">
        <v>45662</v>
      </c>
      <c r="D6604" t="inlineStr">
        <is>
          <t>NORRBOTTENS LÄN</t>
        </is>
      </c>
      <c r="E6604" t="inlineStr">
        <is>
          <t>LULEÅ</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46587-2023</t>
        </is>
      </c>
      <c r="B6605" s="1" t="n">
        <v>45194</v>
      </c>
      <c r="C6605" s="1" t="n">
        <v>45662</v>
      </c>
      <c r="D6605" t="inlineStr">
        <is>
          <t>NORRBOTTENS LÄN</t>
        </is>
      </c>
      <c r="E6605" t="inlineStr">
        <is>
          <t>LULEÅ</t>
        </is>
      </c>
      <c r="G6605" t="n">
        <v>15.3</v>
      </c>
      <c r="H6605" t="n">
        <v>0</v>
      </c>
      <c r="I6605" t="n">
        <v>0</v>
      </c>
      <c r="J6605" t="n">
        <v>0</v>
      </c>
      <c r="K6605" t="n">
        <v>0</v>
      </c>
      <c r="L6605" t="n">
        <v>0</v>
      </c>
      <c r="M6605" t="n">
        <v>0</v>
      </c>
      <c r="N6605" t="n">
        <v>0</v>
      </c>
      <c r="O6605" t="n">
        <v>0</v>
      </c>
      <c r="P6605" t="n">
        <v>0</v>
      </c>
      <c r="Q6605" t="n">
        <v>0</v>
      </c>
      <c r="R6605" s="2" t="inlineStr"/>
    </row>
    <row r="6606" ht="15" customHeight="1">
      <c r="A6606" t="inlineStr">
        <is>
          <t>A 46666-2023</t>
        </is>
      </c>
      <c r="B6606" s="1" t="n">
        <v>45194</v>
      </c>
      <c r="C6606" s="1" t="n">
        <v>45662</v>
      </c>
      <c r="D6606" t="inlineStr">
        <is>
          <t>NORRBOTTENS LÄN</t>
        </is>
      </c>
      <c r="E6606" t="inlineStr">
        <is>
          <t>ÖVERTORNEÅ</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46644-2023</t>
        </is>
      </c>
      <c r="B6607" s="1" t="n">
        <v>45194</v>
      </c>
      <c r="C6607" s="1" t="n">
        <v>45662</v>
      </c>
      <c r="D6607" t="inlineStr">
        <is>
          <t>NORRBOTTENS LÄN</t>
        </is>
      </c>
      <c r="E6607" t="inlineStr">
        <is>
          <t>ÖVERTORNEÅ</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46720-2023</t>
        </is>
      </c>
      <c r="B6608" s="1" t="n">
        <v>45194</v>
      </c>
      <c r="C6608" s="1" t="n">
        <v>45662</v>
      </c>
      <c r="D6608" t="inlineStr">
        <is>
          <t>NORRBOTTENS LÄN</t>
        </is>
      </c>
      <c r="E6608" t="inlineStr">
        <is>
          <t>LULEÅ</t>
        </is>
      </c>
      <c r="G6608" t="n">
        <v>0.7</v>
      </c>
      <c r="H6608" t="n">
        <v>0</v>
      </c>
      <c r="I6608" t="n">
        <v>0</v>
      </c>
      <c r="J6608" t="n">
        <v>0</v>
      </c>
      <c r="K6608" t="n">
        <v>0</v>
      </c>
      <c r="L6608" t="n">
        <v>0</v>
      </c>
      <c r="M6608" t="n">
        <v>0</v>
      </c>
      <c r="N6608" t="n">
        <v>0</v>
      </c>
      <c r="O6608" t="n">
        <v>0</v>
      </c>
      <c r="P6608" t="n">
        <v>0</v>
      </c>
      <c r="Q6608" t="n">
        <v>0</v>
      </c>
      <c r="R6608" s="2" t="inlineStr"/>
      <c r="U6608">
        <f>HYPERLINK("https://klasma.github.io/Logging_2580/knärot/A 46720-2023 karta knärot.png", "A 46720-2023")</f>
        <v/>
      </c>
      <c r="V6608">
        <f>HYPERLINK("https://klasma.github.io/Logging_2580/klagomål/A 46720-2023 FSC-klagomål.docx", "A 46720-2023")</f>
        <v/>
      </c>
      <c r="W6608">
        <f>HYPERLINK("https://klasma.github.io/Logging_2580/klagomålsmail/A 46720-2023 FSC-klagomål mail.docx", "A 46720-2023")</f>
        <v/>
      </c>
      <c r="X6608">
        <f>HYPERLINK("https://klasma.github.io/Logging_2580/tillsyn/A 46720-2023 tillsynsbegäran.docx", "A 46720-2023")</f>
        <v/>
      </c>
      <c r="Y6608">
        <f>HYPERLINK("https://klasma.github.io/Logging_2580/tillsynsmail/A 46720-2023 tillsynsbegäran mail.docx", "A 46720-2023")</f>
        <v/>
      </c>
    </row>
    <row r="6609" ht="15" customHeight="1">
      <c r="A6609" t="inlineStr">
        <is>
          <t>A 46671-2023</t>
        </is>
      </c>
      <c r="B6609" s="1" t="n">
        <v>45194</v>
      </c>
      <c r="C6609" s="1" t="n">
        <v>45662</v>
      </c>
      <c r="D6609" t="inlineStr">
        <is>
          <t>NORRBOTTENS LÄN</t>
        </is>
      </c>
      <c r="E6609" t="inlineStr">
        <is>
          <t>ÖVERTORNEÅ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45781-2023</t>
        </is>
      </c>
      <c r="B6610" s="1" t="n">
        <v>45195</v>
      </c>
      <c r="C6610" s="1" t="n">
        <v>45662</v>
      </c>
      <c r="D6610" t="inlineStr">
        <is>
          <t>NORRBOTTENS LÄN</t>
        </is>
      </c>
      <c r="E6610" t="inlineStr">
        <is>
          <t>PAJALA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45845-2023</t>
        </is>
      </c>
      <c r="B6611" s="1" t="n">
        <v>45195</v>
      </c>
      <c r="C6611" s="1" t="n">
        <v>45662</v>
      </c>
      <c r="D6611" t="inlineStr">
        <is>
          <t>NORRBOTTENS LÄN</t>
        </is>
      </c>
      <c r="E6611" t="inlineStr">
        <is>
          <t>ÖVERKALIX</t>
        </is>
      </c>
      <c r="F6611" t="inlineStr">
        <is>
          <t>Sveaskog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45929-2023</t>
        </is>
      </c>
      <c r="B6612" s="1" t="n">
        <v>45196</v>
      </c>
      <c r="C6612" s="1" t="n">
        <v>45662</v>
      </c>
      <c r="D6612" t="inlineStr">
        <is>
          <t>NORRBOTTENS LÄN</t>
        </is>
      </c>
      <c r="E6612" t="inlineStr">
        <is>
          <t>BODEN</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45930-2023</t>
        </is>
      </c>
      <c r="B6613" s="1" t="n">
        <v>45196</v>
      </c>
      <c r="C6613" s="1" t="n">
        <v>45662</v>
      </c>
      <c r="D6613" t="inlineStr">
        <is>
          <t>NORRBOTTENS LÄN</t>
        </is>
      </c>
      <c r="E6613" t="inlineStr">
        <is>
          <t>BODEN</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45962-2023</t>
        </is>
      </c>
      <c r="B6614" s="1" t="n">
        <v>45195</v>
      </c>
      <c r="C6614" s="1" t="n">
        <v>45662</v>
      </c>
      <c r="D6614" t="inlineStr">
        <is>
          <t>NORRBOTTENS LÄN</t>
        </is>
      </c>
      <c r="E6614" t="inlineStr">
        <is>
          <t>ARVIDSJAUR</t>
        </is>
      </c>
      <c r="F6614" t="inlineStr">
        <is>
          <t>SCA</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45934-2023</t>
        </is>
      </c>
      <c r="B6615" s="1" t="n">
        <v>45196</v>
      </c>
      <c r="C6615" s="1" t="n">
        <v>45662</v>
      </c>
      <c r="D6615" t="inlineStr">
        <is>
          <t>NORRBOTTENS LÄN</t>
        </is>
      </c>
      <c r="E6615" t="inlineStr">
        <is>
          <t>ÖVERKALIX</t>
        </is>
      </c>
      <c r="F6615" t="inlineStr">
        <is>
          <t>SCA</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45961-2023</t>
        </is>
      </c>
      <c r="B6616" s="1" t="n">
        <v>45195</v>
      </c>
      <c r="C6616" s="1" t="n">
        <v>45662</v>
      </c>
      <c r="D6616" t="inlineStr">
        <is>
          <t>NORRBOTTENS LÄN</t>
        </is>
      </c>
      <c r="E6616" t="inlineStr">
        <is>
          <t>ARVIDSJAUR</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46670-2023</t>
        </is>
      </c>
      <c r="B6617" s="1" t="n">
        <v>45195</v>
      </c>
      <c r="C6617" s="1" t="n">
        <v>45662</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46986-2023</t>
        </is>
      </c>
      <c r="B6618" s="1" t="n">
        <v>45195</v>
      </c>
      <c r="C6618" s="1" t="n">
        <v>45662</v>
      </c>
      <c r="D6618" t="inlineStr">
        <is>
          <t>NORRBOTTENS LÄN</t>
        </is>
      </c>
      <c r="E6618" t="inlineStr">
        <is>
          <t>KALIX</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45931-2023</t>
        </is>
      </c>
      <c r="B6619" s="1" t="n">
        <v>45196</v>
      </c>
      <c r="C6619" s="1" t="n">
        <v>45662</v>
      </c>
      <c r="D6619" t="inlineStr">
        <is>
          <t>NORRBOTTENS LÄN</t>
        </is>
      </c>
      <c r="E6619" t="inlineStr">
        <is>
          <t>BODEN</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45935-2023</t>
        </is>
      </c>
      <c r="B6620" s="1" t="n">
        <v>45196</v>
      </c>
      <c r="C6620" s="1" t="n">
        <v>45662</v>
      </c>
      <c r="D6620" t="inlineStr">
        <is>
          <t>NORRBOTTENS LÄN</t>
        </is>
      </c>
      <c r="E6620" t="inlineStr">
        <is>
          <t>ÖVERKALIX</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45960-2023</t>
        </is>
      </c>
      <c r="B6621" s="1" t="n">
        <v>45195</v>
      </c>
      <c r="C6621" s="1" t="n">
        <v>45662</v>
      </c>
      <c r="D6621" t="inlineStr">
        <is>
          <t>NORRBOTTENS LÄN</t>
        </is>
      </c>
      <c r="E6621" t="inlineStr">
        <is>
          <t>ARVIDSJAUR</t>
        </is>
      </c>
      <c r="F6621" t="inlineStr">
        <is>
          <t>SCA</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46966-2023</t>
        </is>
      </c>
      <c r="B6622" s="1" t="n">
        <v>45195</v>
      </c>
      <c r="C6622" s="1" t="n">
        <v>45662</v>
      </c>
      <c r="D6622" t="inlineStr">
        <is>
          <t>NORRBOTTENS LÄN</t>
        </is>
      </c>
      <c r="E6622" t="inlineStr">
        <is>
          <t>KALIX</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46999-2023</t>
        </is>
      </c>
      <c r="B6623" s="1" t="n">
        <v>45196</v>
      </c>
      <c r="C6623" s="1" t="n">
        <v>45662</v>
      </c>
      <c r="D6623" t="inlineStr">
        <is>
          <t>NORRBOTTENS LÄN</t>
        </is>
      </c>
      <c r="E6623" t="inlineStr">
        <is>
          <t>BODEN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46056-2023</t>
        </is>
      </c>
      <c r="B6624" s="1" t="n">
        <v>45196</v>
      </c>
      <c r="C6624" s="1" t="n">
        <v>45662</v>
      </c>
      <c r="D6624" t="inlineStr">
        <is>
          <t>NORRBOTTENS LÄN</t>
        </is>
      </c>
      <c r="E6624" t="inlineStr">
        <is>
          <t>GÄLLIVARE</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46277-2023</t>
        </is>
      </c>
      <c r="B6625" s="1" t="n">
        <v>45196</v>
      </c>
      <c r="C6625" s="1" t="n">
        <v>45662</v>
      </c>
      <c r="D6625" t="inlineStr">
        <is>
          <t>NORRBOTTENS LÄN</t>
        </is>
      </c>
      <c r="E6625" t="inlineStr">
        <is>
          <t>BODEN</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46271-2023</t>
        </is>
      </c>
      <c r="B6626" s="1" t="n">
        <v>45196</v>
      </c>
      <c r="C6626" s="1" t="n">
        <v>45662</v>
      </c>
      <c r="D6626" t="inlineStr">
        <is>
          <t>NORRBOTTENS LÄN</t>
        </is>
      </c>
      <c r="E6626" t="inlineStr">
        <is>
          <t>GÄLLIVARE</t>
        </is>
      </c>
      <c r="F6626" t="inlineStr">
        <is>
          <t>SCA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47239-2023</t>
        </is>
      </c>
      <c r="B6627" s="1" t="n">
        <v>45196</v>
      </c>
      <c r="C6627" s="1" t="n">
        <v>45662</v>
      </c>
      <c r="D6627" t="inlineStr">
        <is>
          <t>NORRBOTTENS LÄN</t>
        </is>
      </c>
      <c r="E6627" t="inlineStr">
        <is>
          <t>GÄLLIVARE</t>
        </is>
      </c>
      <c r="F6627" t="inlineStr">
        <is>
          <t>Övriga statliga verk och myndigheter</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47102-2023</t>
        </is>
      </c>
      <c r="B6628" s="1" t="n">
        <v>45196</v>
      </c>
      <c r="C6628" s="1" t="n">
        <v>45662</v>
      </c>
      <c r="D6628" t="inlineStr">
        <is>
          <t>NORRBOTTENS LÄN</t>
        </is>
      </c>
      <c r="E6628" t="inlineStr">
        <is>
          <t>PAJALA</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47126-2023</t>
        </is>
      </c>
      <c r="B6629" s="1" t="n">
        <v>45196</v>
      </c>
      <c r="C6629" s="1" t="n">
        <v>45662</v>
      </c>
      <c r="D6629" t="inlineStr">
        <is>
          <t>NORRBOTTENS LÄN</t>
        </is>
      </c>
      <c r="E6629" t="inlineStr">
        <is>
          <t>PAJALA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47207-2023</t>
        </is>
      </c>
      <c r="B6630" s="1" t="n">
        <v>45196</v>
      </c>
      <c r="C6630" s="1" t="n">
        <v>45662</v>
      </c>
      <c r="D6630" t="inlineStr">
        <is>
          <t>NORRBOTTENS LÄN</t>
        </is>
      </c>
      <c r="E6630" t="inlineStr">
        <is>
          <t>PITEÅ</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46276-2023</t>
        </is>
      </c>
      <c r="B6631" s="1" t="n">
        <v>45197</v>
      </c>
      <c r="C6631" s="1" t="n">
        <v>45662</v>
      </c>
      <c r="D6631" t="inlineStr">
        <is>
          <t>NORRBOTTENS LÄN</t>
        </is>
      </c>
      <c r="E6631" t="inlineStr">
        <is>
          <t>BODEN</t>
        </is>
      </c>
      <c r="F6631" t="inlineStr">
        <is>
          <t>SCA</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46301-2023</t>
        </is>
      </c>
      <c r="B6632" s="1" t="n">
        <v>45197</v>
      </c>
      <c r="C6632" s="1" t="n">
        <v>45662</v>
      </c>
      <c r="D6632" t="inlineStr">
        <is>
          <t>NORRBOTTENS LÄN</t>
        </is>
      </c>
      <c r="E6632" t="inlineStr">
        <is>
          <t>HAPARANDA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46334-2023</t>
        </is>
      </c>
      <c r="B6633" s="1" t="n">
        <v>45197</v>
      </c>
      <c r="C6633" s="1" t="n">
        <v>45662</v>
      </c>
      <c r="D6633" t="inlineStr">
        <is>
          <t>NORRBOTTENS LÄN</t>
        </is>
      </c>
      <c r="E6633" t="inlineStr">
        <is>
          <t>GÄLLIVARE</t>
        </is>
      </c>
      <c r="F6633" t="inlineStr">
        <is>
          <t>Sveaskog</t>
        </is>
      </c>
      <c r="G6633" t="n">
        <v>22.9</v>
      </c>
      <c r="H6633" t="n">
        <v>0</v>
      </c>
      <c r="I6633" t="n">
        <v>0</v>
      </c>
      <c r="J6633" t="n">
        <v>0</v>
      </c>
      <c r="K6633" t="n">
        <v>0</v>
      </c>
      <c r="L6633" t="n">
        <v>0</v>
      </c>
      <c r="M6633" t="n">
        <v>0</v>
      </c>
      <c r="N6633" t="n">
        <v>0</v>
      </c>
      <c r="O6633" t="n">
        <v>0</v>
      </c>
      <c r="P6633" t="n">
        <v>0</v>
      </c>
      <c r="Q6633" t="n">
        <v>0</v>
      </c>
      <c r="R6633" s="2" t="inlineStr"/>
    </row>
    <row r="6634" ht="15" customHeight="1">
      <c r="A6634" t="inlineStr">
        <is>
          <t>A 46455-2023</t>
        </is>
      </c>
      <c r="B6634" s="1" t="n">
        <v>45197</v>
      </c>
      <c r="C6634" s="1" t="n">
        <v>45662</v>
      </c>
      <c r="D6634" t="inlineStr">
        <is>
          <t>NORRBOTTENS LÄN</t>
        </is>
      </c>
      <c r="E6634" t="inlineStr">
        <is>
          <t>JOKKMOKK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46362-2023</t>
        </is>
      </c>
      <c r="B6635" s="1" t="n">
        <v>45197</v>
      </c>
      <c r="C6635" s="1" t="n">
        <v>45662</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46442-2023</t>
        </is>
      </c>
      <c r="B6636" s="1" t="n">
        <v>45197</v>
      </c>
      <c r="C6636" s="1" t="n">
        <v>45662</v>
      </c>
      <c r="D6636" t="inlineStr">
        <is>
          <t>NORRBOTTENS LÄN</t>
        </is>
      </c>
      <c r="E6636" t="inlineStr">
        <is>
          <t>JOKKMOKK</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46478-2023</t>
        </is>
      </c>
      <c r="B6637" s="1" t="n">
        <v>45197</v>
      </c>
      <c r="C6637" s="1" t="n">
        <v>45662</v>
      </c>
      <c r="D6637" t="inlineStr">
        <is>
          <t>NORRBOTTENS LÄN</t>
        </is>
      </c>
      <c r="E6637" t="inlineStr">
        <is>
          <t>GÄLLIVARE</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46418-2023</t>
        </is>
      </c>
      <c r="B6638" s="1" t="n">
        <v>45197</v>
      </c>
      <c r="C6638" s="1" t="n">
        <v>45662</v>
      </c>
      <c r="D6638" t="inlineStr">
        <is>
          <t>NORRBOTTENS LÄN</t>
        </is>
      </c>
      <c r="E6638" t="inlineStr">
        <is>
          <t>JOKKMOKK</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46474-2023</t>
        </is>
      </c>
      <c r="B6639" s="1" t="n">
        <v>45197</v>
      </c>
      <c r="C6639" s="1" t="n">
        <v>45662</v>
      </c>
      <c r="D6639" t="inlineStr">
        <is>
          <t>NORRBOTTENS LÄN</t>
        </is>
      </c>
      <c r="E6639" t="inlineStr">
        <is>
          <t>GÄLLIVARE</t>
        </is>
      </c>
      <c r="G6639" t="n">
        <v>42.7</v>
      </c>
      <c r="H6639" t="n">
        <v>0</v>
      </c>
      <c r="I6639" t="n">
        <v>0</v>
      </c>
      <c r="J6639" t="n">
        <v>0</v>
      </c>
      <c r="K6639" t="n">
        <v>0</v>
      </c>
      <c r="L6639" t="n">
        <v>0</v>
      </c>
      <c r="M6639" t="n">
        <v>0</v>
      </c>
      <c r="N6639" t="n">
        <v>0</v>
      </c>
      <c r="O6639" t="n">
        <v>0</v>
      </c>
      <c r="P6639" t="n">
        <v>0</v>
      </c>
      <c r="Q6639" t="n">
        <v>0</v>
      </c>
      <c r="R6639" s="2" t="inlineStr"/>
    </row>
    <row r="6640" ht="15" customHeight="1">
      <c r="A6640" t="inlineStr">
        <is>
          <t>A 46484-2023</t>
        </is>
      </c>
      <c r="B6640" s="1" t="n">
        <v>45197</v>
      </c>
      <c r="C6640" s="1" t="n">
        <v>45662</v>
      </c>
      <c r="D6640" t="inlineStr">
        <is>
          <t>NORRBOTTENS LÄN</t>
        </is>
      </c>
      <c r="E6640" t="inlineStr">
        <is>
          <t>GÄLLIVARE</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47437-2023</t>
        </is>
      </c>
      <c r="B6641" s="1" t="n">
        <v>45197</v>
      </c>
      <c r="C6641" s="1" t="n">
        <v>45662</v>
      </c>
      <c r="D6641" t="inlineStr">
        <is>
          <t>NORRBOTTENS LÄN</t>
        </is>
      </c>
      <c r="E6641" t="inlineStr">
        <is>
          <t>ÄLVSBYN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47557-2023</t>
        </is>
      </c>
      <c r="B6642" s="1" t="n">
        <v>45197</v>
      </c>
      <c r="C6642" s="1" t="n">
        <v>45662</v>
      </c>
      <c r="D6642" t="inlineStr">
        <is>
          <t>NORRBOTTENS LÄN</t>
        </is>
      </c>
      <c r="E6642" t="inlineStr">
        <is>
          <t>PITEÅ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47441-2023</t>
        </is>
      </c>
      <c r="B6643" s="1" t="n">
        <v>45197</v>
      </c>
      <c r="C6643" s="1" t="n">
        <v>45662</v>
      </c>
      <c r="D6643" t="inlineStr">
        <is>
          <t>NORRBOTTENS LÄN</t>
        </is>
      </c>
      <c r="E6643" t="inlineStr">
        <is>
          <t>ÄLVSBYN</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47547-2023</t>
        </is>
      </c>
      <c r="B6644" s="1" t="n">
        <v>45197</v>
      </c>
      <c r="C6644" s="1" t="n">
        <v>45662</v>
      </c>
      <c r="D6644" t="inlineStr">
        <is>
          <t>NORRBOTTENS LÄN</t>
        </is>
      </c>
      <c r="E6644" t="inlineStr">
        <is>
          <t>PITEÅ</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46608-2023</t>
        </is>
      </c>
      <c r="B6645" s="1" t="n">
        <v>45198</v>
      </c>
      <c r="C6645" s="1" t="n">
        <v>45662</v>
      </c>
      <c r="D6645" t="inlineStr">
        <is>
          <t>NORRBOTTENS LÄN</t>
        </is>
      </c>
      <c r="E6645" t="inlineStr">
        <is>
          <t>KALIX</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46704-2023</t>
        </is>
      </c>
      <c r="B6646" s="1" t="n">
        <v>45198</v>
      </c>
      <c r="C6646" s="1" t="n">
        <v>45662</v>
      </c>
      <c r="D6646" t="inlineStr">
        <is>
          <t>NORRBOTTENS LÄN</t>
        </is>
      </c>
      <c r="E6646" t="inlineStr">
        <is>
          <t>LULEÅ</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46723-2023</t>
        </is>
      </c>
      <c r="B6647" s="1" t="n">
        <v>45198</v>
      </c>
      <c r="C6647" s="1" t="n">
        <v>45662</v>
      </c>
      <c r="D6647" t="inlineStr">
        <is>
          <t>NORRBOTTENS LÄN</t>
        </is>
      </c>
      <c r="E6647" t="inlineStr">
        <is>
          <t>PITEÅ</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46765-2023</t>
        </is>
      </c>
      <c r="B6648" s="1" t="n">
        <v>45198</v>
      </c>
      <c r="C6648" s="1" t="n">
        <v>45662</v>
      </c>
      <c r="D6648" t="inlineStr">
        <is>
          <t>NORRBOTTENS LÄN</t>
        </is>
      </c>
      <c r="E6648" t="inlineStr">
        <is>
          <t>KALIX</t>
        </is>
      </c>
      <c r="F6648" t="inlineStr">
        <is>
          <t>Sveaskog</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47613-2023</t>
        </is>
      </c>
      <c r="B6649" s="1" t="n">
        <v>45198</v>
      </c>
      <c r="C6649" s="1" t="n">
        <v>45662</v>
      </c>
      <c r="D6649" t="inlineStr">
        <is>
          <t>NORRBOTTENS LÄN</t>
        </is>
      </c>
      <c r="E6649" t="inlineStr">
        <is>
          <t>GÄLLIVARE</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45662</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45662</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45662</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45662</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45662</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45662</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45662</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45662</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45662</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45662</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45662</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45662</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45662</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45662</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45662</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45662</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45662</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45662</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45662</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45662</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45662</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45662</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45662</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45662</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45662</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45662</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45662</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45662</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45662</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45662</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45662</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45662</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45662</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45662</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45662</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45662</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45662</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45662</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45662</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45662</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45662</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45662</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45662</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45662</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45662</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45662</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45662</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45662</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45662</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45662</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45662</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45662</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45662</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45662</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45662</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45662</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45662</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45662</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45662</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45662</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45662</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45662</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45662</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45662</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45662</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45662</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45662</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45662</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45662</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45662</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45662</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45662</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45662</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45662</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45662</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45662</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45662</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45662</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45662</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45662</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45662</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45662</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45662</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45662</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45662</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45662</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45662</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45662</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45662</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45662</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45662</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45662</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45662</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45662</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45662</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45662</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45662</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45662</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45662</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45662</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45662</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45662</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45662</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45662</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45662</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45662</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45662</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45662</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45662</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45662</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45662</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45662</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45662</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45662</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45662</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45662</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45662</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45662</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45662</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45662</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45662</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45662</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45662</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45662</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45662</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45662</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45662</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45662</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45662</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45662</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45662</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45662</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45662</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45662</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45662</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45662</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45662</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45662</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45662</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45662</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45662</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45662</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45662</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45662</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45662</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45662</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45662</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45662</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45662</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45662</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45662</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45662</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45662</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45662</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45662</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45662</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45662</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45662</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45662</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45662</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45662</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45662</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45662</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45662</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45662</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45662</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45662</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45662</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45662</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45662</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45662</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45662</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45662</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45662</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45662</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45662</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45662</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45662</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45662</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45662</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45662</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45662</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45662</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45662</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45662</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45662</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45662</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45662</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45662</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45662</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45662</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45662</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45662</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45662</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45662</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45662</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45662</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45662</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45662</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45662</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45662</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45662</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45662</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45662</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45662</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45662</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45662</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45662</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45662</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45662</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45662</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45662</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45662</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45662</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45662</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45662</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45662</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45662</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45662</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45662</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45662</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45662</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45662</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45662</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45662</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45662</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45662</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45662</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45662</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45662</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45662</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45662</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45662</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45662</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45662</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45662</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45662</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45662</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45662</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45662</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45662</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45662</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45662</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45662</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45662</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45662</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45662</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45662</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45662</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45662</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45662</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45662</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45662</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45662</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45662</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45662</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45662</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45662</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45662</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45662</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45662</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45662</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45662</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45662</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45662</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45662</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45662</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45662</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45662</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45662</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45662</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45662</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45662</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45662</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45662</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45662</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45662</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45662</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45662</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45662</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45662</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45662</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45662</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45662</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45662</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45662</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45662</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45662</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45662</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45662</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45662</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45662</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45662</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45662</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45662</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45662</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45662</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45662</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45662</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45662</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45662</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45662</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45662</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45662</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45662</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45662</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45662</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45662</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45662</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45662</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45662</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45662</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45662</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45662</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45662</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45662</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45662</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45662</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45662</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45662</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45662</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45662</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45662</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45662</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45662</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45662</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45662</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45662</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45662</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45662</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45662</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45662</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45662</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45662</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45662</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45662</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45662</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45662</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45662</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45662</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45662</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45662</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45662</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45662</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45662</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45662</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45662</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45662</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45662</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45662</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45662</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45662</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45662</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45662</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45662</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45662</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45662</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45662</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45662</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45662</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45662</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45662</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45662</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45662</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45662</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45662</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45662</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45662</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45662</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45662</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45662</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45662</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45662</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45662</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45662</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45662</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45662</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45662</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45662</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45662</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45662</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45662</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45662</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45662</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45662</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45662</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45662</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45662</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45662</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45662</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45662</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45662</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45662</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45662</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45662</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45662</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45662</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45662</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45662</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45662</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45662</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45662</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45662</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45662</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45662</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45662</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45662</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45662</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45662</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45662</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45662</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45662</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45662</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45662</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45662</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45662</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45662</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45662</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45662</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45662</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45662</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45662</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45662</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45662</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45662</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45662</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45662</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45662</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45662</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45662</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45662</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45662</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45662</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45662</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45662</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45662</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45662</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45662</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45662</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45662</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45662</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45662</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45662</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45662</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45662</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45662</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45662</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45662</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45662</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45662</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45662</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45662</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45662</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45662</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45662</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45662</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45662</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45662</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45662</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45662</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45662</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45662</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45662</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45662</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45662</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45662</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45662</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45662</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45662</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45662</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45662</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45662</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45662</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45662</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45662</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45662</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45662</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45662</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45662</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45662</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45662</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45662</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45662</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45662</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45662</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45662</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45662</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45662</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45662</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45662</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45662</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45662</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45662</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45662</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45662</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45662</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45662</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45662</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45662</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45662</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45662</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45662</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45662</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45662</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45662</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45662</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45662</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45662</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45662</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45662</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45662</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45662</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45662</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45662</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45662</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45662</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45662</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45662</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45662</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45662</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45662</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45662</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45662</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45662</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45662</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45662</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45662</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45662</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45662</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45662</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45662</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45662</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45662</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45662</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45662</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45662</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45662</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45662</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45662</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45662</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45662</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45662</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45662</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45662</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45662</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45662</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45662</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45662</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45662</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45662</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45662</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45662</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45662</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45662</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45662</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45662</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45662</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45662</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45662</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45662</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45662</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45662</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45662</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45662</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45662</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45662</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45662</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45662</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45662</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45662</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45662</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45662</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45662</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45662</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45662</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45662</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45662</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45662</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45662</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45662</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45662</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45662</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45662</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45662</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45662</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45662</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45662</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45662</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45662</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45662</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45662</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45662</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45662</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45662</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45662</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45662</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45662</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45662</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45662</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45662</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45662</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45662</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45662</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45662</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45662</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45662</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45662</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45662</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45662</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45662</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45662</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45662</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45662</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45662</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45662</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45662</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45662</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45662</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45662</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45662</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45662</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45662</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45662</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45662</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45662</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45662</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45662</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45662</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45662</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45662</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45662</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45662</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45662</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45662</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45662</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45662</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45662</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45662</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45662</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45662</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45662</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45662</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45662</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45662</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45662</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45662</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45662</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45662</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45662</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45662</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45662</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45662</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45662</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45662</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45662</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45662</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45662</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45662</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45662</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45662</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45662</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45662</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45662</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45662</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45662</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45662</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45662</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45662</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45662</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45662</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45662</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45662</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45662</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45662</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45662</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45662</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45662</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45662</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45662</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45662</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45662</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45662</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45662</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45662</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45662</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45662</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45662</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45662</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45662</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45662</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45662</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45662</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45662</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45662</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45662</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45662</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45662</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45662</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45662</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45662</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45662</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45662</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45662</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45662</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45662</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45662</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45662</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45662</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45662</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45662</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45662</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45662</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45662</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45662</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45662</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45662</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45662</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45662</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45662</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45662</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45662</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45662</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45662</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45662</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45662</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45662</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45662</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45662</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45662</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45662</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45662</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45662</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45662</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45662</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45662</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45662</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45662</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45662</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45662</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45662</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45662</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45662</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45662</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45662</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45662</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45662</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45662</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45662</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45662</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45662</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45662</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45662</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45662</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45662</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45662</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45662</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45662</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45662</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45662</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45662</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45662</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45662</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45662</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45662</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45662</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45662</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45662</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45662</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45662</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45662</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45662</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45662</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45662</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45662</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45662</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45662</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45662</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45662</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45662</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45662</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45662</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45662</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45662</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45662</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45662</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45662</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45662</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45662</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45662</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45662</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45662</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45662</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45662</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45662</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45662</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45662</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45662</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45662</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45662</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45662</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45662</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45662</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45662</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45662</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45662</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45662</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45662</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45662</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45662</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45662</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45662</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45662</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45662</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45662</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45662</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45662</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45662</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45662</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45662</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45662</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45662</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45662</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45662</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45662</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45662</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45662</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45662</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45662</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45662</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45662</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45662</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45662</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45662</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45662</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45662</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45662</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45662</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45662</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45662</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45662</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45662</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45662</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45662</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45662</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45662</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45662</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45662</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45662</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45662</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45662</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45662</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45662</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45662</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45662</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45662</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45662</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45662</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45662</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45662</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45662</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45662</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45662</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45662</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45662</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45662</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45662</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45662</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45662</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45662</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45662</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45662</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45662</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45662</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45662</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45662</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45662</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45662</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45662</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45662</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45662</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45662</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45662</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45662</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45662</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45662</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45662</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45662</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45662</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45662</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45662</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45662</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45662</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45662</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45662</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45662</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45662</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45662</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45662</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45662</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45662</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45662</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45662</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45662</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45662</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45662</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45662</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45662</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45662</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45662</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45662</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45662</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45662</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45662</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45662</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45662</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45662</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45662</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45662</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45662</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45662</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45662</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45662</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45662</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45662</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45662</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45662</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45662</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45662</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45662</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45662</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45662</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45662</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45662</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45662</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45662</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45662</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45662</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45662</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45662</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45662</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45662</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45662</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45662</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45662</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45662</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45662</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45662</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45662</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45662</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45662</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45662</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45662</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45662</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45662</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45662</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45662</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45662</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45662</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45662</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45662</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45662</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45662</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45662</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45662</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45662</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45662</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45662</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45662</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45662</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45662</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45662</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45662</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45662</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45662</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45662</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45662</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45662</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45662</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45662</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45662</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45662</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45662</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45662</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45662</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45662</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45662</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45662</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45662</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45662</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45662</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45662</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45662</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45662</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45662</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45662</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45662</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45662</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45662</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45662</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45662</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45662</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45662</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45662</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45662</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45662</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45662</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45662</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45662</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45662</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45662</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45662</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45662</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45662</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45662</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45662</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45662</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45662</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45662</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45662</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45662</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45662</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45662</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45662</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45662</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45662</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45662</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45662</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45662</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45662</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45662</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45662</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45662</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45662</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45662</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45662</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45662</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45662</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45662</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45662</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45662</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45662</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45662</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45662</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45662</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45662</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45662</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45662</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45662</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45662</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45662</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45662</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45662</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45662</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45662</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45662</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45662</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45662</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45662</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45662</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45662</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45662</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45662</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45662</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45662</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45662</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45662</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45662</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45662</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45662</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45662</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45662</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45662</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45662</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45662</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45662</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45662</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45662</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45662</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45662</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45662</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45662</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45662</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45662</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45662</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45662</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45662</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45662</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45662</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45662</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45662</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45662</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45662</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45662</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45662</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45662</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45662</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45662</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45662</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45662</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45662</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45662</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45662</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45662</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45662</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45662</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45662</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45662</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45662</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45662</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45662</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45662</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45662</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45662</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45662</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45662</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45662</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45662</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45662</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45662</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45662</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45662</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45662</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45662</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45662</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45662</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45662</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45662</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45662</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45662</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45662</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45662</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45662</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45662</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45662</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45662</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45662</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45662</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45662</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45662</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45662</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45662</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45662</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45662</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45662</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45662</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45662</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45662</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45662</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45662</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45662</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45662</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45662</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45662</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45662</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45662</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45662</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45662</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45662</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45662</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45662</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45662</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45662</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45662</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45662</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45662</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45662</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45662</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45662</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45662</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45662</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45662</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45662</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45662</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45662</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45662</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45662</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45662</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45662</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45662</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45662</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45662</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45662</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45662</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45662</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45662</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45662</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45662</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45662</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45662</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45662</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45662</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45662</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45662</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45662</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45662</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45662</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45662</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45662</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45662</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45662</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45662</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45662</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45662</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45662</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45662</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45662</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45662</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45662</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45662</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45662</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45662</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45662</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45662</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45662</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45662</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45662</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45662</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45662</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45662</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45662</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45662</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45662</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45662</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45662</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45662</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45662</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45662</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45662</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45662</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45662</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45662</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45662</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45662</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45662</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45662</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45662</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45662</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45662</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45662</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45662</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45662</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45662</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45662</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45662</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45662</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45662</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45662</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45662</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45662</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45662</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45662</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45662</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45662</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45662</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45662</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45662</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45662</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45662</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45662</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45662</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45662</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45662</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45662</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45662</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45662</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45662</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45662</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45662</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45662</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45662</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45662</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45662</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45662</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45662</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45662</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45662</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45662</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45662</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45662</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45662</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45662</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45662</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45662</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45662</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45662</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45662</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45662</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45662</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45662</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45662</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45662</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45662</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45662</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45662</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45662</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45662</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45662</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45662</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45662</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45662</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45662</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45662</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45662</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45662</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45662</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45662</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45662</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45662</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45662</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45662</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45662</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45662</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45662</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45662</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45662</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45662</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45662</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45662</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45662</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45662</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45662</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45662</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45662</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45662</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45662</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45662</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45662</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45662</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45662</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45662</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45662</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45662</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45662</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45662</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45662</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45662</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45662</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45662</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45662</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45662</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45662</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45662</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45662</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45662</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45662</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45662</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45662</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45662</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45662</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45662</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45662</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45662</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45662</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45662</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45662</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45662</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45662</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45662</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45662</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45662</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45662</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45662</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45662</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45662</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45662</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45662</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45662</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45662</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45662</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45662</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45662</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45662</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45662</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45662</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45662</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45662</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45662</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45662</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45662</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45662</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45662</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45662</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45662</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45662</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45662</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45662</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45662</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45662</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45662</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45662</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45662</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45662</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45662</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45662</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45662</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45662</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45662</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45662</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45662</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45662</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45662</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45662</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45662</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45662</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45662</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45662</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45662</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45662</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45662</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45662</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45662</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45662</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45662</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45662</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45662</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45662</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45662</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45662</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45662</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45662</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45662</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45662</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45662</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45662</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45662</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45662</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45662</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45662</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45662</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45662</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45662</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45662</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45662</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45662</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45662</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45662</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45662</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45662</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45662</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45662</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45662</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45662</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45662</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45662</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45662</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45662</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45662</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45662</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45662</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45662</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45662</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45662</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45662</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45662</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45662</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45662</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45662</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45662</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45662</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45662</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45662</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45662</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45662</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45662</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45662</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45662</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45662</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45662</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45662</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45662</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45662</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45662</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45662</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45662</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45662</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45662</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45662</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45662</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45662</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45662</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45662</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45662</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45662</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45662</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45662</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45662</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45662</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45662</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45662</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45662</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45662</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45662</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45662</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45662</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45662</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45662</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45662</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45662</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45662</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45662</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45662</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45662</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45662</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45662</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45662</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45662</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45662</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45662</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45662</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45662</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45662</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45662</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45662</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45662</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45662</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45662</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45662</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45662</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45662</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45662</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45662</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45662</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45662</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45662</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45662</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45662</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45662</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45662</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45662</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45662</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45662</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45662</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45662</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45662</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45662</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45662</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45662</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45662</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45662</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45662</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45662</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45662</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45662</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45662</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45662</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45662</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45662</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45662</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45662</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45662</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45662</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45662</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45662</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45662</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45662</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45662</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45662</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45662</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45662</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45662</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45662</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45662</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45662</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45662</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45662</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45662</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45662</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45662</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45662</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45662</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45662</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45662</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45662</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45662</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45662</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45662</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45662</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45662</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45662</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45662</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45662</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45662</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45662</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45662</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45662</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45662</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45662</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45662</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45662</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45662</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45662</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45662</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45662</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45662</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45662</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45662</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45662</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45662</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45662</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45662</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45662</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45662</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45662</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45662</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45662</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45662</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45662</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45662</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45662</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45662</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45662</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45662</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45662</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45662</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45662</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45662</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45662</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45662</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45662</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45662</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45662</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45662</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45662</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45662</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45662</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45662</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45662</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45662</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45662</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45662</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45662</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45662</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45662</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45662</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45662</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45662</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45662</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45662</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45662</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45662</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45662</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45662</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45662</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45662</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45662</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45662</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45662</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45662</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45662</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45662</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45662</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45662</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45662</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45662</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45662</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45662</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45662</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45662</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45662</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45662</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45662</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45662</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45662</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45662</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45662</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45662</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45662</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45662</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45662</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45662</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45662</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45662</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45662</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45662</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45662</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45662</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45662</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45662</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45662</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45662</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45662</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45662</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45662</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45662</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45662</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45662</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45662</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45662</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45662</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45662</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45662</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45662</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45662</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45662</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45662</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45662</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45662</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45662</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45662</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45662</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45662</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45662</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45662</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45662</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45662</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45662</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45662</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45662</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45662</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45662</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45662</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45662</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45662</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45662</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45662</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45662</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45662</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45662</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45662</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45662</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45662</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45662</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45662</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45662</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45662</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45662</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45662</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45662</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45662</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45662</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45662</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45662</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45662</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45662</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45662</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45662</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45662</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45662</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45662</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45662</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45662</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45662</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45662</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45662</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45662</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45662</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45662</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45662</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45662</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45662</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45662</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45662</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45662</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45662</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45662</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45662</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45662</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45662</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45662</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45662</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45662</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45662</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45662</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45662</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45662</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45662</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45662</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45662</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45662</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45662</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45662</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45662</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45662</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45662</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45662</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45662</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45662</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45662</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45662</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45662</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45662</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45662</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45662</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45662</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45662</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45662</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45662</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45662</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45662</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45662</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45662</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45662</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45662</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45662</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45662</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45662</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45662</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45662</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45662</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45662</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45662</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45662</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45662</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45662</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45662</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45662</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45662</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45662</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45662</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45662</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45662</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45662</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45662</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45662</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45662</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45662</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45662</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45662</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45662</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45662</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45662</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45662</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45662</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45662</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45662</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45662</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45662</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45662</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45662</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45662</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45662</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45662</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45662</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45662</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45662</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45662</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45662</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45662</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45662</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45662</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45662</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45662</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45662</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45662</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45662</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45662</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45662</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45662</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45662</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45662</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45662</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45662</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45662</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45662</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45662</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45662</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45662</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45662</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45662</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45662</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45662</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45662</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45662</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45662</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45662</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45662</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45662</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45662</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45662</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45662</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45662</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45662</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45662</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45662</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45662</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45662</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45662</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45662</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45662</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45662</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45662</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45662</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45662</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45662</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45662</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45662</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45662</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45662</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45662</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45662</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45662</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45662</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45662</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45662</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45662</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45662</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45662</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45662</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45662</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45662</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45662</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45662</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45662</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45662</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45662</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45662</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45662</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45662</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45662</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45662</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45662</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45662</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45662</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45662</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45662</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45662</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45662</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45662</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45662</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45662</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45662</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45662</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45662</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45662</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45662</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45662</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45662</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45662</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45662</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45662</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45662</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45662</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45662</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45662</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45662</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45662</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45662</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45662</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45662</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45662</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45662</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45662</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45662</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45662</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45662</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45662</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45662</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45662</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45662</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45662</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45662</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45662</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45662</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45662</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45662</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45662</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45662</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45662</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45662</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45662</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45662</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45662</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45662</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45662</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45662</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45662</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45662</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45662</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45662</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45662</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45662</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45662</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45662</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45662</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45662</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45662</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45662</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45662</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45662</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45662</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45662</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45662</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45662</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45662</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45662</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45662</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45662</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45662</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45662</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45662</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45662</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45662</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45662</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45662</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45662</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45662</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45662</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45662</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45662</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45662</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45662</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45662</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45662</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45662</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45662</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45662</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45662</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45662</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45662</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45662</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45662</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45662</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45662</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45662</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45662</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45662</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45662</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45662</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45662</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45662</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45662</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45662</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45662</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45662</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45662</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45662</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45662</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45662</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45662</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45662</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45662</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45662</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45662</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45662</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45662</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45662</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45662</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45662</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45662</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45662</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45662</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45662</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45662</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45662</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45662</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45662</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45662</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45662</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45662</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45662</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45662</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45662</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45662</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45662</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45662</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45662</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45662</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45662</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45662</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45662</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45662</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45662</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45662</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45662</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45662</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45662</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45662</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45662</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45662</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45662</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45662</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45662</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45662</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45662</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45662</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45662</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45662</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45662</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45662</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45662</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45662</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45662</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45662</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45662</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45662</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45662</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45662</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45662</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45662</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45662</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45662</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45662</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45662</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45662</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45662</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45662</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45662</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45662</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45662</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45662</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45662</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45662</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45662</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45662</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45662</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45662</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45662</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45662</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45662</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45662</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45662</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45662</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45662</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45662</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45662</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45662</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45662</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45662</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45662</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45662</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45662</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45662</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45662</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45662</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45662</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45662</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45662</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45662</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45662</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45662</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45662</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45662</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45662</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45662</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45662</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45662</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45662</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45662</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45662</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45662</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45662</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45662</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45662</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45662</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45662</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45662</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45662</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45662</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45662</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45662</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45662</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45662</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45662</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45662</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45662</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45662</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45662</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45662</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45662</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45662</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45662</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45662</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45662</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45662</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45662</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45662</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45662</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45662</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45662</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45662</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45662</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45662</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45662</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45662</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45662</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45662</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45662</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45662</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45662</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45662</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45662</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45662</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45662</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45662</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45662</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45662</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45662</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45662</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45662</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45662</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45662</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45662</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45662</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45662</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45662</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45662</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45662</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45662</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45662</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45662</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45662</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45662</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45662</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45662</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45662</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45662</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45662</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45662</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45662</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45662</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45662</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45662</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45662</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45662</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45662</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45662</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45662</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45662</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45662</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45662</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45662</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45662</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45662</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45662</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45662</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45662</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45662</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45662</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45662</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45662</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45662</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45662</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45662</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45662</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45662</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45662</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45662</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45662</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45662</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45662</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45662</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45662</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45662</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45662</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45662</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45662</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45662</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45662</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45662</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45662</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45662</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45662</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45662</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45662</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45662</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45662</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45662</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45662</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45662</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45662</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45662</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45662</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45662</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45662</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45662</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45662</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45662</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45662</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45662</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45662</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45662</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45662</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45662</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45662</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45662</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45662</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45662</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45662</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45662</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45662</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45662</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45662</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45662</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45662</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45662</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45662</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45662</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45662</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45662</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45662</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45662</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45662</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45662</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45662</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45662</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45662</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45662</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45662</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45662</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45662</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45662</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45662</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45662</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45662</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45662</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45662</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45662</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45662</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45662</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45662</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45662</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45662</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45662</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45662</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45662</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45662</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45662</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45662</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45662</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45662</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45662</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45662</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45662</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45662</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45662</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45662</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45662</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45662</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45662</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45662</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45662</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45662</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45662</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45662</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45662</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45662</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45662</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45662</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45662</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45662</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45662</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45662</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45662</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45662</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45662</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45662</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45662</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45662</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45662</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45662</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45662</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45662</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45662</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45662</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45662</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45662</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45662</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45662</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45662</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45662</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45662</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45662</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45662</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45662</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45662</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45662</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45662</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45662</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45662</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45662</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45662</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45662</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45662</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45662</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45662</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45662</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45662</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45662</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45662</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45662</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45662</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45662</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45662</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45662</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45662</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45662</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45662</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45662</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45662</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45662</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45662</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45662</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45662</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45662</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45662</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45662</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45662</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45662</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45662</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45662</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45662</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45662</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45662</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45662</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45662</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45662</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45662</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45662</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45662</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45662</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45662</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45662</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45662</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45662</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45662</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45662</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45662</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45662</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45662</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45662</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45662</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45662</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45662</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45662</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45662</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45662</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45662</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45662</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45662</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45662</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45662</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45662</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45662</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45662</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45662</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45662</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45662</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45662</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45662</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45662</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45662</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45662</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45662</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45662</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45662</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45662</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45662</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45662</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45662</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45662</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45662</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45662</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45662</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45662</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45662</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45662</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45662</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45662</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45662</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45662</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45662</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45662</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45662</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45662</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45662</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45662</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45662</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45662</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45662</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45662</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45662</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45662</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45662</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45662</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45662</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45662</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45662</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45662</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45662</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45662</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45662</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45662</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45662</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45662</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45662</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45662</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45662</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45662</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45662</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45662</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45662</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45662</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45662</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45662</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45662</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45662</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45662</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45662</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45662</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45662</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45662</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45662</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45662</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45662</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45662</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45662</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45662</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45662</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45662</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45662</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45662</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45662</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45662</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45662</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45662</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45662</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45662</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45662</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45662</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45662</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45662</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45662</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45662</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45662</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45662</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45662</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45662</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45662</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45662</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45662</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45662</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45662</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45662</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45662</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45662</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45662</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45662</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45662</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45662</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45662</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45662</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45662</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45662</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45662</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45662</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45662</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45662</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45662</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45662</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45662</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45662</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45662</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45662</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45662</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45662</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45662</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45662</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45662</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45662</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45662</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45662</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45662</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45662</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45662</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45662</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45662</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45662</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45662</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45662</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45662</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45662</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45662</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45662</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45662</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45662</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45662</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45662</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45662</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45662</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45662</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45662</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45662</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45662</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45662</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45662</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45662</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45662</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45662</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45662</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45662</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45662</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45662</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45662</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45662</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45662</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45662</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45662</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45662</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45662</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45662</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45662</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45662</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45662</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45662</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45662</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45662</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45662</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45662</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45662</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45662</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45662</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45662</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45662</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45662</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45662</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45662</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45662</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45662</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45662</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45662</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45662</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45662</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45662</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45662</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45662</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45662</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45662</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45662</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45662</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45662</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45662</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45662</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45662</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45662</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45662</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45662</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45662</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45662</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45662</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45662</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45662</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45662</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45662</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45662</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45662</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45662</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45662</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45662</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45662</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45662</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45662</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45662</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45662</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45662</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45662</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45662</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45662</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45662</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45662</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45662</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45662</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45662</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45662</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45662</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45662</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45662</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45662</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45662</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45662</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45662</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45662</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45662</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45662</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45662</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45662</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45662</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45662</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45662</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45662</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45662</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45662</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45662</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45662</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45662</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45662</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45662</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45662</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45662</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45662</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45662</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45662</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45662</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45662</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45662</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45662</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45662</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45662</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45662</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45662</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45662</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45662</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45662</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45662</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45662</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45662</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45662</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45662</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45662</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45662</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45662</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45662</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45662</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45662</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45662</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45662</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45662</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45662</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45662</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45662</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45662</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45662</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45662</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45662</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45662</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45662</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45662</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45662</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45662</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45662</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45662</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45662</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45662</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45662</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45662</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45662</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45662</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45662</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45662</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45662</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45662</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45662</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45662</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45662</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45662</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45662</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45662</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45662</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45662</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45662</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45662</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45662</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45662</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45662</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45662</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45662</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45662</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45662</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45662</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45662</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45662</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45662</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45662</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45662</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45662</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45662</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45662</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45662</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45662</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45662</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45662</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45662</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45662</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45662</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45662</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45662</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45662</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45662</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45662</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45662</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45662</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45662</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45662</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45662</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45662</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45662</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45662</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45662</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45662</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45662</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45662</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45662</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45662</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45662</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45662</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45662</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45662</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45662</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45662</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45662</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45662</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45662</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45662</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45662</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45662</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45662</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45662</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45662</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45662</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45662</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45662</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45662</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45662</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45662</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45662</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45662</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45662</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45662</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45662</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45662</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45662</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45662</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45662</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45662</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45662</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45662</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45662</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45662</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45662</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45662</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45662</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45662</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45662</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45662</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45662</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45662</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45662</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45662</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45662</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45662</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45662</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45662</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45662</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45662</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45662</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45662</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45662</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45662</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45662</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45662</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45662</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45662</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45662</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45662</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45662</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45662</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45662</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45662</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45662</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45662</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45662</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45662</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45662</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45662</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45662</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45662</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45662</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45662</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45662</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45662</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45662</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45662</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45662</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45662</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45662</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45662</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45662</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45662</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45662</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45662</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45662</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45662</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45662</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45662</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45662</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45662</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45662</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45662</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45662</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45662</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45662</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45662</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45662</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45662</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45662</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45662</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45662</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45662</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45662</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45662</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45662</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45662</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45662</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45662</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45662</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45662</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45662</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45662</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45662</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45662</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45662</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45662</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45662</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45662</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45662</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45662</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45662</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45662</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45662</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45662</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45662</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45662</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45662</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45662</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45662</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45662</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45662</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45662</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45662</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45662</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45662</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45662</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45662</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45662</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45662</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45662</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45662</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45662</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45662</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45662</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45662</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45662</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45662</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45662</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45662</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45662</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45662</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45662</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45662</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45662</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45662</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45662</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45662</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45662</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45662</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45662</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45662</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45662</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45662</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45662</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45662</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45662</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45662</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45662</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45662</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45662</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45662</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45662</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45662</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45662</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45662</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45662</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45662</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45662</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45662</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45662</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45662</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45662</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45662</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45662</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45662</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45662</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45662</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45662</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45662</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45662</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45662</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45662</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45662</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45662</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45662</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45662</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45662</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45662</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45662</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45662</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45662</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45662</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45662</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45662</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45662</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45662</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45662</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45662</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45662</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45662</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45662</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45662</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45662</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45662</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45662</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45662</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45662</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45662</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45662</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45662</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45662</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45662</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45662</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45662</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45662</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45662</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45662</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45662</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45662</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45662</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45662</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45662</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45662</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45662</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45662</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45662</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45662</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45662</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45662</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45662</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45662</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45662</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45662</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45662</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45662</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45662</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45662</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45662</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45662</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45662</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45662</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45662</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45662</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45662</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45662</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45662</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45662</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45662</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45662</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45662</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45662</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45662</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45662</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45662</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45662</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45662</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45662</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45662</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45662</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45662</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45662</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45662</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45662</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45662</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45662</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45662</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45662</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45662</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45662</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45662</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45662</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45662</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45662</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45662</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45662</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45662</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45662</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45662</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45662</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45662</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45662</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45662</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45662</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45662</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45662</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45662</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45662</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45662</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45662</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45662</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45662</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45662</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45662</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45662</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45662</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45662</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45662</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45662</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45662</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45662</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45662</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45662</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45662</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45662</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45662</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45662</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45662</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45662</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45662</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45662</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45662</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45662</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45662</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45662</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45662</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45662</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45662</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45662</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45662</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45662</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45662</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45662</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45662</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45662</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45662</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45662</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45662</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45662</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45662</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45662</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45662</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45662</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45662</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45662</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45662</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45662</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45662</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45662</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45662</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45662</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45662</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45662</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45662</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45662</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45662</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45662</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45662</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45662</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45662</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45662</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45662</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45662</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45662</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45662</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45662</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45662</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45662</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45662</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45662</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45662</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45662</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45662</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45662</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45662</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45662</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45662</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45662</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45662</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45662</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45662</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45662</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45662</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45662</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45662</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45662</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45662</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45662</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45662</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45662</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45662</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45662</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45662</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45662</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45662</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45662</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45662</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45662</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45662</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45662</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45662</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45662</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45662</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45662</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45662</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45662</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45662</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45662</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45662</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45662</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45662</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45662</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45662</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45662</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45662</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45662</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45662</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45662</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45662</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45662</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45662</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45662</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45662</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45662</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45662</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45662</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45662</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45662</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45662</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45662</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45662</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45662</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45662</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45662</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45662</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45662</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45662</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45662</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45662</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45662</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45662</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45662</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45662</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45662</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45662</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45662</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45662</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45662</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45662</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45662</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45662</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45662</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45662</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45662</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45662</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45662</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45662</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45662</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45662</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45662</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45662</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45662</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45662</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45662</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45662</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45662</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45662</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45662</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45662</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45662</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45662</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45662</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45662</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45662</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45662</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45662</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45662</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45662</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45662</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45662</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45662</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45662</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45662</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45662</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45662</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45662</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45662</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45662</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45662</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45662</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45662</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45662</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45662</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45662</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45662</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45662</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45662</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45662</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45662</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45662</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45662</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45662</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45662</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45662</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45662</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45662</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45662</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45662</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45662</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45662</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45662</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45662</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45662</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45662</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45662</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45662</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45662</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45662</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45662</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45662</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45662</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45662</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45662</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45662</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45662</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45662</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45662</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45662</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45662</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45662</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45662</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45662</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45662</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45662</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45662</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45662</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45662</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45662</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45662</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45662</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45662</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45662</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45662</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45662</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45662</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45662</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45662</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45662</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45662</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45662</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45662</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45662</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45662</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45662</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45662</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45662</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45662</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45662</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45662</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45662</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45662</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45662</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45662</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45662</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45662</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45662</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45662</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45662</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45662</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45662</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45662</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45662</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45662</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45662</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45662</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45662</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45662</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45662</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45662</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45662</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45662</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45662</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45662</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45662</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45662</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45662</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45662</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45662</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45662</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45662</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45662</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45662</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45662</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45662</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45662</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45662</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45662</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45662</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45662</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45662</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45662</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45662</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45662</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45662</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45662</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45662</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45662</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45662</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45662</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45662</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45662</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45662</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45662</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45662</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45662</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45662</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45662</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45662</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45662</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45662</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45662</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45662</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45662</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45662</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45662</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45662</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45662</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45662</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45662</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45662</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45662</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45662</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45662</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45662</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45662</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45662</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45662</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45662</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45662</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45662</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45662</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45662</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45662</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45662</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45662</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45662</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45662</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45662</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45662</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45662</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45662</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45662</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45662</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45662</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45662</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45662</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45662</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45662</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45662</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45662</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45662</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45662</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45662</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45662</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45662</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45662</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45662</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45662</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45662</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45662</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45662</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45662</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45662</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45662</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45662</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45662</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45662</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45662</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45662</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45662</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45662</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45662</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45662</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45662</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45662</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45662</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45662</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45662</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45662</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45662</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45662</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45662</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45662</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45662</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45662</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45662</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45662</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45662</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45662</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45662</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45662</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45662</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57319-2024</t>
        </is>
      </c>
      <c r="B10146" s="1" t="n">
        <v>45629</v>
      </c>
      <c r="C10146" s="1" t="n">
        <v>45662</v>
      </c>
      <c r="D10146" t="inlineStr">
        <is>
          <t>NORRBOTTENS LÄN</t>
        </is>
      </c>
      <c r="E10146" t="inlineStr">
        <is>
          <t>KALIX</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57327-2024</t>
        </is>
      </c>
      <c r="B10147" s="1" t="n">
        <v>45629</v>
      </c>
      <c r="C10147" s="1" t="n">
        <v>45662</v>
      </c>
      <c r="D10147" t="inlineStr">
        <is>
          <t>NORRBOTTENS LÄN</t>
        </is>
      </c>
      <c r="E10147" t="inlineStr">
        <is>
          <t>LULEÅ</t>
        </is>
      </c>
      <c r="F10147" t="inlineStr">
        <is>
          <t>Övriga Aktiebolag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57371-2024</t>
        </is>
      </c>
      <c r="B10148" s="1" t="n">
        <v>45629</v>
      </c>
      <c r="C10148" s="1" t="n">
        <v>45662</v>
      </c>
      <c r="D10148" t="inlineStr">
        <is>
          <t>NORRBOTTENS LÄN</t>
        </is>
      </c>
      <c r="E10148" t="inlineStr">
        <is>
          <t>JOKKMOKK</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57111-2024</t>
        </is>
      </c>
      <c r="B10149" s="1" t="n">
        <v>45629</v>
      </c>
      <c r="C10149" s="1" t="n">
        <v>45662</v>
      </c>
      <c r="D10149" t="inlineStr">
        <is>
          <t>NORRBOTTENS LÄN</t>
        </is>
      </c>
      <c r="E10149" t="inlineStr">
        <is>
          <t>ÖVERTORNEÅ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57115-2024</t>
        </is>
      </c>
      <c r="B10150" s="1" t="n">
        <v>45629</v>
      </c>
      <c r="C10150" s="1" t="n">
        <v>45662</v>
      </c>
      <c r="D10150" t="inlineStr">
        <is>
          <t>NORRBOTTENS LÄN</t>
        </is>
      </c>
      <c r="E10150" t="inlineStr">
        <is>
          <t>LULEÅ</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57139-2024</t>
        </is>
      </c>
      <c r="B10151" s="1" t="n">
        <v>45629</v>
      </c>
      <c r="C10151" s="1" t="n">
        <v>45662</v>
      </c>
      <c r="D10151" t="inlineStr">
        <is>
          <t>NORRBOTTENS LÄN</t>
        </is>
      </c>
      <c r="E10151" t="inlineStr">
        <is>
          <t>ÄLVSBYN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45662</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45662</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45662</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45662</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45662</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57434-2024</t>
        </is>
      </c>
      <c r="B10157" s="1" t="n">
        <v>45629</v>
      </c>
      <c r="C10157" s="1" t="n">
        <v>45662</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57438-2024</t>
        </is>
      </c>
      <c r="B10158" s="1" t="n">
        <v>45629</v>
      </c>
      <c r="C10158" s="1" t="n">
        <v>45662</v>
      </c>
      <c r="D10158" t="inlineStr">
        <is>
          <t>NORRBOTTENS LÄN</t>
        </is>
      </c>
      <c r="E10158" t="inlineStr">
        <is>
          <t>LULEÅ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57518-2024</t>
        </is>
      </c>
      <c r="B10159" s="1" t="n">
        <v>45629</v>
      </c>
      <c r="C10159" s="1" t="n">
        <v>45662</v>
      </c>
      <c r="D10159" t="inlineStr">
        <is>
          <t>NORRBOTTENS LÄN</t>
        </is>
      </c>
      <c r="E10159" t="inlineStr">
        <is>
          <t>LULEÅ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57484-2024</t>
        </is>
      </c>
      <c r="B10160" s="1" t="n">
        <v>45629</v>
      </c>
      <c r="C10160" s="1" t="n">
        <v>45662</v>
      </c>
      <c r="D10160" t="inlineStr">
        <is>
          <t>NORRBOTTENS LÄN</t>
        </is>
      </c>
      <c r="E10160" t="inlineStr">
        <is>
          <t>LULEÅ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45662</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57535-2024</t>
        </is>
      </c>
      <c r="B10162" s="1" t="n">
        <v>45630</v>
      </c>
      <c r="C10162" s="1" t="n">
        <v>45662</v>
      </c>
      <c r="D10162" t="inlineStr">
        <is>
          <t>NORRBOTTENS LÄN</t>
        </is>
      </c>
      <c r="E10162" t="inlineStr">
        <is>
          <t>GÄLLIVARE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57472-2024</t>
        </is>
      </c>
      <c r="B10163" s="1" t="n">
        <v>45630</v>
      </c>
      <c r="C10163" s="1" t="n">
        <v>45662</v>
      </c>
      <c r="D10163" t="inlineStr">
        <is>
          <t>NORRBOTTENS LÄN</t>
        </is>
      </c>
      <c r="E10163" t="inlineStr">
        <is>
          <t>JOKKMOKK</t>
        </is>
      </c>
      <c r="F10163" t="inlineStr">
        <is>
          <t>Sveaskog</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57549-2024</t>
        </is>
      </c>
      <c r="B10164" s="1" t="n">
        <v>45630</v>
      </c>
      <c r="C10164" s="1" t="n">
        <v>45662</v>
      </c>
      <c r="D10164" t="inlineStr">
        <is>
          <t>NORRBOTTENS LÄN</t>
        </is>
      </c>
      <c r="E10164" t="inlineStr">
        <is>
          <t>PAJALA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57577-2024</t>
        </is>
      </c>
      <c r="B10165" s="1" t="n">
        <v>45630</v>
      </c>
      <c r="C10165" s="1" t="n">
        <v>45662</v>
      </c>
      <c r="D10165" t="inlineStr">
        <is>
          <t>NORRBOTTENS LÄN</t>
        </is>
      </c>
      <c r="E10165" t="inlineStr">
        <is>
          <t>PAJALA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45662</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45662</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45662</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45662</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45662</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57594-2024</t>
        </is>
      </c>
      <c r="B10171" s="1" t="n">
        <v>45630</v>
      </c>
      <c r="C10171" s="1" t="n">
        <v>45662</v>
      </c>
      <c r="D10171" t="inlineStr">
        <is>
          <t>NORRBOTTENS LÄN</t>
        </is>
      </c>
      <c r="E10171" t="inlineStr">
        <is>
          <t>ARVIDSJAUR</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57648-2024</t>
        </is>
      </c>
      <c r="B10172" s="1" t="n">
        <v>45630</v>
      </c>
      <c r="C10172" s="1" t="n">
        <v>45662</v>
      </c>
      <c r="D10172" t="inlineStr">
        <is>
          <t>NORRBOTTENS LÄN</t>
        </is>
      </c>
      <c r="E10172" t="inlineStr">
        <is>
          <t>PITEÅ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57694-2024</t>
        </is>
      </c>
      <c r="B10173" s="1" t="n">
        <v>45630</v>
      </c>
      <c r="C10173" s="1" t="n">
        <v>45662</v>
      </c>
      <c r="D10173" t="inlineStr">
        <is>
          <t>NORRBOTTENS LÄN</t>
        </is>
      </c>
      <c r="E10173" t="inlineStr">
        <is>
          <t>PITEÅ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57698-2024</t>
        </is>
      </c>
      <c r="B10174" s="1" t="n">
        <v>45630</v>
      </c>
      <c r="C10174" s="1" t="n">
        <v>45662</v>
      </c>
      <c r="D10174" t="inlineStr">
        <is>
          <t>NORRBOTTENS LÄN</t>
        </is>
      </c>
      <c r="E10174" t="inlineStr">
        <is>
          <t>PITEÅ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57739-2024</t>
        </is>
      </c>
      <c r="B10175" s="1" t="n">
        <v>45630</v>
      </c>
      <c r="C10175" s="1" t="n">
        <v>45662</v>
      </c>
      <c r="D10175" t="inlineStr">
        <is>
          <t>NORRBOTTENS LÄN</t>
        </is>
      </c>
      <c r="E10175" t="inlineStr">
        <is>
          <t>PAJALA</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57559-2024</t>
        </is>
      </c>
      <c r="B10176" s="1" t="n">
        <v>45630</v>
      </c>
      <c r="C10176" s="1" t="n">
        <v>45662</v>
      </c>
      <c r="D10176" t="inlineStr">
        <is>
          <t>NORRBOTTENS LÄN</t>
        </is>
      </c>
      <c r="E10176" t="inlineStr">
        <is>
          <t>PAJALA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57740-2024</t>
        </is>
      </c>
      <c r="B10177" s="1" t="n">
        <v>45630</v>
      </c>
      <c r="C10177" s="1" t="n">
        <v>45662</v>
      </c>
      <c r="D10177" t="inlineStr">
        <is>
          <t>NORRBOTTENS LÄN</t>
        </is>
      </c>
      <c r="E10177" t="inlineStr">
        <is>
          <t>PAJALA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45662</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58009-2024</t>
        </is>
      </c>
      <c r="B10179" s="1" t="n">
        <v>45631</v>
      </c>
      <c r="C10179" s="1" t="n">
        <v>45662</v>
      </c>
      <c r="D10179" t="inlineStr">
        <is>
          <t>NORRBOTTENS LÄN</t>
        </is>
      </c>
      <c r="E10179" t="inlineStr">
        <is>
          <t>PITEÅ</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57908-2024</t>
        </is>
      </c>
      <c r="B10180" s="1" t="n">
        <v>45631</v>
      </c>
      <c r="C10180" s="1" t="n">
        <v>45662</v>
      </c>
      <c r="D10180" t="inlineStr">
        <is>
          <t>NORRBOTTENS LÄN</t>
        </is>
      </c>
      <c r="E10180" t="inlineStr">
        <is>
          <t>PITEÅ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58007-2024</t>
        </is>
      </c>
      <c r="B10181" s="1" t="n">
        <v>45631</v>
      </c>
      <c r="C10181" s="1" t="n">
        <v>45662</v>
      </c>
      <c r="D10181" t="inlineStr">
        <is>
          <t>NORRBOTTENS LÄN</t>
        </is>
      </c>
      <c r="E10181" t="inlineStr">
        <is>
          <t>ÄLVSBYN</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58052-2024</t>
        </is>
      </c>
      <c r="B10182" s="1" t="n">
        <v>45631</v>
      </c>
      <c r="C10182" s="1" t="n">
        <v>45662</v>
      </c>
      <c r="D10182" t="inlineStr">
        <is>
          <t>NORRBOTTENS LÄN</t>
        </is>
      </c>
      <c r="E10182" t="inlineStr">
        <is>
          <t>PAJALA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58034-2024</t>
        </is>
      </c>
      <c r="B10183" s="1" t="n">
        <v>45631</v>
      </c>
      <c r="C10183" s="1" t="n">
        <v>45662</v>
      </c>
      <c r="D10183" t="inlineStr">
        <is>
          <t>NORRBOTTENS LÄN</t>
        </is>
      </c>
      <c r="E10183" t="inlineStr">
        <is>
          <t>PITEÅ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58038-2024</t>
        </is>
      </c>
      <c r="B10184" s="1" t="n">
        <v>45631</v>
      </c>
      <c r="C10184" s="1" t="n">
        <v>45662</v>
      </c>
      <c r="D10184" t="inlineStr">
        <is>
          <t>NORRBOTTENS LÄN</t>
        </is>
      </c>
      <c r="E10184" t="inlineStr">
        <is>
          <t>ÖVERKALIX</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58037-2024</t>
        </is>
      </c>
      <c r="B10185" s="1" t="n">
        <v>45631</v>
      </c>
      <c r="C10185" s="1" t="n">
        <v>45662</v>
      </c>
      <c r="D10185" t="inlineStr">
        <is>
          <t>NORRBOTTENS LÄN</t>
        </is>
      </c>
      <c r="E10185" t="inlineStr">
        <is>
          <t>ÖVERKALIX</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58031-2024</t>
        </is>
      </c>
      <c r="B10186" s="1" t="n">
        <v>45631</v>
      </c>
      <c r="C10186" s="1" t="n">
        <v>45662</v>
      </c>
      <c r="D10186" t="inlineStr">
        <is>
          <t>NORRBOTTENS LÄN</t>
        </is>
      </c>
      <c r="E10186" t="inlineStr">
        <is>
          <t>PAJALA</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58055-2024</t>
        </is>
      </c>
      <c r="B10187" s="1" t="n">
        <v>45631</v>
      </c>
      <c r="C10187" s="1" t="n">
        <v>45662</v>
      </c>
      <c r="D10187" t="inlineStr">
        <is>
          <t>NORRBOTTENS LÄN</t>
        </is>
      </c>
      <c r="E10187" t="inlineStr">
        <is>
          <t>PAJALA</t>
        </is>
      </c>
      <c r="G10187" t="n">
        <v>20.3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58101-2024</t>
        </is>
      </c>
      <c r="B10188" s="1" t="n">
        <v>45632</v>
      </c>
      <c r="C10188" s="1" t="n">
        <v>45662</v>
      </c>
      <c r="D10188" t="inlineStr">
        <is>
          <t>NORRBOTTENS LÄN</t>
        </is>
      </c>
      <c r="E10188" t="inlineStr">
        <is>
          <t>ÖVERTORNEÅ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58178-2024</t>
        </is>
      </c>
      <c r="B10189" s="1" t="n">
        <v>45632</v>
      </c>
      <c r="C10189" s="1" t="n">
        <v>45662</v>
      </c>
      <c r="D10189" t="inlineStr">
        <is>
          <t>NORRBOTTENS LÄN</t>
        </is>
      </c>
      <c r="E10189" t="inlineStr">
        <is>
          <t>ÖVERTORNEÅ</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58182-2024</t>
        </is>
      </c>
      <c r="B10190" s="1" t="n">
        <v>45632</v>
      </c>
      <c r="C10190" s="1" t="n">
        <v>45662</v>
      </c>
      <c r="D10190" t="inlineStr">
        <is>
          <t>NORRBOTTENS LÄN</t>
        </is>
      </c>
      <c r="E10190" t="inlineStr">
        <is>
          <t>KALIX</t>
        </is>
      </c>
      <c r="G10190" t="n">
        <v>17.4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58083-2024</t>
        </is>
      </c>
      <c r="B10191" s="1" t="n">
        <v>45632</v>
      </c>
      <c r="C10191" s="1" t="n">
        <v>45662</v>
      </c>
      <c r="D10191" t="inlineStr">
        <is>
          <t>NORRBOTTENS LÄN</t>
        </is>
      </c>
      <c r="E10191" t="inlineStr">
        <is>
          <t>ÖVERTORNEÅ</t>
        </is>
      </c>
      <c r="G10191" t="n">
        <v>13.2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58096-2024</t>
        </is>
      </c>
      <c r="B10192" s="1" t="n">
        <v>45632</v>
      </c>
      <c r="C10192" s="1" t="n">
        <v>45662</v>
      </c>
      <c r="D10192" t="inlineStr">
        <is>
          <t>NORRBOTTENS LÄN</t>
        </is>
      </c>
      <c r="E10192" t="inlineStr">
        <is>
          <t>ÖVERTORNEÅ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58218-2024</t>
        </is>
      </c>
      <c r="B10193" s="1" t="n">
        <v>45632</v>
      </c>
      <c r="C10193" s="1" t="n">
        <v>45662</v>
      </c>
      <c r="D10193" t="inlineStr">
        <is>
          <t>NORRBOTTENS LÄN</t>
        </is>
      </c>
      <c r="E10193" t="inlineStr">
        <is>
          <t>ÖVERTORNEÅ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58317-2024</t>
        </is>
      </c>
      <c r="B10194" s="1" t="n">
        <v>45632</v>
      </c>
      <c r="C10194" s="1" t="n">
        <v>45662</v>
      </c>
      <c r="D10194" t="inlineStr">
        <is>
          <t>NORRBOTTENS LÄN</t>
        </is>
      </c>
      <c r="E10194" t="inlineStr">
        <is>
          <t>ÄLVSBYN</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58363-2024</t>
        </is>
      </c>
      <c r="B10195" s="1" t="n">
        <v>45632</v>
      </c>
      <c r="C10195" s="1" t="n">
        <v>45662</v>
      </c>
      <c r="D10195" t="inlineStr">
        <is>
          <t>NORRBOTTENS LÄN</t>
        </is>
      </c>
      <c r="E10195" t="inlineStr">
        <is>
          <t>BODEN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58215-2024</t>
        </is>
      </c>
      <c r="B10196" s="1" t="n">
        <v>45632</v>
      </c>
      <c r="C10196" s="1" t="n">
        <v>45662</v>
      </c>
      <c r="D10196" t="inlineStr">
        <is>
          <t>NORRBOTTENS LÄN</t>
        </is>
      </c>
      <c r="E10196" t="inlineStr">
        <is>
          <t>ÖVERTORNEÅ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58243-2024</t>
        </is>
      </c>
      <c r="B10197" s="1" t="n">
        <v>45632</v>
      </c>
      <c r="C10197" s="1" t="n">
        <v>45662</v>
      </c>
      <c r="D10197" t="inlineStr">
        <is>
          <t>NORRBOTTENS LÄN</t>
        </is>
      </c>
      <c r="E10197" t="inlineStr">
        <is>
          <t>ÄLVSBYN</t>
        </is>
      </c>
      <c r="G10197" t="n">
        <v>14.4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58248-2024</t>
        </is>
      </c>
      <c r="B10198" s="1" t="n">
        <v>45632</v>
      </c>
      <c r="C10198" s="1" t="n">
        <v>45662</v>
      </c>
      <c r="D10198" t="inlineStr">
        <is>
          <t>NORRBOTTENS LÄN</t>
        </is>
      </c>
      <c r="E10198" t="inlineStr">
        <is>
          <t>ÄLVSBYN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58253-2024</t>
        </is>
      </c>
      <c r="B10199" s="1" t="n">
        <v>45632</v>
      </c>
      <c r="C10199" s="1" t="n">
        <v>45662</v>
      </c>
      <c r="D10199" t="inlineStr">
        <is>
          <t>NORRBOTTENS LÄN</t>
        </is>
      </c>
      <c r="E10199" t="inlineStr">
        <is>
          <t>ÄLVSBYN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58308-2024</t>
        </is>
      </c>
      <c r="B10200" s="1" t="n">
        <v>45632</v>
      </c>
      <c r="C10200" s="1" t="n">
        <v>45662</v>
      </c>
      <c r="D10200" t="inlineStr">
        <is>
          <t>NORRBOTTENS LÄN</t>
        </is>
      </c>
      <c r="E10200" t="inlineStr">
        <is>
          <t>ÄLVSBYN</t>
        </is>
      </c>
      <c r="G10200" t="n">
        <v>23.4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58469-2024</t>
        </is>
      </c>
      <c r="B10201" s="1" t="n">
        <v>45632</v>
      </c>
      <c r="C10201" s="1" t="n">
        <v>45662</v>
      </c>
      <c r="D10201" t="inlineStr">
        <is>
          <t>NORRBOTTENS LÄN</t>
        </is>
      </c>
      <c r="E10201" t="inlineStr">
        <is>
          <t>LULEÅ</t>
        </is>
      </c>
      <c r="G10201" t="n">
        <v>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58201-2024</t>
        </is>
      </c>
      <c r="B10202" s="1" t="n">
        <v>45632</v>
      </c>
      <c r="C10202" s="1" t="n">
        <v>45662</v>
      </c>
      <c r="D10202" t="inlineStr">
        <is>
          <t>NORRBOTTENS LÄN</t>
        </is>
      </c>
      <c r="E10202" t="inlineStr">
        <is>
          <t>ÖVERTORNEÅ</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58263-2024</t>
        </is>
      </c>
      <c r="B10203" s="1" t="n">
        <v>45632</v>
      </c>
      <c r="C10203" s="1" t="n">
        <v>45662</v>
      </c>
      <c r="D10203" t="inlineStr">
        <is>
          <t>NORRBOTTENS LÄN</t>
        </is>
      </c>
      <c r="E10203" t="inlineStr">
        <is>
          <t>ÄLVSBYN</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58306-2024</t>
        </is>
      </c>
      <c r="B10204" s="1" t="n">
        <v>45632</v>
      </c>
      <c r="C10204" s="1" t="n">
        <v>45662</v>
      </c>
      <c r="D10204" t="inlineStr">
        <is>
          <t>NORRBOTTENS LÄN</t>
        </is>
      </c>
      <c r="E10204" t="inlineStr">
        <is>
          <t>ÖVERTORNEÅ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58315-2024</t>
        </is>
      </c>
      <c r="B10205" s="1" t="n">
        <v>45632</v>
      </c>
      <c r="C10205" s="1" t="n">
        <v>45662</v>
      </c>
      <c r="D10205" t="inlineStr">
        <is>
          <t>NORRBOTTENS LÄN</t>
        </is>
      </c>
      <c r="E10205" t="inlineStr">
        <is>
          <t>ÄLVSBYN</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58321-2024</t>
        </is>
      </c>
      <c r="B10206" s="1" t="n">
        <v>45632</v>
      </c>
      <c r="C10206" s="1" t="n">
        <v>45662</v>
      </c>
      <c r="D10206" t="inlineStr">
        <is>
          <t>NORRBOTTENS LÄN</t>
        </is>
      </c>
      <c r="E10206" t="inlineStr">
        <is>
          <t>ÄLVSBYN</t>
        </is>
      </c>
      <c r="G10206" t="n">
        <v>22.1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58358-2024</t>
        </is>
      </c>
      <c r="B10207" s="1" t="n">
        <v>45632</v>
      </c>
      <c r="C10207" s="1" t="n">
        <v>45662</v>
      </c>
      <c r="D10207" t="inlineStr">
        <is>
          <t>NORRBOTTENS LÄN</t>
        </is>
      </c>
      <c r="E10207" t="inlineStr">
        <is>
          <t>JOKKMOKK</t>
        </is>
      </c>
      <c r="G10207" t="n">
        <v>8.800000000000001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58172-2024</t>
        </is>
      </c>
      <c r="B10208" s="1" t="n">
        <v>45632</v>
      </c>
      <c r="C10208" s="1" t="n">
        <v>45662</v>
      </c>
      <c r="D10208" t="inlineStr">
        <is>
          <t>NORRBOTTENS LÄN</t>
        </is>
      </c>
      <c r="E10208" t="inlineStr">
        <is>
          <t>ÖVERTORNEÅ</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58212-2024</t>
        </is>
      </c>
      <c r="B10209" s="1" t="n">
        <v>45632</v>
      </c>
      <c r="C10209" s="1" t="n">
        <v>45662</v>
      </c>
      <c r="D10209" t="inlineStr">
        <is>
          <t>NORRBOTTENS LÄN</t>
        </is>
      </c>
      <c r="E10209" t="inlineStr">
        <is>
          <t>ÖVERTORNEÅ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58266-2024</t>
        </is>
      </c>
      <c r="B10210" s="1" t="n">
        <v>45632</v>
      </c>
      <c r="C10210" s="1" t="n">
        <v>45662</v>
      </c>
      <c r="D10210" t="inlineStr">
        <is>
          <t>NORRBOTTENS LÄN</t>
        </is>
      </c>
      <c r="E10210" t="inlineStr">
        <is>
          <t>ÄLVSBYN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58274-2024</t>
        </is>
      </c>
      <c r="B10211" s="1" t="n">
        <v>45632</v>
      </c>
      <c r="C10211" s="1" t="n">
        <v>45662</v>
      </c>
      <c r="D10211" t="inlineStr">
        <is>
          <t>NORRBOTTENS LÄN</t>
        </is>
      </c>
      <c r="E10211" t="inlineStr">
        <is>
          <t>KALIX</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58291-2024</t>
        </is>
      </c>
      <c r="B10212" s="1" t="n">
        <v>45632</v>
      </c>
      <c r="C10212" s="1" t="n">
        <v>45662</v>
      </c>
      <c r="D10212" t="inlineStr">
        <is>
          <t>NORRBOTTENS LÄN</t>
        </is>
      </c>
      <c r="E10212" t="inlineStr">
        <is>
          <t>BODEN</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58309-2024</t>
        </is>
      </c>
      <c r="B10213" s="1" t="n">
        <v>45632</v>
      </c>
      <c r="C10213" s="1" t="n">
        <v>45662</v>
      </c>
      <c r="D10213" t="inlineStr">
        <is>
          <t>NORRBOTTENS LÄN</t>
        </is>
      </c>
      <c r="E10213" t="inlineStr">
        <is>
          <t>ÄLVSBYN</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58353-2024</t>
        </is>
      </c>
      <c r="B10214" s="1" t="n">
        <v>45632</v>
      </c>
      <c r="C10214" s="1" t="n">
        <v>45662</v>
      </c>
      <c r="D10214" t="inlineStr">
        <is>
          <t>NORRBOTTENS LÄN</t>
        </is>
      </c>
      <c r="E10214" t="inlineStr">
        <is>
          <t>JOKKMOKK</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58365-2024</t>
        </is>
      </c>
      <c r="B10215" s="1" t="n">
        <v>45632</v>
      </c>
      <c r="C10215" s="1" t="n">
        <v>45662</v>
      </c>
      <c r="D10215" t="inlineStr">
        <is>
          <t>NORRBOTTENS LÄN</t>
        </is>
      </c>
      <c r="E10215" t="inlineStr">
        <is>
          <t>JOKKMOKK</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45662</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45662</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58500-2024</t>
        </is>
      </c>
      <c r="B10218" s="1" t="n">
        <v>45635</v>
      </c>
      <c r="C10218" s="1" t="n">
        <v>45662</v>
      </c>
      <c r="D10218" t="inlineStr">
        <is>
          <t>NORRBOTTENS LÄN</t>
        </is>
      </c>
      <c r="E10218" t="inlineStr">
        <is>
          <t>BODEN</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58504-2024</t>
        </is>
      </c>
      <c r="B10219" s="1" t="n">
        <v>45635</v>
      </c>
      <c r="C10219" s="1" t="n">
        <v>45662</v>
      </c>
      <c r="D10219" t="inlineStr">
        <is>
          <t>NORRBOTTENS LÄN</t>
        </is>
      </c>
      <c r="E10219" t="inlineStr">
        <is>
          <t>BODEN</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58506-2024</t>
        </is>
      </c>
      <c r="B10220" s="1" t="n">
        <v>45635</v>
      </c>
      <c r="C10220" s="1" t="n">
        <v>45662</v>
      </c>
      <c r="D10220" t="inlineStr">
        <is>
          <t>NORRBOTTENS LÄN</t>
        </is>
      </c>
      <c r="E10220" t="inlineStr">
        <is>
          <t>BODEN</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58545-2024</t>
        </is>
      </c>
      <c r="B10221" s="1" t="n">
        <v>45635</v>
      </c>
      <c r="C10221" s="1" t="n">
        <v>45662</v>
      </c>
      <c r="D10221" t="inlineStr">
        <is>
          <t>NORRBOTTENS LÄN</t>
        </is>
      </c>
      <c r="E10221" t="inlineStr">
        <is>
          <t>ÖVERTORNEÅ</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58438-2024</t>
        </is>
      </c>
      <c r="B10222" s="1" t="n">
        <v>45635</v>
      </c>
      <c r="C10222" s="1" t="n">
        <v>45662</v>
      </c>
      <c r="D10222" t="inlineStr">
        <is>
          <t>NORRBOTTENS LÄN</t>
        </is>
      </c>
      <c r="E10222" t="inlineStr">
        <is>
          <t>ÄLVSBYN</t>
        </is>
      </c>
      <c r="F10222" t="inlineStr">
        <is>
          <t>Sveaskog</t>
        </is>
      </c>
      <c r="G10222" t="n">
        <v>14.5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58536-2024</t>
        </is>
      </c>
      <c r="B10223" s="1" t="n">
        <v>45635</v>
      </c>
      <c r="C10223" s="1" t="n">
        <v>45662</v>
      </c>
      <c r="D10223" t="inlineStr">
        <is>
          <t>NORRBOTTENS LÄN</t>
        </is>
      </c>
      <c r="E10223" t="inlineStr">
        <is>
          <t>ÖVERTORNEÅ</t>
        </is>
      </c>
      <c r="G10223" t="n">
        <v>14.9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58735-2024</t>
        </is>
      </c>
      <c r="B10224" s="1" t="n">
        <v>45635</v>
      </c>
      <c r="C10224" s="1" t="n">
        <v>45662</v>
      </c>
      <c r="D10224" t="inlineStr">
        <is>
          <t>NORRBOTTENS LÄN</t>
        </is>
      </c>
      <c r="E10224" t="inlineStr">
        <is>
          <t>LULEÅ</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58547-2024</t>
        </is>
      </c>
      <c r="B10225" s="1" t="n">
        <v>45635</v>
      </c>
      <c r="C10225" s="1" t="n">
        <v>45662</v>
      </c>
      <c r="D10225" t="inlineStr">
        <is>
          <t>NORRBOTTENS LÄN</t>
        </is>
      </c>
      <c r="E10225" t="inlineStr">
        <is>
          <t>LULEÅ</t>
        </is>
      </c>
      <c r="G10225" t="n">
        <v>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58643-2024</t>
        </is>
      </c>
      <c r="B10226" s="1" t="n">
        <v>45635</v>
      </c>
      <c r="C10226" s="1" t="n">
        <v>45662</v>
      </c>
      <c r="D10226" t="inlineStr">
        <is>
          <t>NORRBOTTENS LÄN</t>
        </is>
      </c>
      <c r="E10226" t="inlineStr">
        <is>
          <t>PAJALA</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58698-2024</t>
        </is>
      </c>
      <c r="B10227" s="1" t="n">
        <v>45635</v>
      </c>
      <c r="C10227" s="1" t="n">
        <v>45662</v>
      </c>
      <c r="D10227" t="inlineStr">
        <is>
          <t>NORRBOTTENS LÄN</t>
        </is>
      </c>
      <c r="E10227" t="inlineStr">
        <is>
          <t>PITEÅ</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58777-2024</t>
        </is>
      </c>
      <c r="B10228" s="1" t="n">
        <v>45635</v>
      </c>
      <c r="C10228" s="1" t="n">
        <v>45662</v>
      </c>
      <c r="D10228" t="inlineStr">
        <is>
          <t>NORRBOTTENS LÄN</t>
        </is>
      </c>
      <c r="E10228" t="inlineStr">
        <is>
          <t>ARJEPLOG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58816-2024</t>
        </is>
      </c>
      <c r="B10229" s="1" t="n">
        <v>45635</v>
      </c>
      <c r="C10229" s="1" t="n">
        <v>45662</v>
      </c>
      <c r="D10229" t="inlineStr">
        <is>
          <t>NORRBOTTENS LÄN</t>
        </is>
      </c>
      <c r="E10229" t="inlineStr">
        <is>
          <t>LULEÅ</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58831-2024</t>
        </is>
      </c>
      <c r="B10230" s="1" t="n">
        <v>45635</v>
      </c>
      <c r="C10230" s="1" t="n">
        <v>45662</v>
      </c>
      <c r="D10230" t="inlineStr">
        <is>
          <t>NORRBOTTENS LÄN</t>
        </is>
      </c>
      <c r="E10230" t="inlineStr">
        <is>
          <t>LULEÅ</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58778-2024</t>
        </is>
      </c>
      <c r="B10231" s="1" t="n">
        <v>45635</v>
      </c>
      <c r="C10231" s="1" t="n">
        <v>45662</v>
      </c>
      <c r="D10231" t="inlineStr">
        <is>
          <t>NORRBOTTENS LÄN</t>
        </is>
      </c>
      <c r="E10231" t="inlineStr">
        <is>
          <t>ARJEPLOG</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58823-2024</t>
        </is>
      </c>
      <c r="B10232" s="1" t="n">
        <v>45635</v>
      </c>
      <c r="C10232" s="1" t="n">
        <v>45662</v>
      </c>
      <c r="D10232" t="inlineStr">
        <is>
          <t>NORRBOTTENS LÄN</t>
        </is>
      </c>
      <c r="E10232" t="inlineStr">
        <is>
          <t>LULEÅ</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58862-2024</t>
        </is>
      </c>
      <c r="B10233" s="1" t="n">
        <v>45635</v>
      </c>
      <c r="C10233" s="1" t="n">
        <v>45662</v>
      </c>
      <c r="D10233" t="inlineStr">
        <is>
          <t>NORRBOTTENS LÄN</t>
        </is>
      </c>
      <c r="E10233" t="inlineStr">
        <is>
          <t>ARVIDSJAUR</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58827-2024</t>
        </is>
      </c>
      <c r="B10234" s="1" t="n">
        <v>45635</v>
      </c>
      <c r="C10234" s="1" t="n">
        <v>45662</v>
      </c>
      <c r="D10234" t="inlineStr">
        <is>
          <t>NORRBOTTENS LÄN</t>
        </is>
      </c>
      <c r="E10234" t="inlineStr">
        <is>
          <t>LULEÅ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58942-2024</t>
        </is>
      </c>
      <c r="B10235" s="1" t="n">
        <v>45636</v>
      </c>
      <c r="C10235" s="1" t="n">
        <v>45662</v>
      </c>
      <c r="D10235" t="inlineStr">
        <is>
          <t>NORRBOTTENS LÄN</t>
        </is>
      </c>
      <c r="E10235" t="inlineStr">
        <is>
          <t>ARVIDSJAUR</t>
        </is>
      </c>
      <c r="F10235" t="inlineStr">
        <is>
          <t>Sveaskog</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58950-2024</t>
        </is>
      </c>
      <c r="B10236" s="1" t="n">
        <v>45636</v>
      </c>
      <c r="C10236" s="1" t="n">
        <v>45662</v>
      </c>
      <c r="D10236" t="inlineStr">
        <is>
          <t>NORRBOTTENS LÄN</t>
        </is>
      </c>
      <c r="E10236" t="inlineStr">
        <is>
          <t>HAPARANDA</t>
        </is>
      </c>
      <c r="G10236" t="n">
        <v>18.6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58932-2024</t>
        </is>
      </c>
      <c r="B10237" s="1" t="n">
        <v>45636</v>
      </c>
      <c r="C10237" s="1" t="n">
        <v>45662</v>
      </c>
      <c r="D10237" t="inlineStr">
        <is>
          <t>NORRBOTTENS LÄN</t>
        </is>
      </c>
      <c r="E10237" t="inlineStr">
        <is>
          <t>HAPARANDA</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58916-2024</t>
        </is>
      </c>
      <c r="B10238" s="1" t="n">
        <v>45636</v>
      </c>
      <c r="C10238" s="1" t="n">
        <v>45662</v>
      </c>
      <c r="D10238" t="inlineStr">
        <is>
          <t>NORRBOTTENS LÄN</t>
        </is>
      </c>
      <c r="E10238" t="inlineStr">
        <is>
          <t>HAPARANDA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58953-2024</t>
        </is>
      </c>
      <c r="B10239" s="1" t="n">
        <v>45636</v>
      </c>
      <c r="C10239" s="1" t="n">
        <v>45662</v>
      </c>
      <c r="D10239" t="inlineStr">
        <is>
          <t>NORRBOTTENS LÄN</t>
        </is>
      </c>
      <c r="E10239" t="inlineStr">
        <is>
          <t>HAPARANDA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58992-2024</t>
        </is>
      </c>
      <c r="B10240" s="1" t="n">
        <v>45636</v>
      </c>
      <c r="C10240" s="1" t="n">
        <v>45662</v>
      </c>
      <c r="D10240" t="inlineStr">
        <is>
          <t>NORRBOTTENS LÄN</t>
        </is>
      </c>
      <c r="E10240" t="inlineStr">
        <is>
          <t>ÖVERTORNEÅ</t>
        </is>
      </c>
      <c r="G10240" t="n">
        <v>44.5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58981-2024</t>
        </is>
      </c>
      <c r="B10241" s="1" t="n">
        <v>45636</v>
      </c>
      <c r="C10241" s="1" t="n">
        <v>45662</v>
      </c>
      <c r="D10241" t="inlineStr">
        <is>
          <t>NORRBOTTENS LÄN</t>
        </is>
      </c>
      <c r="E10241" t="inlineStr">
        <is>
          <t>HAPARANDA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58989-2024</t>
        </is>
      </c>
      <c r="B10242" s="1" t="n">
        <v>45636</v>
      </c>
      <c r="C10242" s="1" t="n">
        <v>45662</v>
      </c>
      <c r="D10242" t="inlineStr">
        <is>
          <t>NORRBOTTENS LÄN</t>
        </is>
      </c>
      <c r="E10242" t="inlineStr">
        <is>
          <t>ARJEPLOG</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59112-2024</t>
        </is>
      </c>
      <c r="B10243" s="1" t="n">
        <v>45636</v>
      </c>
      <c r="C10243" s="1" t="n">
        <v>45662</v>
      </c>
      <c r="D10243" t="inlineStr">
        <is>
          <t>NORRBOTTENS LÄN</t>
        </is>
      </c>
      <c r="E10243" t="inlineStr">
        <is>
          <t>GÄLLIVARE</t>
        </is>
      </c>
      <c r="F10243" t="inlineStr">
        <is>
          <t>Allmännings- och besparingsskogar</t>
        </is>
      </c>
      <c r="G10243" t="n">
        <v>138.3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58959-2024</t>
        </is>
      </c>
      <c r="B10244" s="1" t="n">
        <v>45636</v>
      </c>
      <c r="C10244" s="1" t="n">
        <v>45662</v>
      </c>
      <c r="D10244" t="inlineStr">
        <is>
          <t>NORRBOTTENS LÄN</t>
        </is>
      </c>
      <c r="E10244" t="inlineStr">
        <is>
          <t>PITEÅ</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58973-2024</t>
        </is>
      </c>
      <c r="B10245" s="1" t="n">
        <v>45636</v>
      </c>
      <c r="C10245" s="1" t="n">
        <v>45662</v>
      </c>
      <c r="D10245" t="inlineStr">
        <is>
          <t>NORRBOTTENS LÄN</t>
        </is>
      </c>
      <c r="E10245" t="inlineStr">
        <is>
          <t>PITEÅ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45662</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59181-2024</t>
        </is>
      </c>
      <c r="B10247" s="1" t="n">
        <v>45637</v>
      </c>
      <c r="C10247" s="1" t="n">
        <v>45662</v>
      </c>
      <c r="D10247" t="inlineStr">
        <is>
          <t>NORRBOTTENS LÄN</t>
        </is>
      </c>
      <c r="E10247" t="inlineStr">
        <is>
          <t>ÄLVSBYN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59183-2024</t>
        </is>
      </c>
      <c r="B10248" s="1" t="n">
        <v>45637</v>
      </c>
      <c r="C10248" s="1" t="n">
        <v>45662</v>
      </c>
      <c r="D10248" t="inlineStr">
        <is>
          <t>NORRBOTTENS LÄN</t>
        </is>
      </c>
      <c r="E10248" t="inlineStr">
        <is>
          <t>ÖVERKALIX</t>
        </is>
      </c>
      <c r="G10248" t="n">
        <v>16.9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59197-2024</t>
        </is>
      </c>
      <c r="B10249" s="1" t="n">
        <v>45637</v>
      </c>
      <c r="C10249" s="1" t="n">
        <v>45662</v>
      </c>
      <c r="D10249" t="inlineStr">
        <is>
          <t>NORRBOTTENS LÄN</t>
        </is>
      </c>
      <c r="E10249" t="inlineStr">
        <is>
          <t>PAJALA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59280-2024</t>
        </is>
      </c>
      <c r="B10250" s="1" t="n">
        <v>45637</v>
      </c>
      <c r="C10250" s="1" t="n">
        <v>45662</v>
      </c>
      <c r="D10250" t="inlineStr">
        <is>
          <t>NORRBOTTENS LÄN</t>
        </is>
      </c>
      <c r="E10250" t="inlineStr">
        <is>
          <t>ÖVERKALIX</t>
        </is>
      </c>
      <c r="F10250" t="inlineStr">
        <is>
          <t>Sveaskog</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59180-2024</t>
        </is>
      </c>
      <c r="B10251" s="1" t="n">
        <v>45637</v>
      </c>
      <c r="C10251" s="1" t="n">
        <v>45662</v>
      </c>
      <c r="D10251" t="inlineStr">
        <is>
          <t>NORRBOTTENS LÄN</t>
        </is>
      </c>
      <c r="E10251" t="inlineStr">
        <is>
          <t>ÄLVSBYN</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59232-2024</t>
        </is>
      </c>
      <c r="B10252" s="1" t="n">
        <v>45637</v>
      </c>
      <c r="C10252" s="1" t="n">
        <v>45662</v>
      </c>
      <c r="D10252" t="inlineStr">
        <is>
          <t>NORRBOTTENS LÄN</t>
        </is>
      </c>
      <c r="E10252" t="inlineStr">
        <is>
          <t>GÄLLIVARE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59186-2024</t>
        </is>
      </c>
      <c r="B10253" s="1" t="n">
        <v>45637</v>
      </c>
      <c r="C10253" s="1" t="n">
        <v>45662</v>
      </c>
      <c r="D10253" t="inlineStr">
        <is>
          <t>NORRBOTTENS LÄN</t>
        </is>
      </c>
      <c r="E10253" t="inlineStr">
        <is>
          <t>ÖVERKALIX</t>
        </is>
      </c>
      <c r="G10253" t="n">
        <v>11.8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59557-2024</t>
        </is>
      </c>
      <c r="B10254" s="1" t="n">
        <v>45638</v>
      </c>
      <c r="C10254" s="1" t="n">
        <v>45662</v>
      </c>
      <c r="D10254" t="inlineStr">
        <is>
          <t>NORRBOTTENS LÄN</t>
        </is>
      </c>
      <c r="E10254" t="inlineStr">
        <is>
          <t>KALIX</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59494-2024</t>
        </is>
      </c>
      <c r="B10255" s="1" t="n">
        <v>45638</v>
      </c>
      <c r="C10255" s="1" t="n">
        <v>45662</v>
      </c>
      <c r="D10255" t="inlineStr">
        <is>
          <t>NORRBOTTENS LÄN</t>
        </is>
      </c>
      <c r="E10255" t="inlineStr">
        <is>
          <t>ARVIDSJAUR</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59400-2024</t>
        </is>
      </c>
      <c r="B10256" s="1" t="n">
        <v>45638</v>
      </c>
      <c r="C10256" s="1" t="n">
        <v>45662</v>
      </c>
      <c r="D10256" t="inlineStr">
        <is>
          <t>NORRBOTTENS LÄN</t>
        </is>
      </c>
      <c r="E10256" t="inlineStr">
        <is>
          <t>LULEÅ</t>
        </is>
      </c>
      <c r="F10256" t="inlineStr">
        <is>
          <t>Sveaskog</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59435-2024</t>
        </is>
      </c>
      <c r="B10257" s="1" t="n">
        <v>45638</v>
      </c>
      <c r="C10257" s="1" t="n">
        <v>45662</v>
      </c>
      <c r="D10257" t="inlineStr">
        <is>
          <t>NORRBOTTENS LÄN</t>
        </is>
      </c>
      <c r="E10257" t="inlineStr">
        <is>
          <t>BODEN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59394-2024</t>
        </is>
      </c>
      <c r="B10258" s="1" t="n">
        <v>45638</v>
      </c>
      <c r="C10258" s="1" t="n">
        <v>45662</v>
      </c>
      <c r="D10258" t="inlineStr">
        <is>
          <t>NORRBOTTENS LÄN</t>
        </is>
      </c>
      <c r="E10258" t="inlineStr">
        <is>
          <t>ARVIDSJAUR</t>
        </is>
      </c>
      <c r="F10258" t="inlineStr">
        <is>
          <t>Sveaskog</t>
        </is>
      </c>
      <c r="G10258" t="n">
        <v>22.2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59539-2024</t>
        </is>
      </c>
      <c r="B10259" s="1" t="n">
        <v>45638</v>
      </c>
      <c r="C10259" s="1" t="n">
        <v>45662</v>
      </c>
      <c r="D10259" t="inlineStr">
        <is>
          <t>NORRBOTTENS LÄN</t>
        </is>
      </c>
      <c r="E10259" t="inlineStr">
        <is>
          <t>ARVIDSJAUR</t>
        </is>
      </c>
      <c r="F10259" t="inlineStr">
        <is>
          <t>Sveaskog</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59861-2024</t>
        </is>
      </c>
      <c r="B10260" s="1" t="n">
        <v>45638</v>
      </c>
      <c r="C10260" s="1" t="n">
        <v>45662</v>
      </c>
      <c r="D10260" t="inlineStr">
        <is>
          <t>NORRBOTTENS LÄN</t>
        </is>
      </c>
      <c r="E10260" t="inlineStr">
        <is>
          <t>BODEN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59609-2024</t>
        </is>
      </c>
      <c r="B10261" s="1" t="n">
        <v>45638</v>
      </c>
      <c r="C10261" s="1" t="n">
        <v>45662</v>
      </c>
      <c r="D10261" t="inlineStr">
        <is>
          <t>NORRBOTTENS LÄN</t>
        </is>
      </c>
      <c r="E10261" t="inlineStr">
        <is>
          <t>LULEÅ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59652-2024</t>
        </is>
      </c>
      <c r="B10262" s="1" t="n">
        <v>45639</v>
      </c>
      <c r="C10262" s="1" t="n">
        <v>45662</v>
      </c>
      <c r="D10262" t="inlineStr">
        <is>
          <t>NORRBOTTENS LÄN</t>
        </is>
      </c>
      <c r="E10262" t="inlineStr">
        <is>
          <t>GÄLLIVARE</t>
        </is>
      </c>
      <c r="F10262" t="inlineStr">
        <is>
          <t>SCA</t>
        </is>
      </c>
      <c r="G10262" t="n">
        <v>13.6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59656-2024</t>
        </is>
      </c>
      <c r="B10263" s="1" t="n">
        <v>45639</v>
      </c>
      <c r="C10263" s="1" t="n">
        <v>45662</v>
      </c>
      <c r="D10263" t="inlineStr">
        <is>
          <t>NORRBOTTENS LÄN</t>
        </is>
      </c>
      <c r="E10263" t="inlineStr">
        <is>
          <t>LULEÅ</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59680-2024</t>
        </is>
      </c>
      <c r="B10264" s="1" t="n">
        <v>45639</v>
      </c>
      <c r="C10264" s="1" t="n">
        <v>45662</v>
      </c>
      <c r="D10264" t="inlineStr">
        <is>
          <t>NORRBOTTENS LÄN</t>
        </is>
      </c>
      <c r="E10264" t="inlineStr">
        <is>
          <t>GÄLLIVARE</t>
        </is>
      </c>
      <c r="F10264" t="inlineStr">
        <is>
          <t>Sveaskog</t>
        </is>
      </c>
      <c r="G10264" t="n">
        <v>14.4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59685-2024</t>
        </is>
      </c>
      <c r="B10265" s="1" t="n">
        <v>45639</v>
      </c>
      <c r="C10265" s="1" t="n">
        <v>45662</v>
      </c>
      <c r="D10265" t="inlineStr">
        <is>
          <t>NORRBOTTENS LÄN</t>
        </is>
      </c>
      <c r="E10265" t="inlineStr">
        <is>
          <t>GÄLLIVARE</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59698-2024</t>
        </is>
      </c>
      <c r="B10266" s="1" t="n">
        <v>45639</v>
      </c>
      <c r="C10266" s="1" t="n">
        <v>45662</v>
      </c>
      <c r="D10266" t="inlineStr">
        <is>
          <t>NORRBOTTENS LÄN</t>
        </is>
      </c>
      <c r="E10266" t="inlineStr">
        <is>
          <t>GÄLLIVARE</t>
        </is>
      </c>
      <c r="F10266" t="inlineStr">
        <is>
          <t>Sveaskog</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59662-2024</t>
        </is>
      </c>
      <c r="B10267" s="1" t="n">
        <v>45639</v>
      </c>
      <c r="C10267" s="1" t="n">
        <v>45662</v>
      </c>
      <c r="D10267" t="inlineStr">
        <is>
          <t>NORRBOTTENS LÄN</t>
        </is>
      </c>
      <c r="E10267" t="inlineStr">
        <is>
          <t>ÖVERTORNEÅ</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59678-2024</t>
        </is>
      </c>
      <c r="B10268" s="1" t="n">
        <v>45639</v>
      </c>
      <c r="C10268" s="1" t="n">
        <v>45662</v>
      </c>
      <c r="D10268" t="inlineStr">
        <is>
          <t>NORRBOTTENS LÄN</t>
        </is>
      </c>
      <c r="E10268" t="inlineStr">
        <is>
          <t>PITEÅ</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59704-2024</t>
        </is>
      </c>
      <c r="B10269" s="1" t="n">
        <v>45639</v>
      </c>
      <c r="C10269" s="1" t="n">
        <v>45662</v>
      </c>
      <c r="D10269" t="inlineStr">
        <is>
          <t>NORRBOTTENS LÄN</t>
        </is>
      </c>
      <c r="E10269" t="inlineStr">
        <is>
          <t>GÄLLIVARE</t>
        </is>
      </c>
      <c r="F10269" t="inlineStr">
        <is>
          <t>Sveaskog</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59788-2024</t>
        </is>
      </c>
      <c r="B10270" s="1" t="n">
        <v>45639</v>
      </c>
      <c r="C10270" s="1" t="n">
        <v>45662</v>
      </c>
      <c r="D10270" t="inlineStr">
        <is>
          <t>NORRBOTTENS LÄN</t>
        </is>
      </c>
      <c r="E10270" t="inlineStr">
        <is>
          <t>JOKKMOKK</t>
        </is>
      </c>
      <c r="F10270" t="inlineStr">
        <is>
          <t>Sveaskog</t>
        </is>
      </c>
      <c r="G10270" t="n">
        <v>11.4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59832-2024</t>
        </is>
      </c>
      <c r="B10271" s="1" t="n">
        <v>45639</v>
      </c>
      <c r="C10271" s="1" t="n">
        <v>45662</v>
      </c>
      <c r="D10271" t="inlineStr">
        <is>
          <t>NORRBOTTENS LÄN</t>
        </is>
      </c>
      <c r="E10271" t="inlineStr">
        <is>
          <t>ÖVERKALIX</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59675-2024</t>
        </is>
      </c>
      <c r="B10272" s="1" t="n">
        <v>45639</v>
      </c>
      <c r="C10272" s="1" t="n">
        <v>45662</v>
      </c>
      <c r="D10272" t="inlineStr">
        <is>
          <t>NORRBOTTENS LÄN</t>
        </is>
      </c>
      <c r="E10272" t="inlineStr">
        <is>
          <t>GÄLLIVARE</t>
        </is>
      </c>
      <c r="F10272" t="inlineStr">
        <is>
          <t>Sveaskog</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59697-2024</t>
        </is>
      </c>
      <c r="B10273" s="1" t="n">
        <v>45639</v>
      </c>
      <c r="C10273" s="1" t="n">
        <v>45662</v>
      </c>
      <c r="D10273" t="inlineStr">
        <is>
          <t>NORRBOTTENS LÄN</t>
        </is>
      </c>
      <c r="E10273" t="inlineStr">
        <is>
          <t>GÄLLIVARE</t>
        </is>
      </c>
      <c r="F10273" t="inlineStr">
        <is>
          <t>Sveaskog</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59722-2024</t>
        </is>
      </c>
      <c r="B10274" s="1" t="n">
        <v>45639</v>
      </c>
      <c r="C10274" s="1" t="n">
        <v>45662</v>
      </c>
      <c r="D10274" t="inlineStr">
        <is>
          <t>NORRBOTTENS LÄN</t>
        </is>
      </c>
      <c r="E10274" t="inlineStr">
        <is>
          <t>BODEN</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59838-2024</t>
        </is>
      </c>
      <c r="B10275" s="1" t="n">
        <v>45639</v>
      </c>
      <c r="C10275" s="1" t="n">
        <v>45662</v>
      </c>
      <c r="D10275" t="inlineStr">
        <is>
          <t>NORRBOTTENS LÄN</t>
        </is>
      </c>
      <c r="E10275" t="inlineStr">
        <is>
          <t>KIRUNA</t>
        </is>
      </c>
      <c r="G10275" t="n">
        <v>37.1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60085-2024</t>
        </is>
      </c>
      <c r="B10276" s="1" t="n">
        <v>45639</v>
      </c>
      <c r="C10276" s="1" t="n">
        <v>45662</v>
      </c>
      <c r="D10276" t="inlineStr">
        <is>
          <t>NORRBOTTENS LÄN</t>
        </is>
      </c>
      <c r="E10276" t="inlineStr">
        <is>
          <t>BODEN</t>
        </is>
      </c>
      <c r="G10276" t="n">
        <v>9.5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59826-2024</t>
        </is>
      </c>
      <c r="B10277" s="1" t="n">
        <v>45639</v>
      </c>
      <c r="C10277" s="1" t="n">
        <v>45662</v>
      </c>
      <c r="D10277" t="inlineStr">
        <is>
          <t>NORRBOTTENS LÄN</t>
        </is>
      </c>
      <c r="E10277" t="inlineStr">
        <is>
          <t>ÄLVSBYN</t>
        </is>
      </c>
      <c r="F10277" t="inlineStr">
        <is>
          <t>Övriga Aktiebolag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59677-2024</t>
        </is>
      </c>
      <c r="B10278" s="1" t="n">
        <v>45639</v>
      </c>
      <c r="C10278" s="1" t="n">
        <v>45662</v>
      </c>
      <c r="D10278" t="inlineStr">
        <is>
          <t>NORRBOTTENS LÄN</t>
        </is>
      </c>
      <c r="E10278" t="inlineStr">
        <is>
          <t>PITEÅ</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59695-2024</t>
        </is>
      </c>
      <c r="B10279" s="1" t="n">
        <v>45639</v>
      </c>
      <c r="C10279" s="1" t="n">
        <v>45662</v>
      </c>
      <c r="D10279" t="inlineStr">
        <is>
          <t>NORRBOTTENS LÄN</t>
        </is>
      </c>
      <c r="E10279" t="inlineStr">
        <is>
          <t>GÄLLIVARE</t>
        </is>
      </c>
      <c r="F10279" t="inlineStr">
        <is>
          <t>Sveaskog</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59703-2024</t>
        </is>
      </c>
      <c r="B10280" s="1" t="n">
        <v>45639</v>
      </c>
      <c r="C10280" s="1" t="n">
        <v>45662</v>
      </c>
      <c r="D10280" t="inlineStr">
        <is>
          <t>NORRBOTTENS LÄN</t>
        </is>
      </c>
      <c r="E10280" t="inlineStr">
        <is>
          <t>GÄLLIVARE</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59736-2024</t>
        </is>
      </c>
      <c r="B10281" s="1" t="n">
        <v>45639</v>
      </c>
      <c r="C10281" s="1" t="n">
        <v>45662</v>
      </c>
      <c r="D10281" t="inlineStr">
        <is>
          <t>NORRBOTTENS LÄN</t>
        </is>
      </c>
      <c r="E10281" t="inlineStr">
        <is>
          <t>KALIX</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59793-2024</t>
        </is>
      </c>
      <c r="B10282" s="1" t="n">
        <v>45639</v>
      </c>
      <c r="C10282" s="1" t="n">
        <v>45662</v>
      </c>
      <c r="D10282" t="inlineStr">
        <is>
          <t>NORRBOTTENS LÄN</t>
        </is>
      </c>
      <c r="E10282" t="inlineStr">
        <is>
          <t>JOKKMOKK</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45662</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59886-2024</t>
        </is>
      </c>
      <c r="B10284" s="1" t="n">
        <v>45641</v>
      </c>
      <c r="C10284" s="1" t="n">
        <v>45662</v>
      </c>
      <c r="D10284" t="inlineStr">
        <is>
          <t>NORRBOTTENS LÄN</t>
        </is>
      </c>
      <c r="E10284" t="inlineStr">
        <is>
          <t>KALIX</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59885-2024</t>
        </is>
      </c>
      <c r="B10285" s="1" t="n">
        <v>45641</v>
      </c>
      <c r="C10285" s="1" t="n">
        <v>45662</v>
      </c>
      <c r="D10285" t="inlineStr">
        <is>
          <t>NORRBOTTENS LÄN</t>
        </is>
      </c>
      <c r="E10285" t="inlineStr">
        <is>
          <t>KALIX</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59920-2024</t>
        </is>
      </c>
      <c r="B10286" s="1" t="n">
        <v>45641</v>
      </c>
      <c r="C10286" s="1" t="n">
        <v>45662</v>
      </c>
      <c r="D10286" t="inlineStr">
        <is>
          <t>NORRBOTTENS LÄN</t>
        </is>
      </c>
      <c r="E10286" t="inlineStr">
        <is>
          <t>PITEÅ</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59887-2024</t>
        </is>
      </c>
      <c r="B10287" s="1" t="n">
        <v>45641</v>
      </c>
      <c r="C10287" s="1" t="n">
        <v>45662</v>
      </c>
      <c r="D10287" t="inlineStr">
        <is>
          <t>NORRBOTTENS LÄN</t>
        </is>
      </c>
      <c r="E10287" t="inlineStr">
        <is>
          <t>KALIX</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59884-2024</t>
        </is>
      </c>
      <c r="B10288" s="1" t="n">
        <v>45641</v>
      </c>
      <c r="C10288" s="1" t="n">
        <v>45662</v>
      </c>
      <c r="D10288" t="inlineStr">
        <is>
          <t>NORRBOTTENS LÄN</t>
        </is>
      </c>
      <c r="E10288" t="inlineStr">
        <is>
          <t>KALIX</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59911-2024</t>
        </is>
      </c>
      <c r="B10289" s="1" t="n">
        <v>45641</v>
      </c>
      <c r="C10289" s="1" t="n">
        <v>45662</v>
      </c>
      <c r="D10289" t="inlineStr">
        <is>
          <t>NORRBOTTENS LÄN</t>
        </is>
      </c>
      <c r="E10289" t="inlineStr">
        <is>
          <t>ÖVERKALIX</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59919-2024</t>
        </is>
      </c>
      <c r="B10290" s="1" t="n">
        <v>45641</v>
      </c>
      <c r="C10290" s="1" t="n">
        <v>45662</v>
      </c>
      <c r="D10290" t="inlineStr">
        <is>
          <t>NORRBOTTENS LÄN</t>
        </is>
      </c>
      <c r="E10290" t="inlineStr">
        <is>
          <t>PITEÅ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59951-2024</t>
        </is>
      </c>
      <c r="B10291" s="1" t="n">
        <v>45642</v>
      </c>
      <c r="C10291" s="1" t="n">
        <v>45662</v>
      </c>
      <c r="D10291" t="inlineStr">
        <is>
          <t>NORRBOTTENS LÄN</t>
        </is>
      </c>
      <c r="E10291" t="inlineStr">
        <is>
          <t>PITEÅ</t>
        </is>
      </c>
      <c r="G10291" t="n">
        <v>13.3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59961-2024</t>
        </is>
      </c>
      <c r="B10292" s="1" t="n">
        <v>45642</v>
      </c>
      <c r="C10292" s="1" t="n">
        <v>45662</v>
      </c>
      <c r="D10292" t="inlineStr">
        <is>
          <t>NORRBOTTENS LÄN</t>
        </is>
      </c>
      <c r="E10292" t="inlineStr">
        <is>
          <t>PITEÅ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60082-2024</t>
        </is>
      </c>
      <c r="B10293" s="1" t="n">
        <v>45642</v>
      </c>
      <c r="C10293" s="1" t="n">
        <v>45662</v>
      </c>
      <c r="D10293" t="inlineStr">
        <is>
          <t>NORRBOTTENS LÄN</t>
        </is>
      </c>
      <c r="E10293" t="inlineStr">
        <is>
          <t>PITEÅ</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60217-2024</t>
        </is>
      </c>
      <c r="B10294" s="1" t="n">
        <v>45642</v>
      </c>
      <c r="C10294" s="1" t="n">
        <v>45662</v>
      </c>
      <c r="D10294" t="inlineStr">
        <is>
          <t>NORRBOTTENS LÄN</t>
        </is>
      </c>
      <c r="E10294" t="inlineStr">
        <is>
          <t>HAPARANDA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60221-2024</t>
        </is>
      </c>
      <c r="B10295" s="1" t="n">
        <v>45642</v>
      </c>
      <c r="C10295" s="1" t="n">
        <v>45662</v>
      </c>
      <c r="D10295" t="inlineStr">
        <is>
          <t>NORRBOTTENS LÄN</t>
        </is>
      </c>
      <c r="E10295" t="inlineStr">
        <is>
          <t>GÄLLIVARE</t>
        </is>
      </c>
      <c r="F10295" t="inlineStr">
        <is>
          <t>SCA</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59950-2024</t>
        </is>
      </c>
      <c r="B10296" s="1" t="n">
        <v>45642</v>
      </c>
      <c r="C10296" s="1" t="n">
        <v>45662</v>
      </c>
      <c r="D10296" t="inlineStr">
        <is>
          <t>NORRBOTTENS LÄN</t>
        </is>
      </c>
      <c r="E10296" t="inlineStr">
        <is>
          <t>ÄLVSBYN</t>
        </is>
      </c>
      <c r="F10296" t="inlineStr">
        <is>
          <t>Sveaskog</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59954-2024</t>
        </is>
      </c>
      <c r="B10297" s="1" t="n">
        <v>45642</v>
      </c>
      <c r="C10297" s="1" t="n">
        <v>45662</v>
      </c>
      <c r="D10297" t="inlineStr">
        <is>
          <t>NORRBOTTENS LÄN</t>
        </is>
      </c>
      <c r="E10297" t="inlineStr">
        <is>
          <t>PITEÅ</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59969-2024</t>
        </is>
      </c>
      <c r="B10298" s="1" t="n">
        <v>45642</v>
      </c>
      <c r="C10298" s="1" t="n">
        <v>45662</v>
      </c>
      <c r="D10298" t="inlineStr">
        <is>
          <t>NORRBOTTENS LÄN</t>
        </is>
      </c>
      <c r="E10298" t="inlineStr">
        <is>
          <t>PITEÅ</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59973-2024</t>
        </is>
      </c>
      <c r="B10299" s="1" t="n">
        <v>45642</v>
      </c>
      <c r="C10299" s="1" t="n">
        <v>45662</v>
      </c>
      <c r="D10299" t="inlineStr">
        <is>
          <t>NORRBOTTENS LÄN</t>
        </is>
      </c>
      <c r="E10299" t="inlineStr">
        <is>
          <t>PITEÅ</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59990-2024</t>
        </is>
      </c>
      <c r="B10300" s="1" t="n">
        <v>45642</v>
      </c>
      <c r="C10300" s="1" t="n">
        <v>45662</v>
      </c>
      <c r="D10300" t="inlineStr">
        <is>
          <t>NORRBOTTENS LÄN</t>
        </is>
      </c>
      <c r="E10300" t="inlineStr">
        <is>
          <t>PITEÅ</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60108-2024</t>
        </is>
      </c>
      <c r="B10301" s="1" t="n">
        <v>45642</v>
      </c>
      <c r="C10301" s="1" t="n">
        <v>45662</v>
      </c>
      <c r="D10301" t="inlineStr">
        <is>
          <t>NORRBOTTENS LÄN</t>
        </is>
      </c>
      <c r="E10301" t="inlineStr">
        <is>
          <t>PITEÅ</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60121-2024</t>
        </is>
      </c>
      <c r="B10302" s="1" t="n">
        <v>45642</v>
      </c>
      <c r="C10302" s="1" t="n">
        <v>45662</v>
      </c>
      <c r="D10302" t="inlineStr">
        <is>
          <t>NORRBOTTENS LÄN</t>
        </is>
      </c>
      <c r="E10302" t="inlineStr">
        <is>
          <t>LULEÅ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60106-2024</t>
        </is>
      </c>
      <c r="B10303" s="1" t="n">
        <v>45642</v>
      </c>
      <c r="C10303" s="1" t="n">
        <v>45662</v>
      </c>
      <c r="D10303" t="inlineStr">
        <is>
          <t>NORRBOTTENS LÄN</t>
        </is>
      </c>
      <c r="E10303" t="inlineStr">
        <is>
          <t>LULEÅ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60130-2024</t>
        </is>
      </c>
      <c r="B10304" s="1" t="n">
        <v>45642</v>
      </c>
      <c r="C10304" s="1" t="n">
        <v>45662</v>
      </c>
      <c r="D10304" t="inlineStr">
        <is>
          <t>NORRBOTTENS LÄN</t>
        </is>
      </c>
      <c r="E10304" t="inlineStr">
        <is>
          <t>LULEÅ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60214-2024</t>
        </is>
      </c>
      <c r="B10305" s="1" t="n">
        <v>45642</v>
      </c>
      <c r="C10305" s="1" t="n">
        <v>45662</v>
      </c>
      <c r="D10305" t="inlineStr">
        <is>
          <t>NORRBOTTENS LÄN</t>
        </is>
      </c>
      <c r="E10305" t="inlineStr">
        <is>
          <t>HAPARANDA</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60222-2024</t>
        </is>
      </c>
      <c r="B10306" s="1" t="n">
        <v>45642</v>
      </c>
      <c r="C10306" s="1" t="n">
        <v>45662</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60219-2024</t>
        </is>
      </c>
      <c r="B10307" s="1" t="n">
        <v>45642</v>
      </c>
      <c r="C10307" s="1" t="n">
        <v>45662</v>
      </c>
      <c r="D10307" t="inlineStr">
        <is>
          <t>NORRBOTTENS LÄN</t>
        </is>
      </c>
      <c r="E10307" t="inlineStr">
        <is>
          <t>HAPARANDA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60587-2024</t>
        </is>
      </c>
      <c r="B10308" s="1" t="n">
        <v>45642</v>
      </c>
      <c r="C10308" s="1" t="n">
        <v>45662</v>
      </c>
      <c r="D10308" t="inlineStr">
        <is>
          <t>NORRBOTTENS LÄN</t>
        </is>
      </c>
      <c r="E10308" t="inlineStr">
        <is>
          <t>BODEN</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60393-2024</t>
        </is>
      </c>
      <c r="B10309" s="1" t="n">
        <v>45643</v>
      </c>
      <c r="C10309" s="1" t="n">
        <v>45662</v>
      </c>
      <c r="D10309" t="inlineStr">
        <is>
          <t>NORRBOTTENS LÄN</t>
        </is>
      </c>
      <c r="E10309" t="inlineStr">
        <is>
          <t>ÖVERKALIX</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60417-2024</t>
        </is>
      </c>
      <c r="B10310" s="1" t="n">
        <v>45643</v>
      </c>
      <c r="C10310" s="1" t="n">
        <v>45662</v>
      </c>
      <c r="D10310" t="inlineStr">
        <is>
          <t>NORRBOTTENS LÄN</t>
        </is>
      </c>
      <c r="E10310" t="inlineStr">
        <is>
          <t>ÖVERKALIX</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60463-2024</t>
        </is>
      </c>
      <c r="B10311" s="1" t="n">
        <v>45643</v>
      </c>
      <c r="C10311" s="1" t="n">
        <v>45662</v>
      </c>
      <c r="D10311" t="inlineStr">
        <is>
          <t>NORRBOTTENS LÄN</t>
        </is>
      </c>
      <c r="E10311" t="inlineStr">
        <is>
          <t>ÖVERKALIX</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60337-2024</t>
        </is>
      </c>
      <c r="B10312" s="1" t="n">
        <v>45643</v>
      </c>
      <c r="C10312" s="1" t="n">
        <v>45662</v>
      </c>
      <c r="D10312" t="inlineStr">
        <is>
          <t>NORRBOTTENS LÄN</t>
        </is>
      </c>
      <c r="E10312" t="inlineStr">
        <is>
          <t>BODEN</t>
        </is>
      </c>
      <c r="G10312" t="n">
        <v>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60418-2024</t>
        </is>
      </c>
      <c r="B10313" s="1" t="n">
        <v>45643</v>
      </c>
      <c r="C10313" s="1" t="n">
        <v>45662</v>
      </c>
      <c r="D10313" t="inlineStr">
        <is>
          <t>NORRBOTTENS LÄN</t>
        </is>
      </c>
      <c r="E10313" t="inlineStr">
        <is>
          <t>ÖVERKALIX</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60484-2024</t>
        </is>
      </c>
      <c r="B10314" s="1" t="n">
        <v>45643</v>
      </c>
      <c r="C10314" s="1" t="n">
        <v>45662</v>
      </c>
      <c r="D10314" t="inlineStr">
        <is>
          <t>NORRBOTTENS LÄN</t>
        </is>
      </c>
      <c r="E10314" t="inlineStr">
        <is>
          <t>ÖVERTORNEÅ</t>
        </is>
      </c>
      <c r="G10314" t="n">
        <v>12.7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60526-2024</t>
        </is>
      </c>
      <c r="B10315" s="1" t="n">
        <v>45643</v>
      </c>
      <c r="C10315" s="1" t="n">
        <v>45662</v>
      </c>
      <c r="D10315" t="inlineStr">
        <is>
          <t>NORRBOTTENS LÄN</t>
        </is>
      </c>
      <c r="E10315" t="inlineStr">
        <is>
          <t>BODEN</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60462-2024</t>
        </is>
      </c>
      <c r="B10316" s="1" t="n">
        <v>45643</v>
      </c>
      <c r="C10316" s="1" t="n">
        <v>45662</v>
      </c>
      <c r="D10316" t="inlineStr">
        <is>
          <t>NORRBOTTENS LÄN</t>
        </is>
      </c>
      <c r="E10316" t="inlineStr">
        <is>
          <t>ÖVERTORNEÅ</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60466-2024</t>
        </is>
      </c>
      <c r="B10317" s="1" t="n">
        <v>45643</v>
      </c>
      <c r="C10317" s="1" t="n">
        <v>45662</v>
      </c>
      <c r="D10317" t="inlineStr">
        <is>
          <t>NORRBOTTENS LÄN</t>
        </is>
      </c>
      <c r="E10317" t="inlineStr">
        <is>
          <t>BODEN</t>
        </is>
      </c>
      <c r="F10317" t="inlineStr">
        <is>
          <t>Sveaskog</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60387-2024</t>
        </is>
      </c>
      <c r="B10318" s="1" t="n">
        <v>45643</v>
      </c>
      <c r="C10318" s="1" t="n">
        <v>45662</v>
      </c>
      <c r="D10318" t="inlineStr">
        <is>
          <t>NORRBOTTENS LÄN</t>
        </is>
      </c>
      <c r="E10318" t="inlineStr">
        <is>
          <t>LULEÅ</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60399-2024</t>
        </is>
      </c>
      <c r="B10319" s="1" t="n">
        <v>45643</v>
      </c>
      <c r="C10319" s="1" t="n">
        <v>45662</v>
      </c>
      <c r="D10319" t="inlineStr">
        <is>
          <t>NORRBOTTENS LÄN</t>
        </is>
      </c>
      <c r="E10319" t="inlineStr">
        <is>
          <t>PAJALA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60584-2024</t>
        </is>
      </c>
      <c r="B10320" s="1" t="n">
        <v>45644</v>
      </c>
      <c r="C10320" s="1" t="n">
        <v>45662</v>
      </c>
      <c r="D10320" t="inlineStr">
        <is>
          <t>NORRBOTTENS LÄN</t>
        </is>
      </c>
      <c r="E10320" t="inlineStr">
        <is>
          <t>LULEÅ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60618-2024</t>
        </is>
      </c>
      <c r="B10321" s="1" t="n">
        <v>45644</v>
      </c>
      <c r="C10321" s="1" t="n">
        <v>45662</v>
      </c>
      <c r="D10321" t="inlineStr">
        <is>
          <t>NORRBOTTENS LÄN</t>
        </is>
      </c>
      <c r="E10321" t="inlineStr">
        <is>
          <t>PITEÅ</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60652-2024</t>
        </is>
      </c>
      <c r="B10322" s="1" t="n">
        <v>45644</v>
      </c>
      <c r="C10322" s="1" t="n">
        <v>45662</v>
      </c>
      <c r="D10322" t="inlineStr">
        <is>
          <t>NORRBOTTENS LÄN</t>
        </is>
      </c>
      <c r="E10322" t="inlineStr">
        <is>
          <t>ÖVERTORNEÅ</t>
        </is>
      </c>
      <c r="G10322" t="n">
        <v>8.699999999999999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60657-2024</t>
        </is>
      </c>
      <c r="B10323" s="1" t="n">
        <v>45644</v>
      </c>
      <c r="C10323" s="1" t="n">
        <v>45662</v>
      </c>
      <c r="D10323" t="inlineStr">
        <is>
          <t>NORRBOTTENS LÄN</t>
        </is>
      </c>
      <c r="E10323" t="inlineStr">
        <is>
          <t>ÖVERTORNEÅ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60661-2024</t>
        </is>
      </c>
      <c r="B10324" s="1" t="n">
        <v>45644</v>
      </c>
      <c r="C10324" s="1" t="n">
        <v>45662</v>
      </c>
      <c r="D10324" t="inlineStr">
        <is>
          <t>NORRBOTTENS LÄN</t>
        </is>
      </c>
      <c r="E10324" t="inlineStr">
        <is>
          <t>KALIX</t>
        </is>
      </c>
      <c r="G10324" t="n">
        <v>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60687-2024</t>
        </is>
      </c>
      <c r="B10325" s="1" t="n">
        <v>45644</v>
      </c>
      <c r="C10325" s="1" t="n">
        <v>45662</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60727-2024</t>
        </is>
      </c>
      <c r="B10326" s="1" t="n">
        <v>45644</v>
      </c>
      <c r="C10326" s="1" t="n">
        <v>45662</v>
      </c>
      <c r="D10326" t="inlineStr">
        <is>
          <t>NORRBOTTENS LÄN</t>
        </is>
      </c>
      <c r="E10326" t="inlineStr">
        <is>
          <t>LULEÅ</t>
        </is>
      </c>
      <c r="G10326" t="n">
        <v>18.7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60774-2024</t>
        </is>
      </c>
      <c r="B10327" s="1" t="n">
        <v>45644</v>
      </c>
      <c r="C10327" s="1" t="n">
        <v>45662</v>
      </c>
      <c r="D10327" t="inlineStr">
        <is>
          <t>NORRBOTTENS LÄN</t>
        </is>
      </c>
      <c r="E10327" t="inlineStr">
        <is>
          <t>ÖVERKALIX</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60804-2024</t>
        </is>
      </c>
      <c r="B10328" s="1" t="n">
        <v>45644</v>
      </c>
      <c r="C10328" s="1" t="n">
        <v>45662</v>
      </c>
      <c r="D10328" t="inlineStr">
        <is>
          <t>NORRBOTTENS LÄN</t>
        </is>
      </c>
      <c r="E10328" t="inlineStr">
        <is>
          <t>BODEN</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60821-2024</t>
        </is>
      </c>
      <c r="B10329" s="1" t="n">
        <v>45644</v>
      </c>
      <c r="C10329" s="1" t="n">
        <v>45662</v>
      </c>
      <c r="D10329" t="inlineStr">
        <is>
          <t>NORRBOTTENS LÄN</t>
        </is>
      </c>
      <c r="E10329" t="inlineStr">
        <is>
          <t>JOKKMOKK</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60585-2024</t>
        </is>
      </c>
      <c r="B10330" s="1" t="n">
        <v>45644</v>
      </c>
      <c r="C10330" s="1" t="n">
        <v>45662</v>
      </c>
      <c r="D10330" t="inlineStr">
        <is>
          <t>NORRBOTTENS LÄN</t>
        </is>
      </c>
      <c r="E10330" t="inlineStr">
        <is>
          <t>LULEÅ</t>
        </is>
      </c>
      <c r="G10330" t="n">
        <v>9.699999999999999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60608-2024</t>
        </is>
      </c>
      <c r="B10331" s="1" t="n">
        <v>45644</v>
      </c>
      <c r="C10331" s="1" t="n">
        <v>45662</v>
      </c>
      <c r="D10331" t="inlineStr">
        <is>
          <t>NORRBOTTENS LÄN</t>
        </is>
      </c>
      <c r="E10331" t="inlineStr">
        <is>
          <t>PAJALA</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60721-2024</t>
        </is>
      </c>
      <c r="B10332" s="1" t="n">
        <v>45644</v>
      </c>
      <c r="C10332" s="1" t="n">
        <v>45662</v>
      </c>
      <c r="D10332" t="inlineStr">
        <is>
          <t>NORRBOTTENS LÄN</t>
        </is>
      </c>
      <c r="E10332" t="inlineStr">
        <is>
          <t>LULEÅ</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60726-2024</t>
        </is>
      </c>
      <c r="B10333" s="1" t="n">
        <v>45644</v>
      </c>
      <c r="C10333" s="1" t="n">
        <v>45662</v>
      </c>
      <c r="D10333" t="inlineStr">
        <is>
          <t>NORRBOTTENS LÄN</t>
        </is>
      </c>
      <c r="E10333" t="inlineStr">
        <is>
          <t>ÄLVSBYN</t>
        </is>
      </c>
      <c r="G10333" t="n">
        <v>10.4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60739-2024</t>
        </is>
      </c>
      <c r="B10334" s="1" t="n">
        <v>45644</v>
      </c>
      <c r="C10334" s="1" t="n">
        <v>45662</v>
      </c>
      <c r="D10334" t="inlineStr">
        <is>
          <t>NORRBOTTENS LÄN</t>
        </is>
      </c>
      <c r="E10334" t="inlineStr">
        <is>
          <t>PITEÅ</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60773-2024</t>
        </is>
      </c>
      <c r="B10335" s="1" t="n">
        <v>45644</v>
      </c>
      <c r="C10335" s="1" t="n">
        <v>45662</v>
      </c>
      <c r="D10335" t="inlineStr">
        <is>
          <t>NORRBOTTENS LÄN</t>
        </is>
      </c>
      <c r="E10335" t="inlineStr">
        <is>
          <t>ÄLVSBYN</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60786-2024</t>
        </is>
      </c>
      <c r="B10336" s="1" t="n">
        <v>45644</v>
      </c>
      <c r="C10336" s="1" t="n">
        <v>45662</v>
      </c>
      <c r="D10336" t="inlineStr">
        <is>
          <t>NORRBOTTENS LÄN</t>
        </is>
      </c>
      <c r="E10336" t="inlineStr">
        <is>
          <t>ÖVERKALIX</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60598-2024</t>
        </is>
      </c>
      <c r="B10337" s="1" t="n">
        <v>45644</v>
      </c>
      <c r="C10337" s="1" t="n">
        <v>45662</v>
      </c>
      <c r="D10337" t="inlineStr">
        <is>
          <t>NORRBOTTENS LÄN</t>
        </is>
      </c>
      <c r="E10337" t="inlineStr">
        <is>
          <t>HAPARANDA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60719-2024</t>
        </is>
      </c>
      <c r="B10338" s="1" t="n">
        <v>45644</v>
      </c>
      <c r="C10338" s="1" t="n">
        <v>45662</v>
      </c>
      <c r="D10338" t="inlineStr">
        <is>
          <t>NORRBOTTENS LÄN</t>
        </is>
      </c>
      <c r="E10338" t="inlineStr">
        <is>
          <t>LULEÅ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60734-2024</t>
        </is>
      </c>
      <c r="B10339" s="1" t="n">
        <v>45644</v>
      </c>
      <c r="C10339" s="1" t="n">
        <v>45662</v>
      </c>
      <c r="D10339" t="inlineStr">
        <is>
          <t>NORRBOTTENS LÄN</t>
        </is>
      </c>
      <c r="E10339" t="inlineStr">
        <is>
          <t>LULEÅ</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60772-2024</t>
        </is>
      </c>
      <c r="B10340" s="1" t="n">
        <v>45644</v>
      </c>
      <c r="C10340" s="1" t="n">
        <v>45662</v>
      </c>
      <c r="D10340" t="inlineStr">
        <is>
          <t>NORRBOTTENS LÄN</t>
        </is>
      </c>
      <c r="E10340" t="inlineStr">
        <is>
          <t>ÖVERKALIX</t>
        </is>
      </c>
      <c r="G10340" t="n">
        <v>10.3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60776-2024</t>
        </is>
      </c>
      <c r="B10341" s="1" t="n">
        <v>45644</v>
      </c>
      <c r="C10341" s="1" t="n">
        <v>45662</v>
      </c>
      <c r="D10341" t="inlineStr">
        <is>
          <t>NORRBOTTENS LÄN</t>
        </is>
      </c>
      <c r="E10341" t="inlineStr">
        <is>
          <t>ÖVERKALIX</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60785-2024</t>
        </is>
      </c>
      <c r="B10342" s="1" t="n">
        <v>45644</v>
      </c>
      <c r="C10342" s="1" t="n">
        <v>45662</v>
      </c>
      <c r="D10342" t="inlineStr">
        <is>
          <t>NORRBOTTENS LÄN</t>
        </is>
      </c>
      <c r="E10342" t="inlineStr">
        <is>
          <t>ÄLVSBYN</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60881-2024</t>
        </is>
      </c>
      <c r="B10343" s="1" t="n">
        <v>45644</v>
      </c>
      <c r="C10343" s="1" t="n">
        <v>45662</v>
      </c>
      <c r="D10343" t="inlineStr">
        <is>
          <t>NORRBOTTENS LÄN</t>
        </is>
      </c>
      <c r="E10343" t="inlineStr">
        <is>
          <t>PITEÅ</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60883-2024</t>
        </is>
      </c>
      <c r="B10344" s="1" t="n">
        <v>45644</v>
      </c>
      <c r="C10344" s="1" t="n">
        <v>45662</v>
      </c>
      <c r="D10344" t="inlineStr">
        <is>
          <t>NORRBOTTENS LÄN</t>
        </is>
      </c>
      <c r="E10344" t="inlineStr">
        <is>
          <t>PITEÅ</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60964-2024</t>
        </is>
      </c>
      <c r="B10345" s="1" t="n">
        <v>45645</v>
      </c>
      <c r="C10345" s="1" t="n">
        <v>45662</v>
      </c>
      <c r="D10345" t="inlineStr">
        <is>
          <t>NORRBOTTENS LÄN</t>
        </is>
      </c>
      <c r="E10345" t="inlineStr">
        <is>
          <t>KALIX</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61075-2024</t>
        </is>
      </c>
      <c r="B10346" s="1" t="n">
        <v>45645</v>
      </c>
      <c r="C10346" s="1" t="n">
        <v>45662</v>
      </c>
      <c r="D10346" t="inlineStr">
        <is>
          <t>NORRBOTTENS LÄN</t>
        </is>
      </c>
      <c r="E10346" t="inlineStr">
        <is>
          <t>HAPARANDA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61088-2024</t>
        </is>
      </c>
      <c r="B10347" s="1" t="n">
        <v>45645</v>
      </c>
      <c r="C10347" s="1" t="n">
        <v>45662</v>
      </c>
      <c r="D10347" t="inlineStr">
        <is>
          <t>NORRBOTTENS LÄN</t>
        </is>
      </c>
      <c r="E10347" t="inlineStr">
        <is>
          <t>JOKKMOKK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61068-2024</t>
        </is>
      </c>
      <c r="B10348" s="1" t="n">
        <v>45645</v>
      </c>
      <c r="C10348" s="1" t="n">
        <v>45662</v>
      </c>
      <c r="D10348" t="inlineStr">
        <is>
          <t>NORRBOTTENS LÄN</t>
        </is>
      </c>
      <c r="E10348" t="inlineStr">
        <is>
          <t>HAPARANDA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61066-2024</t>
        </is>
      </c>
      <c r="B10349" s="1" t="n">
        <v>45645</v>
      </c>
      <c r="C10349" s="1" t="n">
        <v>45662</v>
      </c>
      <c r="D10349" t="inlineStr">
        <is>
          <t>NORRBOTTENS LÄN</t>
        </is>
      </c>
      <c r="E10349" t="inlineStr">
        <is>
          <t>KIRUNA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61096-2024</t>
        </is>
      </c>
      <c r="B10350" s="1" t="n">
        <v>45645</v>
      </c>
      <c r="C10350" s="1" t="n">
        <v>45662</v>
      </c>
      <c r="D10350" t="inlineStr">
        <is>
          <t>NORRBOTTENS LÄN</t>
        </is>
      </c>
      <c r="E10350" t="inlineStr">
        <is>
          <t>JOKKMOKK</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61210-2024</t>
        </is>
      </c>
      <c r="B10351" s="1" t="n">
        <v>45645</v>
      </c>
      <c r="C10351" s="1" t="n">
        <v>45662</v>
      </c>
      <c r="D10351" t="inlineStr">
        <is>
          <t>NORRBOTTENS LÄN</t>
        </is>
      </c>
      <c r="E10351" t="inlineStr">
        <is>
          <t>BODEN</t>
        </is>
      </c>
      <c r="F10351" t="inlineStr">
        <is>
          <t>Sveaskog</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61214-2024</t>
        </is>
      </c>
      <c r="B10352" s="1" t="n">
        <v>45645</v>
      </c>
      <c r="C10352" s="1" t="n">
        <v>45662</v>
      </c>
      <c r="D10352" t="inlineStr">
        <is>
          <t>NORRBOTTENS LÄN</t>
        </is>
      </c>
      <c r="E10352" t="inlineStr">
        <is>
          <t>BODEN</t>
        </is>
      </c>
      <c r="F10352" t="inlineStr">
        <is>
          <t>Sveaskog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61104-2024</t>
        </is>
      </c>
      <c r="B10353" s="1" t="n">
        <v>45645</v>
      </c>
      <c r="C10353" s="1" t="n">
        <v>45662</v>
      </c>
      <c r="D10353" t="inlineStr">
        <is>
          <t>NORRBOTTENS LÄN</t>
        </is>
      </c>
      <c r="E10353" t="inlineStr">
        <is>
          <t>KALIX</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61162-2024</t>
        </is>
      </c>
      <c r="B10354" s="1" t="n">
        <v>45645</v>
      </c>
      <c r="C10354" s="1" t="n">
        <v>45662</v>
      </c>
      <c r="D10354" t="inlineStr">
        <is>
          <t>NORRBOTTENS LÄN</t>
        </is>
      </c>
      <c r="E10354" t="inlineStr">
        <is>
          <t>BODEN</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61031-2024</t>
        </is>
      </c>
      <c r="B10355" s="1" t="n">
        <v>45645</v>
      </c>
      <c r="C10355" s="1" t="n">
        <v>45662</v>
      </c>
      <c r="D10355" t="inlineStr">
        <is>
          <t>NORRBOTTENS LÄN</t>
        </is>
      </c>
      <c r="E10355" t="inlineStr">
        <is>
          <t>BODEN</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61077-2024</t>
        </is>
      </c>
      <c r="B10356" s="1" t="n">
        <v>45645</v>
      </c>
      <c r="C10356" s="1" t="n">
        <v>45662</v>
      </c>
      <c r="D10356" t="inlineStr">
        <is>
          <t>NORRBOTTENS LÄN</t>
        </is>
      </c>
      <c r="E10356" t="inlineStr">
        <is>
          <t>JOKKMOKK</t>
        </is>
      </c>
      <c r="G10356" t="n">
        <v>13.3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61128-2024</t>
        </is>
      </c>
      <c r="B10357" s="1" t="n">
        <v>45645</v>
      </c>
      <c r="C10357" s="1" t="n">
        <v>45662</v>
      </c>
      <c r="D10357" t="inlineStr">
        <is>
          <t>NORRBOTTENS LÄN</t>
        </is>
      </c>
      <c r="E10357" t="inlineStr">
        <is>
          <t>BODEN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61500-2024</t>
        </is>
      </c>
      <c r="B10358" s="1" t="n">
        <v>45645</v>
      </c>
      <c r="C10358" s="1" t="n">
        <v>45662</v>
      </c>
      <c r="D10358" t="inlineStr">
        <is>
          <t>NORRBOTTENS LÄN</t>
        </is>
      </c>
      <c r="E10358" t="inlineStr">
        <is>
          <t>JOKKMOKK</t>
        </is>
      </c>
      <c r="G10358" t="n">
        <v>39.8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61273-2024</t>
        </is>
      </c>
      <c r="B10359" s="1" t="n">
        <v>45645</v>
      </c>
      <c r="C10359" s="1" t="n">
        <v>45662</v>
      </c>
      <c r="D10359" t="inlineStr">
        <is>
          <t>NORRBOTTENS LÄN</t>
        </is>
      </c>
      <c r="E10359" t="inlineStr">
        <is>
          <t>PAJALA</t>
        </is>
      </c>
      <c r="G10359" t="n">
        <v>14.2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61468-2024</t>
        </is>
      </c>
      <c r="B10360" s="1" t="n">
        <v>45646</v>
      </c>
      <c r="C10360" s="1" t="n">
        <v>45662</v>
      </c>
      <c r="D10360" t="inlineStr">
        <is>
          <t>NORRBOTTENS LÄN</t>
        </is>
      </c>
      <c r="E10360" t="inlineStr">
        <is>
          <t>GÄLLIVARE</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61473-2024</t>
        </is>
      </c>
      <c r="B10361" s="1" t="n">
        <v>45646</v>
      </c>
      <c r="C10361" s="1" t="n">
        <v>45662</v>
      </c>
      <c r="D10361" t="inlineStr">
        <is>
          <t>NORRBOTTENS LÄN</t>
        </is>
      </c>
      <c r="E10361" t="inlineStr">
        <is>
          <t>GÄLLIVARE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61504-2024</t>
        </is>
      </c>
      <c r="B10362" s="1" t="n">
        <v>45646</v>
      </c>
      <c r="C10362" s="1" t="n">
        <v>45662</v>
      </c>
      <c r="D10362" t="inlineStr">
        <is>
          <t>NORRBOTTENS LÄN</t>
        </is>
      </c>
      <c r="E10362" t="inlineStr">
        <is>
          <t>LULEÅ</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61488-2024</t>
        </is>
      </c>
      <c r="B10363" s="1" t="n">
        <v>45646</v>
      </c>
      <c r="C10363" s="1" t="n">
        <v>45662</v>
      </c>
      <c r="D10363" t="inlineStr">
        <is>
          <t>NORRBOTTENS LÄN</t>
        </is>
      </c>
      <c r="E10363" t="inlineStr">
        <is>
          <t>LULEÅ</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61513-2024</t>
        </is>
      </c>
      <c r="B10364" s="1" t="n">
        <v>45646</v>
      </c>
      <c r="C10364" s="1" t="n">
        <v>45662</v>
      </c>
      <c r="D10364" t="inlineStr">
        <is>
          <t>NORRBOTTENS LÄN</t>
        </is>
      </c>
      <c r="E10364" t="inlineStr">
        <is>
          <t>BODEN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61570-2024</t>
        </is>
      </c>
      <c r="B10365" s="1" t="n">
        <v>45646</v>
      </c>
      <c r="C10365" s="1" t="n">
        <v>45662</v>
      </c>
      <c r="D10365" t="inlineStr">
        <is>
          <t>NORRBOTTENS LÄN</t>
        </is>
      </c>
      <c r="E10365" t="inlineStr">
        <is>
          <t>BODEN</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61603-2024</t>
        </is>
      </c>
      <c r="B10366" s="1" t="n">
        <v>45646</v>
      </c>
      <c r="C10366" s="1" t="n">
        <v>45662</v>
      </c>
      <c r="D10366" t="inlineStr">
        <is>
          <t>NORRBOTTENS LÄN</t>
        </is>
      </c>
      <c r="E10366" t="inlineStr">
        <is>
          <t>BODEN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61647-2024</t>
        </is>
      </c>
      <c r="B10367" s="1" t="n">
        <v>45646</v>
      </c>
      <c r="C10367" s="1" t="n">
        <v>45662</v>
      </c>
      <c r="D10367" t="inlineStr">
        <is>
          <t>NORRBOTTENS LÄN</t>
        </is>
      </c>
      <c r="E10367" t="inlineStr">
        <is>
          <t>JOKKMOKK</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61557-2024</t>
        </is>
      </c>
      <c r="B10368" s="1" t="n">
        <v>45646</v>
      </c>
      <c r="C10368" s="1" t="n">
        <v>45662</v>
      </c>
      <c r="D10368" t="inlineStr">
        <is>
          <t>NORRBOTTENS LÄN</t>
        </is>
      </c>
      <c r="E10368" t="inlineStr">
        <is>
          <t>LULEÅ</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61619-2024</t>
        </is>
      </c>
      <c r="B10369" s="1" t="n">
        <v>45646</v>
      </c>
      <c r="C10369" s="1" t="n">
        <v>45662</v>
      </c>
      <c r="D10369" t="inlineStr">
        <is>
          <t>NORRBOTTENS LÄN</t>
        </is>
      </c>
      <c r="E10369" t="inlineStr">
        <is>
          <t>ÄLVSBYN</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61625-2024</t>
        </is>
      </c>
      <c r="B10370" s="1" t="n">
        <v>45646</v>
      </c>
      <c r="C10370" s="1" t="n">
        <v>45662</v>
      </c>
      <c r="D10370" t="inlineStr">
        <is>
          <t>NORRBOTTENS LÄN</t>
        </is>
      </c>
      <c r="E10370" t="inlineStr">
        <is>
          <t>ARVIDSJAUR</t>
        </is>
      </c>
      <c r="F10370" t="inlineStr">
        <is>
          <t>Sveaskog</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61630-2024</t>
        </is>
      </c>
      <c r="B10371" s="1" t="n">
        <v>45646</v>
      </c>
      <c r="C10371" s="1" t="n">
        <v>45662</v>
      </c>
      <c r="D10371" t="inlineStr">
        <is>
          <t>NORRBOTTENS LÄN</t>
        </is>
      </c>
      <c r="E10371" t="inlineStr">
        <is>
          <t>BODEN</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61374-2024</t>
        </is>
      </c>
      <c r="B10372" s="1" t="n">
        <v>45646</v>
      </c>
      <c r="C10372" s="1" t="n">
        <v>45662</v>
      </c>
      <c r="D10372" t="inlineStr">
        <is>
          <t>NORRBOTTENS LÄN</t>
        </is>
      </c>
      <c r="E10372" t="inlineStr">
        <is>
          <t>ARVIDSJAUR</t>
        </is>
      </c>
      <c r="G10372" t="n">
        <v>13.9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61426-2024</t>
        </is>
      </c>
      <c r="B10373" s="1" t="n">
        <v>45646</v>
      </c>
      <c r="C10373" s="1" t="n">
        <v>45662</v>
      </c>
      <c r="D10373" t="inlineStr">
        <is>
          <t>NORRBOTTENS LÄN</t>
        </is>
      </c>
      <c r="E10373" t="inlineStr">
        <is>
          <t>LULEÅ</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61369-2024</t>
        </is>
      </c>
      <c r="B10374" s="1" t="n">
        <v>45646</v>
      </c>
      <c r="C10374" s="1" t="n">
        <v>45662</v>
      </c>
      <c r="D10374" t="inlineStr">
        <is>
          <t>NORRBOTTENS LÄN</t>
        </is>
      </c>
      <c r="E10374" t="inlineStr">
        <is>
          <t>PAJALA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61383-2024</t>
        </is>
      </c>
      <c r="B10375" s="1" t="n">
        <v>45646</v>
      </c>
      <c r="C10375" s="1" t="n">
        <v>45662</v>
      </c>
      <c r="D10375" t="inlineStr">
        <is>
          <t>NORRBOTTENS LÄN</t>
        </is>
      </c>
      <c r="E10375" t="inlineStr">
        <is>
          <t>ARVIDSJAUR</t>
        </is>
      </c>
      <c r="G10375" t="n">
        <v>17.5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61462-2024</t>
        </is>
      </c>
      <c r="B10376" s="1" t="n">
        <v>45646</v>
      </c>
      <c r="C10376" s="1" t="n">
        <v>45662</v>
      </c>
      <c r="D10376" t="inlineStr">
        <is>
          <t>NORRBOTTENS LÄN</t>
        </is>
      </c>
      <c r="E10376" t="inlineStr">
        <is>
          <t>PITEÅ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61568-2024</t>
        </is>
      </c>
      <c r="B10377" s="1" t="n">
        <v>45646</v>
      </c>
      <c r="C10377" s="1" t="n">
        <v>45662</v>
      </c>
      <c r="D10377" t="inlineStr">
        <is>
          <t>NORRBOTTENS LÄN</t>
        </is>
      </c>
      <c r="E10377" t="inlineStr">
        <is>
          <t>BODEN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61588-2024</t>
        </is>
      </c>
      <c r="B10378" s="1" t="n">
        <v>45646</v>
      </c>
      <c r="C10378" s="1" t="n">
        <v>45662</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61641-2024</t>
        </is>
      </c>
      <c r="B10379" s="1" t="n">
        <v>45646</v>
      </c>
      <c r="C10379" s="1" t="n">
        <v>45662</v>
      </c>
      <c r="D10379" t="inlineStr">
        <is>
          <t>NORRBOTTENS LÄN</t>
        </is>
      </c>
      <c r="E10379" t="inlineStr">
        <is>
          <t>JOKKMOKK</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62140-2024</t>
        </is>
      </c>
      <c r="B10380" s="1" t="n">
        <v>45646</v>
      </c>
      <c r="C10380" s="1" t="n">
        <v>45662</v>
      </c>
      <c r="D10380" t="inlineStr">
        <is>
          <t>NORRBOTTENS LÄN</t>
        </is>
      </c>
      <c r="E10380" t="inlineStr">
        <is>
          <t>BODEN</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61396-2024</t>
        </is>
      </c>
      <c r="B10381" s="1" t="n">
        <v>45646</v>
      </c>
      <c r="C10381" s="1" t="n">
        <v>45662</v>
      </c>
      <c r="D10381" t="inlineStr">
        <is>
          <t>NORRBOTTENS LÄN</t>
        </is>
      </c>
      <c r="E10381" t="inlineStr">
        <is>
          <t>LULEÅ</t>
        </is>
      </c>
      <c r="G10381" t="n">
        <v>12.5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61471-2024</t>
        </is>
      </c>
      <c r="B10382" s="1" t="n">
        <v>45646</v>
      </c>
      <c r="C10382" s="1" t="n">
        <v>45662</v>
      </c>
      <c r="D10382" t="inlineStr">
        <is>
          <t>NORRBOTTENS LÄN</t>
        </is>
      </c>
      <c r="E10382" t="inlineStr">
        <is>
          <t>GÄLLIVARE</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61476-2024</t>
        </is>
      </c>
      <c r="B10383" s="1" t="n">
        <v>45646</v>
      </c>
      <c r="C10383" s="1" t="n">
        <v>45662</v>
      </c>
      <c r="D10383" t="inlineStr">
        <is>
          <t>NORRBOTTENS LÄN</t>
        </is>
      </c>
      <c r="E10383" t="inlineStr">
        <is>
          <t>GÄLLIVARE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61510-2024</t>
        </is>
      </c>
      <c r="B10384" s="1" t="n">
        <v>45646</v>
      </c>
      <c r="C10384" s="1" t="n">
        <v>45662</v>
      </c>
      <c r="D10384" t="inlineStr">
        <is>
          <t>NORRBOTTENS LÄN</t>
        </is>
      </c>
      <c r="E10384" t="inlineStr">
        <is>
          <t>LULEÅ</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61583-2024</t>
        </is>
      </c>
      <c r="B10385" s="1" t="n">
        <v>45646</v>
      </c>
      <c r="C10385" s="1" t="n">
        <v>45662</v>
      </c>
      <c r="D10385" t="inlineStr">
        <is>
          <t>NORRBOTTENS LÄN</t>
        </is>
      </c>
      <c r="E10385" t="inlineStr">
        <is>
          <t>BODEN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61587-2024</t>
        </is>
      </c>
      <c r="B10386" s="1" t="n">
        <v>45646</v>
      </c>
      <c r="C10386" s="1" t="n">
        <v>45662</v>
      </c>
      <c r="D10386" t="inlineStr">
        <is>
          <t>NORRBOTTENS LÄN</t>
        </is>
      </c>
      <c r="E10386" t="inlineStr">
        <is>
          <t>BODEN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61600-2024</t>
        </is>
      </c>
      <c r="B10387" s="1" t="n">
        <v>45646</v>
      </c>
      <c r="C10387" s="1" t="n">
        <v>45662</v>
      </c>
      <c r="D10387" t="inlineStr">
        <is>
          <t>NORRBOTTENS LÄN</t>
        </is>
      </c>
      <c r="E10387" t="inlineStr">
        <is>
          <t>BODEN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61617-2024</t>
        </is>
      </c>
      <c r="B10388" s="1" t="n">
        <v>45646</v>
      </c>
      <c r="C10388" s="1" t="n">
        <v>45662</v>
      </c>
      <c r="D10388" t="inlineStr">
        <is>
          <t>NORRBOTTENS LÄN</t>
        </is>
      </c>
      <c r="E10388" t="inlineStr">
        <is>
          <t>BODEN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45662</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45662</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62137-2024</t>
        </is>
      </c>
      <c r="B10391" s="1" t="n">
        <v>45646</v>
      </c>
      <c r="C10391" s="1" t="n">
        <v>45662</v>
      </c>
      <c r="D10391" t="inlineStr">
        <is>
          <t>NORRBOTTENS LÄN</t>
        </is>
      </c>
      <c r="E10391" t="inlineStr">
        <is>
          <t>BODEN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61743-2024</t>
        </is>
      </c>
      <c r="B10392" s="1" t="n">
        <v>45649</v>
      </c>
      <c r="C10392" s="1" t="n">
        <v>45662</v>
      </c>
      <c r="D10392" t="inlineStr">
        <is>
          <t>NORRBOTTENS LÄN</t>
        </is>
      </c>
      <c r="E10392" t="inlineStr">
        <is>
          <t>BODEN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61771-2024</t>
        </is>
      </c>
      <c r="B10393" s="1" t="n">
        <v>45649</v>
      </c>
      <c r="C10393" s="1" t="n">
        <v>45662</v>
      </c>
      <c r="D10393" t="inlineStr">
        <is>
          <t>NORRBOTTENS LÄN</t>
        </is>
      </c>
      <c r="E10393" t="inlineStr">
        <is>
          <t>BODEN</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61729-2024</t>
        </is>
      </c>
      <c r="B10394" s="1" t="n">
        <v>45649</v>
      </c>
      <c r="C10394" s="1" t="n">
        <v>45662</v>
      </c>
      <c r="D10394" t="inlineStr">
        <is>
          <t>NORRBOTTENS LÄN</t>
        </is>
      </c>
      <c r="E10394" t="inlineStr">
        <is>
          <t>ARJEPLOG</t>
        </is>
      </c>
      <c r="F10394" t="inlineStr">
        <is>
          <t>Övriga statliga verk och myndigheter</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61750-2024</t>
        </is>
      </c>
      <c r="B10395" s="1" t="n">
        <v>45649</v>
      </c>
      <c r="C10395" s="1" t="n">
        <v>45662</v>
      </c>
      <c r="D10395" t="inlineStr">
        <is>
          <t>NORRBOTTENS LÄN</t>
        </is>
      </c>
      <c r="E10395" t="inlineStr">
        <is>
          <t>BODEN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61762-2024</t>
        </is>
      </c>
      <c r="B10396" s="1" t="n">
        <v>45649</v>
      </c>
      <c r="C10396" s="1" t="n">
        <v>45662</v>
      </c>
      <c r="D10396" t="inlineStr">
        <is>
          <t>NORRBOTTENS LÄN</t>
        </is>
      </c>
      <c r="E10396" t="inlineStr">
        <is>
          <t>JOKKMOKK</t>
        </is>
      </c>
      <c r="F10396" t="inlineStr">
        <is>
          <t>Övriga statliga verk och myndigheter</t>
        </is>
      </c>
      <c r="G10396" t="n">
        <v>15.4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61770-2024</t>
        </is>
      </c>
      <c r="B10397" s="1" t="n">
        <v>45649</v>
      </c>
      <c r="C10397" s="1" t="n">
        <v>45662</v>
      </c>
      <c r="D10397" t="inlineStr">
        <is>
          <t>NORRBOTTENS LÄN</t>
        </is>
      </c>
      <c r="E10397" t="inlineStr">
        <is>
          <t>BODEN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61757-2024</t>
        </is>
      </c>
      <c r="B10398" s="1" t="n">
        <v>45649</v>
      </c>
      <c r="C10398" s="1" t="n">
        <v>45662</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61761-2024</t>
        </is>
      </c>
      <c r="B10399" s="1" t="n">
        <v>45649</v>
      </c>
      <c r="C10399" s="1" t="n">
        <v>45662</v>
      </c>
      <c r="D10399" t="inlineStr">
        <is>
          <t>NORRBOTTENS LÄN</t>
        </is>
      </c>
      <c r="E10399" t="inlineStr">
        <is>
          <t>JOKKMOKK</t>
        </is>
      </c>
      <c r="F10399" t="inlineStr">
        <is>
          <t>Övriga statliga verk och myndigheter</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61773-2024</t>
        </is>
      </c>
      <c r="B10400" s="1" t="n">
        <v>45649</v>
      </c>
      <c r="C10400" s="1" t="n">
        <v>45662</v>
      </c>
      <c r="D10400" t="inlineStr">
        <is>
          <t>NORRBOTTENS LÄN</t>
        </is>
      </c>
      <c r="E10400" t="inlineStr">
        <is>
          <t>BODEN</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61810-2024</t>
        </is>
      </c>
      <c r="B10401" s="1" t="n">
        <v>45649</v>
      </c>
      <c r="C10401" s="1" t="n">
        <v>45662</v>
      </c>
      <c r="D10401" t="inlineStr">
        <is>
          <t>NORRBOTTENS LÄN</t>
        </is>
      </c>
      <c r="E10401" t="inlineStr">
        <is>
          <t>PITEÅ</t>
        </is>
      </c>
      <c r="G10401" t="n">
        <v>31.2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61808-2024</t>
        </is>
      </c>
      <c r="B10402" s="1" t="n">
        <v>45649</v>
      </c>
      <c r="C10402" s="1" t="n">
        <v>45662</v>
      </c>
      <c r="D10402" t="inlineStr">
        <is>
          <t>NORRBOTTENS LÄN</t>
        </is>
      </c>
      <c r="E10402" t="inlineStr">
        <is>
          <t>PITEÅ</t>
        </is>
      </c>
      <c r="G10402" t="n">
        <v>24.9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185-2025</t>
        </is>
      </c>
      <c r="B10403" s="1" t="n">
        <v>45649</v>
      </c>
      <c r="C10403" s="1" t="n">
        <v>45662</v>
      </c>
      <c r="D10403" t="inlineStr">
        <is>
          <t>NORRBOTTENS LÄN</t>
        </is>
      </c>
      <c r="E10403" t="inlineStr">
        <is>
          <t>BODEN</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61748-2024</t>
        </is>
      </c>
      <c r="B10404" s="1" t="n">
        <v>45649</v>
      </c>
      <c r="C10404" s="1" t="n">
        <v>45662</v>
      </c>
      <c r="D10404" t="inlineStr">
        <is>
          <t>NORRBOTTENS LÄN</t>
        </is>
      </c>
      <c r="E10404" t="inlineStr">
        <is>
          <t>BODEN</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61756-2024</t>
        </is>
      </c>
      <c r="B10405" s="1" t="n">
        <v>45649</v>
      </c>
      <c r="C10405" s="1" t="n">
        <v>45662</v>
      </c>
      <c r="D10405" t="inlineStr">
        <is>
          <t>NORRBOTTENS LÄN</t>
        </is>
      </c>
      <c r="E10405" t="inlineStr">
        <is>
          <t>BODEN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61760-2024</t>
        </is>
      </c>
      <c r="B10406" s="1" t="n">
        <v>45649</v>
      </c>
      <c r="C10406" s="1" t="n">
        <v>45662</v>
      </c>
      <c r="D10406" t="inlineStr">
        <is>
          <t>NORRBOTTENS LÄN</t>
        </is>
      </c>
      <c r="E10406" t="inlineStr">
        <is>
          <t>JOKKMOKK</t>
        </is>
      </c>
      <c r="F10406" t="inlineStr">
        <is>
          <t>Övriga statliga verk och myndigheter</t>
        </is>
      </c>
      <c r="G10406" t="n">
        <v>19.3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61768-2024</t>
        </is>
      </c>
      <c r="B10407" s="1" t="n">
        <v>45649</v>
      </c>
      <c r="C10407" s="1" t="n">
        <v>45662</v>
      </c>
      <c r="D10407" t="inlineStr">
        <is>
          <t>NORRBOTTENS LÄN</t>
        </is>
      </c>
      <c r="E10407" t="inlineStr">
        <is>
          <t>BODEN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61772-2024</t>
        </is>
      </c>
      <c r="B10408" s="1" t="n">
        <v>45649</v>
      </c>
      <c r="C10408" s="1" t="n">
        <v>45662</v>
      </c>
      <c r="D10408" t="inlineStr">
        <is>
          <t>NORRBOTTENS LÄN</t>
        </is>
      </c>
      <c r="E10408" t="inlineStr">
        <is>
          <t>BODEN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177-2025</t>
        </is>
      </c>
      <c r="B10409" s="1" t="n">
        <v>45649</v>
      </c>
      <c r="C10409" s="1" t="n">
        <v>45662</v>
      </c>
      <c r="D10409" t="inlineStr">
        <is>
          <t>NORRBOTTENS LÄN</t>
        </is>
      </c>
      <c r="E10409" t="inlineStr">
        <is>
          <t>GÄLLIVARE</t>
        </is>
      </c>
      <c r="F10409" t="inlineStr">
        <is>
          <t>Allmännings- och besparingsskogar</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184-2025</t>
        </is>
      </c>
      <c r="B10410" s="1" t="n">
        <v>45649</v>
      </c>
      <c r="C10410" s="1" t="n">
        <v>45662</v>
      </c>
      <c r="D10410" t="inlineStr">
        <is>
          <t>NORRBOTTENS LÄN</t>
        </is>
      </c>
      <c r="E10410" t="inlineStr">
        <is>
          <t>BODEN</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61911-2024</t>
        </is>
      </c>
      <c r="B10411" s="1" t="n">
        <v>45653</v>
      </c>
      <c r="C10411" s="1" t="n">
        <v>45662</v>
      </c>
      <c r="D10411" t="inlineStr">
        <is>
          <t>NORRBOTTENS LÄN</t>
        </is>
      </c>
      <c r="E10411" t="inlineStr">
        <is>
          <t>BODEN</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61936-2024</t>
        </is>
      </c>
      <c r="B10412" s="1" t="n">
        <v>45653</v>
      </c>
      <c r="C10412" s="1" t="n">
        <v>45662</v>
      </c>
      <c r="D10412" t="inlineStr">
        <is>
          <t>NORRBOTTENS LÄN</t>
        </is>
      </c>
      <c r="E10412" t="inlineStr">
        <is>
          <t>BODEN</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61949-2024</t>
        </is>
      </c>
      <c r="B10413" s="1" t="n">
        <v>45653</v>
      </c>
      <c r="C10413" s="1" t="n">
        <v>45662</v>
      </c>
      <c r="D10413" t="inlineStr">
        <is>
          <t>NORRBOTTENS LÄN</t>
        </is>
      </c>
      <c r="E10413" t="inlineStr">
        <is>
          <t>BODEN</t>
        </is>
      </c>
      <c r="G10413" t="n">
        <v>12.2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61969-2024</t>
        </is>
      </c>
      <c r="B10414" s="1" t="n">
        <v>45653</v>
      </c>
      <c r="C10414" s="1" t="n">
        <v>45662</v>
      </c>
      <c r="D10414" t="inlineStr">
        <is>
          <t>NORRBOTTENS LÄN</t>
        </is>
      </c>
      <c r="E10414" t="inlineStr">
        <is>
          <t>BODEN</t>
        </is>
      </c>
      <c r="G10414" t="n">
        <v>9.699999999999999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61912-2024</t>
        </is>
      </c>
      <c r="B10415" s="1" t="n">
        <v>45653</v>
      </c>
      <c r="C10415" s="1" t="n">
        <v>45662</v>
      </c>
      <c r="D10415" t="inlineStr">
        <is>
          <t>NORRBOTTENS LÄN</t>
        </is>
      </c>
      <c r="E10415" t="inlineStr">
        <is>
          <t>PITEÅ</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61920-2024</t>
        </is>
      </c>
      <c r="B10416" s="1" t="n">
        <v>45653</v>
      </c>
      <c r="C10416" s="1" t="n">
        <v>45662</v>
      </c>
      <c r="D10416" t="inlineStr">
        <is>
          <t>NORRBOTTENS LÄN</t>
        </is>
      </c>
      <c r="E10416" t="inlineStr">
        <is>
          <t>HAPARANDA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61932-2024</t>
        </is>
      </c>
      <c r="B10417" s="1" t="n">
        <v>45653</v>
      </c>
      <c r="C10417" s="1" t="n">
        <v>45662</v>
      </c>
      <c r="D10417" t="inlineStr">
        <is>
          <t>NORRBOTTENS LÄN</t>
        </is>
      </c>
      <c r="E10417" t="inlineStr">
        <is>
          <t>BODEN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61941-2024</t>
        </is>
      </c>
      <c r="B10418" s="1" t="n">
        <v>45653</v>
      </c>
      <c r="C10418" s="1" t="n">
        <v>45662</v>
      </c>
      <c r="D10418" t="inlineStr">
        <is>
          <t>NORRBOTTENS LÄN</t>
        </is>
      </c>
      <c r="E10418" t="inlineStr">
        <is>
          <t>BODEN</t>
        </is>
      </c>
      <c r="G10418" t="n">
        <v>17.6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61917-2024</t>
        </is>
      </c>
      <c r="B10419" s="1" t="n">
        <v>45653</v>
      </c>
      <c r="C10419" s="1" t="n">
        <v>45662</v>
      </c>
      <c r="D10419" t="inlineStr">
        <is>
          <t>NORRBOTTENS LÄN</t>
        </is>
      </c>
      <c r="E10419" t="inlineStr">
        <is>
          <t>BODEN</t>
        </is>
      </c>
      <c r="G10419" t="n">
        <v>22.3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61921-2024</t>
        </is>
      </c>
      <c r="B10420" s="1" t="n">
        <v>45653</v>
      </c>
      <c r="C10420" s="1" t="n">
        <v>45662</v>
      </c>
      <c r="D10420" t="inlineStr">
        <is>
          <t>NORRBOTTENS LÄN</t>
        </is>
      </c>
      <c r="E10420" t="inlineStr">
        <is>
          <t>BODEN</t>
        </is>
      </c>
      <c r="G10420" t="n">
        <v>61.4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61925-2024</t>
        </is>
      </c>
      <c r="B10421" s="1" t="n">
        <v>45653</v>
      </c>
      <c r="C10421" s="1" t="n">
        <v>45662</v>
      </c>
      <c r="D10421" t="inlineStr">
        <is>
          <t>NORRBOTTENS LÄN</t>
        </is>
      </c>
      <c r="E10421" t="inlineStr">
        <is>
          <t>HAPARANDA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61938-2024</t>
        </is>
      </c>
      <c r="B10422" s="1" t="n">
        <v>45653</v>
      </c>
      <c r="C10422" s="1" t="n">
        <v>45662</v>
      </c>
      <c r="D10422" t="inlineStr">
        <is>
          <t>NORRBOTTENS LÄN</t>
        </is>
      </c>
      <c r="E10422" t="inlineStr">
        <is>
          <t>KALIX</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61942-2024</t>
        </is>
      </c>
      <c r="B10423" s="1" t="n">
        <v>45653</v>
      </c>
      <c r="C10423" s="1" t="n">
        <v>45662</v>
      </c>
      <c r="D10423" t="inlineStr">
        <is>
          <t>NORRBOTTENS LÄN</t>
        </is>
      </c>
      <c r="E10423" t="inlineStr">
        <is>
          <t>LULEÅ</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61955-2024</t>
        </is>
      </c>
      <c r="B10424" s="1" t="n">
        <v>45653</v>
      </c>
      <c r="C10424" s="1" t="n">
        <v>45662</v>
      </c>
      <c r="D10424" t="inlineStr">
        <is>
          <t>NORRBOTTENS LÄN</t>
        </is>
      </c>
      <c r="E10424" t="inlineStr">
        <is>
          <t>BODEN</t>
        </is>
      </c>
      <c r="G10424" t="n">
        <v>16.8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61930-2024</t>
        </is>
      </c>
      <c r="B10425" s="1" t="n">
        <v>45653</v>
      </c>
      <c r="C10425" s="1" t="n">
        <v>45662</v>
      </c>
      <c r="D10425" t="inlineStr">
        <is>
          <t>NORRBOTTENS LÄN</t>
        </is>
      </c>
      <c r="E10425" t="inlineStr">
        <is>
          <t>BODEN</t>
        </is>
      </c>
      <c r="G10425" t="n">
        <v>12.3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61934-2024</t>
        </is>
      </c>
      <c r="B10426" s="1" t="n">
        <v>45653</v>
      </c>
      <c r="C10426" s="1" t="n">
        <v>45662</v>
      </c>
      <c r="D10426" t="inlineStr">
        <is>
          <t>NORRBOTTENS LÄN</t>
        </is>
      </c>
      <c r="E10426" t="inlineStr">
        <is>
          <t>KALIX</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62076-2024</t>
        </is>
      </c>
      <c r="B10427" s="1" t="n">
        <v>45656</v>
      </c>
      <c r="C10427" s="1" t="n">
        <v>45662</v>
      </c>
      <c r="D10427" t="inlineStr">
        <is>
          <t>NORRBOTTENS LÄN</t>
        </is>
      </c>
      <c r="E10427" t="inlineStr">
        <is>
          <t>ÖVERTORNEÅ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62174-2024</t>
        </is>
      </c>
      <c r="B10428" s="1" t="n">
        <v>45657</v>
      </c>
      <c r="C10428" s="1" t="n">
        <v>45662</v>
      </c>
      <c r="D10428" t="inlineStr">
        <is>
          <t>NORRBOTTENS LÄN</t>
        </is>
      </c>
      <c r="E10428" t="inlineStr">
        <is>
          <t>PAJALA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11-2025</t>
        </is>
      </c>
      <c r="B10429" s="1" t="n">
        <v>45658</v>
      </c>
      <c r="C10429" s="1" t="n">
        <v>45662</v>
      </c>
      <c r="D10429" t="inlineStr">
        <is>
          <t>NORRBOTTENS LÄN</t>
        </is>
      </c>
      <c r="E10429" t="inlineStr">
        <is>
          <t>KALIX</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60-2025</t>
        </is>
      </c>
      <c r="B10430" s="1" t="n">
        <v>45659</v>
      </c>
      <c r="C10430" s="1" t="n">
        <v>45662</v>
      </c>
      <c r="D10430" t="inlineStr">
        <is>
          <t>NORRBOTTENS LÄN</t>
        </is>
      </c>
      <c r="E10430" t="inlineStr">
        <is>
          <t>ÖVERKALIX</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65-2025</t>
        </is>
      </c>
      <c r="B10431" s="1" t="n">
        <v>45659</v>
      </c>
      <c r="C10431" s="1" t="n">
        <v>45662</v>
      </c>
      <c r="D10431" t="inlineStr">
        <is>
          <t>NORRBOTTENS LÄN</t>
        </is>
      </c>
      <c r="E10431" t="inlineStr">
        <is>
          <t>LULEÅ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81-2025</t>
        </is>
      </c>
      <c r="B10432" s="1" t="n">
        <v>45659</v>
      </c>
      <c r="C10432" s="1" t="n">
        <v>45662</v>
      </c>
      <c r="D10432" t="inlineStr">
        <is>
          <t>NORRBOTTENS LÄN</t>
        </is>
      </c>
      <c r="E10432" t="inlineStr">
        <is>
          <t>LULEÅ</t>
        </is>
      </c>
      <c r="G10432" t="n">
        <v>17.1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86-2025</t>
        </is>
      </c>
      <c r="B10433" s="1" t="n">
        <v>45659</v>
      </c>
      <c r="C10433" s="1" t="n">
        <v>45662</v>
      </c>
      <c r="D10433" t="inlineStr">
        <is>
          <t>NORRBOTTENS LÄN</t>
        </is>
      </c>
      <c r="E10433" t="inlineStr">
        <is>
          <t>LULEÅ</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91-2025</t>
        </is>
      </c>
      <c r="B10434" s="1" t="n">
        <v>45659</v>
      </c>
      <c r="C10434" s="1" t="n">
        <v>45662</v>
      </c>
      <c r="D10434" t="inlineStr">
        <is>
          <t>NORRBOTTENS LÄN</t>
        </is>
      </c>
      <c r="E10434" t="inlineStr">
        <is>
          <t>KALIX</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96-2025</t>
        </is>
      </c>
      <c r="B10435" s="1" t="n">
        <v>45659</v>
      </c>
      <c r="C10435" s="1" t="n">
        <v>45662</v>
      </c>
      <c r="D10435" t="inlineStr">
        <is>
          <t>NORRBOTTENS LÄN</t>
        </is>
      </c>
      <c r="E10435" t="inlineStr">
        <is>
          <t>LULEÅ</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114-2025</t>
        </is>
      </c>
      <c r="B10436" s="1" t="n">
        <v>45659</v>
      </c>
      <c r="C10436" s="1" t="n">
        <v>45662</v>
      </c>
      <c r="D10436" t="inlineStr">
        <is>
          <t>NORRBOTTENS LÄN</t>
        </is>
      </c>
      <c r="E10436" t="inlineStr">
        <is>
          <t>LULEÅ</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83-2025</t>
        </is>
      </c>
      <c r="B10437" s="1" t="n">
        <v>45659</v>
      </c>
      <c r="C10437" s="1" t="n">
        <v>45662</v>
      </c>
      <c r="D10437" t="inlineStr">
        <is>
          <t>NORRBOTTENS LÄN</t>
        </is>
      </c>
      <c r="E10437" t="inlineStr">
        <is>
          <t>LULEÅ</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71-2025</t>
        </is>
      </c>
      <c r="B10438" s="1" t="n">
        <v>45659</v>
      </c>
      <c r="C10438" s="1" t="n">
        <v>45662</v>
      </c>
      <c r="D10438" t="inlineStr">
        <is>
          <t>NORRBOTTENS LÄN</t>
        </is>
      </c>
      <c r="E10438" t="inlineStr">
        <is>
          <t>LULEÅ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92-2025</t>
        </is>
      </c>
      <c r="B10439" s="1" t="n">
        <v>45659</v>
      </c>
      <c r="C10439" s="1" t="n">
        <v>45662</v>
      </c>
      <c r="D10439" t="inlineStr">
        <is>
          <t>NORRBOTTENS LÄN</t>
        </is>
      </c>
      <c r="E10439" t="inlineStr">
        <is>
          <t>LULEÅ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97-2025</t>
        </is>
      </c>
      <c r="B10440" s="1" t="n">
        <v>45659</v>
      </c>
      <c r="C10440" s="1" t="n">
        <v>45662</v>
      </c>
      <c r="D10440" t="inlineStr">
        <is>
          <t>NORRBOTTENS LÄN</t>
        </is>
      </c>
      <c r="E10440" t="inlineStr">
        <is>
          <t>LULEÅ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115-2025</t>
        </is>
      </c>
      <c r="B10441" s="1" t="n">
        <v>45659</v>
      </c>
      <c r="C10441" s="1" t="n">
        <v>45662</v>
      </c>
      <c r="D10441" t="inlineStr">
        <is>
          <t>NORRBOTTENS LÄN</t>
        </is>
      </c>
      <c r="E10441" t="inlineStr">
        <is>
          <t>LULEÅ</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145-2025</t>
        </is>
      </c>
      <c r="B10442" s="1" t="n">
        <v>45659</v>
      </c>
      <c r="C10442" s="1" t="n">
        <v>45662</v>
      </c>
      <c r="D10442" t="inlineStr">
        <is>
          <t>NORRBOTTENS LÄN</t>
        </is>
      </c>
      <c r="E10442" t="inlineStr">
        <is>
          <t>LULEÅ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262-2025</t>
        </is>
      </c>
      <c r="B10443" s="1" t="n">
        <v>45660</v>
      </c>
      <c r="C10443" s="1" t="n">
        <v>45662</v>
      </c>
      <c r="D10443" t="inlineStr">
        <is>
          <t>NORRBOTTENS LÄN</t>
        </is>
      </c>
      <c r="E10443" t="inlineStr">
        <is>
          <t>KALIX</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276-2025</t>
        </is>
      </c>
      <c r="B10444" s="1" t="n">
        <v>45660</v>
      </c>
      <c r="C10444" s="1" t="n">
        <v>45662</v>
      </c>
      <c r="D10444" t="inlineStr">
        <is>
          <t>NORRBOTTENS LÄN</t>
        </is>
      </c>
      <c r="E10444" t="inlineStr">
        <is>
          <t>ÖVERKALIX</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318-2025</t>
        </is>
      </c>
      <c r="B10445" s="1" t="n">
        <v>45660</v>
      </c>
      <c r="C10445" s="1" t="n">
        <v>45662</v>
      </c>
      <c r="D10445" t="inlineStr">
        <is>
          <t>NORRBOTTENS LÄN</t>
        </is>
      </c>
      <c r="E10445" t="inlineStr">
        <is>
          <t>PITEÅ</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334-2025</t>
        </is>
      </c>
      <c r="B10446" s="1" t="n">
        <v>45660</v>
      </c>
      <c r="C10446" s="1" t="n">
        <v>45662</v>
      </c>
      <c r="D10446" t="inlineStr">
        <is>
          <t>NORRBOTTENS LÄN</t>
        </is>
      </c>
      <c r="E10446" t="inlineStr">
        <is>
          <t>PAJALA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338-2025</t>
        </is>
      </c>
      <c r="B10447" s="1" t="n">
        <v>45660</v>
      </c>
      <c r="C10447" s="1" t="n">
        <v>45662</v>
      </c>
      <c r="D10447" t="inlineStr">
        <is>
          <t>NORRBOTTENS LÄN</t>
        </is>
      </c>
      <c r="E10447" t="inlineStr">
        <is>
          <t>PAJALA</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263-2025</t>
        </is>
      </c>
      <c r="B10448" s="1" t="n">
        <v>45660</v>
      </c>
      <c r="C10448" s="1" t="n">
        <v>45662</v>
      </c>
      <c r="D10448" t="inlineStr">
        <is>
          <t>NORRBOTTENS LÄN</t>
        </is>
      </c>
      <c r="E10448" t="inlineStr">
        <is>
          <t>KALIX</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267-2025</t>
        </is>
      </c>
      <c r="B10449" s="1" t="n">
        <v>45660</v>
      </c>
      <c r="C10449" s="1" t="n">
        <v>45662</v>
      </c>
      <c r="D10449" t="inlineStr">
        <is>
          <t>NORRBOTTENS LÄN</t>
        </is>
      </c>
      <c r="E10449" t="inlineStr">
        <is>
          <t>KALIX</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339-2025</t>
        </is>
      </c>
      <c r="B10450" s="1" t="n">
        <v>45660</v>
      </c>
      <c r="C10450" s="1" t="n">
        <v>45662</v>
      </c>
      <c r="D10450" t="inlineStr">
        <is>
          <t>NORRBOTTENS LÄN</t>
        </is>
      </c>
      <c r="E10450" t="inlineStr">
        <is>
          <t>LULEÅ</t>
        </is>
      </c>
      <c r="G10450" t="n">
        <v>1.5</v>
      </c>
      <c r="H10450" t="n">
        <v>0</v>
      </c>
      <c r="I10450" t="n">
        <v>0</v>
      </c>
      <c r="J10450" t="n">
        <v>0</v>
      </c>
      <c r="K10450" t="n">
        <v>0</v>
      </c>
      <c r="L10450" t="n">
        <v>0</v>
      </c>
      <c r="M10450" t="n">
        <v>0</v>
      </c>
      <c r="N10450" t="n">
        <v>0</v>
      </c>
      <c r="O10450" t="n">
        <v>0</v>
      </c>
      <c r="P10450" t="n">
        <v>0</v>
      </c>
      <c r="Q10450" t="n">
        <v>0</v>
      </c>
      <c r="R10450" s="2" t="inlineStr"/>
    </row>
    <row r="10451">
      <c r="A10451" t="inlineStr">
        <is>
          <t>A 376-2025</t>
        </is>
      </c>
      <c r="B10451" s="1" t="n">
        <v>45661</v>
      </c>
      <c r="C10451" s="1" t="n">
        <v>45662</v>
      </c>
      <c r="D10451" t="inlineStr">
        <is>
          <t>NORRBOTTENS LÄN</t>
        </is>
      </c>
      <c r="E10451" t="inlineStr">
        <is>
          <t>LULEÅ</t>
        </is>
      </c>
      <c r="G10451" t="n">
        <v>2.9</v>
      </c>
      <c r="H10451" t="n">
        <v>0</v>
      </c>
      <c r="I10451" t="n">
        <v>0</v>
      </c>
      <c r="J10451" t="n">
        <v>0</v>
      </c>
      <c r="K10451" t="n">
        <v>0</v>
      </c>
      <c r="L10451" t="n">
        <v>0</v>
      </c>
      <c r="M10451" t="n">
        <v>0</v>
      </c>
      <c r="N10451" t="n">
        <v>0</v>
      </c>
      <c r="O10451" t="n">
        <v>0</v>
      </c>
      <c r="P10451" t="n">
        <v>0</v>
      </c>
      <c r="Q10451" t="n">
        <v>0</v>
      </c>
      <c r="R10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2025-01-05T15:54:52Z</dcterms:created>
  <dcterms:modified xmlns:dcterms="http://purl.org/dc/terms/" xmlns:xsi="http://www.w3.org/2001/XMLSchema-instance" xsi:type="dcterms:W3CDTF">2025-01-05T15:55:01Z</dcterms:modified>
</cp:coreProperties>
</file>